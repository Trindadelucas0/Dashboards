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rativo" sheetId="1" state="visible" r:id="rId3"/>
    <sheet name="Jan-26" sheetId="2" state="visible" r:id="rId4"/>
    <sheet name="Fev-26" sheetId="3" state="visible" r:id="rId5"/>
    <sheet name="Mar-26" sheetId="4" state="visible" r:id="rId6"/>
    <sheet name="Abr-26" sheetId="5" state="visible" r:id="rId7"/>
    <sheet name="Mai-26" sheetId="6" state="visible" r:id="rId8"/>
    <sheet name="Jun-26" sheetId="7" state="visible" r:id="rId9"/>
    <sheet name="Jul-26" sheetId="8" state="visible" r:id="rId10"/>
    <sheet name="Ago-26" sheetId="9" state="visible" r:id="rId11"/>
  </sheets>
  <definedNames>
    <definedName function="false" hidden="false" localSheetId="4" name="_xlnm.Print_Titles" vbProcedure="false">'Abr-26'!$7:$7</definedName>
    <definedName function="false" hidden="false" localSheetId="8" name="_xlnm.Print_Titles" vbProcedure="false">'Ago-26'!$7:$7</definedName>
    <definedName function="false" hidden="false" localSheetId="0" name="_xlnm.Print_Titles" vbProcedure="false">Comparativo!$7:$7</definedName>
    <definedName function="false" hidden="false" localSheetId="2" name="_xlnm.Print_Titles" vbProcedure="false">'Fev-26'!$7:$7</definedName>
    <definedName function="false" hidden="false" localSheetId="1" name="_xlnm.Print_Titles" vbProcedure="false">'Jan-26'!$7:$7</definedName>
    <definedName function="false" hidden="false" localSheetId="7" name="_xlnm.Print_Titles" vbProcedure="false">'Jul-26'!$7:$7</definedName>
    <definedName function="false" hidden="false" localSheetId="6" name="_xlnm.Print_Titles" vbProcedure="false">'Jun-26'!$7:$7</definedName>
    <definedName function="false" hidden="false" localSheetId="5" name="_xlnm.Print_Titles" vbProcedure="false">'Mai-26'!$7:$7</definedName>
    <definedName function="false" hidden="false" localSheetId="3" name="_xlnm.Print_Titles" vbProcedure="false">'Mar-26'!$7:$7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<sst xmlns="http://schemas.openxmlformats.org/spreadsheetml/2006/main" count="2555" uniqueCount="305">
  <si>
    <t xml:space="preserve">INDUSTRIA SCHUMACHER LTDA</t>
  </si>
  <si>
    <t xml:space="preserve">Balanço Patrimonial – Comparativo mensal</t>
  </si>
  <si>
    <t xml:space="preserve">Período: Posição ao final de cada mês (31/01/2026 a 31/08/2026)  |  Unidade: TODOS (0)</t>
  </si>
  <si>
    <t xml:space="preserve">CNPJ: 04.589.817/0001-06</t>
  </si>
  <si>
    <t xml:space="preserve">Valores em R$ (reais). Fonte: relatório do sistema contábil (PDF), convertido sem alteração de valores.</t>
  </si>
  <si>
    <t xml:space="preserve">Conta</t>
  </si>
  <si>
    <t xml:space="preserve">Jan/26</t>
  </si>
  <si>
    <t xml:space="preserve">Fev/26</t>
  </si>
  <si>
    <t xml:space="preserve">Mar/26</t>
  </si>
  <si>
    <t xml:space="preserve">Abr/26</t>
  </si>
  <si>
    <t xml:space="preserve">Mai/26</t>
  </si>
  <si>
    <t xml:space="preserve">Jun/26</t>
  </si>
  <si>
    <t xml:space="preserve">Jul/26</t>
  </si>
  <si>
    <t xml:space="preserve">Ago/26</t>
  </si>
  <si>
    <t xml:space="preserve">ATIVO</t>
  </si>
  <si>
    <t xml:space="preserve">ATIVO CIRCULANTE</t>
  </si>
  <si>
    <t xml:space="preserve">DISPONIVEL</t>
  </si>
  <si>
    <t xml:space="preserve">NUMERARIOS NA EMPRESA</t>
  </si>
  <si>
    <t xml:space="preserve">CAIXA</t>
  </si>
  <si>
    <t xml:space="preserve">BANCOS</t>
  </si>
  <si>
    <t xml:space="preserve">BANCO DO BRASIL C/C 15029-0</t>
  </si>
  <si>
    <t xml:space="preserve">BANCO CRESOL C/C 102797-2</t>
  </si>
  <si>
    <t xml:space="preserve">BANCO SICOOB C/C 8009</t>
  </si>
  <si>
    <t xml:space="preserve">BANCO SICREDI C/C 43964</t>
  </si>
  <si>
    <t xml:space="preserve">BANCO SICREDI C/C 46208</t>
  </si>
  <si>
    <t xml:space="preserve">BANCO DO BRASIL - C/C 49671-5</t>
  </si>
  <si>
    <t xml:space="preserve">ALELO LOGISTICA</t>
  </si>
  <si>
    <t xml:space="preserve">APLICACOES</t>
  </si>
  <si>
    <t xml:space="preserve">SICREDI 46208-0 - SICREDINVEST EXCLUSIVO</t>
  </si>
  <si>
    <t xml:space="preserve">APLICACAO SICREDINVEST 43964-9</t>
  </si>
  <si>
    <t xml:space="preserve">APLICACAO BANCO SICOOB</t>
  </si>
  <si>
    <t xml:space="preserve">APLICACAO CRESOL 102797-2</t>
  </si>
  <si>
    <t xml:space="preserve">OUROCAP - BANCO DO BRASIL</t>
  </si>
  <si>
    <t xml:space="preserve">CREDITOS</t>
  </si>
  <si>
    <t xml:space="preserve">CLIENTES</t>
  </si>
  <si>
    <t xml:space="preserve">CLIENTES NACIONAIS</t>
  </si>
  <si>
    <t xml:space="preserve">CLIENTES ESTRANGEIROS</t>
  </si>
  <si>
    <t xml:space="preserve">VENDAS NO CARTAO</t>
  </si>
  <si>
    <t xml:space="preserve">ALUGUEIS RECEBER</t>
  </si>
  <si>
    <t xml:space="preserve">OUTRAS CONTAS A RECEBER</t>
  </si>
  <si>
    <t xml:space="preserve">CREDITOS COM FORNECEDORES</t>
  </si>
  <si>
    <t xml:space="preserve">CREDITO FINANCEIRO POR DEVOL. A FORNECEDORES</t>
  </si>
  <si>
    <t xml:space="preserve">ADIANTAMENTO POR PAGAMENTO A FORNECEDORES</t>
  </si>
  <si>
    <t xml:space="preserve">DESPESAS A REEMBOLSAR</t>
  </si>
  <si>
    <t xml:space="preserve">CREDITOS DE IMPOSTOS/TRIBUTOS</t>
  </si>
  <si>
    <t xml:space="preserve">TRIBUTOS FEDERAIS</t>
  </si>
  <si>
    <t xml:space="preserve">IRRF SOBRE APLICACOES FINANCEIRAS</t>
  </si>
  <si>
    <t xml:space="preserve">IPI S/AQUISICOES</t>
  </si>
  <si>
    <t xml:space="preserve">TRIBUTOS ESTADUAIS</t>
  </si>
  <si>
    <t xml:space="preserve">ICMS S/ AQUISICOES</t>
  </si>
  <si>
    <t xml:space="preserve">ICMS A RECUP. S/ IMOBILIZADO</t>
  </si>
  <si>
    <t xml:space="preserve">ESTOQUE</t>
  </si>
  <si>
    <t xml:space="preserve">ESTOQUE NA INDUSTRIA</t>
  </si>
  <si>
    <t xml:space="preserve">ESTOQUE DE PRODUTOS ACABADOS</t>
  </si>
  <si>
    <t xml:space="preserve">ESTOQUE DE PRODUTOS EM ELABORACAO</t>
  </si>
  <si>
    <t xml:space="preserve">ESTOQUE DE MATERIA PRIMA</t>
  </si>
  <si>
    <t xml:space="preserve">CONTA TRANSITORIA DE ESTOQUE M.F.</t>
  </si>
  <si>
    <t xml:space="preserve">ALMOXARIFADO</t>
  </si>
  <si>
    <t xml:space="preserve">ESTOQUE DE MATERIAL DE USO E CONSUMO</t>
  </si>
  <si>
    <t xml:space="preserve">ESTOQUE DE EMBALAGENS/VASILHAMES</t>
  </si>
  <si>
    <t xml:space="preserve">ESTOQUE PROPRIO EM PODER DE TERCEIROS</t>
  </si>
  <si>
    <t xml:space="preserve">MERCADORIAS ENVIADAS P/ CONSERTO - (A)</t>
  </si>
  <si>
    <t xml:space="preserve">MERCADORIAS ENVIADAS P/ MOSTRUARIO - (A)</t>
  </si>
  <si>
    <t xml:space="preserve">MERCADORIAS ENVIADAS P/ DEMONSTRACAO - (A)</t>
  </si>
  <si>
    <t xml:space="preserve">MERCADORIAS ENVIADAS P/ ANALISE TESTE - (A)</t>
  </si>
  <si>
    <t xml:space="preserve">MERCADORIAS ENVIADAS P/ INDUSTRIALIZACAO - (A)</t>
  </si>
  <si>
    <t xml:space="preserve">MATERIAIS ENVIADOS P/ GARANTIA - (A)</t>
  </si>
  <si>
    <t xml:space="preserve">MERCADORIAS REMETIDAS EM CONSIGNACAO - (A)</t>
  </si>
  <si>
    <t xml:space="preserve">EMBALAGENS/ VASILHAMES EM PODER DE TERCEIROS (A)</t>
  </si>
  <si>
    <t xml:space="preserve">MATERIAIS ENVIADOS PARA TRABALHO EXTERNO</t>
  </si>
  <si>
    <t xml:space="preserve">OUTRAS ENTRADAS DE MERCADORIAS</t>
  </si>
  <si>
    <t xml:space="preserve">REMESSA PARA REPRESENTANTE OU DISTRIBUICAO</t>
  </si>
  <si>
    <t xml:space="preserve">ESTOQUES DE TERCEIROS NA INDUSTRIA</t>
  </si>
  <si>
    <t xml:space="preserve">MERCADORIAS RECEBIDAS P/ CONSERTO - (A)</t>
  </si>
  <si>
    <t xml:space="preserve">MATERIAIS RECEBIDOS P/ INDUSTRIALIZACAO - (A)</t>
  </si>
  <si>
    <t xml:space="preserve">MATERIAIS OU BENS RECEBIDOS P/ DEMONSTRACAO - (A)</t>
  </si>
  <si>
    <t xml:space="preserve">BENS RECEBIDOS EM COMODATO - (A)</t>
  </si>
  <si>
    <t xml:space="preserve">MERCADORIAS RECEBIDAS PARA ANALISE DE GARANTIA - (A)</t>
  </si>
  <si>
    <t xml:space="preserve">EMBALAGENS/ VASILHAMES RECEBIDAS DE TERCEIROS - (A)</t>
  </si>
  <si>
    <t xml:space="preserve">ADIANTAMENTO/ EMPRESTIMO</t>
  </si>
  <si>
    <t xml:space="preserve">ADIANTAMENTO DE SALARIO</t>
  </si>
  <si>
    <t xml:space="preserve">ADIANTAMENTO SALARIAL</t>
  </si>
  <si>
    <t xml:space="preserve">EMPRESTIMOS E ADIANTAMENTOS</t>
  </si>
  <si>
    <t xml:space="preserve">EMPRESTIMO A PJ</t>
  </si>
  <si>
    <t xml:space="preserve">EMPRESTIMO A FUNCIONARIO</t>
  </si>
  <si>
    <t xml:space="preserve">ADIANTAMENTO PARA VIAGEM</t>
  </si>
  <si>
    <t xml:space="preserve">COMPRA PARA ENTREGA FUTURA</t>
  </si>
  <si>
    <t xml:space="preserve">IMPOSTOS RETIDOS DE FORNECEDORES</t>
  </si>
  <si>
    <t xml:space="preserve">EMPRESTIMO PARA SOCIOS</t>
  </si>
  <si>
    <t xml:space="preserve">DESPESAS A APROPRIAR</t>
  </si>
  <si>
    <t xml:space="preserve">SEGUROS A APROPRIAR</t>
  </si>
  <si>
    <t xml:space="preserve">ALUGUEIS A APROPRIAR</t>
  </si>
  <si>
    <t xml:space="preserve">ATIVO NAO CIRCULANTE</t>
  </si>
  <si>
    <t xml:space="preserve">REALIZAVEL A LONGO PRAZO</t>
  </si>
  <si>
    <t xml:space="preserve">TRIBUTOS A RECUPERAR (LP)</t>
  </si>
  <si>
    <t xml:space="preserve">ICMS S/ ATIVO IMOBILIZADO (LP)</t>
  </si>
  <si>
    <t xml:space="preserve">CREDITOS A LONGO PRAZO</t>
  </si>
  <si>
    <t xml:space="preserve">CREDITOS EM DESFAVOR UNIAO FEDERAL (LP)</t>
  </si>
  <si>
    <t xml:space="preserve">DEPRECIACAO A APROPRIAR (LP)</t>
  </si>
  <si>
    <t xml:space="preserve">AMORTIZACOES A APROPRIAR - LP</t>
  </si>
  <si>
    <t xml:space="preserve">CREDITOS FISCAIS SEFAZ PR (LP)</t>
  </si>
  <si>
    <t xml:space="preserve">INVESTIMENTOS</t>
  </si>
  <si>
    <t xml:space="preserve">APLICACOES E DIREITO CREDITORIOS</t>
  </si>
  <si>
    <t xml:space="preserve">PRECATORIOS ESTADUAIS</t>
  </si>
  <si>
    <t xml:space="preserve">OUTROS INVESTIMENTOS</t>
  </si>
  <si>
    <t xml:space="preserve">TERRENOS</t>
  </si>
  <si>
    <t xml:space="preserve">BENFEITORIAS CHACARA LINHA AJURICABA</t>
  </si>
  <si>
    <t xml:space="preserve">MELHORIAS EM IMOVEIS DE TERCEIROS INVESTIMENTO</t>
  </si>
  <si>
    <t xml:space="preserve">CONSORCIOS</t>
  </si>
  <si>
    <t xml:space="preserve">CONSORCIO BB G.1382 C.1107</t>
  </si>
  <si>
    <t xml:space="preserve">CONSORCIO BB G.1406 C.9078</t>
  </si>
  <si>
    <t xml:space="preserve">CONSORCIO BB G.1406 C.326</t>
  </si>
  <si>
    <t xml:space="preserve">CONSORCIO BB G.1416 C.2696</t>
  </si>
  <si>
    <t xml:space="preserve">CONSORCIO BB G.1543 C.3161</t>
  </si>
  <si>
    <t xml:space="preserve">CONSORCIO BB G.1583 C.0</t>
  </si>
  <si>
    <t xml:space="preserve">CONSORCIO SICREDI G.010612 C.0513-00</t>
  </si>
  <si>
    <t xml:space="preserve">CONSORCIO SICREDI G.50157 C.583</t>
  </si>
  <si>
    <t xml:space="preserve">CONSORCIO SICREDI G.010772 C.0734-00 75M</t>
  </si>
  <si>
    <t xml:space="preserve">QUOTAS SOCIAIS DE CAPITAIS DE COOPERATIBAS DE CREDITO</t>
  </si>
  <si>
    <t xml:space="preserve">COTA CAPITAL BANCO SICREDI CC 43964-9</t>
  </si>
  <si>
    <t xml:space="preserve">COTA CAPITAL BANCO SICREDI CC 46208-0</t>
  </si>
  <si>
    <t xml:space="preserve">COTA CAPITAL BANCO SICOOB CC 8009</t>
  </si>
  <si>
    <t xml:space="preserve">COTA CAPITAL CRESOL 102797-2</t>
  </si>
  <si>
    <t xml:space="preserve">IMOBILIZADO</t>
  </si>
  <si>
    <t xml:space="preserve">PREDIOS/BARRACOES/CONSTRUCOES</t>
  </si>
  <si>
    <t xml:space="preserve">EDIFICACOES</t>
  </si>
  <si>
    <t xml:space="preserve">MAQUINAS E EQUIPAMENTOS INDUSTRIAIS</t>
  </si>
  <si>
    <t xml:space="preserve">MAQUINAS E EQUIPAMENTOS DA PRODUCAO</t>
  </si>
  <si>
    <t xml:space="preserve">FERRAMENTAS E UTENSILIOS</t>
  </si>
  <si>
    <t xml:space="preserve">FERRAMENTAS INDUSTRIAIS PEQUENO PORTE</t>
  </si>
  <si>
    <t xml:space="preserve">MOVEIS E UTENSILIOS INDUSTRIAIS</t>
  </si>
  <si>
    <t xml:space="preserve">BENFEITORIAS E INSTALACOES</t>
  </si>
  <si>
    <t xml:space="preserve">BENFEITORIAS BARRACAO (B1)</t>
  </si>
  <si>
    <t xml:space="preserve">BENFEITORIAS EM IMOVEIS DE TERCEIROS (B2)</t>
  </si>
  <si>
    <t xml:space="preserve">VEICULOS E UTILITARIOS</t>
  </si>
  <si>
    <t xml:space="preserve">AUTOMOVEIS</t>
  </si>
  <si>
    <t xml:space="preserve">VEICULOS UTILITARIOS</t>
  </si>
  <si>
    <t xml:space="preserve">CAMINHOES</t>
  </si>
  <si>
    <t xml:space="preserve">EQUIPAMENTOS DE ESCRITORIOS</t>
  </si>
  <si>
    <t xml:space="preserve">EQUIPAMENTO DE INFORMATICA</t>
  </si>
  <si>
    <t xml:space="preserve">MOVEIS E UTENSILIOS</t>
  </si>
  <si>
    <t xml:space="preserve">TELEFONES</t>
  </si>
  <si>
    <t xml:space="preserve">MATRIZES E MOLDES</t>
  </si>
  <si>
    <t xml:space="preserve">MOLDES</t>
  </si>
  <si>
    <t xml:space="preserve">IMOBILIZADO EM ANDAMENTO</t>
  </si>
  <si>
    <t xml:space="preserve">IMOBILIZADOS EM ANDAMENTO</t>
  </si>
  <si>
    <t xml:space="preserve">TRANSITORIA DO IMOBILIZADO</t>
  </si>
  <si>
    <t xml:space="preserve">AQUISICAO DE IMOBILIZADO</t>
  </si>
  <si>
    <t xml:space="preserve">(-) DEPRECIACOES ACUMULADAS</t>
  </si>
  <si>
    <t xml:space="preserve">(-) DEPRECIACAO ACUMULADA S/ ATIVOS</t>
  </si>
  <si>
    <t xml:space="preserve">ATIVO INTANGIVEL</t>
  </si>
  <si>
    <t xml:space="preserve">MARCAS E PATENTES</t>
  </si>
  <si>
    <t xml:space="preserve">PATENTE NR XXXX</t>
  </si>
  <si>
    <t xml:space="preserve">PROJETO IMPRESSORA 3D</t>
  </si>
  <si>
    <t xml:space="preserve">COMPRA DE DIREITO DOS CLIENTES NBK</t>
  </si>
  <si>
    <t xml:space="preserve">LICENCA DE SOFTWARE</t>
  </si>
  <si>
    <t xml:space="preserve">SOFTWARE - IMPLANTACAO/ LICENCA (ADM)</t>
  </si>
  <si>
    <t xml:space="preserve">(-) AMORTIZACOES DO ATIVO INTANGIVEL</t>
  </si>
  <si>
    <t xml:space="preserve">PASSIVO</t>
  </si>
  <si>
    <t xml:space="preserve">PASSIVO CIRCULANTE</t>
  </si>
  <si>
    <t xml:space="preserve">FORNECEDORES</t>
  </si>
  <si>
    <t xml:space="preserve">FORNECEDORES NACIONAIS</t>
  </si>
  <si>
    <t xml:space="preserve">FORNECEDORES ESTRANGEIROS</t>
  </si>
  <si>
    <t xml:space="preserve">OBRIGACOES TRIBUTARIAS</t>
  </si>
  <si>
    <t xml:space="preserve">OBRIGACOES FEDERAIS</t>
  </si>
  <si>
    <t xml:space="preserve">PIS A RECOLHER</t>
  </si>
  <si>
    <t xml:space="preserve">COFINS A RECOLHER</t>
  </si>
  <si>
    <t xml:space="preserve">IRPJ A RECOLHER</t>
  </si>
  <si>
    <t xml:space="preserve">CSLL A RECOLHER</t>
  </si>
  <si>
    <t xml:space="preserve">IPI A RECOLHER</t>
  </si>
  <si>
    <t xml:space="preserve">IRRF A RECOLHER (1708-NFS)</t>
  </si>
  <si>
    <t xml:space="preserve">IRRF A RECOLHER (3280-COOPERATIVAS)</t>
  </si>
  <si>
    <t xml:space="preserve">IRRF S/ FOLHA A RECOLHER</t>
  </si>
  <si>
    <t xml:space="preserve">CSRF A RECOLHER (5952-NFS)</t>
  </si>
  <si>
    <t xml:space="preserve">OBRIGACOES ESTADUAIS</t>
  </si>
  <si>
    <t xml:space="preserve">ICMS A RECOLHER</t>
  </si>
  <si>
    <t xml:space="preserve">ICMS-ST A RECOLHER</t>
  </si>
  <si>
    <t xml:space="preserve">IPVA / SEGURO / LICENCIAMENTO A PAGAR</t>
  </si>
  <si>
    <t xml:space="preserve">OBRIGACOES MUNICIPAIS</t>
  </si>
  <si>
    <t xml:space="preserve">ISSQN A RECOLHER</t>
  </si>
  <si>
    <t xml:space="preserve">IPTU A PAGAR</t>
  </si>
  <si>
    <t xml:space="preserve">ISSQN RETIDO A RECOLHER</t>
  </si>
  <si>
    <t xml:space="preserve">OUTRAS OBRIGACOES TRIBUTARIAS</t>
  </si>
  <si>
    <t xml:space="preserve">OUTRAS TAXAS E TARIFAS A PAGAR</t>
  </si>
  <si>
    <t xml:space="preserve">SALARIOS E BENEFICIOS A PAGAR</t>
  </si>
  <si>
    <t xml:space="preserve">OBRIGACOES A PAGAR</t>
  </si>
  <si>
    <t xml:space="preserve">SALARIOS A PAGAR</t>
  </si>
  <si>
    <t xml:space="preserve">RESCISOES A PAGAR</t>
  </si>
  <si>
    <t xml:space="preserve">PROLABORE A PAGAR</t>
  </si>
  <si>
    <t xml:space="preserve">OBRIGACOES A REPASSAR</t>
  </si>
  <si>
    <t xml:space="preserve">PLANO DE SAUDE A REPASSAR</t>
  </si>
  <si>
    <t xml:space="preserve">DESCONTOS JUDICIAIS A REPASSAR</t>
  </si>
  <si>
    <t xml:space="preserve">EMPRESTIMO CONSIGNADO A REPASSAR</t>
  </si>
  <si>
    <t xml:space="preserve">ENCARGOS TRABALHISTAS A PAGAR</t>
  </si>
  <si>
    <t xml:space="preserve">INSS A RECOLHER</t>
  </si>
  <si>
    <t xml:space="preserve">FGTS A RECOLHER</t>
  </si>
  <si>
    <t xml:space="preserve">CONTRIBUICOES SINDICAIS A PAGAR</t>
  </si>
  <si>
    <t xml:space="preserve">INSS RETIDO EM FERIAS</t>
  </si>
  <si>
    <t xml:space="preserve">GRRF A PAGAR (MULTA)</t>
  </si>
  <si>
    <t xml:space="preserve">FERIAS/DECIMO TERCEIRO SALARIO E ENCARGOS A PAGAR</t>
  </si>
  <si>
    <t xml:space="preserve">PROVISAO INSS FERIAS (P)</t>
  </si>
  <si>
    <t xml:space="preserve">FERIAS A PAGAR</t>
  </si>
  <si>
    <t xml:space="preserve">PROVISAO FGTS FERIAS (P)</t>
  </si>
  <si>
    <t xml:space="preserve">PROVISAO INSS DECIMO TERCEIRO SALARIO</t>
  </si>
  <si>
    <t xml:space="preserve">PROVISAO FGTS DECIMO TERCEIRO SALARIO</t>
  </si>
  <si>
    <t xml:space="preserve">PROVISAO DE FERIAS (P)</t>
  </si>
  <si>
    <t xml:space="preserve">PROVISAO DECIMO TERCEIRO SALARIO (P)</t>
  </si>
  <si>
    <t xml:space="preserve">EMPRESTIMOS E FINANCIAMENTOS</t>
  </si>
  <si>
    <t xml:space="preserve">EMPRESTIMO BB 855105187</t>
  </si>
  <si>
    <t xml:space="preserve">EMPRESTIMO BB 855105439</t>
  </si>
  <si>
    <t xml:space="preserve">FINANCIAMENTO SICREDI C11631327-3</t>
  </si>
  <si>
    <t xml:space="preserve">EMPRESTIMO BB 855.108.223</t>
  </si>
  <si>
    <t xml:space="preserve">FINANCIAMENTO FINEP 5001049-2024.016681-2</t>
  </si>
  <si>
    <t xml:space="preserve">EMPRESTIMO SICREDI C41634513-8</t>
  </si>
  <si>
    <t xml:space="preserve">EMPRESTIMO SICREDI C41634753-0</t>
  </si>
  <si>
    <t xml:space="preserve">FINANCIAMENTO BRADESCO 4205821983 (CP)</t>
  </si>
  <si>
    <t xml:space="preserve">EMPRESTIMO SICREDI C61631797-9</t>
  </si>
  <si>
    <t xml:space="preserve">(-) JUROS A APROPRIAR</t>
  </si>
  <si>
    <t xml:space="preserve">(-) JUROS S/ EMPRESTIMOS A APROPRIAR</t>
  </si>
  <si>
    <t xml:space="preserve">PARCELAMENTOS TRIBUTARIOS</t>
  </si>
  <si>
    <t xml:space="preserve">PARCELAMENTO DE IMPOSTOS FEDERAIS</t>
  </si>
  <si>
    <t xml:space="preserve">PARCELAMENTO RFB 006.807.518</t>
  </si>
  <si>
    <t xml:space="preserve">PARCELAMENTO RFB 0211.00012.0008634467.25-92</t>
  </si>
  <si>
    <t xml:space="preserve">(-) JUROS A APROPRIAR SOBRE PARCELAMENTOS</t>
  </si>
  <si>
    <t xml:space="preserve">PARCELAMENTOS EM NEGOCIACAO</t>
  </si>
  <si>
    <t xml:space="preserve">ESTOQUES DE TERCEIROS</t>
  </si>
  <si>
    <t xml:space="preserve">ESTOQUES DE TERCEIROS EM PODER DA EMPRESA</t>
  </si>
  <si>
    <t xml:space="preserve">MERCADORIA RECEBIDA PARA CONSERTO - (P)</t>
  </si>
  <si>
    <t xml:space="preserve">MATERIAIS RECEBIDOS P/ INDUSTRIALIZACAO - (P)</t>
  </si>
  <si>
    <t xml:space="preserve">MATERIAIS OU BENS RECEBIDOS P/ DEMONSTRACAO - (P)</t>
  </si>
  <si>
    <t xml:space="preserve">MATERIAIS OU BENS RECEBIDOS EM COMODATO - (P)</t>
  </si>
  <si>
    <t xml:space="preserve">MERCADORIAS RECEBIDAS PARA ANALISE DE GARANTIA - (P)</t>
  </si>
  <si>
    <t xml:space="preserve">EMBALAGENS/ VASILHAMES RECEBIDAS DE TERCEIROS - (P)</t>
  </si>
  <si>
    <t xml:space="preserve">VENDA PARA ENTREGA FUTURA</t>
  </si>
  <si>
    <t xml:space="preserve">OBRIGACOES COM CLIENTES</t>
  </si>
  <si>
    <t xml:space="preserve">ADIANTAMENTO DE CLIENTES</t>
  </si>
  <si>
    <t xml:space="preserve">DEVOLUCAO DE CLIENTES</t>
  </si>
  <si>
    <t xml:space="preserve">CONTAS A PAGAR</t>
  </si>
  <si>
    <t xml:space="preserve">AGUA/ LUZ/ TELEFONE A PAGAR</t>
  </si>
  <si>
    <t xml:space="preserve">ENERGIA ELETRICA A PAGAR</t>
  </si>
  <si>
    <t xml:space="preserve">AGUA A PAGAR</t>
  </si>
  <si>
    <t xml:space="preserve">SEGUROS</t>
  </si>
  <si>
    <t xml:space="preserve">SEGUROS A PAGAR</t>
  </si>
  <si>
    <t xml:space="preserve">ALUGUEIS A PAGAR</t>
  </si>
  <si>
    <t xml:space="preserve">OUTRAS CONTAS A PAGAR</t>
  </si>
  <si>
    <t xml:space="preserve">HONORARIOS CONTABEIS A PAGAR</t>
  </si>
  <si>
    <t xml:space="preserve">PASSIVO NAO CIRCULANTE</t>
  </si>
  <si>
    <t xml:space="preserve">EMPRESTIMOS E FINANCIAMENTOS A LONGO PRAZO</t>
  </si>
  <si>
    <t xml:space="preserve">EMPRESTIMO BB 855.108.223 (LP)</t>
  </si>
  <si>
    <t xml:space="preserve">FINANCIAMENTO FINEP 5001049-2024.016681-2 (LP)</t>
  </si>
  <si>
    <t xml:space="preserve">EMPRESTIMO SICREDI C41634513-8 (LP)</t>
  </si>
  <si>
    <t xml:space="preserve">EMPRESTIMO SICREDI C41634753-0 (LP)</t>
  </si>
  <si>
    <t xml:space="preserve">FINANCIAMENTO BRADESCO 4205821983 (LP)</t>
  </si>
  <si>
    <t xml:space="preserve">EMPRESTIMO SICREDI C61631797-9 (LP)</t>
  </si>
  <si>
    <t xml:space="preserve">PARCELAMENTOS A LONGO PRAZO</t>
  </si>
  <si>
    <t xml:space="preserve">PARCELAMENTOS RECEITA FEDERAL</t>
  </si>
  <si>
    <t xml:space="preserve">PARCELAMENTO RFB 006.807.518 (LP)</t>
  </si>
  <si>
    <t xml:space="preserve">PARCELAMENTO RFB 0211.00012.0008634467.25-92(LP)</t>
  </si>
  <si>
    <t xml:space="preserve">OUTRAS OBRIGACOES</t>
  </si>
  <si>
    <t xml:space="preserve">OUTRAS OBRIGACOES A LONGO PRAZO</t>
  </si>
  <si>
    <t xml:space="preserve">PRECATORIOS- CONTRATO CESSAO DE CREDITO A PAGAR (LP)</t>
  </si>
  <si>
    <t xml:space="preserve">PROV. IRPJ A PAGAR S. GANHO DE CAPITAL (LP)</t>
  </si>
  <si>
    <t xml:space="preserve">INSS TERCEIROS A PAGAR - LP</t>
  </si>
  <si>
    <t xml:space="preserve">RECEITAS DIFERIDAS</t>
  </si>
  <si>
    <t xml:space="preserve">GANHO DE CAPITAL A REALIZAR FEDERAL</t>
  </si>
  <si>
    <t xml:space="preserve">GANHO DE CAPITAL A REALIZAR ESTADUAL</t>
  </si>
  <si>
    <t xml:space="preserve">GANHO CAPITAL(PRECATORIO PROC. 0035881-80.1987.8.05.0001</t>
  </si>
  <si>
    <t xml:space="preserve">GANHO DE CAPITAL AQUISICAO CREDITOS ICMS</t>
  </si>
  <si>
    <t xml:space="preserve">PATRIMONIO LIQUIDO</t>
  </si>
  <si>
    <t xml:space="preserve">CAPITAL SOCIAL</t>
  </si>
  <si>
    <t xml:space="preserve">CAPITAL SUBSCRITO</t>
  </si>
  <si>
    <t xml:space="preserve">RESERVAS</t>
  </si>
  <si>
    <t xml:space="preserve">RESERVA DE LUCROS</t>
  </si>
  <si>
    <t xml:space="preserve">LUCROS/ PREJUIZOS ACUMULADOS</t>
  </si>
  <si>
    <t xml:space="preserve">LUCROS ACUMULADOS</t>
  </si>
  <si>
    <t xml:space="preserve">AJUSTES DOS EXERC. ANTERIORES</t>
  </si>
  <si>
    <t xml:space="preserve">INCENTIVOS FISCAIS</t>
  </si>
  <si>
    <t xml:space="preserve">REDUCAO IMPOSTOS</t>
  </si>
  <si>
    <t xml:space="preserve">CREDITO - PREJ. FISCAL ANOS ANTERIORES (FEDERAL)</t>
  </si>
  <si>
    <t xml:space="preserve">CREDITOS FISCAIS SEFAZ/ PR</t>
  </si>
  <si>
    <t xml:space="preserve">DIFERENÇA: ATIVO − PASSIVO (conforme relatórios originais)</t>
  </si>
  <si>
    <t xml:space="preserve">Balanço Patrimonial</t>
  </si>
  <si>
    <t xml:space="preserve">Encerrado em 31/01/2026  |  Unidade: TODOS (0)</t>
  </si>
  <si>
    <t xml:space="preserve">Valor (R$)</t>
  </si>
  <si>
    <t xml:space="preserve">Reconhecemos a exatidão do presente Balanço Patrimonial com base na documentação apresentada, encerrado em 31/01/2026, somando tanto no Ativo como no Passivo, a importância de R$ 78939887,5 (SETENTA E OITO MILHÕES,NOVECENTOS E TRINTA E NOVE MIL, OITOCENTOS E OITENTA E SETE REAIS E CINQÜENTA CENTAVOS).</t>
  </si>
  <si>
    <t xml:space="preserve">ADAIR JOAO SCHUMACHER</t>
  </si>
  <si>
    <t xml:space="preserve">PAULO HENRIQUE DIAS RODRIGUES</t>
  </si>
  <si>
    <t xml:space="preserve">C.P.F. Nº 903.486.649-15</t>
  </si>
  <si>
    <t xml:space="preserve">C.R.C Nº DF 027618/O</t>
  </si>
  <si>
    <t xml:space="preserve">SOCIO GERENTE</t>
  </si>
  <si>
    <t xml:space="preserve">CONTADOR(A)</t>
  </si>
  <si>
    <t xml:space="preserve">Encerrado em 28/02/2026  |  Unidade: TODOS (0)</t>
  </si>
  <si>
    <t xml:space="preserve">Reconhecemos a exatidão do presente Balanço Patrimonial com base na documentação apresentada, encerrado em 28/02/2026, somando tanto no Ativo como no Passivo, a importância de R$ 78983368,77 (SETENTA E OITO MILHÕES,NOVECENTOS E OITENTA E TRÊS MIL, TREZENTOS E SESSENTA E OITO REAIS E SETENTA E SETE CENTAVOS).</t>
  </si>
  <si>
    <t xml:space="preserve">Encerrado em 31/03/2026  |  Unidade: TODOS (0)</t>
  </si>
  <si>
    <t xml:space="preserve">Reconhecemos a exatidão do presente Balanço Patrimonial com base na documentação apresentada, encerrado em 31/03/2026, somando tanto no Ativo como no Passivo, a importância de R$ 77560196,52 (SETENTA E SETE MILHÕES,QUINHENTOS E SESSENTA MIL, CENTO E NOVENTA E SEIS REAIS E CINQÜENTA E DOIS CENTAVOS).</t>
  </si>
  <si>
    <t xml:space="preserve">Encerrado em 30/04/2026  |  Unidade: TODOS (0)</t>
  </si>
  <si>
    <t xml:space="preserve">Reconhecemos a exatidão do presente Balanço Patrimonial com base na documentação apresentada, encerrado em 30/04/2026, somando tanto no Ativo como no Passivo, a importância de R$ 76392797,83 (SETENTA E SEIS MILHÕES,TREZENTOS E NOVENTA E DOIS MIL, SETECENTOS E NOVENTA E SETE REAIS E OITENTA E TRÊS CENTAVOS).</t>
  </si>
  <si>
    <t xml:space="preserve">Encerrado em 31/05/2026  |  Unidade: TODOS (0)</t>
  </si>
  <si>
    <t xml:space="preserve">Reconhecemos a exatidão do presente Balanço Patrimonial com base na documentação apresentada, encerrado em 31/05/2026, somando tanto no Ativo como no Passivo, a importância de R$ 77095423,71 (SETENTA E SETE MILHÕES,NOVENTA E CINCO MIL, QUATROCENTOS E VINTE E TRÊS REAIS E SETENTA E UM CENTAVOS).</t>
  </si>
  <si>
    <t xml:space="preserve">Encerrado em 30/06/2026  |  Unidade: TODOS (0)</t>
  </si>
  <si>
    <t xml:space="preserve">Reconhecemos a exatidão do presente Balanço Patrimonial com base na documentação apresentada, encerrado em 30/06/2026, somando tanto no Ativo como no Passivo, a importância de R$ 76359202,71 (SETENTA E SEIS MILHÕES,TREZENTOS E CINQÜENTA E NOVE MIL, DUZENTOS E DOIS REAIS E SETENTA E UM CENTAVOS).</t>
  </si>
  <si>
    <t xml:space="preserve">Encerrado em 31/07/2026  |  Unidade: TODOS (0)</t>
  </si>
  <si>
    <t xml:space="preserve">Reconhecemos a exatidão do presente Balanço Patrimonial com base na documentação apresentada, encerrado em 31/07/2026, somando tanto no Ativo como no Passivo, a importância de R$ 75546088,24 (SETENTA E CINCO MILHÕES, QUINHENTOS E QUARENTA E SEIS MIL E OITENTA E OITO REAIS E VINTE E QUATRO CENTAVOS).</t>
  </si>
  <si>
    <t xml:space="preserve">Encerrado em 31/08/2026  |  Unidade: TODOS (0)</t>
  </si>
  <si>
    <t xml:space="preserve">Reconhecemos a exatidão do presente Balanço Patrimonial com base na documentação apresentada, encerrado em 31/08/2026, somando tanto no Ativo como no Passivo, a importância de R$ 75570991,22 (SETENTA E CINCO MILHÕES, QUINHENTOS E SETENTA MIL, NOVECENTOS E NOVENTA E UM REAIS E VINTE E DOIS CENTAVOS).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</si>
</sst>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_);\(#,##0.00\);\-_)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597"/>
        <bgColor rgb="FF1F3864"/>
      </patternFill>
    </fill>
    <fill>
      <patternFill patternType="solid">
        <fgColor rgb="FFD9E1F2"/>
        <bgColor rgb="FFCC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808080"/>
      </bottom>
      <diagonal/>
    </border>
    <border diagonalUp="false" diagonalDown="false">
      <left/>
      <right/>
      <top/>
      <bottom style="hair">
        <color rgb="FFBFBFBF"/>
      </bottom>
      <diagonal/>
    </border>
    <border diagonalUp="false" diagonalDown="false">
      <left/>
      <right/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5" fontId="9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center" textRotation="0" wrapText="false" indent="2" shrinkToFit="false"/>
      <protection locked="true" hidden="false"/>
    </xf>
    <xf numFmtId="165" fontId="9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center" textRotation="0" wrapText="false" indent="3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center" textRotation="0" wrapText="false" indent="4" shrinkToFit="false"/>
      <protection locked="true" hidden="false"/>
    </xf>
    <xf numFmtId="165" fontId="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9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8"/>
    <col collapsed="false" customWidth="true" hidden="false" outlineLevel="0" max="9" min="2" style="0" width="17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A4" s="3" t="s">
        <v>3</v>
      </c>
    </row>
    <row r="5" customFormat="false" ht="15" hidden="false" customHeight="false" outlineLevel="0" collapsed="false">
      <c r="A5" s="4" t="s">
        <v>4</v>
      </c>
    </row>
    <row r="7" customFormat="false" ht="21.75" hidden="false" customHeight="true" outlineLevel="0" collapsed="false">
      <c r="A7" s="5" t="s">
        <v>5</v>
      </c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11</v>
      </c>
      <c r="H7" s="6" t="s">
        <v>12</v>
      </c>
      <c r="I7" s="6" t="s">
        <v>13</v>
      </c>
    </row>
    <row r="8" customFormat="false" ht="15" hidden="false" customHeight="false" outlineLevel="0" collapsed="false">
      <c r="A8" s="7" t="s">
        <v>14</v>
      </c>
      <c r="B8" s="8" t="n">
        <f aca="false">'Jan-26'!B8</f>
        <v>78939887.5</v>
      </c>
      <c r="C8" s="8" t="n">
        <f aca="false">'Fev-26'!B8</f>
        <v>78983368.77</v>
      </c>
      <c r="D8" s="8" t="n">
        <f aca="false">'Mar-26'!B8</f>
        <v>77560196.52</v>
      </c>
      <c r="E8" s="8" t="n">
        <f aca="false">'Abr-26'!B8</f>
        <v>76392797.83</v>
      </c>
      <c r="F8" s="8" t="n">
        <f aca="false">'Mai-26'!B8</f>
        <v>77095423.71</v>
      </c>
      <c r="G8" s="8" t="n">
        <f aca="false">'Jun-26'!B8</f>
        <v>76359202.71</v>
      </c>
      <c r="H8" s="8" t="n">
        <f aca="false">'Jul-26'!B8</f>
        <v>75546088.24</v>
      </c>
      <c r="I8" s="8" t="n">
        <f aca="false">'Ago-26'!B8</f>
        <v>75570991.22</v>
      </c>
    </row>
    <row r="9" customFormat="false" ht="15" hidden="false" customHeight="false" outlineLevel="0" collapsed="false">
      <c r="A9" s="9" t="s">
        <v>15</v>
      </c>
      <c r="B9" s="10" t="n">
        <f aca="false">'Jan-26'!B9</f>
        <v>26399871.25</v>
      </c>
      <c r="C9" s="10" t="n">
        <f aca="false">'Fev-26'!B9</f>
        <v>26330619.48</v>
      </c>
      <c r="D9" s="10" t="n">
        <f aca="false">'Mar-26'!B9</f>
        <v>24996421.22</v>
      </c>
      <c r="E9" s="10" t="n">
        <f aca="false">'Abr-26'!B9</f>
        <v>23987738.66</v>
      </c>
      <c r="F9" s="10" t="n">
        <f aca="false">'Mai-26'!B9</f>
        <v>24982259.08</v>
      </c>
      <c r="G9" s="10" t="n">
        <f aca="false">'Jun-26'!B9</f>
        <v>24433559.44</v>
      </c>
      <c r="H9" s="10" t="n">
        <f aca="false">'Jul-26'!B9</f>
        <v>23991856.08</v>
      </c>
      <c r="I9" s="10" t="n">
        <f aca="false">'Ago-26'!B9</f>
        <v>24059993.34</v>
      </c>
    </row>
    <row r="10" customFormat="false" ht="15" hidden="false" customHeight="false" outlineLevel="0" collapsed="false">
      <c r="A10" s="11" t="s">
        <v>16</v>
      </c>
      <c r="B10" s="12" t="n">
        <f aca="false">'Jan-26'!B10</f>
        <v>13049580.12</v>
      </c>
      <c r="C10" s="12" t="n">
        <f aca="false">'Fev-26'!B10</f>
        <v>10949414.94</v>
      </c>
      <c r="D10" s="12" t="n">
        <f aca="false">'Mar-26'!B10</f>
        <v>10373712.68</v>
      </c>
      <c r="E10" s="12" t="n">
        <f aca="false">'Abr-26'!B10</f>
        <v>8221774.09</v>
      </c>
      <c r="F10" s="12" t="n">
        <f aca="false">'Mai-26'!B10</f>
        <v>7570566.76</v>
      </c>
      <c r="G10" s="12" t="n">
        <f aca="false">'Jun-26'!B10</f>
        <v>6516859.42</v>
      </c>
      <c r="H10" s="12" t="n">
        <f aca="false">'Jul-26'!B10</f>
        <v>6158411.84</v>
      </c>
      <c r="I10" s="12" t="n">
        <f aca="false">'Ago-26'!B10</f>
        <v>5339173.64</v>
      </c>
    </row>
    <row r="11" customFormat="false" ht="15" hidden="false" customHeight="false" outlineLevel="0" collapsed="false">
      <c r="A11" s="13" t="s">
        <v>17</v>
      </c>
      <c r="B11" s="12" t="n">
        <f aca="false">'Jan-26'!B11</f>
        <v>435852.87</v>
      </c>
      <c r="C11" s="12" t="n">
        <f aca="false">'Fev-26'!B11</f>
        <v>453886.58</v>
      </c>
      <c r="D11" s="12" t="n">
        <f aca="false">'Mar-26'!B11</f>
        <v>403565.39</v>
      </c>
      <c r="E11" s="12" t="n">
        <f aca="false">'Abr-26'!B11</f>
        <v>427034.7</v>
      </c>
      <c r="F11" s="12" t="n">
        <f aca="false">'Mai-26'!B11</f>
        <v>323189.12</v>
      </c>
      <c r="G11" s="12" t="n">
        <f aca="false">'Jun-26'!B11</f>
        <v>217765.16</v>
      </c>
      <c r="H11" s="12" t="n">
        <f aca="false">'Jul-26'!B11</f>
        <v>172942.29</v>
      </c>
      <c r="I11" s="12" t="n">
        <f aca="false">'Ago-26'!B11</f>
        <v>152971.68</v>
      </c>
    </row>
    <row r="12" customFormat="false" ht="15" hidden="false" customHeight="false" outlineLevel="0" collapsed="false">
      <c r="A12" s="14" t="s">
        <v>18</v>
      </c>
      <c r="B12" s="15" t="n">
        <f aca="false">'Jan-26'!B12</f>
        <v>435852.87</v>
      </c>
      <c r="C12" s="15" t="n">
        <f aca="false">'Fev-26'!B12</f>
        <v>453886.58</v>
      </c>
      <c r="D12" s="15" t="n">
        <f aca="false">'Mar-26'!B12</f>
        <v>403565.39</v>
      </c>
      <c r="E12" s="15" t="n">
        <f aca="false">'Abr-26'!B12</f>
        <v>427034.7</v>
      </c>
      <c r="F12" s="15" t="n">
        <f aca="false">'Mai-26'!B12</f>
        <v>323189.12</v>
      </c>
      <c r="G12" s="15" t="n">
        <f aca="false">'Jun-26'!B12</f>
        <v>217765.16</v>
      </c>
      <c r="H12" s="15" t="n">
        <f aca="false">'Jul-26'!B12</f>
        <v>172942.29</v>
      </c>
      <c r="I12" s="15" t="n">
        <f aca="false">'Ago-26'!B12</f>
        <v>152971.68</v>
      </c>
    </row>
    <row r="13" customFormat="false" ht="15" hidden="false" customHeight="false" outlineLevel="0" collapsed="false">
      <c r="A13" s="13" t="s">
        <v>19</v>
      </c>
      <c r="B13" s="12" t="n">
        <f aca="false">'Jan-26'!B13</f>
        <v>1274650.53</v>
      </c>
      <c r="C13" s="12" t="n">
        <f aca="false">'Fev-26'!B13</f>
        <v>743067.74</v>
      </c>
      <c r="D13" s="12" t="n">
        <f aca="false">'Mar-26'!B13</f>
        <v>721790.63</v>
      </c>
      <c r="E13" s="12" t="n">
        <f aca="false">'Abr-26'!B13</f>
        <v>737939.06</v>
      </c>
      <c r="F13" s="12" t="n">
        <f aca="false">'Mai-26'!B13</f>
        <v>802318.36</v>
      </c>
      <c r="G13" s="12" t="n">
        <f aca="false">'Jun-26'!B13</f>
        <v>576364.64</v>
      </c>
      <c r="H13" s="12" t="n">
        <f aca="false">'Jul-26'!B13</f>
        <v>1191178.51</v>
      </c>
      <c r="I13" s="12" t="n">
        <f aca="false">'Ago-26'!B13</f>
        <v>939761.52</v>
      </c>
    </row>
    <row r="14" customFormat="false" ht="15" hidden="false" customHeight="false" outlineLevel="0" collapsed="false">
      <c r="A14" s="14" t="s">
        <v>20</v>
      </c>
      <c r="B14" s="15" t="n">
        <f aca="false">'Jan-26'!B14</f>
        <v>357005.17</v>
      </c>
      <c r="C14" s="15" t="n">
        <f aca="false">'Fev-26'!B14</f>
        <v>65824.05</v>
      </c>
      <c r="D14" s="15" t="n">
        <f aca="false">'Mar-26'!B14</f>
        <v>150626.73</v>
      </c>
      <c r="E14" s="15" t="n">
        <f aca="false">'Abr-26'!B14</f>
        <v>14679.27</v>
      </c>
      <c r="F14" s="15" t="n">
        <f aca="false">'Mai-26'!B14</f>
        <v>457385.68</v>
      </c>
      <c r="G14" s="15" t="n">
        <f aca="false">'Jun-26'!B14</f>
        <v>401060.36</v>
      </c>
      <c r="H14" s="15" t="n">
        <f aca="false">'Jul-26'!B14</f>
        <v>206117.49</v>
      </c>
      <c r="I14" s="15" t="n">
        <f aca="false">'Ago-26'!B14</f>
        <v>271849.01</v>
      </c>
    </row>
    <row r="15" customFormat="false" ht="15" hidden="false" customHeight="false" outlineLevel="0" collapsed="false">
      <c r="A15" s="14" t="s">
        <v>21</v>
      </c>
      <c r="B15" s="15" t="n">
        <f aca="false">'Jan-26'!B15</f>
        <v>55202.03</v>
      </c>
      <c r="C15" s="15" t="n">
        <f aca="false">'Fev-26'!B15</f>
        <v>42417.8</v>
      </c>
      <c r="D15" s="15" t="n">
        <f aca="false">'Mar-26'!B15</f>
        <v>131231.18</v>
      </c>
      <c r="E15" s="15" t="n">
        <f aca="false">'Abr-26'!B15</f>
        <v>22314.57</v>
      </c>
      <c r="F15" s="15" t="n">
        <f aca="false">'Mai-26'!B15</f>
        <v>109945.57</v>
      </c>
      <c r="G15" s="15" t="n">
        <f aca="false">'Jun-26'!B15</f>
        <v>47249.11</v>
      </c>
      <c r="H15" s="15" t="n">
        <f aca="false">'Jul-26'!B15</f>
        <v>10160.05</v>
      </c>
      <c r="I15" s="15" t="n">
        <f aca="false">'Ago-26'!B15</f>
        <v>22838.59</v>
      </c>
    </row>
    <row r="16" customFormat="false" ht="15" hidden="false" customHeight="false" outlineLevel="0" collapsed="false">
      <c r="A16" s="14" t="s">
        <v>22</v>
      </c>
      <c r="B16" s="15" t="n">
        <f aca="false">'Jan-26'!B16</f>
        <v>54168.69</v>
      </c>
      <c r="C16" s="15" t="n">
        <f aca="false">'Fev-26'!B16</f>
        <v>303.58</v>
      </c>
      <c r="D16" s="15" t="n">
        <f aca="false">'Mar-26'!B16</f>
        <v>22279.6</v>
      </c>
      <c r="E16" s="15" t="n">
        <f aca="false">'Abr-26'!B16</f>
        <v>36423.99</v>
      </c>
      <c r="F16" s="15" t="n">
        <f aca="false">'Mai-26'!B16</f>
        <v>89023.77</v>
      </c>
      <c r="G16" s="15" t="n">
        <f aca="false">'Jun-26'!B16</f>
        <v>22670.12</v>
      </c>
      <c r="H16" s="15" t="n">
        <f aca="false">'Jul-26'!B16</f>
        <v>30517.1</v>
      </c>
      <c r="I16" s="15" t="n">
        <f aca="false">'Ago-26'!B16</f>
        <v>489190.7</v>
      </c>
    </row>
    <row r="17" customFormat="false" ht="15" hidden="false" customHeight="false" outlineLevel="0" collapsed="false">
      <c r="A17" s="14" t="s">
        <v>23</v>
      </c>
      <c r="B17" s="15" t="n">
        <f aca="false">'Jan-26'!B17</f>
        <v>390121.07</v>
      </c>
      <c r="C17" s="15" t="n">
        <f aca="false">'Fev-26'!B17</f>
        <v>195468.48</v>
      </c>
      <c r="D17" s="15" t="n">
        <f aca="false">'Mar-26'!B17</f>
        <v>157366.16</v>
      </c>
      <c r="E17" s="15" t="n">
        <f aca="false">'Abr-26'!B17</f>
        <v>457916.71</v>
      </c>
      <c r="F17" s="15" t="n">
        <f aca="false">'Mai-26'!B17</f>
        <v>23131.36</v>
      </c>
      <c r="G17" s="15" t="n">
        <f aca="false">'Jun-26'!B17</f>
        <v>6078.69</v>
      </c>
      <c r="H17" s="15" t="n">
        <f aca="false">'Jul-26'!B17</f>
        <v>726099.49</v>
      </c>
      <c r="I17" s="15" t="n">
        <f aca="false">'Ago-26'!B17</f>
        <v>43590.74</v>
      </c>
    </row>
    <row r="18" customFormat="false" ht="15" hidden="false" customHeight="false" outlineLevel="0" collapsed="false">
      <c r="A18" s="14" t="s">
        <v>24</v>
      </c>
      <c r="B18" s="15" t="n">
        <f aca="false">'Jan-26'!B18</f>
        <v>389423.65</v>
      </c>
      <c r="C18" s="15" t="n">
        <f aca="false">'Fev-26'!B18</f>
        <v>385945.15</v>
      </c>
      <c r="D18" s="15" t="n">
        <f aca="false">'Mar-26'!B18</f>
        <v>240851.27</v>
      </c>
      <c r="E18" s="15" t="n">
        <f aca="false">'Abr-26'!B18</f>
        <v>172519.29</v>
      </c>
      <c r="F18" s="15" t="n">
        <f aca="false">'Mai-26'!B18</f>
        <v>99455.26</v>
      </c>
      <c r="G18" s="15" t="n">
        <f aca="false">'Jun-26'!B18</f>
        <v>58117.61</v>
      </c>
      <c r="H18" s="15" t="n">
        <f aca="false">'Jul-26'!B18</f>
        <v>192948.32</v>
      </c>
      <c r="I18" s="15" t="n">
        <f aca="false">'Ago-26'!B18</f>
        <v>95037.23</v>
      </c>
    </row>
    <row r="19" customFormat="false" ht="15" hidden="false" customHeight="false" outlineLevel="0" collapsed="false">
      <c r="A19" s="14" t="s">
        <v>25</v>
      </c>
      <c r="B19" s="15" t="n">
        <f aca="false">'Jan-26'!B19</f>
        <v>20313.36</v>
      </c>
      <c r="C19" s="15" t="n">
        <f aca="false">'Fev-26'!B19</f>
        <v>36658.7</v>
      </c>
      <c r="D19" s="15" t="n">
        <f aca="false">'Mar-26'!B19</f>
        <v>1396.52</v>
      </c>
      <c r="E19" s="15" t="n">
        <f aca="false">'Abr-26'!B19</f>
        <v>20321.93</v>
      </c>
      <c r="F19" s="15" t="n">
        <f aca="false">'Mai-26'!B19</f>
        <v>10344.81</v>
      </c>
      <c r="G19" s="15" t="n">
        <f aca="false">'Jun-26'!B19</f>
        <v>31097.07</v>
      </c>
      <c r="H19" s="15" t="n">
        <f aca="false">'Jul-26'!B19</f>
        <v>17572.17</v>
      </c>
      <c r="I19" s="15" t="n">
        <f aca="false">'Ago-26'!B19</f>
        <v>6766.95</v>
      </c>
    </row>
    <row r="20" customFormat="false" ht="15" hidden="false" customHeight="false" outlineLevel="0" collapsed="false">
      <c r="A20" s="14" t="s">
        <v>26</v>
      </c>
      <c r="B20" s="15" t="n">
        <f aca="false">'Jan-26'!B20</f>
        <v>8416.56</v>
      </c>
      <c r="C20" s="15" t="n">
        <f aca="false">'Fev-26'!B20</f>
        <v>16449.98</v>
      </c>
      <c r="D20" s="15" t="n">
        <f aca="false">'Mar-26'!B20</f>
        <v>18039.17</v>
      </c>
      <c r="E20" s="15" t="n">
        <f aca="false">'Abr-26'!B20</f>
        <v>13763.3</v>
      </c>
      <c r="F20" s="15" t="n">
        <f aca="false">'Mai-26'!B20</f>
        <v>13031.91</v>
      </c>
      <c r="G20" s="15" t="n">
        <f aca="false">'Jun-26'!B20</f>
        <v>10091.68</v>
      </c>
      <c r="H20" s="15" t="n">
        <f aca="false">'Jul-26'!B20</f>
        <v>7763.89</v>
      </c>
      <c r="I20" s="15" t="n">
        <f aca="false">'Ago-26'!B20</f>
        <v>10488.3</v>
      </c>
    </row>
    <row r="21" customFormat="false" ht="15" hidden="false" customHeight="false" outlineLevel="0" collapsed="false">
      <c r="A21" s="13" t="s">
        <v>27</v>
      </c>
      <c r="B21" s="12" t="n">
        <f aca="false">'Jan-26'!B21</f>
        <v>11339076.72</v>
      </c>
      <c r="C21" s="12" t="n">
        <f aca="false">'Fev-26'!B21</f>
        <v>9752460.62</v>
      </c>
      <c r="D21" s="12" t="n">
        <f aca="false">'Mar-26'!B21</f>
        <v>9248356.66</v>
      </c>
      <c r="E21" s="12" t="n">
        <f aca="false">'Abr-26'!B21</f>
        <v>7056800.33</v>
      </c>
      <c r="F21" s="12" t="n">
        <f aca="false">'Mai-26'!B21</f>
        <v>6445059.28</v>
      </c>
      <c r="G21" s="12" t="n">
        <f aca="false">'Jun-26'!B21</f>
        <v>5722729.62</v>
      </c>
      <c r="H21" s="12" t="n">
        <f aca="false">'Jul-26'!B21</f>
        <v>4794291.04</v>
      </c>
      <c r="I21" s="12" t="n">
        <f aca="false">'Ago-26'!B21</f>
        <v>4246440.44</v>
      </c>
    </row>
    <row r="22" customFormat="false" ht="15" hidden="false" customHeight="false" outlineLevel="0" collapsed="false">
      <c r="A22" s="14" t="s">
        <v>28</v>
      </c>
      <c r="B22" s="15" t="n">
        <f aca="false">'Jan-26'!B22</f>
        <v>3106798.67</v>
      </c>
      <c r="C22" s="15" t="n">
        <f aca="false">'Fev-26'!B22</f>
        <v>3106798.67</v>
      </c>
      <c r="D22" s="15" t="n">
        <f aca="false">'Mar-26'!B22</f>
        <v>3106798.67</v>
      </c>
      <c r="E22" s="15" t="n">
        <f aca="false">'Abr-26'!B22</f>
        <v>2831365.7</v>
      </c>
      <c r="F22" s="15" t="n">
        <f aca="false">'Mai-26'!B22</f>
        <v>2206838.03</v>
      </c>
      <c r="G22" s="15" t="n">
        <f aca="false">'Jun-26'!B22</f>
        <v>1995807.88</v>
      </c>
      <c r="H22" s="15" t="n">
        <f aca="false">'Jul-26'!B22</f>
        <v>1686808.47</v>
      </c>
      <c r="I22" s="15" t="n">
        <f aca="false">'Ago-26'!B22</f>
        <v>1686808.47</v>
      </c>
    </row>
    <row r="23" customFormat="false" ht="15" hidden="false" customHeight="false" outlineLevel="0" collapsed="false">
      <c r="A23" s="14" t="s">
        <v>29</v>
      </c>
      <c r="B23" s="15" t="n">
        <f aca="false">'Jan-26'!B23</f>
        <v>7242239.23</v>
      </c>
      <c r="C23" s="15" t="n">
        <f aca="false">'Fev-26'!B23</f>
        <v>5646964.11</v>
      </c>
      <c r="D23" s="15" t="n">
        <f aca="false">'Mar-26'!B23</f>
        <v>5339552.87</v>
      </c>
      <c r="E23" s="15" t="n">
        <f aca="false">'Abr-26'!B23</f>
        <v>3415844.14</v>
      </c>
      <c r="F23" s="15" t="n">
        <f aca="false">'Mai-26'!B23</f>
        <v>3628905.49</v>
      </c>
      <c r="G23" s="15" t="n">
        <f aca="false">'Jun-26'!B23</f>
        <v>3111821.71</v>
      </c>
      <c r="H23" s="15" t="n">
        <f aca="false">'Jul-26'!B23</f>
        <v>1986039.01</v>
      </c>
      <c r="I23" s="15" t="n">
        <f aca="false">'Ago-26'!B23</f>
        <v>1692604.2</v>
      </c>
    </row>
    <row r="24" customFormat="false" ht="15" hidden="false" customHeight="false" outlineLevel="0" collapsed="false">
      <c r="A24" s="14" t="s">
        <v>30</v>
      </c>
      <c r="B24" s="15"/>
      <c r="C24" s="15"/>
      <c r="D24" s="15"/>
      <c r="E24" s="15"/>
      <c r="F24" s="15"/>
      <c r="G24" s="15"/>
      <c r="H24" s="15" t="n">
        <f aca="false">'Jul-26'!B24</f>
        <v>500000</v>
      </c>
      <c r="I24" s="15" t="n">
        <f aca="false">'Ago-26'!B24</f>
        <v>500000</v>
      </c>
    </row>
    <row r="25" customFormat="false" ht="15" hidden="false" customHeight="false" outlineLevel="0" collapsed="false">
      <c r="A25" s="14" t="s">
        <v>31</v>
      </c>
      <c r="B25" s="15" t="n">
        <f aca="false">'Jan-26'!B24</f>
        <v>940038.82</v>
      </c>
      <c r="C25" s="15" t="n">
        <f aca="false">'Fev-26'!B24</f>
        <v>948697.84</v>
      </c>
      <c r="D25" s="15" t="n">
        <f aca="false">'Mar-26'!B24</f>
        <v>752005.12</v>
      </c>
      <c r="E25" s="15" t="n">
        <f aca="false">'Abr-26'!B24</f>
        <v>759590.49</v>
      </c>
      <c r="F25" s="15" t="n">
        <f aca="false">'Mai-26'!B24</f>
        <v>559315.76</v>
      </c>
      <c r="G25" s="15" t="n">
        <f aca="false">'Jun-26'!B24</f>
        <v>565100.03</v>
      </c>
      <c r="H25" s="15" t="n">
        <f aca="false">'Jul-26'!B25</f>
        <v>571443.56</v>
      </c>
      <c r="I25" s="15" t="n">
        <f aca="false">'Ago-26'!B25</f>
        <v>317027.77</v>
      </c>
    </row>
    <row r="26" customFormat="false" ht="15" hidden="false" customHeight="false" outlineLevel="0" collapsed="false">
      <c r="A26" s="14" t="s">
        <v>32</v>
      </c>
      <c r="B26" s="15" t="n">
        <f aca="false">'Jan-26'!B25</f>
        <v>50000</v>
      </c>
      <c r="C26" s="15" t="n">
        <f aca="false">'Fev-26'!B25</f>
        <v>50000</v>
      </c>
      <c r="D26" s="15" t="n">
        <f aca="false">'Mar-26'!B25</f>
        <v>50000</v>
      </c>
      <c r="E26" s="15" t="n">
        <f aca="false">'Abr-26'!B25</f>
        <v>50000</v>
      </c>
      <c r="F26" s="15" t="n">
        <f aca="false">'Mai-26'!B25</f>
        <v>50000</v>
      </c>
      <c r="G26" s="15" t="n">
        <f aca="false">'Jun-26'!B25</f>
        <v>50000</v>
      </c>
      <c r="H26" s="15" t="n">
        <f aca="false">'Jul-26'!B26</f>
        <v>50000</v>
      </c>
      <c r="I26" s="15" t="n">
        <f aca="false">'Ago-26'!B26</f>
        <v>50000</v>
      </c>
    </row>
    <row r="27" customFormat="false" ht="15" hidden="false" customHeight="false" outlineLevel="0" collapsed="false">
      <c r="A27" s="11" t="s">
        <v>33</v>
      </c>
      <c r="B27" s="12" t="n">
        <f aca="false">'Jan-26'!B26</f>
        <v>14371795.24</v>
      </c>
      <c r="C27" s="12" t="n">
        <f aca="false">'Fev-26'!B26</f>
        <v>17799144.44</v>
      </c>
      <c r="D27" s="12" t="n">
        <f aca="false">'Mar-26'!B26</f>
        <v>20240209.17</v>
      </c>
      <c r="E27" s="12" t="n">
        <f aca="false">'Abr-26'!B26</f>
        <v>22236418.19</v>
      </c>
      <c r="F27" s="12" t="n">
        <f aca="false">'Mai-26'!B26</f>
        <v>25706093.32</v>
      </c>
      <c r="G27" s="12" t="n">
        <f aca="false">'Jun-26'!B26</f>
        <v>28361961.35</v>
      </c>
      <c r="H27" s="12" t="n">
        <f aca="false">'Jul-26'!B27</f>
        <v>29897061.52</v>
      </c>
      <c r="I27" s="12" t="n">
        <f aca="false">'Ago-26'!B27</f>
        <v>31774994.55</v>
      </c>
    </row>
    <row r="28" customFormat="false" ht="15" hidden="false" customHeight="false" outlineLevel="0" collapsed="false">
      <c r="A28" s="13" t="s">
        <v>34</v>
      </c>
      <c r="B28" s="12" t="n">
        <f aca="false">'Jan-26'!B27</f>
        <v>11417677.17</v>
      </c>
      <c r="C28" s="12" t="n">
        <f aca="false">'Fev-26'!B27</f>
        <v>14716899.77</v>
      </c>
      <c r="D28" s="12" t="n">
        <f aca="false">'Mar-26'!B27</f>
        <v>16438090.36</v>
      </c>
      <c r="E28" s="12" t="n">
        <f aca="false">'Abr-26'!B27</f>
        <v>16987572.99</v>
      </c>
      <c r="F28" s="12" t="n">
        <f aca="false">'Mai-26'!B27</f>
        <v>16658785.94</v>
      </c>
      <c r="G28" s="12" t="n">
        <f aca="false">'Jun-26'!B27</f>
        <v>17820115.94</v>
      </c>
      <c r="H28" s="12" t="n">
        <f aca="false">'Jul-26'!B28</f>
        <v>17828082.59</v>
      </c>
      <c r="I28" s="12" t="n">
        <f aca="false">'Ago-26'!B28</f>
        <v>18129837.65</v>
      </c>
    </row>
    <row r="29" customFormat="false" ht="15" hidden="false" customHeight="false" outlineLevel="0" collapsed="false">
      <c r="A29" s="14" t="s">
        <v>35</v>
      </c>
      <c r="B29" s="15" t="n">
        <f aca="false">'Jan-26'!B28</f>
        <v>5916087.99</v>
      </c>
      <c r="C29" s="15" t="n">
        <f aca="false">'Fev-26'!B28</f>
        <v>9185252.65</v>
      </c>
      <c r="D29" s="15" t="n">
        <f aca="false">'Mar-26'!B28</f>
        <v>10377392.47</v>
      </c>
      <c r="E29" s="15" t="n">
        <f aca="false">'Abr-26'!B28</f>
        <v>10739239.26</v>
      </c>
      <c r="F29" s="15" t="n">
        <f aca="false">'Mai-26'!B28</f>
        <v>10180451.84</v>
      </c>
      <c r="G29" s="15" t="n">
        <f aca="false">'Jun-26'!B28</f>
        <v>11739368.35</v>
      </c>
      <c r="H29" s="15" t="n">
        <f aca="false">'Jul-26'!B29</f>
        <v>11646839.23</v>
      </c>
      <c r="I29" s="15" t="n">
        <f aca="false">'Ago-26'!B29</f>
        <v>12496616.61</v>
      </c>
    </row>
    <row r="30" customFormat="false" ht="15" hidden="false" customHeight="false" outlineLevel="0" collapsed="false">
      <c r="A30" s="14" t="s">
        <v>36</v>
      </c>
      <c r="B30" s="15" t="n">
        <f aca="false">'Jan-26'!B29</f>
        <v>3874301.57</v>
      </c>
      <c r="C30" s="15" t="n">
        <f aca="false">'Fev-26'!B29</f>
        <v>3886288.57</v>
      </c>
      <c r="D30" s="15" t="n">
        <f aca="false">'Mar-26'!B29</f>
        <v>4404444.41</v>
      </c>
      <c r="E30" s="15" t="n">
        <f aca="false">'Abr-26'!B29</f>
        <v>4771978.77</v>
      </c>
      <c r="F30" s="15" t="n">
        <f aca="false">'Mai-26'!B29</f>
        <v>5003432.94</v>
      </c>
      <c r="G30" s="15" t="n">
        <f aca="false">'Jun-26'!B29</f>
        <v>4606614.22</v>
      </c>
      <c r="H30" s="15" t="n">
        <f aca="false">'Jul-26'!B30</f>
        <v>4701821.29</v>
      </c>
      <c r="I30" s="15" t="n">
        <f aca="false">'Ago-26'!B30</f>
        <v>4044364.74</v>
      </c>
    </row>
    <row r="31" customFormat="false" ht="15" hidden="false" customHeight="false" outlineLevel="0" collapsed="false">
      <c r="A31" s="14" t="s">
        <v>37</v>
      </c>
      <c r="B31" s="15" t="n">
        <f aca="false">'Jan-26'!B30</f>
        <v>1687.61</v>
      </c>
      <c r="C31" s="15" t="n">
        <f aca="false">'Fev-26'!B30</f>
        <v>11448.55</v>
      </c>
      <c r="D31" s="15" t="n">
        <f aca="false">'Mar-26'!B30</f>
        <v>23753.48</v>
      </c>
      <c r="E31" s="15" t="n">
        <f aca="false">'Abr-26'!B30</f>
        <v>20664.96</v>
      </c>
      <c r="F31" s="15" t="n">
        <f aca="false">'Mai-26'!B30</f>
        <v>12621.16</v>
      </c>
      <c r="G31" s="15" t="n">
        <f aca="false">'Jun-26'!B30</f>
        <v>13083.89</v>
      </c>
      <c r="H31" s="15" t="n">
        <f aca="false">'Jul-26'!B31</f>
        <v>19782.59</v>
      </c>
      <c r="I31" s="15" t="n">
        <f aca="false">'Ago-26'!B31</f>
        <v>12726.82</v>
      </c>
    </row>
    <row r="32" customFormat="false" ht="15" hidden="false" customHeight="false" outlineLevel="0" collapsed="false">
      <c r="A32" s="14" t="s">
        <v>38</v>
      </c>
      <c r="B32" s="15" t="n">
        <f aca="false">'Jan-26'!B31</f>
        <v>6600</v>
      </c>
      <c r="C32" s="15" t="n">
        <f aca="false">'Fev-26'!B31</f>
        <v>14910</v>
      </c>
      <c r="D32" s="15" t="n">
        <f aca="false">'Mar-26'!B31</f>
        <v>13500</v>
      </c>
      <c r="E32" s="15" t="n">
        <f aca="false">'Abr-26'!B31</f>
        <v>12690</v>
      </c>
      <c r="F32" s="15" t="n">
        <f aca="false">'Mai-26'!B31</f>
        <v>11280</v>
      </c>
      <c r="G32" s="15" t="n">
        <f aca="false">'Jun-26'!B31</f>
        <v>9870</v>
      </c>
      <c r="H32" s="15" t="n">
        <f aca="false">'Jul-26'!B32</f>
        <v>8460</v>
      </c>
      <c r="I32" s="15" t="n">
        <f aca="false">'Ago-26'!B32</f>
        <v>6450</v>
      </c>
    </row>
    <row r="33" customFormat="false" ht="15" hidden="false" customHeight="false" outlineLevel="0" collapsed="false">
      <c r="A33" s="14" t="s">
        <v>39</v>
      </c>
      <c r="B33" s="15" t="n">
        <f aca="false">'Jan-26'!B32</f>
        <v>1619000</v>
      </c>
      <c r="C33" s="15" t="n">
        <f aca="false">'Fev-26'!B32</f>
        <v>1619000</v>
      </c>
      <c r="D33" s="15" t="n">
        <f aca="false">'Mar-26'!B32</f>
        <v>1619000</v>
      </c>
      <c r="E33" s="15" t="n">
        <f aca="false">'Abr-26'!B32</f>
        <v>1443000</v>
      </c>
      <c r="F33" s="15" t="n">
        <f aca="false">'Mai-26'!B32</f>
        <v>1451000</v>
      </c>
      <c r="G33" s="15" t="n">
        <f aca="false">'Jun-26'!B32</f>
        <v>1451179.48</v>
      </c>
      <c r="H33" s="15" t="n">
        <f aca="false">'Jul-26'!B33</f>
        <v>1451179.48</v>
      </c>
      <c r="I33" s="15" t="n">
        <f aca="false">'Ago-26'!B33</f>
        <v>1569679.48</v>
      </c>
    </row>
    <row r="34" customFormat="false" ht="15" hidden="false" customHeight="false" outlineLevel="0" collapsed="false">
      <c r="A34" s="13" t="s">
        <v>40</v>
      </c>
      <c r="B34" s="12" t="n">
        <f aca="false">'Jan-26'!B33</f>
        <v>2954118.07</v>
      </c>
      <c r="C34" s="12" t="n">
        <f aca="false">'Fev-26'!B33</f>
        <v>3082244.67</v>
      </c>
      <c r="D34" s="12" t="n">
        <f aca="false">'Mar-26'!B33</f>
        <v>3802118.81</v>
      </c>
      <c r="E34" s="12" t="n">
        <f aca="false">'Abr-26'!B33</f>
        <v>5248845.2</v>
      </c>
      <c r="F34" s="12" t="n">
        <f aca="false">'Mai-26'!B33</f>
        <v>9047307.38</v>
      </c>
      <c r="G34" s="12" t="n">
        <f aca="false">'Jun-26'!B33</f>
        <v>10541845.41</v>
      </c>
      <c r="H34" s="12" t="n">
        <f aca="false">'Jul-26'!B34</f>
        <v>12068978.93</v>
      </c>
      <c r="I34" s="12" t="n">
        <f aca="false">'Ago-26'!B34</f>
        <v>13645156.9</v>
      </c>
    </row>
    <row r="35" customFormat="false" ht="15" hidden="false" customHeight="false" outlineLevel="0" collapsed="false">
      <c r="A35" s="14" t="s">
        <v>41</v>
      </c>
      <c r="B35" s="15" t="n">
        <f aca="false">'Jan-26'!B34</f>
        <v>26741.54</v>
      </c>
      <c r="C35" s="15" t="n">
        <f aca="false">'Fev-26'!B34</f>
        <v>18015.45</v>
      </c>
      <c r="D35" s="15" t="n">
        <f aca="false">'Mar-26'!B34</f>
        <v>17296.95</v>
      </c>
      <c r="E35" s="15" t="n">
        <f aca="false">'Abr-26'!B34</f>
        <v>16603.9</v>
      </c>
      <c r="F35" s="15" t="n">
        <f aca="false">'Mai-26'!B34</f>
        <v>21928.56</v>
      </c>
      <c r="G35" s="15" t="n">
        <f aca="false">'Jun-26'!B34</f>
        <v>7394.21</v>
      </c>
      <c r="H35" s="15" t="n">
        <f aca="false">'Jul-26'!B35</f>
        <v>5888.71</v>
      </c>
      <c r="I35" s="15" t="n">
        <f aca="false">'Ago-26'!B35</f>
        <v>4380.79</v>
      </c>
    </row>
    <row r="36" customFormat="false" ht="15" hidden="false" customHeight="false" outlineLevel="0" collapsed="false">
      <c r="A36" s="14" t="s">
        <v>42</v>
      </c>
      <c r="B36" s="15" t="n">
        <f aca="false">'Jan-26'!B35</f>
        <v>2927376.53</v>
      </c>
      <c r="C36" s="15" t="n">
        <f aca="false">'Fev-26'!B35</f>
        <v>3064229.22</v>
      </c>
      <c r="D36" s="15" t="n">
        <f aca="false">'Mar-26'!B35</f>
        <v>3784821.86</v>
      </c>
      <c r="E36" s="15" t="n">
        <f aca="false">'Abr-26'!B35</f>
        <v>5227154.95</v>
      </c>
      <c r="F36" s="15" t="n">
        <f aca="false">'Mai-26'!B35</f>
        <v>9020292.47</v>
      </c>
      <c r="G36" s="15" t="n">
        <f aca="false">'Jun-26'!B35</f>
        <v>10529364.85</v>
      </c>
      <c r="H36" s="15" t="n">
        <f aca="false">'Jul-26'!B36</f>
        <v>12058003.87</v>
      </c>
      <c r="I36" s="15" t="n">
        <f aca="false">'Ago-26'!B36</f>
        <v>13635689.76</v>
      </c>
    </row>
    <row r="37" customFormat="false" ht="15" hidden="false" customHeight="false" outlineLevel="0" collapsed="false">
      <c r="A37" s="14" t="s">
        <v>43</v>
      </c>
      <c r="B37" s="15"/>
      <c r="C37" s="15"/>
      <c r="D37" s="15"/>
      <c r="E37" s="15" t="n">
        <f aca="false">'Abr-26'!B36</f>
        <v>5086.35</v>
      </c>
      <c r="F37" s="15" t="n">
        <f aca="false">'Mai-26'!B36</f>
        <v>5086.35</v>
      </c>
      <c r="G37" s="15" t="n">
        <f aca="false">'Jun-26'!B36</f>
        <v>5086.35</v>
      </c>
      <c r="H37" s="15" t="n">
        <f aca="false">'Jul-26'!B37</f>
        <v>5086.35</v>
      </c>
      <c r="I37" s="15" t="n">
        <f aca="false">'Ago-26'!B37</f>
        <v>5086.35</v>
      </c>
    </row>
    <row r="38" customFormat="false" ht="15" hidden="false" customHeight="false" outlineLevel="0" collapsed="false">
      <c r="A38" s="11" t="s">
        <v>44</v>
      </c>
      <c r="B38" s="12" t="n">
        <f aca="false">'Jan-26'!B36</f>
        <v>142755.99</v>
      </c>
      <c r="C38" s="12" t="n">
        <f aca="false">'Fev-26'!B36</f>
        <v>182657.93</v>
      </c>
      <c r="D38" s="12" t="n">
        <f aca="false">'Mar-26'!B36</f>
        <v>197017.32</v>
      </c>
      <c r="E38" s="12" t="n">
        <f aca="false">'Abr-26'!B37</f>
        <v>270058.76</v>
      </c>
      <c r="F38" s="12" t="n">
        <f aca="false">'Mai-26'!B37</f>
        <v>403418.71</v>
      </c>
      <c r="G38" s="12" t="n">
        <f aca="false">'Jun-26'!B37</f>
        <v>481744.26</v>
      </c>
      <c r="H38" s="12" t="n">
        <f aca="false">'Jul-26'!B38</f>
        <v>565747.4</v>
      </c>
      <c r="I38" s="12" t="n">
        <f aca="false">'Ago-26'!B38</f>
        <v>646591.78</v>
      </c>
    </row>
    <row r="39" customFormat="false" ht="15" hidden="false" customHeight="false" outlineLevel="0" collapsed="false">
      <c r="A39" s="13" t="s">
        <v>45</v>
      </c>
      <c r="B39" s="12"/>
      <c r="C39" s="12" t="n">
        <f aca="false">'Fev-26'!B37</f>
        <v>54440.18</v>
      </c>
      <c r="D39" s="12" t="n">
        <f aca="false">'Mar-26'!B37</f>
        <v>75097.6</v>
      </c>
      <c r="E39" s="12" t="n">
        <f aca="false">'Abr-26'!B38</f>
        <v>143509.35</v>
      </c>
      <c r="F39" s="12" t="n">
        <f aca="false">'Mai-26'!B38</f>
        <v>206490.51</v>
      </c>
      <c r="G39" s="12" t="n">
        <f aca="false">'Jun-26'!B38</f>
        <v>221399.3</v>
      </c>
      <c r="H39" s="12" t="n">
        <f aca="false">'Jul-26'!B39</f>
        <v>242913.14</v>
      </c>
      <c r="I39" s="12" t="n">
        <f aca="false">'Ago-26'!B39</f>
        <v>255601.15</v>
      </c>
    </row>
    <row r="40" customFormat="false" ht="15" hidden="false" customHeight="false" outlineLevel="0" collapsed="false">
      <c r="A40" s="14" t="s">
        <v>46</v>
      </c>
      <c r="B40" s="15"/>
      <c r="C40" s="15" t="n">
        <f aca="false">'Fev-26'!B38</f>
        <v>54440.18</v>
      </c>
      <c r="D40" s="15" t="n">
        <f aca="false">'Mar-26'!B38</f>
        <v>69131.19</v>
      </c>
      <c r="E40" s="15" t="n">
        <f aca="false">'Abr-26'!B39</f>
        <v>138899.4</v>
      </c>
      <c r="F40" s="15" t="n">
        <f aca="false">'Mai-26'!B39</f>
        <v>206490.51</v>
      </c>
      <c r="G40" s="15" t="n">
        <f aca="false">'Jun-26'!B39</f>
        <v>221399.3</v>
      </c>
      <c r="H40" s="15" t="n">
        <f aca="false">'Jul-26'!B40</f>
        <v>239236.4</v>
      </c>
      <c r="I40" s="15" t="n">
        <f aca="false">'Ago-26'!B40</f>
        <v>249504.47</v>
      </c>
    </row>
    <row r="41" customFormat="false" ht="15" hidden="false" customHeight="false" outlineLevel="0" collapsed="false">
      <c r="A41" s="14" t="s">
        <v>47</v>
      </c>
      <c r="B41" s="15"/>
      <c r="C41" s="15"/>
      <c r="D41" s="15" t="n">
        <f aca="false">'Mar-26'!B39</f>
        <v>5966.41</v>
      </c>
      <c r="E41" s="15" t="n">
        <f aca="false">'Abr-26'!B40</f>
        <v>4609.95</v>
      </c>
      <c r="F41" s="15"/>
      <c r="G41" s="15"/>
      <c r="H41" s="15" t="n">
        <f aca="false">'Jul-26'!B41</f>
        <v>3676.74</v>
      </c>
      <c r="I41" s="15" t="n">
        <f aca="false">'Ago-26'!B41</f>
        <v>6096.68</v>
      </c>
    </row>
    <row r="42" customFormat="false" ht="15" hidden="false" customHeight="false" outlineLevel="0" collapsed="false">
      <c r="A42" s="13" t="s">
        <v>48</v>
      </c>
      <c r="B42" s="12" t="n">
        <f aca="false">'Jan-26'!B37</f>
        <v>142755.99</v>
      </c>
      <c r="C42" s="12" t="n">
        <f aca="false">'Fev-26'!B39</f>
        <v>128217.75</v>
      </c>
      <c r="D42" s="12" t="n">
        <f aca="false">'Mar-26'!B40</f>
        <v>121919.72</v>
      </c>
      <c r="E42" s="12" t="n">
        <f aca="false">'Abr-26'!B41</f>
        <v>126549.41</v>
      </c>
      <c r="F42" s="12" t="n">
        <f aca="false">'Mai-26'!B40</f>
        <v>196928.2</v>
      </c>
      <c r="G42" s="12" t="n">
        <f aca="false">'Jun-26'!B40</f>
        <v>260344.96</v>
      </c>
      <c r="H42" s="12" t="n">
        <f aca="false">'Jul-26'!B42</f>
        <v>322834.26</v>
      </c>
      <c r="I42" s="12" t="n">
        <f aca="false">'Ago-26'!B42</f>
        <v>390990.63</v>
      </c>
    </row>
    <row r="43" customFormat="false" ht="15" hidden="false" customHeight="false" outlineLevel="0" collapsed="false">
      <c r="A43" s="14" t="s">
        <v>49</v>
      </c>
      <c r="B43" s="15"/>
      <c r="C43" s="15"/>
      <c r="D43" s="15" t="n">
        <f aca="false">'Mar-26'!B41</f>
        <v>11248.59</v>
      </c>
      <c r="E43" s="15" t="n">
        <f aca="false">'Abr-26'!B42</f>
        <v>33184.41</v>
      </c>
      <c r="F43" s="15" t="n">
        <f aca="false">'Mai-26'!B41</f>
        <v>121115.47</v>
      </c>
      <c r="G43" s="15" t="n">
        <f aca="false">'Jun-26'!B41</f>
        <v>199641.46</v>
      </c>
      <c r="H43" s="15" t="n">
        <f aca="false">'Jul-26'!B43</f>
        <v>277386.05</v>
      </c>
      <c r="I43" s="15" t="n">
        <f aca="false">'Ago-26'!B43</f>
        <v>360067.66</v>
      </c>
    </row>
    <row r="44" customFormat="false" ht="15" hidden="false" customHeight="false" outlineLevel="0" collapsed="false">
      <c r="A44" s="14" t="s">
        <v>50</v>
      </c>
      <c r="B44" s="15" t="n">
        <f aca="false">'Jan-26'!B38</f>
        <v>142755.99</v>
      </c>
      <c r="C44" s="15" t="n">
        <f aca="false">'Fev-26'!B40</f>
        <v>128217.75</v>
      </c>
      <c r="D44" s="15" t="n">
        <f aca="false">'Mar-26'!B42</f>
        <v>110671.13</v>
      </c>
      <c r="E44" s="15" t="n">
        <f aca="false">'Abr-26'!B43</f>
        <v>93365</v>
      </c>
      <c r="F44" s="15" t="n">
        <f aca="false">'Mai-26'!B42</f>
        <v>75812.73</v>
      </c>
      <c r="G44" s="15" t="n">
        <f aca="false">'Jun-26'!B42</f>
        <v>60703.5</v>
      </c>
      <c r="H44" s="15" t="n">
        <f aca="false">'Jul-26'!B44</f>
        <v>45448.21</v>
      </c>
      <c r="I44" s="15" t="n">
        <f aca="false">'Ago-26'!B44</f>
        <v>30922.97</v>
      </c>
    </row>
    <row r="45" customFormat="false" ht="15" hidden="false" customHeight="false" outlineLevel="0" collapsed="false">
      <c r="A45" s="11" t="s">
        <v>51</v>
      </c>
      <c r="B45" s="12" t="n">
        <f aca="false">'Jan-26'!B39</f>
        <v>-2797003.38</v>
      </c>
      <c r="C45" s="12" t="n">
        <f aca="false">'Fev-26'!B41</f>
        <v>-4200518.08</v>
      </c>
      <c r="D45" s="12" t="n">
        <f aca="false">'Mar-26'!B43</f>
        <v>-7461575.93</v>
      </c>
      <c r="E45" s="12" t="n">
        <f aca="false">'Abr-26'!B44</f>
        <v>-8436484.21</v>
      </c>
      <c r="F45" s="12" t="n">
        <f aca="false">'Mai-26'!B43</f>
        <v>-10385137.12</v>
      </c>
      <c r="G45" s="12" t="n">
        <f aca="false">'Jun-26'!B43</f>
        <v>-12609357.42</v>
      </c>
      <c r="H45" s="12" t="n">
        <f aca="false">'Jul-26'!B45</f>
        <v>-14324617.35</v>
      </c>
      <c r="I45" s="12" t="n">
        <f aca="false">'Ago-26'!B45</f>
        <v>-15401846.06</v>
      </c>
    </row>
    <row r="46" customFormat="false" ht="15" hidden="false" customHeight="false" outlineLevel="0" collapsed="false">
      <c r="A46" s="13" t="s">
        <v>52</v>
      </c>
      <c r="B46" s="12" t="n">
        <f aca="false">'Jan-26'!B40</f>
        <v>-6494075.17</v>
      </c>
      <c r="C46" s="12" t="n">
        <f aca="false">'Fev-26'!B42</f>
        <v>-8132366.42</v>
      </c>
      <c r="D46" s="12" t="n">
        <f aca="false">'Mar-26'!B44</f>
        <v>-11297570.04</v>
      </c>
      <c r="E46" s="12" t="n">
        <f aca="false">'Abr-26'!B45</f>
        <v>-12284602.21</v>
      </c>
      <c r="F46" s="12" t="n">
        <f aca="false">'Mai-26'!B44</f>
        <v>-14378558.15</v>
      </c>
      <c r="G46" s="12" t="n">
        <f aca="false">'Jun-26'!B44</f>
        <v>-16615970.94</v>
      </c>
      <c r="H46" s="12" t="n">
        <f aca="false">'Jul-26'!B46</f>
        <v>-18045554.12</v>
      </c>
      <c r="I46" s="12" t="n">
        <f aca="false">'Ago-26'!B46</f>
        <v>-19162395.78</v>
      </c>
    </row>
    <row r="47" customFormat="false" ht="15" hidden="false" customHeight="false" outlineLevel="0" collapsed="false">
      <c r="A47" s="14" t="s">
        <v>53</v>
      </c>
      <c r="B47" s="15" t="n">
        <f aca="false">'Jan-26'!B41</f>
        <v>-31700162.92</v>
      </c>
      <c r="C47" s="15" t="n">
        <f aca="false">'Fev-26'!B43</f>
        <v>-35072536.28</v>
      </c>
      <c r="D47" s="15" t="n">
        <f aca="false">'Mar-26'!B45</f>
        <v>-40894297.07</v>
      </c>
      <c r="E47" s="15" t="n">
        <f aca="false">'Abr-26'!B46</f>
        <v>-44145147.03</v>
      </c>
      <c r="F47" s="15" t="n">
        <f aca="false">'Mai-26'!B45</f>
        <v>-47648022.5</v>
      </c>
      <c r="G47" s="15" t="n">
        <f aca="false">'Jun-26'!B45</f>
        <v>-51485735.89</v>
      </c>
      <c r="H47" s="15" t="n">
        <f aca="false">'Jul-26'!B47</f>
        <v>-54501540.22</v>
      </c>
      <c r="I47" s="15" t="n">
        <f aca="false">'Ago-26'!B47</f>
        <v>-57125432.94</v>
      </c>
    </row>
    <row r="48" customFormat="false" ht="15" hidden="false" customHeight="false" outlineLevel="0" collapsed="false">
      <c r="A48" s="14" t="s">
        <v>54</v>
      </c>
      <c r="B48" s="15" t="n">
        <f aca="false">'Jan-26'!B42</f>
        <v>2578043.4</v>
      </c>
      <c r="C48" s="15" t="n">
        <f aca="false">'Fev-26'!B44</f>
        <v>2672590.7</v>
      </c>
      <c r="D48" s="15" t="n">
        <f aca="false">'Mar-26'!B46</f>
        <v>2838844.48</v>
      </c>
      <c r="E48" s="15" t="n">
        <f aca="false">'Abr-26'!B47</f>
        <v>2960589.73</v>
      </c>
      <c r="F48" s="15" t="n">
        <f aca="false">'Mai-26'!B46</f>
        <v>3130639.81</v>
      </c>
      <c r="G48" s="15" t="n">
        <f aca="false">'Jun-26'!B46</f>
        <v>3231002.16</v>
      </c>
      <c r="H48" s="15" t="n">
        <f aca="false">'Jul-26'!B48</f>
        <v>3185947.54</v>
      </c>
      <c r="I48" s="15" t="n">
        <f aca="false">'Ago-26'!B48</f>
        <v>3297511.85</v>
      </c>
    </row>
    <row r="49" customFormat="false" ht="15" hidden="false" customHeight="false" outlineLevel="0" collapsed="false">
      <c r="A49" s="14" t="s">
        <v>55</v>
      </c>
      <c r="B49" s="15" t="n">
        <f aca="false">'Jan-26'!B43</f>
        <v>22603041.58</v>
      </c>
      <c r="C49" s="15" t="n">
        <f aca="false">'Fev-26'!B45</f>
        <v>24258457.91</v>
      </c>
      <c r="D49" s="15" t="n">
        <f aca="false">'Mar-26'!B47</f>
        <v>26722508.1</v>
      </c>
      <c r="E49" s="15" t="n">
        <f aca="false">'Abr-26'!B48</f>
        <v>28851818.31</v>
      </c>
      <c r="F49" s="15" t="n">
        <f aca="false">'Mai-26'!B47</f>
        <v>30106705.52</v>
      </c>
      <c r="G49" s="15" t="n">
        <f aca="false">'Jun-26'!B47</f>
        <v>31622239.37</v>
      </c>
      <c r="H49" s="15" t="n">
        <f aca="false">'Jul-26'!B49</f>
        <v>33534753.74</v>
      </c>
      <c r="I49" s="15" t="n">
        <f aca="false">'Ago-26'!B49</f>
        <v>34921899.53</v>
      </c>
    </row>
    <row r="50" customFormat="false" ht="15" hidden="false" customHeight="false" outlineLevel="0" collapsed="false">
      <c r="A50" s="14" t="s">
        <v>56</v>
      </c>
      <c r="B50" s="15" t="n">
        <f aca="false">'Jan-26'!B44</f>
        <v>25002.77</v>
      </c>
      <c r="C50" s="15" t="n">
        <f aca="false">'Fev-26'!B46</f>
        <v>9121.25</v>
      </c>
      <c r="D50" s="15" t="n">
        <f aca="false">'Mar-26'!B48</f>
        <v>35374.45</v>
      </c>
      <c r="E50" s="15" t="n">
        <f aca="false">'Abr-26'!B49</f>
        <v>48136.78</v>
      </c>
      <c r="F50" s="15" t="n">
        <f aca="false">'Mai-26'!B48</f>
        <v>32119.02</v>
      </c>
      <c r="G50" s="15" t="n">
        <f aca="false">'Jun-26'!B48</f>
        <v>16523.42</v>
      </c>
      <c r="H50" s="15" t="n">
        <f aca="false">'Jul-26'!B50</f>
        <v>-264715.18</v>
      </c>
      <c r="I50" s="15" t="n">
        <f aca="false">'Ago-26'!B50</f>
        <v>-256374.22</v>
      </c>
    </row>
    <row r="51" customFormat="false" ht="15" hidden="false" customHeight="false" outlineLevel="0" collapsed="false">
      <c r="A51" s="13" t="s">
        <v>57</v>
      </c>
      <c r="B51" s="12" t="n">
        <f aca="false">'Jan-26'!B45</f>
        <v>-428183.02</v>
      </c>
      <c r="C51" s="12" t="n">
        <f aca="false">'Fev-26'!B47</f>
        <v>-472153.58</v>
      </c>
      <c r="D51" s="12" t="n">
        <f aca="false">'Mar-26'!B49</f>
        <v>-386244.68</v>
      </c>
      <c r="E51" s="12" t="n">
        <f aca="false">'Abr-26'!B50</f>
        <v>-406545.16</v>
      </c>
      <c r="F51" s="12" t="n">
        <f aca="false">'Mai-26'!B49</f>
        <v>-374758.9</v>
      </c>
      <c r="G51" s="12" t="n">
        <f aca="false">'Jun-26'!B49</f>
        <v>-544660.34</v>
      </c>
      <c r="H51" s="12" t="n">
        <f aca="false">'Jul-26'!B51</f>
        <v>-615127.7</v>
      </c>
      <c r="I51" s="12" t="n">
        <f aca="false">'Ago-26'!B51</f>
        <v>-650799.8</v>
      </c>
    </row>
    <row r="52" customFormat="false" ht="15" hidden="false" customHeight="false" outlineLevel="0" collapsed="false">
      <c r="A52" s="14" t="s">
        <v>58</v>
      </c>
      <c r="B52" s="15" t="n">
        <f aca="false">'Jan-26'!B46</f>
        <v>-390733.02</v>
      </c>
      <c r="C52" s="15" t="n">
        <f aca="false">'Fev-26'!B48</f>
        <v>-423753.58</v>
      </c>
      <c r="D52" s="15" t="n">
        <f aca="false">'Mar-26'!B50</f>
        <v>-333994.68</v>
      </c>
      <c r="E52" s="15" t="n">
        <f aca="false">'Abr-26'!B51</f>
        <v>-348195.16</v>
      </c>
      <c r="F52" s="15" t="n">
        <f aca="false">'Mai-26'!B50</f>
        <v>-332958.9</v>
      </c>
      <c r="G52" s="15" t="n">
        <f aca="false">'Jun-26'!B50</f>
        <v>-489460.34</v>
      </c>
      <c r="H52" s="15" t="n">
        <f aca="false">'Jul-26'!B52</f>
        <v>-568027.7</v>
      </c>
      <c r="I52" s="15" t="n">
        <f aca="false">'Ago-26'!B52</f>
        <v>-600099.8</v>
      </c>
    </row>
    <row r="53" customFormat="false" ht="15" hidden="false" customHeight="false" outlineLevel="0" collapsed="false">
      <c r="A53" s="14" t="s">
        <v>59</v>
      </c>
      <c r="B53" s="15" t="n">
        <f aca="false">'Jan-26'!B47</f>
        <v>-37450</v>
      </c>
      <c r="C53" s="15" t="n">
        <f aca="false">'Fev-26'!B49</f>
        <v>-48400</v>
      </c>
      <c r="D53" s="15" t="n">
        <f aca="false">'Mar-26'!B51</f>
        <v>-52250</v>
      </c>
      <c r="E53" s="15" t="n">
        <f aca="false">'Abr-26'!B52</f>
        <v>-58350</v>
      </c>
      <c r="F53" s="15" t="n">
        <f aca="false">'Mai-26'!B51</f>
        <v>-41800</v>
      </c>
      <c r="G53" s="15" t="n">
        <f aca="false">'Jun-26'!B51</f>
        <v>-55200</v>
      </c>
      <c r="H53" s="15" t="n">
        <f aca="false">'Jul-26'!B53</f>
        <v>-47100</v>
      </c>
      <c r="I53" s="15" t="n">
        <f aca="false">'Ago-26'!B53</f>
        <v>-50700</v>
      </c>
    </row>
    <row r="54" customFormat="false" ht="15" hidden="false" customHeight="false" outlineLevel="0" collapsed="false">
      <c r="A54" s="13" t="s">
        <v>60</v>
      </c>
      <c r="B54" s="12" t="n">
        <f aca="false">'Jan-26'!B48</f>
        <v>842759.23</v>
      </c>
      <c r="C54" s="12" t="n">
        <f aca="false">'Fev-26'!B50</f>
        <v>925001.91</v>
      </c>
      <c r="D54" s="12" t="n">
        <f aca="false">'Mar-26'!B52</f>
        <v>690536.61</v>
      </c>
      <c r="E54" s="12" t="n">
        <f aca="false">'Abr-26'!B53</f>
        <v>790819.89</v>
      </c>
      <c r="F54" s="12" t="n">
        <f aca="false">'Mai-26'!B52</f>
        <v>851731.99</v>
      </c>
      <c r="G54" s="12" t="n">
        <f aca="false">'Jun-26'!B52</f>
        <v>864505.41</v>
      </c>
      <c r="H54" s="12" t="n">
        <f aca="false">'Jul-26'!B54</f>
        <v>719694.05</v>
      </c>
      <c r="I54" s="12" t="n">
        <f aca="false">'Ago-26'!B54</f>
        <v>743104.88</v>
      </c>
    </row>
    <row r="55" customFormat="false" ht="15" hidden="false" customHeight="false" outlineLevel="0" collapsed="false">
      <c r="A55" s="14" t="s">
        <v>61</v>
      </c>
      <c r="B55" s="15" t="n">
        <f aca="false">'Jan-26'!B49</f>
        <v>256440.3</v>
      </c>
      <c r="C55" s="15" t="n">
        <f aca="false">'Fev-26'!B51</f>
        <v>266599.74</v>
      </c>
      <c r="D55" s="15" t="n">
        <f aca="false">'Mar-26'!B53</f>
        <v>137870.28</v>
      </c>
      <c r="E55" s="15" t="n">
        <f aca="false">'Abr-26'!B54</f>
        <v>140066.3</v>
      </c>
      <c r="F55" s="15" t="n">
        <f aca="false">'Mai-26'!B53</f>
        <v>266600.35</v>
      </c>
      <c r="G55" s="15" t="n">
        <f aca="false">'Jun-26'!B53</f>
        <v>267126.53</v>
      </c>
      <c r="H55" s="15" t="n">
        <f aca="false">'Jul-26'!B55</f>
        <v>157126.53</v>
      </c>
      <c r="I55" s="15" t="n">
        <f aca="false">'Ago-26'!B55</f>
        <v>144482.48</v>
      </c>
    </row>
    <row r="56" customFormat="false" ht="15" hidden="false" customHeight="false" outlineLevel="0" collapsed="false">
      <c r="A56" s="14" t="s">
        <v>62</v>
      </c>
      <c r="B56" s="15" t="n">
        <f aca="false">'Jan-26'!B50</f>
        <v>931.83</v>
      </c>
      <c r="C56" s="15" t="n">
        <f aca="false">'Fev-26'!B52</f>
        <v>931.83</v>
      </c>
      <c r="D56" s="15"/>
      <c r="E56" s="15" t="n">
        <f aca="false">'Abr-26'!B55</f>
        <v>712.27</v>
      </c>
      <c r="F56" s="15"/>
      <c r="G56" s="15"/>
      <c r="H56" s="15"/>
      <c r="I56" s="15" t="n">
        <f aca="false">'Ago-26'!B56</f>
        <v>2378.36</v>
      </c>
    </row>
    <row r="57" customFormat="false" ht="15" hidden="false" customHeight="false" outlineLevel="0" collapsed="false">
      <c r="A57" s="14" t="s">
        <v>63</v>
      </c>
      <c r="B57" s="15" t="n">
        <f aca="false">'Jan-26'!B51</f>
        <v>118486.42</v>
      </c>
      <c r="C57" s="15" t="n">
        <f aca="false">'Fev-26'!B53</f>
        <v>126252.42</v>
      </c>
      <c r="D57" s="15" t="n">
        <f aca="false">'Mar-26'!B54</f>
        <v>124758.12</v>
      </c>
      <c r="E57" s="15" t="n">
        <f aca="false">'Abr-26'!B56</f>
        <v>124658.12</v>
      </c>
      <c r="F57" s="15" t="n">
        <f aca="false">'Mai-26'!B54</f>
        <v>125288.82</v>
      </c>
      <c r="G57" s="15" t="n">
        <f aca="false">'Jun-26'!B54</f>
        <v>117005.55</v>
      </c>
      <c r="H57" s="15" t="n">
        <f aca="false">'Jul-26'!B56</f>
        <v>118139.58</v>
      </c>
      <c r="I57" s="15" t="n">
        <f aca="false">'Ago-26'!B57</f>
        <v>144791.77</v>
      </c>
    </row>
    <row r="58" customFormat="false" ht="15" hidden="false" customHeight="false" outlineLevel="0" collapsed="false">
      <c r="A58" s="14" t="s">
        <v>64</v>
      </c>
      <c r="B58" s="15" t="n">
        <f aca="false">'Jan-26'!B52</f>
        <v>25392.38</v>
      </c>
      <c r="C58" s="15" t="n">
        <f aca="false">'Fev-26'!B54</f>
        <v>25392.38</v>
      </c>
      <c r="D58" s="15" t="n">
        <f aca="false">'Mar-26'!B55</f>
        <v>25392.38</v>
      </c>
      <c r="E58" s="15" t="n">
        <f aca="false">'Abr-26'!B57</f>
        <v>25943.18</v>
      </c>
      <c r="F58" s="15" t="n">
        <f aca="false">'Mai-26'!B55</f>
        <v>25943.18</v>
      </c>
      <c r="G58" s="15" t="n">
        <f aca="false">'Jun-26'!B55</f>
        <v>25943.18</v>
      </c>
      <c r="H58" s="15" t="n">
        <f aca="false">'Jul-26'!B57</f>
        <v>25943.18</v>
      </c>
      <c r="I58" s="15" t="n">
        <f aca="false">'Ago-26'!B58</f>
        <v>25943.18</v>
      </c>
    </row>
    <row r="59" customFormat="false" ht="15" hidden="false" customHeight="false" outlineLevel="0" collapsed="false">
      <c r="A59" s="14" t="s">
        <v>65</v>
      </c>
      <c r="B59" s="15" t="n">
        <f aca="false">'Jan-26'!B53</f>
        <v>311877.11</v>
      </c>
      <c r="C59" s="15" t="n">
        <f aca="false">'Fev-26'!B55</f>
        <v>364991.85</v>
      </c>
      <c r="D59" s="15" t="n">
        <f aca="false">'Mar-26'!B56</f>
        <v>303669.89</v>
      </c>
      <c r="E59" s="15" t="n">
        <f aca="false">'Abr-26'!B58</f>
        <v>400686.54</v>
      </c>
      <c r="F59" s="15" t="n">
        <f aca="false">'Mai-26'!B56</f>
        <v>343730.9</v>
      </c>
      <c r="G59" s="15" t="n">
        <f aca="false">'Jun-26'!B56</f>
        <v>348450.31</v>
      </c>
      <c r="H59" s="15" t="n">
        <f aca="false">'Jul-26'!B58</f>
        <v>316070.53</v>
      </c>
      <c r="I59" s="15" t="n">
        <f aca="false">'Ago-26'!B59</f>
        <v>318523.36</v>
      </c>
    </row>
    <row r="60" customFormat="false" ht="15" hidden="false" customHeight="false" outlineLevel="0" collapsed="false">
      <c r="A60" s="14" t="s">
        <v>66</v>
      </c>
      <c r="B60" s="15" t="n">
        <f aca="false">'Jan-26'!B54</f>
        <v>37104.88</v>
      </c>
      <c r="C60" s="15" t="n">
        <f aca="false">'Fev-26'!B56</f>
        <v>37357.38</v>
      </c>
      <c r="D60" s="15" t="n">
        <f aca="false">'Mar-26'!B57</f>
        <v>42741.04</v>
      </c>
      <c r="E60" s="15" t="n">
        <f aca="false">'Abr-26'!B59</f>
        <v>36548.58</v>
      </c>
      <c r="F60" s="15" t="n">
        <f aca="false">'Mai-26'!B57</f>
        <v>44513.84</v>
      </c>
      <c r="G60" s="15" t="n">
        <f aca="false">'Jun-26'!B57</f>
        <v>44513.84</v>
      </c>
      <c r="H60" s="15" t="n">
        <f aca="false">'Jul-26'!B59</f>
        <v>49048.23</v>
      </c>
      <c r="I60" s="15" t="n">
        <f aca="false">'Ago-26'!B60</f>
        <v>50019.73</v>
      </c>
    </row>
    <row r="61" customFormat="false" ht="15" hidden="false" customHeight="false" outlineLevel="0" collapsed="false">
      <c r="A61" s="14" t="s">
        <v>67</v>
      </c>
      <c r="B61" s="15" t="n">
        <f aca="false">'Jan-26'!B55</f>
        <v>86116.2</v>
      </c>
      <c r="C61" s="15" t="n">
        <f aca="false">'Fev-26'!B57</f>
        <v>86116.2</v>
      </c>
      <c r="D61" s="15" t="n">
        <f aca="false">'Mar-26'!B58</f>
        <v>86116.2</v>
      </c>
      <c r="E61" s="15" t="n">
        <f aca="false">'Abr-26'!B60</f>
        <v>86116.2</v>
      </c>
      <c r="F61" s="15" t="n">
        <f aca="false">'Mai-26'!B58</f>
        <v>86116.2</v>
      </c>
      <c r="G61" s="15" t="n">
        <f aca="false">'Jun-26'!B58</f>
        <v>86116.2</v>
      </c>
      <c r="H61" s="15" t="n">
        <f aca="false">'Jul-26'!B60</f>
        <v>86116.2</v>
      </c>
      <c r="I61" s="15" t="n">
        <f aca="false">'Ago-26'!B61</f>
        <v>86116.2</v>
      </c>
    </row>
    <row r="62" customFormat="false" ht="15" hidden="false" customHeight="false" outlineLevel="0" collapsed="false">
      <c r="A62" s="14" t="s">
        <v>68</v>
      </c>
      <c r="B62" s="15" t="n">
        <f aca="false">'Jan-26'!B56</f>
        <v>124050</v>
      </c>
      <c r="C62" s="15" t="n">
        <f aca="false">'Fev-26'!B58</f>
        <v>135000</v>
      </c>
      <c r="D62" s="15" t="n">
        <f aca="false">'Mar-26'!B59</f>
        <v>138850</v>
      </c>
      <c r="E62" s="15" t="n">
        <f aca="false">'Abr-26'!B61</f>
        <v>144950</v>
      </c>
      <c r="F62" s="15" t="n">
        <f aca="false">'Mai-26'!B59</f>
        <v>128400</v>
      </c>
      <c r="G62" s="15" t="n">
        <f aca="false">'Jun-26'!B59</f>
        <v>141800</v>
      </c>
      <c r="H62" s="15" t="n">
        <f aca="false">'Jul-26'!B61</f>
        <v>133700</v>
      </c>
      <c r="I62" s="15" t="n">
        <f aca="false">'Ago-26'!B62</f>
        <v>137300</v>
      </c>
    </row>
    <row r="63" customFormat="false" ht="15" hidden="false" customHeight="false" outlineLevel="0" collapsed="false">
      <c r="A63" s="14" t="s">
        <v>69</v>
      </c>
      <c r="B63" s="15" t="n">
        <f aca="false">'Jan-26'!B57</f>
        <v>53700.01</v>
      </c>
      <c r="C63" s="15" t="n">
        <f aca="false">'Fev-26'!B59</f>
        <v>53700.01</v>
      </c>
      <c r="D63" s="15" t="n">
        <f aca="false">'Mar-26'!B60</f>
        <v>2478.6</v>
      </c>
      <c r="E63" s="15" t="n">
        <f aca="false">'Abr-26'!B62</f>
        <v>2478.6</v>
      </c>
      <c r="F63" s="15" t="n">
        <f aca="false">'Mai-26'!B60</f>
        <v>2478.6</v>
      </c>
      <c r="G63" s="15" t="n">
        <f aca="false">'Jun-26'!B60</f>
        <v>2478.6</v>
      </c>
      <c r="H63" s="15" t="n">
        <f aca="false">'Jul-26'!B62</f>
        <v>2478.6</v>
      </c>
      <c r="I63" s="15" t="n">
        <f aca="false">'Ago-26'!B63</f>
        <v>2478.6</v>
      </c>
    </row>
    <row r="64" customFormat="false" ht="15" hidden="false" customHeight="false" outlineLevel="0" collapsed="false">
      <c r="A64" s="14" t="s">
        <v>70</v>
      </c>
      <c r="B64" s="15" t="n">
        <f aca="false">'Jan-26'!B58</f>
        <v>-171339.9</v>
      </c>
      <c r="C64" s="15" t="n">
        <f aca="false">'Fev-26'!B60</f>
        <v>-171339.9</v>
      </c>
      <c r="D64" s="15" t="n">
        <f aca="false">'Mar-26'!B61</f>
        <v>-171339.9</v>
      </c>
      <c r="E64" s="15" t="n">
        <f aca="false">'Abr-26'!B63</f>
        <v>-171339.9</v>
      </c>
      <c r="F64" s="15" t="n">
        <f aca="false">'Mai-26'!B61</f>
        <v>-171339.9</v>
      </c>
      <c r="G64" s="15" t="n">
        <f aca="false">'Jun-26'!B61</f>
        <v>-171399.9</v>
      </c>
      <c r="H64" s="15" t="n">
        <f aca="false">'Jul-26'!B63</f>
        <v>-171399.9</v>
      </c>
      <c r="I64" s="15" t="n">
        <f aca="false">'Ago-26'!B64</f>
        <v>-171399.9</v>
      </c>
    </row>
    <row r="65" customFormat="false" ht="15" hidden="false" customHeight="false" outlineLevel="0" collapsed="false">
      <c r="A65" s="14" t="s">
        <v>71</v>
      </c>
      <c r="B65" s="15"/>
      <c r="C65" s="15"/>
      <c r="D65" s="15"/>
      <c r="E65" s="15"/>
      <c r="F65" s="15"/>
      <c r="G65" s="15" t="n">
        <f aca="false">'Jun-26'!B62</f>
        <v>2471.1</v>
      </c>
      <c r="H65" s="15" t="n">
        <f aca="false">'Jul-26'!B64</f>
        <v>2471.1</v>
      </c>
      <c r="I65" s="15" t="n">
        <f aca="false">'Ago-26'!B65</f>
        <v>2471.1</v>
      </c>
    </row>
    <row r="66" customFormat="false" ht="15" hidden="false" customHeight="false" outlineLevel="0" collapsed="false">
      <c r="A66" s="13" t="s">
        <v>72</v>
      </c>
      <c r="B66" s="12" t="n">
        <f aca="false">'Jan-26'!B59</f>
        <v>3282495.58</v>
      </c>
      <c r="C66" s="12" t="n">
        <f aca="false">'Fev-26'!B61</f>
        <v>3479000.01</v>
      </c>
      <c r="D66" s="12" t="n">
        <f aca="false">'Mar-26'!B62</f>
        <v>3531702.18</v>
      </c>
      <c r="E66" s="12" t="n">
        <f aca="false">'Abr-26'!B64</f>
        <v>3463843.27</v>
      </c>
      <c r="F66" s="12" t="n">
        <f aca="false">'Mai-26'!B62</f>
        <v>3516447.94</v>
      </c>
      <c r="G66" s="12" t="n">
        <f aca="false">'Jun-26'!B63</f>
        <v>3686768.45</v>
      </c>
      <c r="H66" s="12" t="n">
        <f aca="false">'Jul-26'!B65</f>
        <v>3616370.42</v>
      </c>
      <c r="I66" s="12" t="n">
        <f aca="false">'Ago-26'!B66</f>
        <v>3668244.64</v>
      </c>
    </row>
    <row r="67" customFormat="false" ht="15" hidden="false" customHeight="false" outlineLevel="0" collapsed="false">
      <c r="A67" s="14" t="s">
        <v>73</v>
      </c>
      <c r="B67" s="15" t="n">
        <f aca="false">'Jan-26'!B60</f>
        <v>89580.47</v>
      </c>
      <c r="C67" s="15" t="n">
        <f aca="false">'Fev-26'!B62</f>
        <v>161300.47</v>
      </c>
      <c r="D67" s="15" t="n">
        <f aca="false">'Mar-26'!B63</f>
        <v>65140.47</v>
      </c>
      <c r="E67" s="15" t="n">
        <f aca="false">'Abr-26'!B65</f>
        <v>65885.49</v>
      </c>
      <c r="F67" s="15" t="n">
        <f aca="false">'Mai-26'!B63</f>
        <v>81935.33</v>
      </c>
      <c r="G67" s="15" t="n">
        <f aca="false">'Jun-26'!B64</f>
        <v>156085.49</v>
      </c>
      <c r="H67" s="15" t="n">
        <f aca="false">'Jul-26'!B66</f>
        <v>82435.49</v>
      </c>
      <c r="I67" s="15" t="n">
        <f aca="false">'Ago-26'!B67</f>
        <v>108232.37</v>
      </c>
    </row>
    <row r="68" customFormat="false" ht="15" hidden="false" customHeight="false" outlineLevel="0" collapsed="false">
      <c r="A68" s="14" t="s">
        <v>74</v>
      </c>
      <c r="B68" s="15" t="n">
        <f aca="false">'Jan-26'!B61</f>
        <v>1156458.96</v>
      </c>
      <c r="C68" s="15" t="n">
        <f aca="false">'Fev-26'!B63</f>
        <v>1286043.39</v>
      </c>
      <c r="D68" s="15" t="n">
        <f aca="false">'Mar-26'!B64</f>
        <v>1342902.06</v>
      </c>
      <c r="E68" s="15" t="n">
        <f aca="false">'Abr-26'!B66</f>
        <v>1271889.63</v>
      </c>
      <c r="F68" s="15" t="n">
        <f aca="false">'Mai-26'!B64</f>
        <v>1306565.08</v>
      </c>
      <c r="G68" s="15" t="n">
        <f aca="false">'Jun-26'!B65</f>
        <v>1357702.05</v>
      </c>
      <c r="H68" s="15" t="n">
        <f aca="false">'Jul-26'!B67</f>
        <v>1358006.66</v>
      </c>
      <c r="I68" s="15" t="n">
        <f aca="false">'Ago-26'!B68</f>
        <v>1380572.89</v>
      </c>
    </row>
    <row r="69" customFormat="false" ht="15" hidden="false" customHeight="false" outlineLevel="0" collapsed="false">
      <c r="A69" s="14" t="s">
        <v>75</v>
      </c>
      <c r="B69" s="15" t="n">
        <f aca="false">'Jan-26'!B62</f>
        <v>190430.94</v>
      </c>
      <c r="C69" s="15" t="n">
        <f aca="false">'Fev-26'!B64</f>
        <v>190430.94</v>
      </c>
      <c r="D69" s="15" t="n">
        <f aca="false">'Mar-26'!B65</f>
        <v>190430.94</v>
      </c>
      <c r="E69" s="15" t="n">
        <f aca="false">'Abr-26'!B67</f>
        <v>190430.94</v>
      </c>
      <c r="F69" s="15" t="n">
        <f aca="false">'Mai-26'!B65</f>
        <v>190630.94</v>
      </c>
      <c r="G69" s="15" t="n">
        <f aca="false">'Jun-26'!B66</f>
        <v>190630.94</v>
      </c>
      <c r="H69" s="15" t="n">
        <f aca="false">'Jul-26'!B68</f>
        <v>190630.94</v>
      </c>
      <c r="I69" s="15" t="n">
        <f aca="false">'Ago-26'!B69</f>
        <v>192882.05</v>
      </c>
    </row>
    <row r="70" customFormat="false" ht="15" hidden="false" customHeight="false" outlineLevel="0" collapsed="false">
      <c r="A70" s="14" t="s">
        <v>76</v>
      </c>
      <c r="B70" s="15" t="n">
        <f aca="false">'Jan-26'!B63</f>
        <v>1825149.72</v>
      </c>
      <c r="C70" s="15" t="n">
        <f aca="false">'Fev-26'!B65</f>
        <v>1820849.72</v>
      </c>
      <c r="D70" s="15" t="n">
        <f aca="false">'Mar-26'!B66</f>
        <v>1913627.22</v>
      </c>
      <c r="E70" s="15" t="n">
        <f aca="false">'Abr-26'!B68</f>
        <v>1915961.72</v>
      </c>
      <c r="F70" s="15" t="n">
        <f aca="false">'Mai-26'!B66</f>
        <v>1915961.72</v>
      </c>
      <c r="G70" s="15" t="n">
        <f aca="false">'Jun-26'!B67</f>
        <v>1922961.72</v>
      </c>
      <c r="H70" s="15" t="n">
        <f aca="false">'Jul-26'!B69</f>
        <v>1922961.72</v>
      </c>
      <c r="I70" s="15" t="n">
        <f aca="false">'Ago-26'!B70</f>
        <v>1922961.72</v>
      </c>
    </row>
    <row r="71" customFormat="false" ht="15" hidden="false" customHeight="false" outlineLevel="0" collapsed="false">
      <c r="A71" s="14" t="s">
        <v>77</v>
      </c>
      <c r="B71" s="15" t="n">
        <f aca="false">'Jan-26'!B64</f>
        <v>11295.49</v>
      </c>
      <c r="C71" s="15" t="n">
        <f aca="false">'Fev-26'!B66</f>
        <v>11295.49</v>
      </c>
      <c r="D71" s="15" t="n">
        <f aca="false">'Mar-26'!B67</f>
        <v>11521.49</v>
      </c>
      <c r="E71" s="15" t="n">
        <f aca="false">'Abr-26'!B69</f>
        <v>11295.49</v>
      </c>
      <c r="F71" s="15" t="n">
        <f aca="false">'Mai-26'!B67</f>
        <v>13274.87</v>
      </c>
      <c r="G71" s="15" t="n">
        <f aca="false">'Jun-26'!B68</f>
        <v>51908.25</v>
      </c>
      <c r="H71" s="15" t="n">
        <f aca="false">'Jul-26'!B70</f>
        <v>54055.61</v>
      </c>
      <c r="I71" s="15" t="n">
        <f aca="false">'Ago-26'!B71</f>
        <v>54015.61</v>
      </c>
    </row>
    <row r="72" customFormat="false" ht="15" hidden="false" customHeight="false" outlineLevel="0" collapsed="false">
      <c r="A72" s="14" t="s">
        <v>78</v>
      </c>
      <c r="B72" s="15" t="n">
        <f aca="false">'Jan-26'!B65</f>
        <v>9580</v>
      </c>
      <c r="C72" s="15" t="n">
        <f aca="false">'Fev-26'!B67</f>
        <v>9080</v>
      </c>
      <c r="D72" s="15" t="n">
        <f aca="false">'Mar-26'!B68</f>
        <v>8080</v>
      </c>
      <c r="E72" s="15" t="n">
        <f aca="false">'Abr-26'!B70</f>
        <v>8380</v>
      </c>
      <c r="F72" s="15" t="n">
        <f aca="false">'Mai-26'!B68</f>
        <v>8080</v>
      </c>
      <c r="G72" s="15" t="n">
        <f aca="false">'Jun-26'!B69</f>
        <v>7480</v>
      </c>
      <c r="H72" s="15" t="n">
        <f aca="false">'Jul-26'!B71</f>
        <v>8280</v>
      </c>
      <c r="I72" s="15" t="n">
        <f aca="false">'Ago-26'!B72</f>
        <v>9580</v>
      </c>
    </row>
    <row r="73" customFormat="false" ht="15" hidden="false" customHeight="false" outlineLevel="0" collapsed="false">
      <c r="A73" s="11" t="s">
        <v>79</v>
      </c>
      <c r="B73" s="12" t="n">
        <f aca="false">'Jan-26'!B66</f>
        <v>1543699.07</v>
      </c>
      <c r="C73" s="12" t="n">
        <f aca="false">'Fev-26'!B68</f>
        <v>1533539.92</v>
      </c>
      <c r="D73" s="12" t="n">
        <f aca="false">'Mar-26'!B69</f>
        <v>1528361.97</v>
      </c>
      <c r="E73" s="12" t="n">
        <f aca="false">'Abr-26'!B71</f>
        <v>1521186.8</v>
      </c>
      <c r="F73" s="12" t="n">
        <f aca="false">'Mai-26'!B69</f>
        <v>1515589.73</v>
      </c>
      <c r="G73" s="12" t="n">
        <f aca="false">'Jun-26'!B70</f>
        <v>1509517.16</v>
      </c>
      <c r="H73" s="12" t="n">
        <f aca="false">'Jul-26'!B72</f>
        <v>1502199.84</v>
      </c>
      <c r="I73" s="12" t="n">
        <f aca="false">'Ago-26'!B73</f>
        <v>1512893.33</v>
      </c>
    </row>
    <row r="74" customFormat="false" ht="15" hidden="false" customHeight="false" outlineLevel="0" collapsed="false">
      <c r="A74" s="13" t="s">
        <v>80</v>
      </c>
      <c r="B74" s="12"/>
      <c r="C74" s="12" t="n">
        <f aca="false">'Fev-26'!B69</f>
        <v>-3530.11</v>
      </c>
      <c r="D74" s="12" t="n">
        <f aca="false">'Mar-26'!B70</f>
        <v>-9561.25</v>
      </c>
      <c r="E74" s="12" t="n">
        <f aca="false">'Abr-26'!B72</f>
        <v>-15512.96</v>
      </c>
      <c r="F74" s="12" t="n">
        <f aca="false">'Mai-26'!B70</f>
        <v>-21048.68</v>
      </c>
      <c r="G74" s="12" t="n">
        <f aca="false">'Jun-26'!B71</f>
        <v>-26400.87</v>
      </c>
      <c r="H74" s="12" t="n">
        <f aca="false">'Jul-26'!B73</f>
        <v>-33200.21</v>
      </c>
      <c r="I74" s="12" t="n">
        <f aca="false">'Ago-26'!B74</f>
        <v>-41763.14</v>
      </c>
    </row>
    <row r="75" customFormat="false" ht="15" hidden="false" customHeight="false" outlineLevel="0" collapsed="false">
      <c r="A75" s="14" t="s">
        <v>81</v>
      </c>
      <c r="B75" s="15"/>
      <c r="C75" s="15" t="n">
        <f aca="false">'Fev-26'!B70</f>
        <v>-3530.11</v>
      </c>
      <c r="D75" s="15" t="n">
        <f aca="false">'Mar-26'!B71</f>
        <v>-9561.25</v>
      </c>
      <c r="E75" s="15" t="n">
        <f aca="false">'Abr-26'!B73</f>
        <v>-15512.96</v>
      </c>
      <c r="F75" s="15" t="n">
        <f aca="false">'Mai-26'!B71</f>
        <v>-21048.68</v>
      </c>
      <c r="G75" s="15" t="n">
        <f aca="false">'Jun-26'!B72</f>
        <v>-26400.87</v>
      </c>
      <c r="H75" s="15" t="n">
        <f aca="false">'Jul-26'!B74</f>
        <v>-33200.21</v>
      </c>
      <c r="I75" s="15" t="n">
        <f aca="false">'Ago-26'!B75</f>
        <v>-41763.14</v>
      </c>
    </row>
    <row r="76" customFormat="false" ht="15" hidden="false" customHeight="false" outlineLevel="0" collapsed="false">
      <c r="A76" s="13" t="s">
        <v>82</v>
      </c>
      <c r="B76" s="12" t="n">
        <f aca="false">'Jan-26'!B67</f>
        <v>1543699.07</v>
      </c>
      <c r="C76" s="12" t="n">
        <f aca="false">'Fev-26'!B71</f>
        <v>1537070.03</v>
      </c>
      <c r="D76" s="12" t="n">
        <f aca="false">'Mar-26'!B72</f>
        <v>1537923.22</v>
      </c>
      <c r="E76" s="12" t="n">
        <f aca="false">'Abr-26'!B74</f>
        <v>1536699.76</v>
      </c>
      <c r="F76" s="12" t="n">
        <f aca="false">'Mai-26'!B72</f>
        <v>1536638.41</v>
      </c>
      <c r="G76" s="12" t="n">
        <f aca="false">'Jun-26'!B73</f>
        <v>1535918.03</v>
      </c>
      <c r="H76" s="12" t="n">
        <f aca="false">'Jul-26'!B75</f>
        <v>1535400.05</v>
      </c>
      <c r="I76" s="12" t="n">
        <f aca="false">'Ago-26'!B76</f>
        <v>1554656.47</v>
      </c>
    </row>
    <row r="77" customFormat="false" ht="15" hidden="false" customHeight="false" outlineLevel="0" collapsed="false">
      <c r="A77" s="14" t="s">
        <v>83</v>
      </c>
      <c r="B77" s="15" t="n">
        <f aca="false">'Jan-26'!B68</f>
        <v>289523.85</v>
      </c>
      <c r="C77" s="15" t="n">
        <f aca="false">'Fev-26'!B72</f>
        <v>289523.85</v>
      </c>
      <c r="D77" s="15" t="n">
        <f aca="false">'Mar-26'!B73</f>
        <v>289523.85</v>
      </c>
      <c r="E77" s="15" t="n">
        <f aca="false">'Abr-26'!B75</f>
        <v>289523.85</v>
      </c>
      <c r="F77" s="15" t="n">
        <f aca="false">'Mai-26'!B73</f>
        <v>289523.85</v>
      </c>
      <c r="G77" s="15" t="n">
        <f aca="false">'Jun-26'!B74</f>
        <v>289523.85</v>
      </c>
      <c r="H77" s="15" t="n">
        <f aca="false">'Jul-26'!B76</f>
        <v>289523.85</v>
      </c>
      <c r="I77" s="15" t="n">
        <f aca="false">'Ago-26'!B77</f>
        <v>289523.85</v>
      </c>
    </row>
    <row r="78" customFormat="false" ht="15" hidden="false" customHeight="false" outlineLevel="0" collapsed="false">
      <c r="A78" s="14" t="s">
        <v>84</v>
      </c>
      <c r="B78" s="15" t="n">
        <f aca="false">'Jan-26'!B69</f>
        <v>54595.56</v>
      </c>
      <c r="C78" s="15" t="n">
        <f aca="false">'Fev-26'!B73</f>
        <v>54595.56</v>
      </c>
      <c r="D78" s="15" t="n">
        <f aca="false">'Mar-26'!B74</f>
        <v>54595.56</v>
      </c>
      <c r="E78" s="15" t="n">
        <f aca="false">'Abr-26'!B76</f>
        <v>54595.56</v>
      </c>
      <c r="F78" s="15" t="n">
        <f aca="false">'Mai-26'!B74</f>
        <v>54595.56</v>
      </c>
      <c r="G78" s="15" t="n">
        <f aca="false">'Jun-26'!B75</f>
        <v>54595.56</v>
      </c>
      <c r="H78" s="15" t="n">
        <f aca="false">'Jul-26'!B77</f>
        <v>54595.56</v>
      </c>
      <c r="I78" s="15" t="n">
        <f aca="false">'Ago-26'!B78</f>
        <v>54595.56</v>
      </c>
    </row>
    <row r="79" customFormat="false" ht="15" hidden="false" customHeight="false" outlineLevel="0" collapsed="false">
      <c r="A79" s="14" t="s">
        <v>85</v>
      </c>
      <c r="B79" s="15"/>
      <c r="C79" s="15"/>
      <c r="D79" s="15"/>
      <c r="E79" s="15"/>
      <c r="F79" s="15"/>
      <c r="G79" s="15"/>
      <c r="H79" s="15"/>
      <c r="I79" s="15" t="n">
        <f aca="false">'Ago-26'!B79</f>
        <v>19405.19</v>
      </c>
    </row>
    <row r="80" customFormat="false" ht="15" hidden="false" customHeight="false" outlineLevel="0" collapsed="false">
      <c r="A80" s="14" t="s">
        <v>86</v>
      </c>
      <c r="B80" s="15"/>
      <c r="C80" s="15"/>
      <c r="D80" s="15" t="n">
        <f aca="false">'Mar-26'!B75</f>
        <v>7500</v>
      </c>
      <c r="E80" s="15" t="n">
        <f aca="false">'Abr-26'!B77</f>
        <v>7500</v>
      </c>
      <c r="F80" s="15" t="n">
        <f aca="false">'Mai-26'!B75</f>
        <v>7500</v>
      </c>
      <c r="G80" s="15" t="n">
        <f aca="false">'Jun-26'!B76</f>
        <v>7500</v>
      </c>
      <c r="H80" s="15" t="n">
        <f aca="false">'Jul-26'!B78</f>
        <v>7500</v>
      </c>
      <c r="I80" s="15" t="n">
        <f aca="false">'Ago-26'!B80</f>
        <v>7500</v>
      </c>
    </row>
    <row r="81" customFormat="false" ht="15" hidden="false" customHeight="false" outlineLevel="0" collapsed="false">
      <c r="A81" s="14" t="s">
        <v>87</v>
      </c>
      <c r="B81" s="15" t="n">
        <f aca="false">'Jan-26'!B70</f>
        <v>-3637.34</v>
      </c>
      <c r="C81" s="15" t="n">
        <f aca="false">'Fev-26'!B74</f>
        <v>-10266.38</v>
      </c>
      <c r="D81" s="15" t="n">
        <f aca="false">'Mar-26'!B76</f>
        <v>-16913.19</v>
      </c>
      <c r="E81" s="15" t="n">
        <f aca="false">'Abr-26'!B78</f>
        <v>-18136.65</v>
      </c>
      <c r="F81" s="15" t="n">
        <f aca="false">'Mai-26'!B76</f>
        <v>-18198</v>
      </c>
      <c r="G81" s="15" t="n">
        <f aca="false">'Jun-26'!B77</f>
        <v>-18918.38</v>
      </c>
      <c r="H81" s="15" t="n">
        <f aca="false">'Jul-26'!B79</f>
        <v>-19436.36</v>
      </c>
      <c r="I81" s="15" t="n">
        <f aca="false">'Ago-26'!B81</f>
        <v>-19585.13</v>
      </c>
    </row>
    <row r="82" customFormat="false" ht="15" hidden="false" customHeight="false" outlineLevel="0" collapsed="false">
      <c r="A82" s="14" t="s">
        <v>88</v>
      </c>
      <c r="B82" s="15" t="n">
        <f aca="false">'Jan-26'!B71</f>
        <v>1203217</v>
      </c>
      <c r="C82" s="15" t="n">
        <f aca="false">'Fev-26'!B75</f>
        <v>1203217</v>
      </c>
      <c r="D82" s="15" t="n">
        <f aca="false">'Mar-26'!B77</f>
        <v>1203217</v>
      </c>
      <c r="E82" s="15" t="n">
        <f aca="false">'Abr-26'!B79</f>
        <v>1203217</v>
      </c>
      <c r="F82" s="15" t="n">
        <f aca="false">'Mai-26'!B77</f>
        <v>1203217</v>
      </c>
      <c r="G82" s="15" t="n">
        <f aca="false">'Jun-26'!B78</f>
        <v>1203217</v>
      </c>
      <c r="H82" s="15" t="n">
        <f aca="false">'Jul-26'!B80</f>
        <v>1203217</v>
      </c>
      <c r="I82" s="15" t="n">
        <f aca="false">'Ago-26'!B82</f>
        <v>1203217</v>
      </c>
    </row>
    <row r="83" customFormat="false" ht="15" hidden="false" customHeight="false" outlineLevel="0" collapsed="false">
      <c r="A83" s="11" t="s">
        <v>89</v>
      </c>
      <c r="B83" s="12" t="n">
        <f aca="false">'Jan-26'!B72</f>
        <v>89044.21</v>
      </c>
      <c r="C83" s="12" t="n">
        <f aca="false">'Fev-26'!B76</f>
        <v>66380.33</v>
      </c>
      <c r="D83" s="12" t="n">
        <f aca="false">'Mar-26'!B78</f>
        <v>118696.01</v>
      </c>
      <c r="E83" s="12" t="n">
        <f aca="false">'Abr-26'!B80</f>
        <v>174785.03</v>
      </c>
      <c r="F83" s="12" t="n">
        <f aca="false">'Mai-26'!B78</f>
        <v>171727.68</v>
      </c>
      <c r="G83" s="12" t="n">
        <f aca="false">'Jun-26'!B79</f>
        <v>172834.67</v>
      </c>
      <c r="H83" s="12" t="n">
        <f aca="false">'Jul-26'!B81</f>
        <v>193052.83</v>
      </c>
      <c r="I83" s="12" t="n">
        <f aca="false">'Ago-26'!B83</f>
        <v>188186.1</v>
      </c>
    </row>
    <row r="84" customFormat="false" ht="15" hidden="false" customHeight="false" outlineLevel="0" collapsed="false">
      <c r="A84" s="13" t="s">
        <v>89</v>
      </c>
      <c r="B84" s="12" t="n">
        <f aca="false">'Jan-26'!B73</f>
        <v>89044.21</v>
      </c>
      <c r="C84" s="12" t="n">
        <f aca="false">'Fev-26'!B77</f>
        <v>66380.33</v>
      </c>
      <c r="D84" s="12" t="n">
        <f aca="false">'Mar-26'!B79</f>
        <v>118696.01</v>
      </c>
      <c r="E84" s="12" t="n">
        <f aca="false">'Abr-26'!B81</f>
        <v>174785.03</v>
      </c>
      <c r="F84" s="12" t="n">
        <f aca="false">'Mai-26'!B79</f>
        <v>171727.68</v>
      </c>
      <c r="G84" s="12" t="n">
        <f aca="false">'Jun-26'!B80</f>
        <v>172834.67</v>
      </c>
      <c r="H84" s="12" t="n">
        <f aca="false">'Jul-26'!B82</f>
        <v>193052.83</v>
      </c>
      <c r="I84" s="12" t="n">
        <f aca="false">'Ago-26'!B84</f>
        <v>188186.1</v>
      </c>
    </row>
    <row r="85" customFormat="false" ht="15" hidden="false" customHeight="false" outlineLevel="0" collapsed="false">
      <c r="A85" s="14" t="s">
        <v>90</v>
      </c>
      <c r="B85" s="15" t="n">
        <f aca="false">'Jan-26'!B74</f>
        <v>70748.21</v>
      </c>
      <c r="C85" s="15" t="n">
        <f aca="false">'Fev-26'!B78</f>
        <v>50371.33</v>
      </c>
      <c r="D85" s="15" t="n">
        <f aca="false">'Mar-26'!B80</f>
        <v>104974.01</v>
      </c>
      <c r="E85" s="15" t="n">
        <f aca="false">'Abr-26'!B82</f>
        <v>163350.03</v>
      </c>
      <c r="F85" s="15" t="n">
        <f aca="false">'Mai-26'!B80</f>
        <v>162579.68</v>
      </c>
      <c r="G85" s="15" t="n">
        <f aca="false">'Jun-26'!B81</f>
        <v>165973.67</v>
      </c>
      <c r="H85" s="15" t="n">
        <f aca="false">'Jul-26'!B83</f>
        <v>188478.83</v>
      </c>
      <c r="I85" s="15" t="n">
        <f aca="false">'Ago-26'!B85</f>
        <v>185899.1</v>
      </c>
    </row>
    <row r="86" customFormat="false" ht="15" hidden="false" customHeight="false" outlineLevel="0" collapsed="false">
      <c r="A86" s="14" t="s">
        <v>91</v>
      </c>
      <c r="B86" s="15" t="n">
        <f aca="false">'Jan-26'!B75</f>
        <v>18296</v>
      </c>
      <c r="C86" s="15" t="n">
        <f aca="false">'Fev-26'!B79</f>
        <v>16009</v>
      </c>
      <c r="D86" s="15" t="n">
        <f aca="false">'Mar-26'!B81</f>
        <v>13722</v>
      </c>
      <c r="E86" s="15" t="n">
        <f aca="false">'Abr-26'!B83</f>
        <v>11435</v>
      </c>
      <c r="F86" s="15" t="n">
        <f aca="false">'Mai-26'!B81</f>
        <v>9148</v>
      </c>
      <c r="G86" s="15" t="n">
        <f aca="false">'Jun-26'!B82</f>
        <v>6861</v>
      </c>
      <c r="H86" s="15" t="n">
        <f aca="false">'Jul-26'!B84</f>
        <v>4574</v>
      </c>
      <c r="I86" s="15" t="n">
        <f aca="false">'Ago-26'!B86</f>
        <v>2287</v>
      </c>
    </row>
    <row r="87" customFormat="false" ht="15" hidden="false" customHeight="false" outlineLevel="0" collapsed="false">
      <c r="A87" s="9" t="s">
        <v>92</v>
      </c>
      <c r="B87" s="10" t="n">
        <f aca="false">'Jan-26'!B76</f>
        <v>52540016.25</v>
      </c>
      <c r="C87" s="10" t="n">
        <f aca="false">'Fev-26'!B80</f>
        <v>52652749.29</v>
      </c>
      <c r="D87" s="10" t="n">
        <f aca="false">'Mar-26'!B82</f>
        <v>52563775.3</v>
      </c>
      <c r="E87" s="10" t="n">
        <f aca="false">'Abr-26'!B84</f>
        <v>52405059.17</v>
      </c>
      <c r="F87" s="10" t="n">
        <f aca="false">'Mai-26'!B82</f>
        <v>52113164.63</v>
      </c>
      <c r="G87" s="10" t="n">
        <f aca="false">'Jun-26'!B83</f>
        <v>51925643.27</v>
      </c>
      <c r="H87" s="10" t="n">
        <f aca="false">'Jul-26'!B85</f>
        <v>51554232.16</v>
      </c>
      <c r="I87" s="10" t="n">
        <f aca="false">'Ago-26'!B87</f>
        <v>51510997.88</v>
      </c>
    </row>
    <row r="88" customFormat="false" ht="15" hidden="false" customHeight="false" outlineLevel="0" collapsed="false">
      <c r="A88" s="11" t="s">
        <v>93</v>
      </c>
      <c r="B88" s="12" t="n">
        <f aca="false">'Jan-26'!B77</f>
        <v>21809261.8</v>
      </c>
      <c r="C88" s="12" t="n">
        <f aca="false">'Fev-26'!B81</f>
        <v>21820799.95</v>
      </c>
      <c r="D88" s="12" t="n">
        <f aca="false">'Mar-26'!B83</f>
        <v>21822155.04</v>
      </c>
      <c r="E88" s="12" t="n">
        <f aca="false">'Abr-26'!B85</f>
        <v>21824985.52</v>
      </c>
      <c r="F88" s="12" t="n">
        <f aca="false">'Mai-26'!B83</f>
        <v>21825378.29</v>
      </c>
      <c r="G88" s="12" t="n">
        <f aca="false">'Jun-26'!B84</f>
        <v>21827138.69</v>
      </c>
      <c r="H88" s="12" t="n">
        <f aca="false">'Jul-26'!B86</f>
        <v>21828401</v>
      </c>
      <c r="I88" s="12" t="n">
        <f aca="false">'Ago-26'!B88</f>
        <v>21838344.97</v>
      </c>
    </row>
    <row r="89" customFormat="false" ht="15" hidden="false" customHeight="false" outlineLevel="0" collapsed="false">
      <c r="A89" s="13" t="s">
        <v>94</v>
      </c>
      <c r="B89" s="12" t="n">
        <f aca="false">'Jan-26'!B78</f>
        <v>467011.84</v>
      </c>
      <c r="C89" s="12" t="n">
        <f aca="false">'Fev-26'!B82</f>
        <v>478549.99</v>
      </c>
      <c r="D89" s="12" t="n">
        <f aca="false">'Mar-26'!B84</f>
        <v>479905.08</v>
      </c>
      <c r="E89" s="12" t="n">
        <f aca="false">'Abr-26'!B86</f>
        <v>482592.83</v>
      </c>
      <c r="F89" s="12" t="n">
        <f aca="false">'Mai-26'!B84</f>
        <v>482985.6</v>
      </c>
      <c r="G89" s="12" t="n">
        <f aca="false">'Jun-26'!B85</f>
        <v>484746</v>
      </c>
      <c r="H89" s="12" t="n">
        <f aca="false">'Jul-26'!B87</f>
        <v>486008.31</v>
      </c>
      <c r="I89" s="12" t="n">
        <f aca="false">'Ago-26'!B89</f>
        <v>495952.28</v>
      </c>
    </row>
    <row r="90" customFormat="false" ht="15" hidden="false" customHeight="false" outlineLevel="0" collapsed="false">
      <c r="A90" s="14" t="s">
        <v>95</v>
      </c>
      <c r="B90" s="15" t="n">
        <f aca="false">'Jan-26'!B79</f>
        <v>467011.84</v>
      </c>
      <c r="C90" s="15" t="n">
        <f aca="false">'Fev-26'!B83</f>
        <v>478549.99</v>
      </c>
      <c r="D90" s="15" t="n">
        <f aca="false">'Mar-26'!B85</f>
        <v>479905.08</v>
      </c>
      <c r="E90" s="15" t="n">
        <f aca="false">'Abr-26'!B87</f>
        <v>482592.83</v>
      </c>
      <c r="F90" s="15" t="n">
        <f aca="false">'Mai-26'!B85</f>
        <v>482985.6</v>
      </c>
      <c r="G90" s="15" t="n">
        <f aca="false">'Jun-26'!B86</f>
        <v>484746</v>
      </c>
      <c r="H90" s="15" t="n">
        <f aca="false">'Jul-26'!B88</f>
        <v>486008.31</v>
      </c>
      <c r="I90" s="15" t="n">
        <f aca="false">'Ago-26'!B90</f>
        <v>495952.28</v>
      </c>
    </row>
    <row r="91" customFormat="false" ht="15" hidden="false" customHeight="false" outlineLevel="0" collapsed="false">
      <c r="A91" s="13" t="s">
        <v>96</v>
      </c>
      <c r="B91" s="12" t="n">
        <f aca="false">'Jan-26'!B80</f>
        <v>21342249.96</v>
      </c>
      <c r="C91" s="12" t="n">
        <f aca="false">'Fev-26'!B84</f>
        <v>21342249.96</v>
      </c>
      <c r="D91" s="12" t="n">
        <f aca="false">'Mar-26'!B86</f>
        <v>21342249.96</v>
      </c>
      <c r="E91" s="12" t="n">
        <f aca="false">'Abr-26'!B88</f>
        <v>21342392.69</v>
      </c>
      <c r="F91" s="12" t="n">
        <f aca="false">'Mai-26'!B86</f>
        <v>21342392.69</v>
      </c>
      <c r="G91" s="12" t="n">
        <f aca="false">'Jun-26'!B87</f>
        <v>21342392.69</v>
      </c>
      <c r="H91" s="12" t="n">
        <f aca="false">'Jul-26'!B89</f>
        <v>21342392.69</v>
      </c>
      <c r="I91" s="12" t="n">
        <f aca="false">'Ago-26'!B91</f>
        <v>21342392.69</v>
      </c>
    </row>
    <row r="92" customFormat="false" ht="15" hidden="false" customHeight="false" outlineLevel="0" collapsed="false">
      <c r="A92" s="14" t="s">
        <v>97</v>
      </c>
      <c r="B92" s="15" t="n">
        <f aca="false">'Jan-26'!B81</f>
        <v>10728710.65</v>
      </c>
      <c r="C92" s="15" t="n">
        <f aca="false">'Fev-26'!B85</f>
        <v>10728710.65</v>
      </c>
      <c r="D92" s="15" t="n">
        <f aca="false">'Mar-26'!B87</f>
        <v>10728710.65</v>
      </c>
      <c r="E92" s="15" t="n">
        <f aca="false">'Abr-26'!B89</f>
        <v>10728710.65</v>
      </c>
      <c r="F92" s="15" t="n">
        <f aca="false">'Mai-26'!B87</f>
        <v>10728710.65</v>
      </c>
      <c r="G92" s="15" t="n">
        <f aca="false">'Jun-26'!B88</f>
        <v>10728710.65</v>
      </c>
      <c r="H92" s="15" t="n">
        <f aca="false">'Jul-26'!B90</f>
        <v>10728710.65</v>
      </c>
      <c r="I92" s="15" t="n">
        <f aca="false">'Ago-26'!B92</f>
        <v>10728710.65</v>
      </c>
    </row>
    <row r="93" customFormat="false" ht="15" hidden="false" customHeight="false" outlineLevel="0" collapsed="false">
      <c r="A93" s="14" t="s">
        <v>98</v>
      </c>
      <c r="B93" s="15" t="n">
        <f aca="false">'Jan-26'!B82</f>
        <v>2182219.17</v>
      </c>
      <c r="C93" s="15" t="n">
        <f aca="false">'Fev-26'!B86</f>
        <v>2182219.17</v>
      </c>
      <c r="D93" s="15" t="n">
        <f aca="false">'Mar-26'!B88</f>
        <v>2182219.17</v>
      </c>
      <c r="E93" s="15" t="n">
        <f aca="false">'Abr-26'!B90</f>
        <v>2182361.9</v>
      </c>
      <c r="F93" s="15" t="n">
        <f aca="false">'Mai-26'!B88</f>
        <v>2182361.9</v>
      </c>
      <c r="G93" s="15" t="n">
        <f aca="false">'Jun-26'!B89</f>
        <v>2182361.9</v>
      </c>
      <c r="H93" s="15" t="n">
        <f aca="false">'Jul-26'!B91</f>
        <v>2182361.9</v>
      </c>
      <c r="I93" s="15" t="n">
        <f aca="false">'Ago-26'!B93</f>
        <v>2182361.9</v>
      </c>
    </row>
    <row r="94" customFormat="false" ht="15" hidden="false" customHeight="false" outlineLevel="0" collapsed="false">
      <c r="A94" s="14" t="s">
        <v>99</v>
      </c>
      <c r="B94" s="15" t="n">
        <f aca="false">'Jan-26'!B83</f>
        <v>47182.68</v>
      </c>
      <c r="C94" s="15" t="n">
        <f aca="false">'Fev-26'!B87</f>
        <v>47182.68</v>
      </c>
      <c r="D94" s="15" t="n">
        <f aca="false">'Mar-26'!B89</f>
        <v>47182.68</v>
      </c>
      <c r="E94" s="15" t="n">
        <f aca="false">'Abr-26'!B91</f>
        <v>47182.68</v>
      </c>
      <c r="F94" s="15" t="n">
        <f aca="false">'Mai-26'!B89</f>
        <v>47182.68</v>
      </c>
      <c r="G94" s="15" t="n">
        <f aca="false">'Jun-26'!B90</f>
        <v>47182.68</v>
      </c>
      <c r="H94" s="15" t="n">
        <f aca="false">'Jul-26'!B92</f>
        <v>47182.68</v>
      </c>
      <c r="I94" s="15" t="n">
        <f aca="false">'Ago-26'!B94</f>
        <v>47182.68</v>
      </c>
    </row>
    <row r="95" customFormat="false" ht="15" hidden="false" customHeight="false" outlineLevel="0" collapsed="false">
      <c r="A95" s="14" t="s">
        <v>100</v>
      </c>
      <c r="B95" s="15" t="n">
        <f aca="false">'Jan-26'!B84</f>
        <v>8384137.46</v>
      </c>
      <c r="C95" s="15" t="n">
        <f aca="false">'Fev-26'!B88</f>
        <v>8384137.46</v>
      </c>
      <c r="D95" s="15" t="n">
        <f aca="false">'Mar-26'!B90</f>
        <v>8384137.46</v>
      </c>
      <c r="E95" s="15" t="n">
        <f aca="false">'Abr-26'!B92</f>
        <v>8384137.46</v>
      </c>
      <c r="F95" s="15" t="n">
        <f aca="false">'Mai-26'!B90</f>
        <v>8384137.46</v>
      </c>
      <c r="G95" s="15" t="n">
        <f aca="false">'Jun-26'!B91</f>
        <v>8384137.46</v>
      </c>
      <c r="H95" s="15" t="n">
        <f aca="false">'Jul-26'!B93</f>
        <v>8384137.46</v>
      </c>
      <c r="I95" s="15" t="n">
        <f aca="false">'Ago-26'!B95</f>
        <v>8384137.46</v>
      </c>
    </row>
    <row r="96" customFormat="false" ht="15" hidden="false" customHeight="false" outlineLevel="0" collapsed="false">
      <c r="A96" s="11" t="s">
        <v>101</v>
      </c>
      <c r="B96" s="12" t="n">
        <f aca="false">'Jan-26'!B85</f>
        <v>3881945.16</v>
      </c>
      <c r="C96" s="12" t="n">
        <f aca="false">'Fev-26'!B89</f>
        <v>3915257.66</v>
      </c>
      <c r="D96" s="12" t="n">
        <f aca="false">'Mar-26'!B91</f>
        <v>3955501.62</v>
      </c>
      <c r="E96" s="12" t="n">
        <f aca="false">'Abr-26'!B93</f>
        <v>3981039.49</v>
      </c>
      <c r="F96" s="12" t="n">
        <f aca="false">'Mai-26'!B91</f>
        <v>4030657.61</v>
      </c>
      <c r="G96" s="12" t="n">
        <f aca="false">'Jun-26'!B92</f>
        <v>4043695.45</v>
      </c>
      <c r="H96" s="12" t="n">
        <f aca="false">'Jul-26'!B94</f>
        <v>4066799.11</v>
      </c>
      <c r="I96" s="12" t="n">
        <f aca="false">'Ago-26'!B96</f>
        <v>4100304.28</v>
      </c>
    </row>
    <row r="97" customFormat="false" ht="15" hidden="false" customHeight="false" outlineLevel="0" collapsed="false">
      <c r="A97" s="13" t="s">
        <v>102</v>
      </c>
      <c r="B97" s="12" t="n">
        <f aca="false">'Jan-26'!B86</f>
        <v>1632864.31</v>
      </c>
      <c r="C97" s="12" t="n">
        <f aca="false">'Fev-26'!B90</f>
        <v>1632864.31</v>
      </c>
      <c r="D97" s="12" t="n">
        <f aca="false">'Mar-26'!B92</f>
        <v>1632864.31</v>
      </c>
      <c r="E97" s="12" t="n">
        <f aca="false">'Abr-26'!B94</f>
        <v>1632864.31</v>
      </c>
      <c r="F97" s="12" t="n">
        <f aca="false">'Mai-26'!B92</f>
        <v>1632864.31</v>
      </c>
      <c r="G97" s="12" t="n">
        <f aca="false">'Jun-26'!B93</f>
        <v>1632864.31</v>
      </c>
      <c r="H97" s="12" t="n">
        <f aca="false">'Jul-26'!B95</f>
        <v>1632864.31</v>
      </c>
      <c r="I97" s="12" t="n">
        <f aca="false">'Ago-26'!B97</f>
        <v>1632864.31</v>
      </c>
    </row>
    <row r="98" customFormat="false" ht="15" hidden="false" customHeight="false" outlineLevel="0" collapsed="false">
      <c r="A98" s="14" t="s">
        <v>103</v>
      </c>
      <c r="B98" s="15" t="n">
        <f aca="false">'Jan-26'!B87</f>
        <v>1632864.31</v>
      </c>
      <c r="C98" s="15" t="n">
        <f aca="false">'Fev-26'!B91</f>
        <v>1632864.31</v>
      </c>
      <c r="D98" s="15" t="n">
        <f aca="false">'Mar-26'!B93</f>
        <v>1632864.31</v>
      </c>
      <c r="E98" s="15" t="n">
        <f aca="false">'Abr-26'!B95</f>
        <v>1632864.31</v>
      </c>
      <c r="F98" s="15" t="n">
        <f aca="false">'Mai-26'!B93</f>
        <v>1632864.31</v>
      </c>
      <c r="G98" s="15" t="n">
        <f aca="false">'Jun-26'!B94</f>
        <v>1632864.31</v>
      </c>
      <c r="H98" s="15" t="n">
        <f aca="false">'Jul-26'!B96</f>
        <v>1632864.31</v>
      </c>
      <c r="I98" s="15" t="n">
        <f aca="false">'Ago-26'!B98</f>
        <v>1632864.31</v>
      </c>
    </row>
    <row r="99" customFormat="false" ht="15" hidden="false" customHeight="false" outlineLevel="0" collapsed="false">
      <c r="A99" s="13" t="s">
        <v>104</v>
      </c>
      <c r="B99" s="12" t="n">
        <f aca="false">'Jan-26'!B88</f>
        <v>1677313.15</v>
      </c>
      <c r="C99" s="12" t="n">
        <f aca="false">'Fev-26'!B92</f>
        <v>1700153.76</v>
      </c>
      <c r="D99" s="12" t="n">
        <f aca="false">'Mar-26'!B94</f>
        <v>1713045.16</v>
      </c>
      <c r="E99" s="12" t="n">
        <f aca="false">'Abr-26'!B96</f>
        <v>1724659.1</v>
      </c>
      <c r="F99" s="12" t="n">
        <f aca="false">'Mai-26'!B94</f>
        <v>1740940.58</v>
      </c>
      <c r="G99" s="12" t="n">
        <f aca="false">'Jun-26'!B95</f>
        <v>1743212.53</v>
      </c>
      <c r="H99" s="12" t="n">
        <f aca="false">'Jul-26'!B97</f>
        <v>1753159.9</v>
      </c>
      <c r="I99" s="12" t="n">
        <f aca="false">'Ago-26'!B99</f>
        <v>1773523.16</v>
      </c>
    </row>
    <row r="100" customFormat="false" ht="15" hidden="false" customHeight="false" outlineLevel="0" collapsed="false">
      <c r="A100" s="14" t="s">
        <v>105</v>
      </c>
      <c r="B100" s="15" t="n">
        <f aca="false">'Jan-26'!B89</f>
        <v>1203490</v>
      </c>
      <c r="C100" s="15" t="n">
        <f aca="false">'Fev-26'!B93</f>
        <v>1203490</v>
      </c>
      <c r="D100" s="15" t="n">
        <f aca="false">'Mar-26'!B95</f>
        <v>1203490</v>
      </c>
      <c r="E100" s="15" t="n">
        <f aca="false">'Abr-26'!B97</f>
        <v>1203490</v>
      </c>
      <c r="F100" s="15" t="n">
        <f aca="false">'Mai-26'!B95</f>
        <v>1203490</v>
      </c>
      <c r="G100" s="15" t="n">
        <f aca="false">'Jun-26'!B96</f>
        <v>1203490</v>
      </c>
      <c r="H100" s="15" t="n">
        <f aca="false">'Jul-26'!B98</f>
        <v>1203490</v>
      </c>
      <c r="I100" s="15" t="n">
        <f aca="false">'Ago-26'!B100</f>
        <v>1203490</v>
      </c>
    </row>
    <row r="101" customFormat="false" ht="15" hidden="false" customHeight="false" outlineLevel="0" collapsed="false">
      <c r="A101" s="14" t="s">
        <v>106</v>
      </c>
      <c r="B101" s="15" t="n">
        <f aca="false">'Jan-26'!B90</f>
        <v>445982</v>
      </c>
      <c r="C101" s="15" t="n">
        <f aca="false">'Fev-26'!B94</f>
        <v>468822.61</v>
      </c>
      <c r="D101" s="15" t="n">
        <f aca="false">'Mar-26'!B96</f>
        <v>481714.01</v>
      </c>
      <c r="E101" s="15" t="n">
        <f aca="false">'Abr-26'!B98</f>
        <v>493327.95</v>
      </c>
      <c r="F101" s="15" t="n">
        <f aca="false">'Mai-26'!B96</f>
        <v>509609.43</v>
      </c>
      <c r="G101" s="15" t="n">
        <f aca="false">'Jun-26'!B97</f>
        <v>511881.38</v>
      </c>
      <c r="H101" s="15" t="n">
        <f aca="false">'Jul-26'!B99</f>
        <v>521828.75</v>
      </c>
      <c r="I101" s="15" t="n">
        <f aca="false">'Ago-26'!B101</f>
        <v>542192.01</v>
      </c>
    </row>
    <row r="102" customFormat="false" ht="15" hidden="false" customHeight="false" outlineLevel="0" collapsed="false">
      <c r="A102" s="14" t="s">
        <v>107</v>
      </c>
      <c r="B102" s="15" t="n">
        <f aca="false">'Jan-26'!B91</f>
        <v>27841.15</v>
      </c>
      <c r="C102" s="15" t="n">
        <f aca="false">'Fev-26'!B95</f>
        <v>27841.15</v>
      </c>
      <c r="D102" s="15" t="n">
        <f aca="false">'Mar-26'!B97</f>
        <v>27841.15</v>
      </c>
      <c r="E102" s="15" t="n">
        <f aca="false">'Abr-26'!B99</f>
        <v>27841.15</v>
      </c>
      <c r="F102" s="15" t="n">
        <f aca="false">'Mai-26'!B97</f>
        <v>27841.15</v>
      </c>
      <c r="G102" s="15" t="n">
        <f aca="false">'Jun-26'!B98</f>
        <v>27841.15</v>
      </c>
      <c r="H102" s="15" t="n">
        <f aca="false">'Jul-26'!B100</f>
        <v>27841.15</v>
      </c>
      <c r="I102" s="15" t="n">
        <f aca="false">'Ago-26'!B102</f>
        <v>27841.15</v>
      </c>
    </row>
    <row r="103" customFormat="false" ht="15" hidden="false" customHeight="false" outlineLevel="0" collapsed="false">
      <c r="A103" s="13" t="s">
        <v>108</v>
      </c>
      <c r="B103" s="12" t="n">
        <f aca="false">'Jan-26'!B92</f>
        <v>350873.86</v>
      </c>
      <c r="C103" s="12" t="n">
        <f aca="false">'Fev-26'!B96</f>
        <v>361345.75</v>
      </c>
      <c r="D103" s="12" t="n">
        <f aca="false">'Mar-26'!B98</f>
        <v>371871.27</v>
      </c>
      <c r="E103" s="12" t="n">
        <f aca="false">'Abr-26'!B100</f>
        <v>382423.2</v>
      </c>
      <c r="F103" s="12" t="n">
        <f aca="false">'Mai-26'!B98</f>
        <v>395328.4</v>
      </c>
      <c r="G103" s="12" t="n">
        <f aca="false">'Jun-26'!B99</f>
        <v>406094.29</v>
      </c>
      <c r="H103" s="12" t="n">
        <f aca="false">'Jul-26'!B101</f>
        <v>419250.58</v>
      </c>
      <c r="I103" s="12" t="n">
        <f aca="false">'Ago-26'!B103</f>
        <v>432392.49</v>
      </c>
    </row>
    <row r="104" customFormat="false" ht="15" hidden="false" customHeight="false" outlineLevel="0" collapsed="false">
      <c r="A104" s="14" t="s">
        <v>109</v>
      </c>
      <c r="B104" s="15" t="n">
        <f aca="false">'Jan-26'!B93</f>
        <v>50472.83</v>
      </c>
      <c r="C104" s="15" t="n">
        <f aca="false">'Fev-26'!B97</f>
        <v>51341.77</v>
      </c>
      <c r="D104" s="15" t="n">
        <f aca="false">'Mar-26'!B99</f>
        <v>52210.58</v>
      </c>
      <c r="E104" s="15" t="n">
        <f aca="false">'Abr-26'!B101</f>
        <v>53093.54</v>
      </c>
      <c r="F104" s="15" t="n">
        <f aca="false">'Mai-26'!B99</f>
        <v>53980.76</v>
      </c>
      <c r="G104" s="15" t="n">
        <f aca="false">'Jun-26'!B100</f>
        <v>54861.86</v>
      </c>
      <c r="H104" s="15" t="n">
        <f aca="false">'Jul-26'!B102</f>
        <v>55786</v>
      </c>
      <c r="I104" s="15" t="n">
        <f aca="false">'Ago-26'!B104</f>
        <v>56734.22</v>
      </c>
    </row>
    <row r="105" customFormat="false" ht="15" hidden="false" customHeight="false" outlineLevel="0" collapsed="false">
      <c r="A105" s="14" t="s">
        <v>110</v>
      </c>
      <c r="B105" s="15" t="n">
        <f aca="false">'Jan-26'!B94</f>
        <v>65024.52</v>
      </c>
      <c r="C105" s="15" t="n">
        <f aca="false">'Fev-26'!B98</f>
        <v>66295</v>
      </c>
      <c r="D105" s="15" t="n">
        <f aca="false">'Mar-26'!B100</f>
        <v>67565.48</v>
      </c>
      <c r="E105" s="15" t="n">
        <f aca="false">'Abr-26'!B102</f>
        <v>68835.96</v>
      </c>
      <c r="F105" s="15" t="n">
        <f aca="false">'Mai-26'!B100</f>
        <v>70159.04</v>
      </c>
      <c r="G105" s="15" t="n">
        <f aca="false">'Jun-26'!B101</f>
        <v>71482.12</v>
      </c>
      <c r="H105" s="15" t="n">
        <f aca="false">'Jul-26'!B103</f>
        <v>72805.2</v>
      </c>
      <c r="I105" s="15" t="n">
        <f aca="false">'Ago-26'!B105</f>
        <v>74128.28</v>
      </c>
    </row>
    <row r="106" customFormat="false" ht="15" hidden="false" customHeight="false" outlineLevel="0" collapsed="false">
      <c r="A106" s="14" t="s">
        <v>111</v>
      </c>
      <c r="B106" s="15" t="n">
        <f aca="false">'Jan-26'!B95</f>
        <v>65024.52</v>
      </c>
      <c r="C106" s="15" t="n">
        <f aca="false">'Fev-26'!B99</f>
        <v>66295</v>
      </c>
      <c r="D106" s="15" t="n">
        <f aca="false">'Mar-26'!B101</f>
        <v>67565.48</v>
      </c>
      <c r="E106" s="15" t="n">
        <f aca="false">'Abr-26'!B103</f>
        <v>68835.96</v>
      </c>
      <c r="F106" s="15" t="n">
        <f aca="false">'Mai-26'!B101</f>
        <v>70159.04</v>
      </c>
      <c r="G106" s="15" t="n">
        <f aca="false">'Jun-26'!B102</f>
        <v>71482.12</v>
      </c>
      <c r="H106" s="15" t="n">
        <f aca="false">'Jul-26'!B104</f>
        <v>72805.2</v>
      </c>
      <c r="I106" s="15" t="n">
        <f aca="false">'Ago-26'!B106</f>
        <v>74128.28</v>
      </c>
    </row>
    <row r="107" customFormat="false" ht="15" hidden="false" customHeight="false" outlineLevel="0" collapsed="false">
      <c r="A107" s="14" t="s">
        <v>112</v>
      </c>
      <c r="B107" s="15" t="n">
        <f aca="false">'Jan-26'!B96</f>
        <v>59693.07</v>
      </c>
      <c r="C107" s="15" t="n">
        <f aca="false">'Fev-26'!B100</f>
        <v>60942.64</v>
      </c>
      <c r="D107" s="15" t="n">
        <f aca="false">'Mar-26'!B102</f>
        <v>62192.21</v>
      </c>
      <c r="E107" s="15" t="n">
        <f aca="false">'Abr-26'!B104</f>
        <v>63441.78</v>
      </c>
      <c r="F107" s="15" t="n">
        <f aca="false">'Mai-26'!B102</f>
        <v>64691.35</v>
      </c>
      <c r="G107" s="15" t="n">
        <f aca="false">'Jun-26'!B103</f>
        <v>65940.92</v>
      </c>
      <c r="H107" s="15" t="n">
        <f aca="false">'Jul-26'!B105</f>
        <v>67249.46</v>
      </c>
      <c r="I107" s="15" t="n">
        <f aca="false">'Ago-26'!B107</f>
        <v>68558</v>
      </c>
    </row>
    <row r="108" customFormat="false" ht="15" hidden="false" customHeight="false" outlineLevel="0" collapsed="false">
      <c r="A108" s="14" t="s">
        <v>113</v>
      </c>
      <c r="B108" s="15" t="n">
        <f aca="false">'Jan-26'!B97</f>
        <v>43311.58</v>
      </c>
      <c r="C108" s="15" t="n">
        <f aca="false">'Fev-26'!B101</f>
        <v>44396.96</v>
      </c>
      <c r="D108" s="15" t="n">
        <f aca="false">'Mar-26'!B103</f>
        <v>45482.34</v>
      </c>
      <c r="E108" s="15" t="n">
        <f aca="false">'Abr-26'!B105</f>
        <v>46567.72</v>
      </c>
      <c r="F108" s="15" t="n">
        <f aca="false">'Mai-26'!B103</f>
        <v>47653.1</v>
      </c>
      <c r="G108" s="15" t="n">
        <f aca="false">'Jun-26'!B104</f>
        <v>48738.48</v>
      </c>
      <c r="H108" s="15" t="n">
        <f aca="false">'Jul-26'!B106</f>
        <v>49875.1</v>
      </c>
      <c r="I108" s="15" t="n">
        <f aca="false">'Ago-26'!B108</f>
        <v>51011.72</v>
      </c>
    </row>
    <row r="109" customFormat="false" ht="15" hidden="false" customHeight="false" outlineLevel="0" collapsed="false">
      <c r="A109" s="14" t="s">
        <v>114</v>
      </c>
      <c r="B109" s="15" t="n">
        <f aca="false">'Jan-26'!B98</f>
        <v>35848.8</v>
      </c>
      <c r="C109" s="15" t="n">
        <f aca="false">'Fev-26'!B102</f>
        <v>37359</v>
      </c>
      <c r="D109" s="15" t="n">
        <f aca="false">'Mar-26'!B104</f>
        <v>38922.96</v>
      </c>
      <c r="E109" s="15" t="n">
        <f aca="false">'Abr-26'!B106</f>
        <v>40499.18</v>
      </c>
      <c r="F109" s="15" t="n">
        <f aca="false">'Mai-26'!B104</f>
        <v>42079.26</v>
      </c>
      <c r="G109" s="15" t="n">
        <f aca="false">'Jun-26'!B105</f>
        <v>43667.22</v>
      </c>
      <c r="H109" s="15" t="n">
        <f aca="false">'Jul-26'!B107</f>
        <v>45252.38</v>
      </c>
      <c r="I109" s="15" t="n">
        <f aca="false">'Ago-26'!B109</f>
        <v>46814.23</v>
      </c>
    </row>
    <row r="110" customFormat="false" ht="15" hidden="false" customHeight="false" outlineLevel="0" collapsed="false">
      <c r="A110" s="14" t="s">
        <v>115</v>
      </c>
      <c r="B110" s="15" t="n">
        <f aca="false">'Jan-26'!B99</f>
        <v>15731.74</v>
      </c>
      <c r="C110" s="15" t="n">
        <f aca="false">'Fev-26'!B103</f>
        <v>16696.18</v>
      </c>
      <c r="D110" s="15" t="n">
        <f aca="false">'Mar-26'!B105</f>
        <v>17660.62</v>
      </c>
      <c r="E110" s="15" t="n">
        <f aca="false">'Abr-26'!B107</f>
        <v>18625.06</v>
      </c>
      <c r="F110" s="15" t="n">
        <f aca="false">'Mai-26'!B105</f>
        <v>19589.5</v>
      </c>
      <c r="G110" s="15" t="n">
        <f aca="false">'Jun-26'!B106</f>
        <v>20553.94</v>
      </c>
      <c r="H110" s="15" t="n">
        <f aca="false">'Jul-26'!B108</f>
        <v>21518.38</v>
      </c>
      <c r="I110" s="15" t="n">
        <f aca="false">'Ago-26'!B110</f>
        <v>22482.82</v>
      </c>
    </row>
    <row r="111" customFormat="false" ht="15" hidden="false" customHeight="false" outlineLevel="0" collapsed="false">
      <c r="A111" s="14" t="s">
        <v>116</v>
      </c>
      <c r="B111" s="15" t="n">
        <f aca="false">'Jan-26'!B100</f>
        <v>15766.8</v>
      </c>
      <c r="C111" s="15" t="n">
        <f aca="false">'Fev-26'!B104</f>
        <v>18019.2</v>
      </c>
      <c r="D111" s="15" t="n">
        <f aca="false">'Mar-26'!B106</f>
        <v>20271.6</v>
      </c>
      <c r="E111" s="15" t="n">
        <f aca="false">'Abr-26'!B108</f>
        <v>22524</v>
      </c>
      <c r="F111" s="15" t="n">
        <f aca="false">'Mai-26'!B106</f>
        <v>24776.4</v>
      </c>
      <c r="G111" s="15" t="n">
        <f aca="false">'Jun-26'!B107</f>
        <v>27127.68</v>
      </c>
      <c r="H111" s="15" t="n">
        <f aca="false">'Jul-26'!B109</f>
        <v>29478.96</v>
      </c>
      <c r="I111" s="15" t="n">
        <f aca="false">'Ago-26'!B111</f>
        <v>31830.24</v>
      </c>
    </row>
    <row r="112" customFormat="false" ht="15" hidden="false" customHeight="false" outlineLevel="0" collapsed="false">
      <c r="A112" s="14" t="s">
        <v>117</v>
      </c>
      <c r="B112" s="15"/>
      <c r="C112" s="15"/>
      <c r="D112" s="15"/>
      <c r="E112" s="15"/>
      <c r="F112" s="15" t="n">
        <f aca="false">'Mai-26'!B107</f>
        <v>2239.95</v>
      </c>
      <c r="G112" s="15" t="n">
        <f aca="false">'Jun-26'!B108</f>
        <v>2239.95</v>
      </c>
      <c r="H112" s="15" t="n">
        <f aca="false">'Jul-26'!B110</f>
        <v>4479.9</v>
      </c>
      <c r="I112" s="15" t="n">
        <f aca="false">'Ago-26'!B112</f>
        <v>6704.7</v>
      </c>
    </row>
    <row r="113" customFormat="false" ht="15" hidden="false" customHeight="false" outlineLevel="0" collapsed="false">
      <c r="A113" s="13" t="s">
        <v>118</v>
      </c>
      <c r="B113" s="12" t="n">
        <f aca="false">'Jan-26'!B101</f>
        <v>220893.84</v>
      </c>
      <c r="C113" s="12" t="n">
        <f aca="false">'Fev-26'!B105</f>
        <v>220893.84</v>
      </c>
      <c r="D113" s="12" t="n">
        <f aca="false">'Mar-26'!B107</f>
        <v>237720.88</v>
      </c>
      <c r="E113" s="12" t="n">
        <f aca="false">'Abr-26'!B109</f>
        <v>241092.88</v>
      </c>
      <c r="F113" s="12" t="n">
        <f aca="false">'Mai-26'!B108</f>
        <v>261524.32</v>
      </c>
      <c r="G113" s="12" t="n">
        <f aca="false">'Jun-26'!B109</f>
        <v>261524.32</v>
      </c>
      <c r="H113" s="12" t="n">
        <f aca="false">'Jul-26'!B111</f>
        <v>261524.32</v>
      </c>
      <c r="I113" s="12" t="n">
        <f aca="false">'Ago-26'!B113</f>
        <v>261524.32</v>
      </c>
    </row>
    <row r="114" customFormat="false" ht="15" hidden="false" customHeight="false" outlineLevel="0" collapsed="false">
      <c r="A114" s="14" t="s">
        <v>119</v>
      </c>
      <c r="B114" s="15" t="n">
        <f aca="false">'Jan-26'!B102</f>
        <v>93815.51</v>
      </c>
      <c r="C114" s="15" t="n">
        <f aca="false">'Fev-26'!B106</f>
        <v>93815.51</v>
      </c>
      <c r="D114" s="15" t="n">
        <f aca="false">'Mar-26'!B108</f>
        <v>104705.76</v>
      </c>
      <c r="E114" s="15" t="n">
        <f aca="false">'Abr-26'!B110</f>
        <v>104705.76</v>
      </c>
      <c r="F114" s="15" t="n">
        <f aca="false">'Mai-26'!B109</f>
        <v>124705.76</v>
      </c>
      <c r="G114" s="15" t="n">
        <f aca="false">'Jun-26'!B110</f>
        <v>124705.76</v>
      </c>
      <c r="H114" s="15" t="n">
        <f aca="false">'Jul-26'!B112</f>
        <v>124705.76</v>
      </c>
      <c r="I114" s="15" t="n">
        <f aca="false">'Ago-26'!B114</f>
        <v>124705.76</v>
      </c>
    </row>
    <row r="115" customFormat="false" ht="15" hidden="false" customHeight="false" outlineLevel="0" collapsed="false">
      <c r="A115" s="14" t="s">
        <v>120</v>
      </c>
      <c r="B115" s="15" t="n">
        <f aca="false">'Jan-26'!B103</f>
        <v>26314.07</v>
      </c>
      <c r="C115" s="15" t="n">
        <f aca="false">'Fev-26'!B107</f>
        <v>26314.07</v>
      </c>
      <c r="D115" s="15" t="n">
        <f aca="false">'Mar-26'!B109</f>
        <v>32250.86</v>
      </c>
      <c r="E115" s="15" t="n">
        <f aca="false">'Abr-26'!B111</f>
        <v>32250.86</v>
      </c>
      <c r="F115" s="15" t="n">
        <f aca="false">'Mai-26'!B110</f>
        <v>32250.86</v>
      </c>
      <c r="G115" s="15" t="n">
        <f aca="false">'Jun-26'!B111</f>
        <v>32250.86</v>
      </c>
      <c r="H115" s="15" t="n">
        <f aca="false">'Jul-26'!B113</f>
        <v>32250.86</v>
      </c>
      <c r="I115" s="15" t="n">
        <f aca="false">'Ago-26'!B115</f>
        <v>32250.86</v>
      </c>
    </row>
    <row r="116" customFormat="false" ht="15" hidden="false" customHeight="false" outlineLevel="0" collapsed="false">
      <c r="A116" s="14" t="s">
        <v>121</v>
      </c>
      <c r="B116" s="15" t="n">
        <f aca="false">'Jan-26'!B104</f>
        <v>21984.26</v>
      </c>
      <c r="C116" s="15" t="n">
        <f aca="false">'Fev-26'!B108</f>
        <v>21984.26</v>
      </c>
      <c r="D116" s="15" t="n">
        <f aca="false">'Mar-26'!B110</f>
        <v>21984.26</v>
      </c>
      <c r="E116" s="15" t="n">
        <f aca="false">'Abr-26'!B112</f>
        <v>21984.26</v>
      </c>
      <c r="F116" s="15" t="n">
        <f aca="false">'Mai-26'!B111</f>
        <v>22415.7</v>
      </c>
      <c r="G116" s="15" t="n">
        <f aca="false">'Jun-26'!B112</f>
        <v>22415.7</v>
      </c>
      <c r="H116" s="15" t="n">
        <f aca="false">'Jul-26'!B114</f>
        <v>22415.7</v>
      </c>
      <c r="I116" s="15" t="n">
        <f aca="false">'Ago-26'!B116</f>
        <v>22415.7</v>
      </c>
    </row>
    <row r="117" customFormat="false" ht="15" hidden="false" customHeight="false" outlineLevel="0" collapsed="false">
      <c r="A117" s="14" t="s">
        <v>122</v>
      </c>
      <c r="B117" s="15" t="n">
        <f aca="false">'Jan-26'!B105</f>
        <v>78780</v>
      </c>
      <c r="C117" s="15" t="n">
        <f aca="false">'Fev-26'!B109</f>
        <v>78780</v>
      </c>
      <c r="D117" s="15" t="n">
        <f aca="false">'Mar-26'!B111</f>
        <v>78780</v>
      </c>
      <c r="E117" s="15" t="n">
        <f aca="false">'Abr-26'!B113</f>
        <v>82152</v>
      </c>
      <c r="F117" s="15" t="n">
        <f aca="false">'Mai-26'!B112</f>
        <v>82152</v>
      </c>
      <c r="G117" s="15" t="n">
        <f aca="false">'Jun-26'!B113</f>
        <v>82152</v>
      </c>
      <c r="H117" s="15" t="n">
        <f aca="false">'Jul-26'!B115</f>
        <v>82152</v>
      </c>
      <c r="I117" s="15" t="n">
        <f aca="false">'Ago-26'!B117</f>
        <v>82152</v>
      </c>
    </row>
    <row r="118" customFormat="false" ht="15" hidden="false" customHeight="false" outlineLevel="0" collapsed="false">
      <c r="A118" s="11" t="s">
        <v>123</v>
      </c>
      <c r="B118" s="12" t="n">
        <f aca="false">'Jan-26'!B106</f>
        <v>24530597.28</v>
      </c>
      <c r="C118" s="12" t="n">
        <f aca="false">'Fev-26'!B110</f>
        <v>24597219.69</v>
      </c>
      <c r="D118" s="12" t="n">
        <f aca="false">'Mar-26'!B112</f>
        <v>24466646.65</v>
      </c>
      <c r="E118" s="12" t="n">
        <f aca="false">'Abr-26'!B114</f>
        <v>24279562.17</v>
      </c>
      <c r="F118" s="12" t="n">
        <f aca="false">'Mai-26'!B113</f>
        <v>23937656.74</v>
      </c>
      <c r="G118" s="12" t="n">
        <f aca="false">'Jun-26'!B114</f>
        <v>23696458.28</v>
      </c>
      <c r="H118" s="12" t="n">
        <f aca="false">'Jul-26'!B116</f>
        <v>23292328.18</v>
      </c>
      <c r="I118" s="12" t="n">
        <f aca="false">'Ago-26'!B118</f>
        <v>23196015.46</v>
      </c>
    </row>
    <row r="119" customFormat="false" ht="15" hidden="false" customHeight="false" outlineLevel="0" collapsed="false">
      <c r="A119" s="13" t="s">
        <v>105</v>
      </c>
      <c r="B119" s="12" t="n">
        <f aca="false">'Jan-26'!B107</f>
        <v>6711830</v>
      </c>
      <c r="C119" s="12" t="n">
        <f aca="false">'Fev-26'!B111</f>
        <v>6711830</v>
      </c>
      <c r="D119" s="12" t="n">
        <f aca="false">'Mar-26'!B113</f>
        <v>6711830</v>
      </c>
      <c r="E119" s="12" t="n">
        <f aca="false">'Abr-26'!B115</f>
        <v>6711830</v>
      </c>
      <c r="F119" s="12" t="n">
        <f aca="false">'Mai-26'!B114</f>
        <v>6711830</v>
      </c>
      <c r="G119" s="12" t="n">
        <f aca="false">'Jun-26'!B115</f>
        <v>6711830</v>
      </c>
      <c r="H119" s="12" t="n">
        <f aca="false">'Jul-26'!B117</f>
        <v>6711830</v>
      </c>
      <c r="I119" s="12" t="n">
        <f aca="false">'Ago-26'!B119</f>
        <v>6711830</v>
      </c>
    </row>
    <row r="120" customFormat="false" ht="15" hidden="false" customHeight="false" outlineLevel="0" collapsed="false">
      <c r="A120" s="14" t="s">
        <v>105</v>
      </c>
      <c r="B120" s="15" t="n">
        <f aca="false">'Jan-26'!B108</f>
        <v>6711830</v>
      </c>
      <c r="C120" s="15" t="n">
        <f aca="false">'Fev-26'!B112</f>
        <v>6711830</v>
      </c>
      <c r="D120" s="15" t="n">
        <f aca="false">'Mar-26'!B114</f>
        <v>6711830</v>
      </c>
      <c r="E120" s="15" t="n">
        <f aca="false">'Abr-26'!B116</f>
        <v>6711830</v>
      </c>
      <c r="F120" s="15" t="n">
        <f aca="false">'Mai-26'!B115</f>
        <v>6711830</v>
      </c>
      <c r="G120" s="15" t="n">
        <f aca="false">'Jun-26'!B116</f>
        <v>6711830</v>
      </c>
      <c r="H120" s="15" t="n">
        <f aca="false">'Jul-26'!B118</f>
        <v>6711830</v>
      </c>
      <c r="I120" s="15" t="n">
        <f aca="false">'Ago-26'!B120</f>
        <v>6711830</v>
      </c>
    </row>
    <row r="121" customFormat="false" ht="15" hidden="false" customHeight="false" outlineLevel="0" collapsed="false">
      <c r="A121" s="13" t="s">
        <v>124</v>
      </c>
      <c r="B121" s="12" t="n">
        <f aca="false">'Jan-26'!B109</f>
        <v>2064316.57</v>
      </c>
      <c r="C121" s="12" t="n">
        <f aca="false">'Fev-26'!B113</f>
        <v>2151462.87</v>
      </c>
      <c r="D121" s="12" t="n">
        <f aca="false">'Mar-26'!B115</f>
        <v>2151462.87</v>
      </c>
      <c r="E121" s="12" t="n">
        <f aca="false">'Abr-26'!B117</f>
        <v>2151462.87</v>
      </c>
      <c r="F121" s="12" t="n">
        <f aca="false">'Mai-26'!B116</f>
        <v>2151462.87</v>
      </c>
      <c r="G121" s="12" t="n">
        <f aca="false">'Jun-26'!B117</f>
        <v>2151462.87</v>
      </c>
      <c r="H121" s="12" t="n">
        <f aca="false">'Jul-26'!B119</f>
        <v>2151462.87</v>
      </c>
      <c r="I121" s="12" t="n">
        <f aca="false">'Ago-26'!B121</f>
        <v>2151462.87</v>
      </c>
    </row>
    <row r="122" customFormat="false" ht="15" hidden="false" customHeight="false" outlineLevel="0" collapsed="false">
      <c r="A122" s="14" t="s">
        <v>125</v>
      </c>
      <c r="B122" s="15" t="n">
        <f aca="false">'Jan-26'!B110</f>
        <v>2064316.57</v>
      </c>
      <c r="C122" s="15" t="n">
        <f aca="false">'Fev-26'!B114</f>
        <v>2151462.87</v>
      </c>
      <c r="D122" s="15" t="n">
        <f aca="false">'Mar-26'!B116</f>
        <v>2151462.87</v>
      </c>
      <c r="E122" s="15" t="n">
        <f aca="false">'Abr-26'!B118</f>
        <v>2151462.87</v>
      </c>
      <c r="F122" s="15" t="n">
        <f aca="false">'Mai-26'!B117</f>
        <v>2151462.87</v>
      </c>
      <c r="G122" s="15" t="n">
        <f aca="false">'Jun-26'!B118</f>
        <v>2151462.87</v>
      </c>
      <c r="H122" s="15" t="n">
        <f aca="false">'Jul-26'!B120</f>
        <v>2151462.87</v>
      </c>
      <c r="I122" s="15" t="n">
        <f aca="false">'Ago-26'!B122</f>
        <v>2151462.87</v>
      </c>
    </row>
    <row r="123" customFormat="false" ht="15" hidden="false" customHeight="false" outlineLevel="0" collapsed="false">
      <c r="A123" s="13" t="s">
        <v>126</v>
      </c>
      <c r="B123" s="12" t="n">
        <f aca="false">'Jan-26'!B111</f>
        <v>19275752.51</v>
      </c>
      <c r="C123" s="12" t="n">
        <f aca="false">'Fev-26'!B115</f>
        <v>19411275.53</v>
      </c>
      <c r="D123" s="12" t="n">
        <f aca="false">'Mar-26'!B117</f>
        <v>19447486.16</v>
      </c>
      <c r="E123" s="12" t="n">
        <f aca="false">'Abr-26'!B119</f>
        <v>19457123.46</v>
      </c>
      <c r="F123" s="12" t="n">
        <f aca="false">'Mai-26'!B118</f>
        <v>19344996.28</v>
      </c>
      <c r="G123" s="12" t="n">
        <f aca="false">'Jun-26'!B119</f>
        <v>19443695.48</v>
      </c>
      <c r="H123" s="12" t="n">
        <f aca="false">'Jul-26'!B121</f>
        <v>19235550.68</v>
      </c>
      <c r="I123" s="12" t="n">
        <f aca="false">'Ago-26'!B123</f>
        <v>19502885.51</v>
      </c>
    </row>
    <row r="124" customFormat="false" ht="15" hidden="false" customHeight="false" outlineLevel="0" collapsed="false">
      <c r="A124" s="14" t="s">
        <v>127</v>
      </c>
      <c r="B124" s="15" t="n">
        <f aca="false">'Jan-26'!B112</f>
        <v>19275752.51</v>
      </c>
      <c r="C124" s="15" t="n">
        <f aca="false">'Fev-26'!B116</f>
        <v>19411275.53</v>
      </c>
      <c r="D124" s="15" t="n">
        <f aca="false">'Mar-26'!B118</f>
        <v>19447486.16</v>
      </c>
      <c r="E124" s="15" t="n">
        <f aca="false">'Abr-26'!B120</f>
        <v>19457123.46</v>
      </c>
      <c r="F124" s="15" t="n">
        <f aca="false">'Mai-26'!B119</f>
        <v>19344996.28</v>
      </c>
      <c r="G124" s="15" t="n">
        <f aca="false">'Jun-26'!B120</f>
        <v>19443695.48</v>
      </c>
      <c r="H124" s="15" t="n">
        <f aca="false">'Jul-26'!B122</f>
        <v>19235550.68</v>
      </c>
      <c r="I124" s="15" t="n">
        <f aca="false">'Ago-26'!B124</f>
        <v>19502885.51</v>
      </c>
    </row>
    <row r="125" customFormat="false" ht="15" hidden="false" customHeight="false" outlineLevel="0" collapsed="false">
      <c r="A125" s="13" t="s">
        <v>128</v>
      </c>
      <c r="B125" s="12" t="n">
        <f aca="false">'Jan-26'!B113</f>
        <v>661278.48</v>
      </c>
      <c r="C125" s="12" t="n">
        <f aca="false">'Fev-26'!B117</f>
        <v>664206.18</v>
      </c>
      <c r="D125" s="12" t="n">
        <f aca="false">'Mar-26'!B119</f>
        <v>673999.63</v>
      </c>
      <c r="E125" s="12" t="n">
        <f aca="false">'Abr-26'!B121</f>
        <v>689152.11</v>
      </c>
      <c r="F125" s="12" t="n">
        <f aca="false">'Mai-26'!B120</f>
        <v>690273.91</v>
      </c>
      <c r="G125" s="12" t="n">
        <f aca="false">'Jun-26'!B121</f>
        <v>700554.56</v>
      </c>
      <c r="H125" s="12" t="n">
        <f aca="false">'Jul-26'!B123</f>
        <v>702293.46</v>
      </c>
      <c r="I125" s="12" t="n">
        <f aca="false">'Ago-26'!B125</f>
        <v>710851.33</v>
      </c>
    </row>
    <row r="126" customFormat="false" ht="15" hidden="false" customHeight="false" outlineLevel="0" collapsed="false">
      <c r="A126" s="14" t="s">
        <v>129</v>
      </c>
      <c r="B126" s="15" t="n">
        <f aca="false">'Jan-26'!B114</f>
        <v>92262.56</v>
      </c>
      <c r="C126" s="15" t="n">
        <f aca="false">'Fev-26'!B118</f>
        <v>92262.56</v>
      </c>
      <c r="D126" s="15" t="n">
        <f aca="false">'Mar-26'!B120</f>
        <v>92262.56</v>
      </c>
      <c r="E126" s="15" t="n">
        <f aca="false">'Abr-26'!B122</f>
        <v>92262.56</v>
      </c>
      <c r="F126" s="15" t="n">
        <f aca="false">'Mai-26'!B121</f>
        <v>92262.56</v>
      </c>
      <c r="G126" s="15" t="n">
        <f aca="false">'Jun-26'!B122</f>
        <v>92262.56</v>
      </c>
      <c r="H126" s="15" t="n">
        <f aca="false">'Jul-26'!B124</f>
        <v>92262.56</v>
      </c>
      <c r="I126" s="15" t="n">
        <f aca="false">'Ago-26'!B126</f>
        <v>92262.56</v>
      </c>
    </row>
    <row r="127" customFormat="false" ht="15" hidden="false" customHeight="false" outlineLevel="0" collapsed="false">
      <c r="A127" s="14" t="s">
        <v>130</v>
      </c>
      <c r="B127" s="15" t="n">
        <f aca="false">'Jan-26'!B115</f>
        <v>569015.92</v>
      </c>
      <c r="C127" s="15" t="n">
        <f aca="false">'Fev-26'!B119</f>
        <v>571943.62</v>
      </c>
      <c r="D127" s="15" t="n">
        <f aca="false">'Mar-26'!B121</f>
        <v>581737.07</v>
      </c>
      <c r="E127" s="15" t="n">
        <f aca="false">'Abr-26'!B123</f>
        <v>596889.55</v>
      </c>
      <c r="F127" s="15" t="n">
        <f aca="false">'Mai-26'!B122</f>
        <v>598011.35</v>
      </c>
      <c r="G127" s="15" t="n">
        <f aca="false">'Jun-26'!B123</f>
        <v>608292</v>
      </c>
      <c r="H127" s="15" t="n">
        <f aca="false">'Jul-26'!B125</f>
        <v>610030.9</v>
      </c>
      <c r="I127" s="15" t="n">
        <f aca="false">'Ago-26'!B127</f>
        <v>618588.77</v>
      </c>
    </row>
    <row r="128" customFormat="false" ht="15" hidden="false" customHeight="false" outlineLevel="0" collapsed="false">
      <c r="A128" s="13" t="s">
        <v>131</v>
      </c>
      <c r="B128" s="12" t="n">
        <f aca="false">'Jan-26'!B116</f>
        <v>1288335.42</v>
      </c>
      <c r="C128" s="12" t="n">
        <f aca="false">'Fev-26'!B120</f>
        <v>1288335.42</v>
      </c>
      <c r="D128" s="12" t="n">
        <f aca="false">'Mar-26'!B122</f>
        <v>1288335.42</v>
      </c>
      <c r="E128" s="12" t="n">
        <f aca="false">'Abr-26'!B124</f>
        <v>1288335.42</v>
      </c>
      <c r="F128" s="12" t="n">
        <f aca="false">'Mai-26'!B123</f>
        <v>1288335.42</v>
      </c>
      <c r="G128" s="12" t="n">
        <f aca="false">'Jun-26'!B124</f>
        <v>1288335.42</v>
      </c>
      <c r="H128" s="12" t="n">
        <f aca="false">'Jul-26'!B126</f>
        <v>1288335.42</v>
      </c>
      <c r="I128" s="12" t="n">
        <f aca="false">'Ago-26'!B128</f>
        <v>1288335.42</v>
      </c>
    </row>
    <row r="129" customFormat="false" ht="15" hidden="false" customHeight="false" outlineLevel="0" collapsed="false">
      <c r="A129" s="14" t="s">
        <v>132</v>
      </c>
      <c r="B129" s="15" t="n">
        <f aca="false">'Jan-26'!B117</f>
        <v>32525.91</v>
      </c>
      <c r="C129" s="15" t="n">
        <f aca="false">'Fev-26'!B121</f>
        <v>32525.91</v>
      </c>
      <c r="D129" s="15" t="n">
        <f aca="false">'Mar-26'!B123</f>
        <v>32525.91</v>
      </c>
      <c r="E129" s="15" t="n">
        <f aca="false">'Abr-26'!B125</f>
        <v>32525.91</v>
      </c>
      <c r="F129" s="15" t="n">
        <f aca="false">'Mai-26'!B124</f>
        <v>32525.91</v>
      </c>
      <c r="G129" s="15" t="n">
        <f aca="false">'Jun-26'!B125</f>
        <v>32525.91</v>
      </c>
      <c r="H129" s="15" t="n">
        <f aca="false">'Jul-26'!B127</f>
        <v>32525.91</v>
      </c>
      <c r="I129" s="15" t="n">
        <f aca="false">'Ago-26'!B129</f>
        <v>32525.91</v>
      </c>
    </row>
    <row r="130" customFormat="false" ht="15" hidden="false" customHeight="false" outlineLevel="0" collapsed="false">
      <c r="A130" s="14" t="s">
        <v>133</v>
      </c>
      <c r="B130" s="15" t="n">
        <f aca="false">'Jan-26'!B118</f>
        <v>173722.04</v>
      </c>
      <c r="C130" s="15" t="n">
        <f aca="false">'Fev-26'!B122</f>
        <v>173722.04</v>
      </c>
      <c r="D130" s="15" t="n">
        <f aca="false">'Mar-26'!B124</f>
        <v>173722.04</v>
      </c>
      <c r="E130" s="15" t="n">
        <f aca="false">'Abr-26'!B126</f>
        <v>173722.04</v>
      </c>
      <c r="F130" s="15" t="n">
        <f aca="false">'Mai-26'!B125</f>
        <v>173722.04</v>
      </c>
      <c r="G130" s="15" t="n">
        <f aca="false">'Jun-26'!B126</f>
        <v>173722.04</v>
      </c>
      <c r="H130" s="15" t="n">
        <f aca="false">'Jul-26'!B128</f>
        <v>173722.04</v>
      </c>
      <c r="I130" s="15" t="n">
        <f aca="false">'Ago-26'!B130</f>
        <v>173722.04</v>
      </c>
    </row>
    <row r="131" customFormat="false" ht="15" hidden="false" customHeight="false" outlineLevel="0" collapsed="false">
      <c r="A131" s="14" t="s">
        <v>131</v>
      </c>
      <c r="B131" s="15" t="n">
        <f aca="false">'Jan-26'!B119</f>
        <v>1082087.47</v>
      </c>
      <c r="C131" s="15" t="n">
        <f aca="false">'Fev-26'!B123</f>
        <v>1082087.47</v>
      </c>
      <c r="D131" s="15" t="n">
        <f aca="false">'Mar-26'!B125</f>
        <v>1082087.47</v>
      </c>
      <c r="E131" s="15" t="n">
        <f aca="false">'Abr-26'!B127</f>
        <v>1082087.47</v>
      </c>
      <c r="F131" s="15" t="n">
        <f aca="false">'Mai-26'!B126</f>
        <v>1082087.47</v>
      </c>
      <c r="G131" s="15" t="n">
        <f aca="false">'Jun-26'!B127</f>
        <v>1082087.47</v>
      </c>
      <c r="H131" s="15" t="n">
        <f aca="false">'Jul-26'!B129</f>
        <v>1082087.47</v>
      </c>
      <c r="I131" s="15" t="n">
        <f aca="false">'Ago-26'!B131</f>
        <v>1082087.47</v>
      </c>
    </row>
    <row r="132" customFormat="false" ht="15" hidden="false" customHeight="false" outlineLevel="0" collapsed="false">
      <c r="A132" s="13" t="s">
        <v>134</v>
      </c>
      <c r="B132" s="12" t="n">
        <f aca="false">'Jan-26'!B120</f>
        <v>2671903.95</v>
      </c>
      <c r="C132" s="12" t="n">
        <f aca="false">'Fev-26'!B124</f>
        <v>2671903.95</v>
      </c>
      <c r="D132" s="12" t="n">
        <f aca="false">'Mar-26'!B126</f>
        <v>2671903.95</v>
      </c>
      <c r="E132" s="12" t="n">
        <f aca="false">'Abr-26'!B128</f>
        <v>2671903.95</v>
      </c>
      <c r="F132" s="12" t="n">
        <f aca="false">'Mai-26'!B127</f>
        <v>2671903.95</v>
      </c>
      <c r="G132" s="12" t="n">
        <f aca="false">'Jun-26'!B128</f>
        <v>2671903.95</v>
      </c>
      <c r="H132" s="12" t="n">
        <f aca="false">'Jul-26'!B130</f>
        <v>2671903.95</v>
      </c>
      <c r="I132" s="12" t="n">
        <f aca="false">'Ago-26'!B132</f>
        <v>2671903.95</v>
      </c>
    </row>
    <row r="133" customFormat="false" ht="15" hidden="false" customHeight="false" outlineLevel="0" collapsed="false">
      <c r="A133" s="14" t="s">
        <v>135</v>
      </c>
      <c r="B133" s="15" t="n">
        <f aca="false">'Jan-26'!B121</f>
        <v>828900</v>
      </c>
      <c r="C133" s="15" t="n">
        <f aca="false">'Fev-26'!B125</f>
        <v>828900</v>
      </c>
      <c r="D133" s="15" t="n">
        <f aca="false">'Mar-26'!B127</f>
        <v>828900</v>
      </c>
      <c r="E133" s="15" t="n">
        <f aca="false">'Abr-26'!B129</f>
        <v>828900</v>
      </c>
      <c r="F133" s="15" t="n">
        <f aca="false">'Mai-26'!B128</f>
        <v>828900</v>
      </c>
      <c r="G133" s="15" t="n">
        <f aca="false">'Jun-26'!B129</f>
        <v>828900</v>
      </c>
      <c r="H133" s="15" t="n">
        <f aca="false">'Jul-26'!B131</f>
        <v>828900</v>
      </c>
      <c r="I133" s="15" t="n">
        <f aca="false">'Ago-26'!B133</f>
        <v>828900</v>
      </c>
    </row>
    <row r="134" customFormat="false" ht="15" hidden="false" customHeight="false" outlineLevel="0" collapsed="false">
      <c r="A134" s="14" t="s">
        <v>136</v>
      </c>
      <c r="B134" s="15" t="n">
        <f aca="false">'Jan-26'!B122</f>
        <v>793063.04</v>
      </c>
      <c r="C134" s="15" t="n">
        <f aca="false">'Fev-26'!B126</f>
        <v>793063.04</v>
      </c>
      <c r="D134" s="15" t="n">
        <f aca="false">'Mar-26'!B128</f>
        <v>793063.04</v>
      </c>
      <c r="E134" s="15" t="n">
        <f aca="false">'Abr-26'!B130</f>
        <v>793063.04</v>
      </c>
      <c r="F134" s="15" t="n">
        <f aca="false">'Mai-26'!B129</f>
        <v>793063.04</v>
      </c>
      <c r="G134" s="15" t="n">
        <f aca="false">'Jun-26'!B130</f>
        <v>793063.04</v>
      </c>
      <c r="H134" s="15" t="n">
        <f aca="false">'Jul-26'!B132</f>
        <v>793063.04</v>
      </c>
      <c r="I134" s="15" t="n">
        <f aca="false">'Ago-26'!B134</f>
        <v>793063.04</v>
      </c>
    </row>
    <row r="135" customFormat="false" ht="15" hidden="false" customHeight="false" outlineLevel="0" collapsed="false">
      <c r="A135" s="14" t="s">
        <v>137</v>
      </c>
      <c r="B135" s="15" t="n">
        <f aca="false">'Jan-26'!B123</f>
        <v>1049940.91</v>
      </c>
      <c r="C135" s="15" t="n">
        <f aca="false">'Fev-26'!B127</f>
        <v>1049940.91</v>
      </c>
      <c r="D135" s="15" t="n">
        <f aca="false">'Mar-26'!B129</f>
        <v>1049940.91</v>
      </c>
      <c r="E135" s="15" t="n">
        <f aca="false">'Abr-26'!B131</f>
        <v>1049940.91</v>
      </c>
      <c r="F135" s="15" t="n">
        <f aca="false">'Mai-26'!B130</f>
        <v>1049940.91</v>
      </c>
      <c r="G135" s="15" t="n">
        <f aca="false">'Jun-26'!B131</f>
        <v>1049940.91</v>
      </c>
      <c r="H135" s="15" t="n">
        <f aca="false">'Jul-26'!B133</f>
        <v>1049940.91</v>
      </c>
      <c r="I135" s="15" t="n">
        <f aca="false">'Ago-26'!B135</f>
        <v>1049940.91</v>
      </c>
    </row>
    <row r="136" customFormat="false" ht="15" hidden="false" customHeight="false" outlineLevel="0" collapsed="false">
      <c r="A136" s="13" t="s">
        <v>138</v>
      </c>
      <c r="B136" s="12" t="n">
        <f aca="false">'Jan-26'!B124</f>
        <v>613755.19</v>
      </c>
      <c r="C136" s="12" t="n">
        <f aca="false">'Fev-26'!B128</f>
        <v>623892.1</v>
      </c>
      <c r="D136" s="12" t="n">
        <f aca="false">'Mar-26'!B130</f>
        <v>629632.82</v>
      </c>
      <c r="E136" s="12" t="n">
        <f aca="false">'Abr-26'!B132</f>
        <v>635635.54</v>
      </c>
      <c r="F136" s="12" t="n">
        <f aca="false">'Mai-26'!B131</f>
        <v>639675.3</v>
      </c>
      <c r="G136" s="12" t="n">
        <f aca="false">'Jun-26'!B132</f>
        <v>644892.69</v>
      </c>
      <c r="H136" s="12" t="n">
        <f aca="false">'Jul-26'!B134</f>
        <v>656467.26</v>
      </c>
      <c r="I136" s="12" t="n">
        <f aca="false">'Ago-26'!B136</f>
        <v>669020.36</v>
      </c>
    </row>
    <row r="137" customFormat="false" ht="15" hidden="false" customHeight="false" outlineLevel="0" collapsed="false">
      <c r="A137" s="14" t="s">
        <v>139</v>
      </c>
      <c r="B137" s="15" t="n">
        <f aca="false">'Jan-26'!B125</f>
        <v>316246.57</v>
      </c>
      <c r="C137" s="15" t="n">
        <f aca="false">'Fev-26'!B129</f>
        <v>320273.68</v>
      </c>
      <c r="D137" s="15" t="n">
        <f aca="false">'Mar-26'!B131</f>
        <v>323756.96</v>
      </c>
      <c r="E137" s="15" t="n">
        <f aca="false">'Abr-26'!B133</f>
        <v>326072.7</v>
      </c>
      <c r="F137" s="15" t="n">
        <f aca="false">'Mai-26'!B132</f>
        <v>330112.46</v>
      </c>
      <c r="G137" s="15" t="n">
        <f aca="false">'Jun-26'!B133</f>
        <v>330621.98</v>
      </c>
      <c r="H137" s="15" t="n">
        <f aca="false">'Jul-26'!B135</f>
        <v>340706.55</v>
      </c>
      <c r="I137" s="15" t="n">
        <f aca="false">'Ago-26'!B137</f>
        <v>351903.7</v>
      </c>
    </row>
    <row r="138" customFormat="false" ht="15" hidden="false" customHeight="false" outlineLevel="0" collapsed="false">
      <c r="A138" s="14" t="s">
        <v>140</v>
      </c>
      <c r="B138" s="15" t="n">
        <f aca="false">'Jan-26'!B126</f>
        <v>266055.38</v>
      </c>
      <c r="C138" s="15" t="n">
        <f aca="false">'Fev-26'!B130</f>
        <v>272165.18</v>
      </c>
      <c r="D138" s="15" t="n">
        <f aca="false">'Mar-26'!B132</f>
        <v>274422.62</v>
      </c>
      <c r="E138" s="15" t="n">
        <f aca="false">'Abr-26'!B134</f>
        <v>278109.6</v>
      </c>
      <c r="F138" s="15" t="n">
        <f aca="false">'Mai-26'!B133</f>
        <v>278109.6</v>
      </c>
      <c r="G138" s="15" t="n">
        <f aca="false">'Jun-26'!B134</f>
        <v>282817.47</v>
      </c>
      <c r="H138" s="15" t="n">
        <f aca="false">'Jul-26'!B136</f>
        <v>284307.47</v>
      </c>
      <c r="I138" s="15" t="n">
        <f aca="false">'Ago-26'!B138</f>
        <v>285663.42</v>
      </c>
    </row>
    <row r="139" customFormat="false" ht="15" hidden="false" customHeight="false" outlineLevel="0" collapsed="false">
      <c r="A139" s="14" t="s">
        <v>141</v>
      </c>
      <c r="B139" s="15" t="n">
        <f aca="false">'Jan-26'!B127</f>
        <v>31453.24</v>
      </c>
      <c r="C139" s="15" t="n">
        <f aca="false">'Fev-26'!B131</f>
        <v>31453.24</v>
      </c>
      <c r="D139" s="15" t="n">
        <f aca="false">'Mar-26'!B133</f>
        <v>31453.24</v>
      </c>
      <c r="E139" s="15" t="n">
        <f aca="false">'Abr-26'!B135</f>
        <v>31453.24</v>
      </c>
      <c r="F139" s="15" t="n">
        <f aca="false">'Mai-26'!B134</f>
        <v>31453.24</v>
      </c>
      <c r="G139" s="15" t="n">
        <f aca="false">'Jun-26'!B135</f>
        <v>31453.24</v>
      </c>
      <c r="H139" s="15" t="n">
        <f aca="false">'Jul-26'!B137</f>
        <v>31453.24</v>
      </c>
      <c r="I139" s="15" t="n">
        <f aca="false">'Ago-26'!B139</f>
        <v>31453.24</v>
      </c>
    </row>
    <row r="140" customFormat="false" ht="15" hidden="false" customHeight="false" outlineLevel="0" collapsed="false">
      <c r="A140" s="13" t="s">
        <v>142</v>
      </c>
      <c r="B140" s="12" t="n">
        <f aca="false">'Jan-26'!B128</f>
        <v>4318629.76</v>
      </c>
      <c r="C140" s="12" t="n">
        <f aca="false">'Fev-26'!B132</f>
        <v>4322010.36</v>
      </c>
      <c r="D140" s="12" t="n">
        <f aca="false">'Mar-26'!B134</f>
        <v>4335941.36</v>
      </c>
      <c r="E140" s="12" t="n">
        <f aca="false">'Abr-26'!B136</f>
        <v>4489258.22</v>
      </c>
      <c r="F140" s="12" t="n">
        <f aca="false">'Mai-26'!B135</f>
        <v>4520072.82</v>
      </c>
      <c r="G140" s="12" t="n">
        <f aca="false">'Jun-26'!B136</f>
        <v>4520072.82</v>
      </c>
      <c r="H140" s="12" t="n">
        <f aca="false">'Jul-26'!B138</f>
        <v>4563911.18</v>
      </c>
      <c r="I140" s="12" t="n">
        <f aca="false">'Ago-26'!B140</f>
        <v>4563911.18</v>
      </c>
    </row>
    <row r="141" customFormat="false" ht="15" hidden="false" customHeight="false" outlineLevel="0" collapsed="false">
      <c r="A141" s="14" t="s">
        <v>143</v>
      </c>
      <c r="B141" s="15" t="n">
        <f aca="false">'Jan-26'!B129</f>
        <v>4318629.76</v>
      </c>
      <c r="C141" s="15" t="n">
        <f aca="false">'Fev-26'!B133</f>
        <v>4322010.36</v>
      </c>
      <c r="D141" s="15" t="n">
        <f aca="false">'Mar-26'!B135</f>
        <v>4335941.36</v>
      </c>
      <c r="E141" s="15" t="n">
        <f aca="false">'Abr-26'!B137</f>
        <v>4489258.22</v>
      </c>
      <c r="F141" s="15" t="n">
        <f aca="false">'Mai-26'!B136</f>
        <v>4520072.82</v>
      </c>
      <c r="G141" s="15" t="n">
        <f aca="false">'Jun-26'!B137</f>
        <v>4520072.82</v>
      </c>
      <c r="H141" s="15" t="n">
        <f aca="false">'Jul-26'!B139</f>
        <v>4563911.18</v>
      </c>
      <c r="I141" s="15" t="n">
        <f aca="false">'Ago-26'!B141</f>
        <v>4563911.18</v>
      </c>
    </row>
    <row r="142" customFormat="false" ht="15" hidden="false" customHeight="false" outlineLevel="0" collapsed="false">
      <c r="A142" s="13" t="s">
        <v>144</v>
      </c>
      <c r="B142" s="12" t="n">
        <f aca="false">'Jan-26'!B130</f>
        <v>4399539.03</v>
      </c>
      <c r="C142" s="12" t="n">
        <f aca="false">'Fev-26'!B134</f>
        <v>4373623.02</v>
      </c>
      <c r="D142" s="12" t="n">
        <f aca="false">'Mar-26'!B136</f>
        <v>4385344.01</v>
      </c>
      <c r="E142" s="12" t="n">
        <f aca="false">'Abr-26'!B138</f>
        <v>4221802.56</v>
      </c>
      <c r="F142" s="12" t="n">
        <f aca="false">'Mai-26'!B137</f>
        <v>4328140.3</v>
      </c>
      <c r="G142" s="12" t="n">
        <f aca="false">'Jun-26'!B138</f>
        <v>4361812.19</v>
      </c>
      <c r="H142" s="12" t="n">
        <f aca="false">'Jul-26'!B140</f>
        <v>4437657.79</v>
      </c>
      <c r="I142" s="12" t="n">
        <f aca="false">'Ago-26'!B142</f>
        <v>4454261.51</v>
      </c>
    </row>
    <row r="143" customFormat="false" ht="15" hidden="false" customHeight="false" outlineLevel="0" collapsed="false">
      <c r="A143" s="14" t="s">
        <v>145</v>
      </c>
      <c r="B143" s="15" t="n">
        <f aca="false">'Jan-26'!B131</f>
        <v>4399539.03</v>
      </c>
      <c r="C143" s="15" t="n">
        <f aca="false">'Fev-26'!B135</f>
        <v>4373623.02</v>
      </c>
      <c r="D143" s="15" t="n">
        <f aca="false">'Mar-26'!B137</f>
        <v>4385344.01</v>
      </c>
      <c r="E143" s="15" t="n">
        <f aca="false">'Abr-26'!B139</f>
        <v>4221802.56</v>
      </c>
      <c r="F143" s="15" t="n">
        <f aca="false">'Mai-26'!B138</f>
        <v>4328140.3</v>
      </c>
      <c r="G143" s="15" t="n">
        <f aca="false">'Jun-26'!B139</f>
        <v>4361812.19</v>
      </c>
      <c r="H143" s="15" t="n">
        <f aca="false">'Jul-26'!B141</f>
        <v>4437657.79</v>
      </c>
      <c r="I143" s="15" t="n">
        <f aca="false">'Ago-26'!B143</f>
        <v>4454261.51</v>
      </c>
    </row>
    <row r="144" customFormat="false" ht="15" hidden="false" customHeight="false" outlineLevel="0" collapsed="false">
      <c r="A144" s="13" t="s">
        <v>146</v>
      </c>
      <c r="B144" s="12"/>
      <c r="C144" s="12" t="n">
        <f aca="false">'Fev-26'!B136</f>
        <v>52004.22</v>
      </c>
      <c r="D144" s="12" t="n">
        <f aca="false">'Mar-26'!B138</f>
        <v>70617.05</v>
      </c>
      <c r="E144" s="12" t="n">
        <f aca="false">'Abr-26'!B140</f>
        <v>235108.44</v>
      </c>
      <c r="F144" s="12" t="n">
        <f aca="false">'Mai-26'!B139</f>
        <v>266738.29</v>
      </c>
      <c r="G144" s="12" t="n">
        <f aca="false">'Jun-26'!B140</f>
        <v>278519.93</v>
      </c>
      <c r="H144" s="12" t="n">
        <f aca="false">'Jul-26'!B142</f>
        <v>335684.5</v>
      </c>
      <c r="I144" s="12" t="n">
        <f aca="false">'Ago-26'!B144</f>
        <v>364757.31</v>
      </c>
    </row>
    <row r="145" customFormat="false" ht="15" hidden="false" customHeight="false" outlineLevel="0" collapsed="false">
      <c r="A145" s="14" t="s">
        <v>147</v>
      </c>
      <c r="B145" s="15"/>
      <c r="C145" s="15" t="n">
        <f aca="false">'Fev-26'!B137</f>
        <v>52004.22</v>
      </c>
      <c r="D145" s="15" t="n">
        <f aca="false">'Mar-26'!B139</f>
        <v>70617.05</v>
      </c>
      <c r="E145" s="15" t="n">
        <f aca="false">'Abr-26'!B141</f>
        <v>235108.44</v>
      </c>
      <c r="F145" s="15" t="n">
        <f aca="false">'Mai-26'!B140</f>
        <v>266738.29</v>
      </c>
      <c r="G145" s="15" t="n">
        <f aca="false">'Jun-26'!B141</f>
        <v>278519.93</v>
      </c>
      <c r="H145" s="15" t="n">
        <f aca="false">'Jul-26'!B143</f>
        <v>335684.5</v>
      </c>
      <c r="I145" s="15" t="n">
        <f aca="false">'Ago-26'!B145</f>
        <v>364757.31</v>
      </c>
    </row>
    <row r="146" customFormat="false" ht="15" hidden="false" customHeight="false" outlineLevel="0" collapsed="false">
      <c r="A146" s="13" t="s">
        <v>148</v>
      </c>
      <c r="B146" s="12" t="n">
        <f aca="false">'Jan-26'!B132</f>
        <v>-17474743.63</v>
      </c>
      <c r="C146" s="12" t="n">
        <f aca="false">'Fev-26'!B138</f>
        <v>-17673323.96</v>
      </c>
      <c r="D146" s="12" t="n">
        <f aca="false">'Mar-26'!B140</f>
        <v>-17899906.62</v>
      </c>
      <c r="E146" s="12" t="n">
        <f aca="false">'Abr-26'!B142</f>
        <v>-18272050.4</v>
      </c>
      <c r="F146" s="12" t="n">
        <f aca="false">'Mai-26'!B141</f>
        <v>-18675772.4</v>
      </c>
      <c r="G146" s="12" t="n">
        <f aca="false">'Jun-26'!B142</f>
        <v>-19076621.63</v>
      </c>
      <c r="H146" s="12" t="n">
        <f aca="false">'Jul-26'!B144</f>
        <v>-19462768.93</v>
      </c>
      <c r="I146" s="12" t="n">
        <f aca="false">'Ago-26'!B146</f>
        <v>-19893203.98</v>
      </c>
    </row>
    <row r="147" customFormat="false" ht="15" hidden="false" customHeight="false" outlineLevel="0" collapsed="false">
      <c r="A147" s="14" t="s">
        <v>149</v>
      </c>
      <c r="B147" s="15" t="n">
        <f aca="false">'Jan-26'!B133</f>
        <v>-17474743.63</v>
      </c>
      <c r="C147" s="15" t="n">
        <f aca="false">'Fev-26'!B139</f>
        <v>-17673323.96</v>
      </c>
      <c r="D147" s="15" t="n">
        <f aca="false">'Mar-26'!B141</f>
        <v>-17899906.62</v>
      </c>
      <c r="E147" s="15" t="n">
        <f aca="false">'Abr-26'!B143</f>
        <v>-18272050.4</v>
      </c>
      <c r="F147" s="15" t="n">
        <f aca="false">'Mai-26'!B142</f>
        <v>-18675772.4</v>
      </c>
      <c r="G147" s="15" t="n">
        <f aca="false">'Jun-26'!B143</f>
        <v>-19076621.63</v>
      </c>
      <c r="H147" s="15" t="n">
        <f aca="false">'Jul-26'!B145</f>
        <v>-19462768.93</v>
      </c>
      <c r="I147" s="15" t="n">
        <f aca="false">'Ago-26'!B147</f>
        <v>-19893203.98</v>
      </c>
    </row>
    <row r="148" customFormat="false" ht="15" hidden="false" customHeight="false" outlineLevel="0" collapsed="false">
      <c r="A148" s="11" t="s">
        <v>150</v>
      </c>
      <c r="B148" s="12" t="n">
        <f aca="false">'Jan-26'!B134</f>
        <v>2318212.01</v>
      </c>
      <c r="C148" s="12" t="n">
        <f aca="false">'Fev-26'!B140</f>
        <v>2319471.99</v>
      </c>
      <c r="D148" s="12" t="n">
        <f aca="false">'Mar-26'!B142</f>
        <v>2319471.99</v>
      </c>
      <c r="E148" s="12" t="n">
        <f aca="false">'Abr-26'!B144</f>
        <v>2319471.99</v>
      </c>
      <c r="F148" s="12" t="n">
        <f aca="false">'Mai-26'!B143</f>
        <v>2319471.99</v>
      </c>
      <c r="G148" s="12" t="n">
        <f aca="false">'Jun-26'!B144</f>
        <v>2358350.85</v>
      </c>
      <c r="H148" s="12" t="n">
        <f aca="false">'Jul-26'!B146</f>
        <v>2366703.87</v>
      </c>
      <c r="I148" s="12" t="n">
        <f aca="false">'Ago-26'!B148</f>
        <v>2376333.17</v>
      </c>
    </row>
    <row r="149" customFormat="false" ht="15" hidden="false" customHeight="false" outlineLevel="0" collapsed="false">
      <c r="A149" s="13" t="s">
        <v>151</v>
      </c>
      <c r="B149" s="12" t="n">
        <f aca="false">'Jan-26'!B135</f>
        <v>2094086.47</v>
      </c>
      <c r="C149" s="12" t="n">
        <f aca="false">'Fev-26'!B141</f>
        <v>2094086.47</v>
      </c>
      <c r="D149" s="12" t="n">
        <f aca="false">'Mar-26'!B143</f>
        <v>2094086.47</v>
      </c>
      <c r="E149" s="12" t="n">
        <f aca="false">'Abr-26'!B145</f>
        <v>2094086.47</v>
      </c>
      <c r="F149" s="12" t="n">
        <f aca="false">'Mai-26'!B144</f>
        <v>2094086.47</v>
      </c>
      <c r="G149" s="12" t="n">
        <f aca="false">'Jun-26'!B145</f>
        <v>2094086.47</v>
      </c>
      <c r="H149" s="12" t="n">
        <f aca="false">'Jul-26'!B147</f>
        <v>2094086.47</v>
      </c>
      <c r="I149" s="12" t="n">
        <f aca="false">'Ago-26'!B149</f>
        <v>2094086.47</v>
      </c>
    </row>
    <row r="150" customFormat="false" ht="15" hidden="false" customHeight="false" outlineLevel="0" collapsed="false">
      <c r="A150" s="14" t="s">
        <v>152</v>
      </c>
      <c r="B150" s="15" t="n">
        <f aca="false">'Jan-26'!B136</f>
        <v>46948</v>
      </c>
      <c r="C150" s="15" t="n">
        <f aca="false">'Fev-26'!B142</f>
        <v>46948</v>
      </c>
      <c r="D150" s="15" t="n">
        <f aca="false">'Mar-26'!B144</f>
        <v>46948</v>
      </c>
      <c r="E150" s="15" t="n">
        <f aca="false">'Abr-26'!B146</f>
        <v>46948</v>
      </c>
      <c r="F150" s="15" t="n">
        <f aca="false">'Mai-26'!B145</f>
        <v>46948</v>
      </c>
      <c r="G150" s="15" t="n">
        <f aca="false">'Jun-26'!B146</f>
        <v>46948</v>
      </c>
      <c r="H150" s="15" t="n">
        <f aca="false">'Jul-26'!B148</f>
        <v>46948</v>
      </c>
      <c r="I150" s="15" t="n">
        <f aca="false">'Ago-26'!B150</f>
        <v>46948</v>
      </c>
    </row>
    <row r="151" customFormat="false" ht="15" hidden="false" customHeight="false" outlineLevel="0" collapsed="false">
      <c r="A151" s="14" t="s">
        <v>153</v>
      </c>
      <c r="B151" s="15" t="n">
        <f aca="false">'Jan-26'!B137</f>
        <v>1887138.47</v>
      </c>
      <c r="C151" s="15" t="n">
        <f aca="false">'Fev-26'!B143</f>
        <v>1887138.47</v>
      </c>
      <c r="D151" s="15" t="n">
        <f aca="false">'Mar-26'!B145</f>
        <v>1887138.47</v>
      </c>
      <c r="E151" s="15" t="n">
        <f aca="false">'Abr-26'!B147</f>
        <v>1887138.47</v>
      </c>
      <c r="F151" s="15" t="n">
        <f aca="false">'Mai-26'!B146</f>
        <v>1887138.47</v>
      </c>
      <c r="G151" s="15" t="n">
        <f aca="false">'Jun-26'!B147</f>
        <v>1887138.47</v>
      </c>
      <c r="H151" s="15" t="n">
        <f aca="false">'Jul-26'!B149</f>
        <v>1887138.47</v>
      </c>
      <c r="I151" s="15" t="n">
        <f aca="false">'Ago-26'!B151</f>
        <v>1887138.47</v>
      </c>
    </row>
    <row r="152" customFormat="false" ht="15" hidden="false" customHeight="false" outlineLevel="0" collapsed="false">
      <c r="A152" s="14" t="s">
        <v>154</v>
      </c>
      <c r="B152" s="15" t="n">
        <f aca="false">'Jan-26'!B138</f>
        <v>160000</v>
      </c>
      <c r="C152" s="15" t="n">
        <f aca="false">'Fev-26'!B144</f>
        <v>160000</v>
      </c>
      <c r="D152" s="15" t="n">
        <f aca="false">'Mar-26'!B146</f>
        <v>160000</v>
      </c>
      <c r="E152" s="15" t="n">
        <f aca="false">'Abr-26'!B148</f>
        <v>160000</v>
      </c>
      <c r="F152" s="15" t="n">
        <f aca="false">'Mai-26'!B147</f>
        <v>160000</v>
      </c>
      <c r="G152" s="15" t="n">
        <f aca="false">'Jun-26'!B148</f>
        <v>160000</v>
      </c>
      <c r="H152" s="15" t="n">
        <f aca="false">'Jul-26'!B150</f>
        <v>160000</v>
      </c>
      <c r="I152" s="15" t="n">
        <f aca="false">'Ago-26'!B152</f>
        <v>160000</v>
      </c>
    </row>
    <row r="153" customFormat="false" ht="15" hidden="false" customHeight="false" outlineLevel="0" collapsed="false">
      <c r="A153" s="13" t="s">
        <v>155</v>
      </c>
      <c r="B153" s="12" t="n">
        <f aca="false">'Jan-26'!B139</f>
        <v>224125.54</v>
      </c>
      <c r="C153" s="12" t="n">
        <f aca="false">'Fev-26'!B145</f>
        <v>225385.52</v>
      </c>
      <c r="D153" s="12" t="n">
        <f aca="false">'Mar-26'!B147</f>
        <v>225385.52</v>
      </c>
      <c r="E153" s="12" t="n">
        <f aca="false">'Abr-26'!B149</f>
        <v>225385.52</v>
      </c>
      <c r="F153" s="12" t="n">
        <f aca="false">'Mai-26'!B148</f>
        <v>225385.52</v>
      </c>
      <c r="G153" s="12" t="n">
        <f aca="false">'Jun-26'!B149</f>
        <v>264264.38</v>
      </c>
      <c r="H153" s="12" t="n">
        <f aca="false">'Jul-26'!B151</f>
        <v>272617.4</v>
      </c>
      <c r="I153" s="12" t="n">
        <f aca="false">'Ago-26'!B153</f>
        <v>282246.7</v>
      </c>
    </row>
    <row r="154" customFormat="false" ht="15" hidden="false" customHeight="false" outlineLevel="0" collapsed="false">
      <c r="A154" s="14" t="s">
        <v>156</v>
      </c>
      <c r="B154" s="15" t="n">
        <f aca="false">'Jan-26'!B140</f>
        <v>830448.73</v>
      </c>
      <c r="C154" s="15" t="n">
        <f aca="false">'Fev-26'!B146</f>
        <v>831708.71</v>
      </c>
      <c r="D154" s="15" t="n">
        <f aca="false">'Mar-26'!B148</f>
        <v>831708.71</v>
      </c>
      <c r="E154" s="15" t="n">
        <f aca="false">'Abr-26'!B150</f>
        <v>831708.71</v>
      </c>
      <c r="F154" s="15" t="n">
        <f aca="false">'Mai-26'!B149</f>
        <v>831708.71</v>
      </c>
      <c r="G154" s="15" t="n">
        <f aca="false">'Jun-26'!B150</f>
        <v>870587.57</v>
      </c>
      <c r="H154" s="15" t="n">
        <f aca="false">'Jul-26'!B152</f>
        <v>878940.59</v>
      </c>
      <c r="I154" s="15" t="n">
        <f aca="false">'Ago-26'!B154</f>
        <v>888569.89</v>
      </c>
    </row>
    <row r="155" customFormat="false" ht="15" hidden="false" customHeight="false" outlineLevel="0" collapsed="false">
      <c r="A155" s="14" t="s">
        <v>157</v>
      </c>
      <c r="B155" s="15" t="n">
        <f aca="false">'Jan-26'!B141</f>
        <v>-606323.19</v>
      </c>
      <c r="C155" s="15" t="n">
        <f aca="false">'Fev-26'!B147</f>
        <v>-606323.19</v>
      </c>
      <c r="D155" s="15" t="n">
        <f aca="false">'Mar-26'!B149</f>
        <v>-606323.19</v>
      </c>
      <c r="E155" s="15" t="n">
        <f aca="false">'Abr-26'!B151</f>
        <v>-606323.19</v>
      </c>
      <c r="F155" s="15" t="n">
        <f aca="false">'Mai-26'!B150</f>
        <v>-606323.19</v>
      </c>
      <c r="G155" s="15" t="n">
        <f aca="false">'Jun-26'!B151</f>
        <v>-606323.19</v>
      </c>
      <c r="H155" s="15" t="n">
        <f aca="false">'Jul-26'!B153</f>
        <v>-606323.19</v>
      </c>
      <c r="I155" s="15" t="n">
        <f aca="false">'Ago-26'!B155</f>
        <v>-606323.19</v>
      </c>
    </row>
    <row r="156" customFormat="false" ht="15" hidden="false" customHeight="false" outlineLevel="0" collapsed="false">
      <c r="A156" s="7" t="s">
        <v>158</v>
      </c>
      <c r="B156" s="8" t="n">
        <f aca="false">'Jan-26'!B142</f>
        <v>75653824.16</v>
      </c>
      <c r="C156" s="8" t="n">
        <f aca="false">'Fev-26'!B148</f>
        <v>76940017.55</v>
      </c>
      <c r="D156" s="8" t="n">
        <f aca="false">'Mar-26'!B150</f>
        <v>78499226.86</v>
      </c>
      <c r="E156" s="8" t="n">
        <f aca="false">'Abr-26'!B152</f>
        <v>78342325.12</v>
      </c>
      <c r="F156" s="8" t="n">
        <f aca="false">'Mai-26'!B151</f>
        <v>80162138.2</v>
      </c>
      <c r="G156" s="8" t="n">
        <f aca="false">'Jun-26'!B152</f>
        <v>80557728.15</v>
      </c>
      <c r="H156" s="8" t="n">
        <f aca="false">'Jul-26'!B154</f>
        <v>80256818.81</v>
      </c>
      <c r="I156" s="8" t="n">
        <f aca="false">'Ago-26'!B156</f>
        <v>80341995.8</v>
      </c>
    </row>
    <row r="157" customFormat="false" ht="15" hidden="false" customHeight="false" outlineLevel="0" collapsed="false">
      <c r="A157" s="9" t="s">
        <v>159</v>
      </c>
      <c r="B157" s="10" t="n">
        <f aca="false">'Jan-26'!B143</f>
        <v>16720940.44</v>
      </c>
      <c r="C157" s="10" t="n">
        <f aca="false">'Fev-26'!B149</f>
        <v>17899255.51</v>
      </c>
      <c r="D157" s="10" t="n">
        <f aca="false">'Mar-26'!B151</f>
        <v>19337897.17</v>
      </c>
      <c r="E157" s="10" t="n">
        <f aca="false">'Abr-26'!B153</f>
        <v>19161682.45</v>
      </c>
      <c r="F157" s="10" t="n">
        <f aca="false">'Mai-26'!B152</f>
        <v>17414784.63</v>
      </c>
      <c r="G157" s="10" t="n">
        <f aca="false">'Jun-26'!B153</f>
        <v>18018174.58</v>
      </c>
      <c r="H157" s="10" t="n">
        <f aca="false">'Jul-26'!B155</f>
        <v>17957257.24</v>
      </c>
      <c r="I157" s="10" t="n">
        <f aca="false">'Ago-26'!B157</f>
        <v>18240434.23</v>
      </c>
    </row>
    <row r="158" customFormat="false" ht="15" hidden="false" customHeight="false" outlineLevel="0" collapsed="false">
      <c r="A158" s="11" t="s">
        <v>160</v>
      </c>
      <c r="B158" s="12" t="n">
        <f aca="false">'Jan-26'!B144</f>
        <v>5915801.55</v>
      </c>
      <c r="C158" s="12" t="n">
        <f aca="false">'Fev-26'!B150</f>
        <v>6894177.73</v>
      </c>
      <c r="D158" s="12" t="n">
        <f aca="false">'Mar-26'!B152</f>
        <v>7819676.4</v>
      </c>
      <c r="E158" s="12" t="n">
        <f aca="false">'Abr-26'!B154</f>
        <v>7701685.44</v>
      </c>
      <c r="F158" s="12" t="n">
        <f aca="false">'Mai-26'!B153</f>
        <v>6080576.89</v>
      </c>
      <c r="G158" s="12" t="n">
        <f aca="false">'Jun-26'!B154</f>
        <v>5711052.87</v>
      </c>
      <c r="H158" s="12" t="n">
        <f aca="false">'Jul-26'!B156</f>
        <v>5797718.47</v>
      </c>
      <c r="I158" s="12" t="n">
        <f aca="false">'Ago-26'!B158</f>
        <v>5976163.05</v>
      </c>
    </row>
    <row r="159" customFormat="false" ht="15" hidden="false" customHeight="false" outlineLevel="0" collapsed="false">
      <c r="A159" s="13" t="s">
        <v>161</v>
      </c>
      <c r="B159" s="12" t="n">
        <f aca="false">'Jan-26'!B145</f>
        <v>5915801.55</v>
      </c>
      <c r="C159" s="12" t="n">
        <f aca="false">'Fev-26'!B151</f>
        <v>6894177.73</v>
      </c>
      <c r="D159" s="12" t="n">
        <f aca="false">'Mar-26'!B153</f>
        <v>7819676.4</v>
      </c>
      <c r="E159" s="12" t="n">
        <f aca="false">'Abr-26'!B155</f>
        <v>7637241.94</v>
      </c>
      <c r="F159" s="12" t="n">
        <f aca="false">'Mai-26'!B154</f>
        <v>6016133.39</v>
      </c>
      <c r="G159" s="12" t="n">
        <f aca="false">'Jun-26'!B155</f>
        <v>5711052.87</v>
      </c>
      <c r="H159" s="12" t="n">
        <f aca="false">'Jul-26'!B157</f>
        <v>5797718.47</v>
      </c>
      <c r="I159" s="12" t="n">
        <f aca="false">'Ago-26'!B159</f>
        <v>5958849.54</v>
      </c>
    </row>
    <row r="160" customFormat="false" ht="15" hidden="false" customHeight="false" outlineLevel="0" collapsed="false">
      <c r="A160" s="14" t="s">
        <v>161</v>
      </c>
      <c r="B160" s="15" t="n">
        <f aca="false">'Jan-26'!B146</f>
        <v>5915801.55</v>
      </c>
      <c r="C160" s="15" t="n">
        <f aca="false">'Fev-26'!B152</f>
        <v>6894177.73</v>
      </c>
      <c r="D160" s="15" t="n">
        <f aca="false">'Mar-26'!B154</f>
        <v>7819676.4</v>
      </c>
      <c r="E160" s="15" t="n">
        <f aca="false">'Abr-26'!B156</f>
        <v>7637241.94</v>
      </c>
      <c r="F160" s="15" t="n">
        <f aca="false">'Mai-26'!B155</f>
        <v>6016133.39</v>
      </c>
      <c r="G160" s="15" t="n">
        <f aca="false">'Jun-26'!B156</f>
        <v>5711052.87</v>
      </c>
      <c r="H160" s="15" t="n">
        <f aca="false">'Jul-26'!B158</f>
        <v>5797718.47</v>
      </c>
      <c r="I160" s="15" t="n">
        <f aca="false">'Ago-26'!B160</f>
        <v>5958849.54</v>
      </c>
    </row>
    <row r="161" customFormat="false" ht="15" hidden="false" customHeight="false" outlineLevel="0" collapsed="false">
      <c r="A161" s="13" t="s">
        <v>162</v>
      </c>
      <c r="B161" s="12"/>
      <c r="C161" s="12"/>
      <c r="D161" s="12"/>
      <c r="E161" s="12" t="n">
        <f aca="false">'Abr-26'!B157</f>
        <v>64443.5</v>
      </c>
      <c r="F161" s="12" t="n">
        <f aca="false">'Mai-26'!B156</f>
        <v>64443.5</v>
      </c>
      <c r="G161" s="12"/>
      <c r="H161" s="12"/>
      <c r="I161" s="12" t="n">
        <f aca="false">'Ago-26'!B161</f>
        <v>17313.51</v>
      </c>
    </row>
    <row r="162" customFormat="false" ht="15" hidden="false" customHeight="false" outlineLevel="0" collapsed="false">
      <c r="A162" s="14" t="s">
        <v>162</v>
      </c>
      <c r="B162" s="15"/>
      <c r="C162" s="15"/>
      <c r="D162" s="15"/>
      <c r="E162" s="15" t="n">
        <f aca="false">'Abr-26'!B158</f>
        <v>64443.5</v>
      </c>
      <c r="F162" s="15" t="n">
        <f aca="false">'Mai-26'!B157</f>
        <v>64443.5</v>
      </c>
      <c r="G162" s="15"/>
      <c r="H162" s="15"/>
      <c r="I162" s="15" t="n">
        <f aca="false">'Ago-26'!B162</f>
        <v>17313.51</v>
      </c>
    </row>
    <row r="163" customFormat="false" ht="15" hidden="false" customHeight="false" outlineLevel="0" collapsed="false">
      <c r="A163" s="11" t="s">
        <v>163</v>
      </c>
      <c r="B163" s="12" t="n">
        <f aca="false">'Jan-26'!B147</f>
        <v>204791.02</v>
      </c>
      <c r="C163" s="12" t="n">
        <f aca="false">'Fev-26'!B153</f>
        <v>322312.15</v>
      </c>
      <c r="D163" s="12" t="n">
        <f aca="false">'Mar-26'!B155</f>
        <v>663266.11</v>
      </c>
      <c r="E163" s="12" t="n">
        <f aca="false">'Abr-26'!B159</f>
        <v>922526.01</v>
      </c>
      <c r="F163" s="12" t="n">
        <f aca="false">'Mai-26'!B158</f>
        <v>1270997.09</v>
      </c>
      <c r="G163" s="12" t="n">
        <f aca="false">'Jun-26'!B157</f>
        <v>2201132.77</v>
      </c>
      <c r="H163" s="12" t="n">
        <f aca="false">'Jul-26'!B159</f>
        <v>2181902.53</v>
      </c>
      <c r="I163" s="12" t="n">
        <f aca="false">'Ago-26'!B163</f>
        <v>2249147.26</v>
      </c>
    </row>
    <row r="164" customFormat="false" ht="15" hidden="false" customHeight="false" outlineLevel="0" collapsed="false">
      <c r="A164" s="13" t="s">
        <v>164</v>
      </c>
      <c r="B164" s="12" t="n">
        <f aca="false">'Jan-26'!B148</f>
        <v>144452.41</v>
      </c>
      <c r="C164" s="12" t="n">
        <f aca="false">'Fev-26'!B154</f>
        <v>236530.58</v>
      </c>
      <c r="D164" s="12" t="n">
        <f aca="false">'Mar-26'!B156</f>
        <v>575783.87</v>
      </c>
      <c r="E164" s="12" t="n">
        <f aca="false">'Abr-26'!B160</f>
        <v>684957.21</v>
      </c>
      <c r="F164" s="12" t="n">
        <f aca="false">'Mai-26'!B159</f>
        <v>847863.07</v>
      </c>
      <c r="G164" s="12" t="n">
        <f aca="false">'Jun-26'!B158</f>
        <v>1456231.37</v>
      </c>
      <c r="H164" s="12" t="n">
        <f aca="false">'Jul-26'!B160</f>
        <v>1465763.08</v>
      </c>
      <c r="I164" s="12" t="n">
        <f aca="false">'Ago-26'!B164</f>
        <v>1467506.63</v>
      </c>
    </row>
    <row r="165" customFormat="false" ht="15" hidden="false" customHeight="false" outlineLevel="0" collapsed="false">
      <c r="A165" s="14" t="s">
        <v>165</v>
      </c>
      <c r="B165" s="15" t="n">
        <f aca="false">'Jan-26'!B149</f>
        <v>45044.23</v>
      </c>
      <c r="C165" s="15" t="n">
        <f aca="false">'Fev-26'!B155</f>
        <v>58834.03</v>
      </c>
      <c r="D165" s="15" t="n">
        <f aca="false">'Mar-26'!B157</f>
        <v>75542.57</v>
      </c>
      <c r="E165" s="15" t="n">
        <f aca="false">'Abr-26'!B161</f>
        <v>100371.23</v>
      </c>
      <c r="F165" s="15" t="n">
        <f aca="false">'Mai-26'!B160</f>
        <v>126115.39</v>
      </c>
      <c r="G165" s="15" t="n">
        <f aca="false">'Jun-26'!B159</f>
        <v>132957.49</v>
      </c>
      <c r="H165" s="15" t="n">
        <f aca="false">'Jul-26'!B161</f>
        <v>130641.47</v>
      </c>
      <c r="I165" s="15" t="n">
        <f aca="false">'Ago-26'!B165</f>
        <v>161095.07</v>
      </c>
    </row>
    <row r="166" customFormat="false" ht="15" hidden="false" customHeight="false" outlineLevel="0" collapsed="false">
      <c r="A166" s="14" t="s">
        <v>166</v>
      </c>
      <c r="B166" s="15" t="n">
        <f aca="false">'Jan-26'!B150</f>
        <v>201641.21</v>
      </c>
      <c r="C166" s="15" t="n">
        <f aca="false">'Fev-26'!B156</f>
        <v>265076.08</v>
      </c>
      <c r="D166" s="15" t="n">
        <f aca="false">'Mar-26'!B158</f>
        <v>341861.3</v>
      </c>
      <c r="E166" s="15" t="n">
        <f aca="false">'Abr-26'!B162</f>
        <v>456190.6</v>
      </c>
      <c r="F166" s="15" t="n">
        <f aca="false">'Mai-26'!B161</f>
        <v>574797.6</v>
      </c>
      <c r="G166" s="15" t="n">
        <f aca="false">'Jun-26'!B160</f>
        <v>606373.63</v>
      </c>
      <c r="H166" s="15" t="n">
        <f aca="false">'Jul-26'!B162</f>
        <v>595628.09</v>
      </c>
      <c r="I166" s="15" t="n">
        <f aca="false">'Ago-26'!B166</f>
        <v>735879.58</v>
      </c>
    </row>
    <row r="167" customFormat="false" ht="15" hidden="false" customHeight="false" outlineLevel="0" collapsed="false">
      <c r="A167" s="14" t="s">
        <v>167</v>
      </c>
      <c r="B167" s="15" t="n">
        <f aca="false">'Jan-26'!B151</f>
        <v>-83475.28</v>
      </c>
      <c r="C167" s="15" t="n">
        <f aca="false">'Fev-26'!B157</f>
        <v>-83475.28</v>
      </c>
      <c r="D167" s="15" t="n">
        <f aca="false">'Mar-26'!B159</f>
        <v>75628.26</v>
      </c>
      <c r="E167" s="15" t="n">
        <f aca="false">'Abr-26'!B163</f>
        <v>67673.08</v>
      </c>
      <c r="F167" s="15" t="n">
        <f aca="false">'Mai-26'!B162</f>
        <v>67673.08</v>
      </c>
      <c r="G167" s="15" t="n">
        <f aca="false">'Jun-26'!B161</f>
        <v>394848.56</v>
      </c>
      <c r="H167" s="15" t="n">
        <f aca="false">'Jul-26'!B163</f>
        <v>394848.56</v>
      </c>
      <c r="I167" s="15" t="n">
        <f aca="false">'Ago-26'!B167</f>
        <v>285790.06</v>
      </c>
    </row>
    <row r="168" customFormat="false" ht="15" hidden="false" customHeight="false" outlineLevel="0" collapsed="false">
      <c r="A168" s="14" t="s">
        <v>168</v>
      </c>
      <c r="B168" s="15" t="n">
        <f aca="false">'Jan-26'!B152</f>
        <v>-39892.64</v>
      </c>
      <c r="C168" s="15" t="n">
        <f aca="false">'Fev-26'!B158</f>
        <v>-39892.64</v>
      </c>
      <c r="D168" s="15" t="n">
        <f aca="false">'Mar-26'!B160</f>
        <v>42385.46</v>
      </c>
      <c r="E168" s="15" t="n">
        <f aca="false">'Abr-26'!B164</f>
        <v>38271.55</v>
      </c>
      <c r="F168" s="15" t="n">
        <f aca="false">'Mai-26'!B163</f>
        <v>38271.55</v>
      </c>
      <c r="G168" s="15" t="n">
        <f aca="false">'Jun-26'!B162</f>
        <v>261641.54</v>
      </c>
      <c r="H168" s="15" t="n">
        <f aca="false">'Jul-26'!B164</f>
        <v>261641.54</v>
      </c>
      <c r="I168" s="15" t="n">
        <f aca="false">'Ago-26'!B168</f>
        <v>187184.87</v>
      </c>
    </row>
    <row r="169" customFormat="false" ht="15" hidden="false" customHeight="false" outlineLevel="0" collapsed="false">
      <c r="A169" s="14" t="s">
        <v>169</v>
      </c>
      <c r="B169" s="15" t="n">
        <f aca="false">'Jan-26'!B153</f>
        <v>11915.89</v>
      </c>
      <c r="C169" s="15" t="n">
        <f aca="false">'Fev-26'!B159</f>
        <v>15653.03</v>
      </c>
      <c r="D169" s="15" t="n">
        <f aca="false">'Mar-26'!B161</f>
        <v>15196.48</v>
      </c>
      <c r="E169" s="15" t="n">
        <f aca="false">'Abr-26'!B165</f>
        <v>4917.48</v>
      </c>
      <c r="F169" s="15" t="n">
        <f aca="false">'Mai-26'!B164</f>
        <v>13531.55</v>
      </c>
      <c r="G169" s="15" t="n">
        <f aca="false">'Jun-26'!B163</f>
        <v>31481.07</v>
      </c>
      <c r="H169" s="15" t="n">
        <f aca="false">'Jul-26'!B165</f>
        <v>56882.65</v>
      </c>
      <c r="I169" s="15" t="n">
        <f aca="false">'Ago-26'!B169</f>
        <v>57922.3</v>
      </c>
    </row>
    <row r="170" customFormat="false" ht="15" hidden="false" customHeight="false" outlineLevel="0" collapsed="false">
      <c r="A170" s="14" t="s">
        <v>170</v>
      </c>
      <c r="B170" s="15" t="n">
        <f aca="false">'Jan-26'!B154</f>
        <v>1184.72</v>
      </c>
      <c r="C170" s="15" t="n">
        <f aca="false">'Fev-26'!B160</f>
        <v>2055.97</v>
      </c>
      <c r="D170" s="15" t="n">
        <f aca="false">'Mar-26'!B162</f>
        <v>2135.13</v>
      </c>
      <c r="E170" s="15" t="n">
        <f aca="false">'Abr-26'!B166</f>
        <v>390</v>
      </c>
      <c r="F170" s="15" t="n">
        <f aca="false">'Mai-26'!B165</f>
        <v>390</v>
      </c>
      <c r="G170" s="15" t="n">
        <f aca="false">'Jun-26'!B164</f>
        <v>610.98</v>
      </c>
      <c r="H170" s="15" t="n">
        <f aca="false">'Jul-26'!B166</f>
        <v>557.09</v>
      </c>
      <c r="I170" s="15" t="n">
        <f aca="false">'Ago-26'!B170</f>
        <v>605.08</v>
      </c>
    </row>
    <row r="171" customFormat="false" ht="15" hidden="false" customHeight="false" outlineLevel="0" collapsed="false">
      <c r="A171" s="14" t="s">
        <v>171</v>
      </c>
      <c r="B171" s="15" t="n">
        <f aca="false">'Jan-26'!B155</f>
        <v>16.08</v>
      </c>
      <c r="C171" s="15" t="n">
        <f aca="false">'Fev-26'!B161</f>
        <v>12.76</v>
      </c>
      <c r="D171" s="15"/>
      <c r="E171" s="15"/>
      <c r="F171" s="15" t="n">
        <f aca="false">'Mai-26'!B166</f>
        <v>13.48</v>
      </c>
      <c r="G171" s="15" t="n">
        <f aca="false">'Jun-26'!B165</f>
        <v>19.22</v>
      </c>
      <c r="H171" s="15"/>
      <c r="I171" s="15" t="n">
        <f aca="false">'Ago-26'!B171</f>
        <v>13.61</v>
      </c>
    </row>
    <row r="172" customFormat="false" ht="15" hidden="false" customHeight="false" outlineLevel="0" collapsed="false">
      <c r="A172" s="14" t="s">
        <v>172</v>
      </c>
      <c r="B172" s="15" t="n">
        <f aca="false">'Jan-26'!B156</f>
        <v>3824.24</v>
      </c>
      <c r="C172" s="15" t="n">
        <f aca="false">'Fev-26'!B162</f>
        <v>11426.34</v>
      </c>
      <c r="D172" s="15" t="n">
        <f aca="false">'Mar-26'!B163</f>
        <v>15975.53</v>
      </c>
      <c r="E172" s="15" t="n">
        <f aca="false">'Abr-26'!B167</f>
        <v>15576.43</v>
      </c>
      <c r="F172" s="15" t="n">
        <f aca="false">'Mai-26'!B167</f>
        <v>25503.58</v>
      </c>
      <c r="G172" s="15" t="n">
        <f aca="false">'Jun-26'!B166</f>
        <v>26469.14</v>
      </c>
      <c r="H172" s="15" t="n">
        <f aca="false">'Jul-26'!B167</f>
        <v>23673.71</v>
      </c>
      <c r="I172" s="15" t="n">
        <f aca="false">'Ago-26'!B172</f>
        <v>36977.32</v>
      </c>
    </row>
    <row r="173" customFormat="false" ht="15" hidden="false" customHeight="false" outlineLevel="0" collapsed="false">
      <c r="A173" s="14" t="s">
        <v>173</v>
      </c>
      <c r="B173" s="15" t="n">
        <f aca="false">'Jan-26'!B157</f>
        <v>4193.96</v>
      </c>
      <c r="C173" s="15" t="n">
        <f aca="false">'Fev-26'!B163</f>
        <v>6840.29</v>
      </c>
      <c r="D173" s="15" t="n">
        <f aca="false">'Mar-26'!B164</f>
        <v>7059.14</v>
      </c>
      <c r="E173" s="15" t="n">
        <f aca="false">'Abr-26'!B168</f>
        <v>1566.84</v>
      </c>
      <c r="F173" s="15" t="n">
        <f aca="false">'Mai-26'!B168</f>
        <v>1566.84</v>
      </c>
      <c r="G173" s="15" t="n">
        <f aca="false">'Jun-26'!B167</f>
        <v>1829.74</v>
      </c>
      <c r="H173" s="15" t="n">
        <f aca="false">'Jul-26'!B168</f>
        <v>1889.97</v>
      </c>
      <c r="I173" s="15" t="n">
        <f aca="false">'Ago-26'!B173</f>
        <v>2038.74</v>
      </c>
    </row>
    <row r="174" customFormat="false" ht="15" hidden="false" customHeight="false" outlineLevel="0" collapsed="false">
      <c r="A174" s="13" t="s">
        <v>174</v>
      </c>
      <c r="B174" s="12" t="n">
        <f aca="false">'Jan-26'!B158</f>
        <v>58812.62</v>
      </c>
      <c r="C174" s="12" t="n">
        <f aca="false">'Fev-26'!B164</f>
        <v>84144.24</v>
      </c>
      <c r="D174" s="12" t="n">
        <f aca="false">'Mar-26'!B165</f>
        <v>53289.24</v>
      </c>
      <c r="E174" s="12" t="n">
        <f aca="false">'Abr-26'!B169</f>
        <v>233519.37</v>
      </c>
      <c r="F174" s="12" t="n">
        <f aca="false">'Mai-26'!B169</f>
        <v>418677.09</v>
      </c>
      <c r="G174" s="12" t="n">
        <f aca="false">'Jun-26'!B168</f>
        <v>739518.12</v>
      </c>
      <c r="H174" s="12" t="n">
        <f aca="false">'Jul-26'!B169</f>
        <v>710707.44</v>
      </c>
      <c r="I174" s="12" t="n">
        <f aca="false">'Ago-26'!B174</f>
        <v>775591.97</v>
      </c>
    </row>
    <row r="175" customFormat="false" ht="15" hidden="false" customHeight="false" outlineLevel="0" collapsed="false">
      <c r="A175" s="14" t="s">
        <v>175</v>
      </c>
      <c r="B175" s="15" t="n">
        <f aca="false">'Jan-26'!B159</f>
        <v>47755.85</v>
      </c>
      <c r="C175" s="15" t="n">
        <f aca="false">'Fev-26'!B165</f>
        <v>75740.05</v>
      </c>
      <c r="D175" s="15" t="n">
        <f aca="false">'Mar-26'!B166</f>
        <v>47760.87</v>
      </c>
      <c r="E175" s="15" t="n">
        <f aca="false">'Abr-26'!B170</f>
        <v>230315.75</v>
      </c>
      <c r="F175" s="15" t="n">
        <f aca="false">'Mai-26'!B170</f>
        <v>418349.64</v>
      </c>
      <c r="G175" s="15" t="n">
        <f aca="false">'Jun-26'!B169</f>
        <v>738608.09</v>
      </c>
      <c r="H175" s="15" t="n">
        <f aca="false">'Jul-26'!B170</f>
        <v>710707.44</v>
      </c>
      <c r="I175" s="15" t="n">
        <f aca="false">'Ago-26'!B175</f>
        <v>775481.32</v>
      </c>
    </row>
    <row r="176" customFormat="false" ht="15" hidden="false" customHeight="false" outlineLevel="0" collapsed="false">
      <c r="A176" s="14" t="s">
        <v>176</v>
      </c>
      <c r="B176" s="15"/>
      <c r="C176" s="15" t="n">
        <f aca="false">'Fev-26'!B166</f>
        <v>111.62</v>
      </c>
      <c r="D176" s="15"/>
      <c r="E176" s="15" t="n">
        <f aca="false">'Abr-26'!B171</f>
        <v>439.45</v>
      </c>
      <c r="F176" s="15" t="n">
        <f aca="false">'Mai-26'!B171</f>
        <v>327.45</v>
      </c>
      <c r="G176" s="15" t="n">
        <f aca="false">'Jun-26'!B170</f>
        <v>910.03</v>
      </c>
      <c r="H176" s="15"/>
      <c r="I176" s="15" t="n">
        <f aca="false">'Ago-26'!B176</f>
        <v>110.65</v>
      </c>
    </row>
    <row r="177" customFormat="false" ht="15" hidden="false" customHeight="false" outlineLevel="0" collapsed="false">
      <c r="A177" s="14" t="s">
        <v>177</v>
      </c>
      <c r="B177" s="15" t="n">
        <f aca="false">'Jan-26'!B160</f>
        <v>11056.77</v>
      </c>
      <c r="C177" s="15" t="n">
        <f aca="false">'Fev-26'!B167</f>
        <v>8292.57</v>
      </c>
      <c r="D177" s="15" t="n">
        <f aca="false">'Mar-26'!B167</f>
        <v>5528.37</v>
      </c>
      <c r="E177" s="15" t="n">
        <f aca="false">'Abr-26'!B172</f>
        <v>2764.17</v>
      </c>
      <c r="F177" s="15"/>
      <c r="G177" s="15"/>
      <c r="H177" s="15"/>
      <c r="I177" s="15"/>
    </row>
    <row r="178" customFormat="false" ht="15" hidden="false" customHeight="false" outlineLevel="0" collapsed="false">
      <c r="A178" s="13" t="s">
        <v>178</v>
      </c>
      <c r="B178" s="12" t="n">
        <f aca="false">'Jan-26'!B161</f>
        <v>1489.15</v>
      </c>
      <c r="C178" s="12" t="n">
        <f aca="false">'Fev-26'!B168</f>
        <v>1309.12</v>
      </c>
      <c r="D178" s="12" t="n">
        <f aca="false">'Mar-26'!B168</f>
        <v>26899.87</v>
      </c>
      <c r="E178" s="12" t="n">
        <f aca="false">'Abr-26'!B173</f>
        <v>3444.64</v>
      </c>
      <c r="F178" s="12" t="n">
        <f aca="false">'Mai-26'!B172</f>
        <v>4092.5</v>
      </c>
      <c r="G178" s="12" t="n">
        <f aca="false">'Jun-26'!B171</f>
        <v>5006.66</v>
      </c>
      <c r="H178" s="12" t="n">
        <f aca="false">'Jul-26'!B171</f>
        <v>4751.47</v>
      </c>
      <c r="I178" s="12" t="n">
        <f aca="false">'Ago-26'!B177</f>
        <v>4375.63</v>
      </c>
    </row>
    <row r="179" customFormat="false" ht="15" hidden="false" customHeight="false" outlineLevel="0" collapsed="false">
      <c r="A179" s="14" t="s">
        <v>179</v>
      </c>
      <c r="B179" s="15" t="n">
        <f aca="false">'Jan-26'!B162</f>
        <v>1233.58</v>
      </c>
      <c r="C179" s="15" t="n">
        <f aca="false">'Fev-26'!B169</f>
        <v>1093.89</v>
      </c>
      <c r="D179" s="15" t="n">
        <f aca="false">'Mar-26'!B169</f>
        <v>3709.48</v>
      </c>
      <c r="E179" s="15" t="n">
        <f aca="false">'Abr-26'!B174</f>
        <v>3292.44</v>
      </c>
      <c r="F179" s="15" t="n">
        <f aca="false">'Mai-26'!B173</f>
        <v>3862.14</v>
      </c>
      <c r="G179" s="15" t="n">
        <f aca="false">'Jun-26'!B172</f>
        <v>4644.74</v>
      </c>
      <c r="H179" s="15" t="n">
        <f aca="false">'Jul-26'!B172</f>
        <v>4416.6</v>
      </c>
      <c r="I179" s="15" t="n">
        <f aca="false">'Ago-26'!B178</f>
        <v>4062.76</v>
      </c>
    </row>
    <row r="180" customFormat="false" ht="15" hidden="false" customHeight="false" outlineLevel="0" collapsed="false">
      <c r="A180" s="14" t="s">
        <v>180</v>
      </c>
      <c r="B180" s="15"/>
      <c r="C180" s="15"/>
      <c r="D180" s="15" t="n">
        <f aca="false">'Mar-26'!B170</f>
        <v>22975.16</v>
      </c>
      <c r="E180" s="15"/>
      <c r="F180" s="15"/>
      <c r="G180" s="15" t="n">
        <f aca="false">'Jun-26'!B173</f>
        <v>179.47</v>
      </c>
      <c r="H180" s="15" t="n">
        <f aca="false">'Jul-26'!B173</f>
        <v>119.64</v>
      </c>
      <c r="I180" s="15" t="n">
        <f aca="false">'Ago-26'!B179</f>
        <v>59.82</v>
      </c>
    </row>
    <row r="181" customFormat="false" ht="15" hidden="false" customHeight="false" outlineLevel="0" collapsed="false">
      <c r="A181" s="14" t="s">
        <v>181</v>
      </c>
      <c r="B181" s="15" t="n">
        <f aca="false">'Jan-26'!B163</f>
        <v>255.57</v>
      </c>
      <c r="C181" s="15" t="n">
        <f aca="false">'Fev-26'!B170</f>
        <v>215.23</v>
      </c>
      <c r="D181" s="15" t="n">
        <f aca="false">'Mar-26'!B171</f>
        <v>215.23</v>
      </c>
      <c r="E181" s="15" t="n">
        <f aca="false">'Abr-26'!B175</f>
        <v>152.2</v>
      </c>
      <c r="F181" s="15" t="n">
        <f aca="false">'Mai-26'!B174</f>
        <v>230.36</v>
      </c>
      <c r="G181" s="15" t="n">
        <f aca="false">'Jun-26'!B174</f>
        <v>182.45</v>
      </c>
      <c r="H181" s="15" t="n">
        <f aca="false">'Jul-26'!B174</f>
        <v>215.23</v>
      </c>
      <c r="I181" s="15" t="n">
        <f aca="false">'Ago-26'!B180</f>
        <v>253.05</v>
      </c>
    </row>
    <row r="182" customFormat="false" ht="15" hidden="false" customHeight="false" outlineLevel="0" collapsed="false">
      <c r="A182" s="13" t="s">
        <v>182</v>
      </c>
      <c r="B182" s="12" t="n">
        <f aca="false">'Jan-26'!B164</f>
        <v>36.84</v>
      </c>
      <c r="C182" s="12" t="n">
        <f aca="false">'Fev-26'!B171</f>
        <v>328.21</v>
      </c>
      <c r="D182" s="12" t="n">
        <f aca="false">'Mar-26'!B172</f>
        <v>7293.13</v>
      </c>
      <c r="E182" s="12" t="n">
        <f aca="false">'Abr-26'!B176</f>
        <v>604.79</v>
      </c>
      <c r="F182" s="12" t="n">
        <f aca="false">'Mai-26'!B175</f>
        <v>364.43</v>
      </c>
      <c r="G182" s="12" t="n">
        <f aca="false">'Jun-26'!B175</f>
        <v>376.62</v>
      </c>
      <c r="H182" s="12" t="n">
        <f aca="false">'Jul-26'!B175</f>
        <v>680.54</v>
      </c>
      <c r="I182" s="12" t="n">
        <f aca="false">'Ago-26'!B181</f>
        <v>1673.03</v>
      </c>
    </row>
    <row r="183" customFormat="false" ht="15" hidden="false" customHeight="false" outlineLevel="0" collapsed="false">
      <c r="A183" s="14" t="s">
        <v>183</v>
      </c>
      <c r="B183" s="15" t="n">
        <f aca="false">'Jan-26'!B165</f>
        <v>36.84</v>
      </c>
      <c r="C183" s="15" t="n">
        <f aca="false">'Fev-26'!B172</f>
        <v>328.21</v>
      </c>
      <c r="D183" s="15" t="n">
        <f aca="false">'Mar-26'!B173</f>
        <v>7293.13</v>
      </c>
      <c r="E183" s="15" t="n">
        <f aca="false">'Abr-26'!B177</f>
        <v>604.79</v>
      </c>
      <c r="F183" s="15" t="n">
        <f aca="false">'Mai-26'!B176</f>
        <v>364.43</v>
      </c>
      <c r="G183" s="15" t="n">
        <f aca="false">'Jun-26'!B176</f>
        <v>376.62</v>
      </c>
      <c r="H183" s="15" t="n">
        <f aca="false">'Jul-26'!B176</f>
        <v>680.54</v>
      </c>
      <c r="I183" s="15" t="n">
        <f aca="false">'Ago-26'!B182</f>
        <v>1673.03</v>
      </c>
    </row>
    <row r="184" customFormat="false" ht="15" hidden="false" customHeight="false" outlineLevel="0" collapsed="false">
      <c r="A184" s="11" t="s">
        <v>184</v>
      </c>
      <c r="B184" s="12" t="n">
        <f aca="false">'Jan-26'!B166</f>
        <v>2363197.65</v>
      </c>
      <c r="C184" s="12" t="n">
        <f aca="false">'Fev-26'!B173</f>
        <v>2676969.15</v>
      </c>
      <c r="D184" s="12" t="n">
        <f aca="false">'Mar-26'!B174</f>
        <v>3217676.69</v>
      </c>
      <c r="E184" s="12" t="n">
        <f aca="false">'Abr-26'!B178</f>
        <v>3599740.51</v>
      </c>
      <c r="F184" s="12" t="n">
        <f aca="false">'Mai-26'!B177</f>
        <v>4061963.29</v>
      </c>
      <c r="G184" s="12" t="n">
        <f aca="false">'Jun-26'!B177</f>
        <v>4192767.75</v>
      </c>
      <c r="H184" s="12" t="n">
        <f aca="false">'Jul-26'!B177</f>
        <v>4337265.09</v>
      </c>
      <c r="I184" s="12" t="n">
        <f aca="false">'Ago-26'!B183</f>
        <v>4891516.74</v>
      </c>
    </row>
    <row r="185" customFormat="false" ht="15" hidden="false" customHeight="false" outlineLevel="0" collapsed="false">
      <c r="A185" s="13" t="s">
        <v>185</v>
      </c>
      <c r="B185" s="12" t="n">
        <f aca="false">'Jan-26'!B167</f>
        <v>383033.67</v>
      </c>
      <c r="C185" s="12" t="n">
        <f aca="false">'Fev-26'!B174</f>
        <v>351348</v>
      </c>
      <c r="D185" s="12" t="n">
        <f aca="false">'Mar-26'!B175</f>
        <v>330409.2</v>
      </c>
      <c r="E185" s="12" t="n">
        <f aca="false">'Abr-26'!B179</f>
        <v>334849.73</v>
      </c>
      <c r="F185" s="12" t="n">
        <f aca="false">'Mai-26'!B178</f>
        <v>326835.24</v>
      </c>
      <c r="G185" s="12" t="n">
        <f aca="false">'Jun-26'!B178</f>
        <v>328275.37</v>
      </c>
      <c r="H185" s="12" t="n">
        <f aca="false">'Jul-26'!B178</f>
        <v>376810.93</v>
      </c>
      <c r="I185" s="12" t="n">
        <f aca="false">'Ago-26'!B184</f>
        <v>377433.67</v>
      </c>
    </row>
    <row r="186" customFormat="false" ht="15" hidden="false" customHeight="false" outlineLevel="0" collapsed="false">
      <c r="A186" s="14" t="s">
        <v>186</v>
      </c>
      <c r="B186" s="15" t="n">
        <f aca="false">'Jan-26'!B168</f>
        <v>377192.4</v>
      </c>
      <c r="C186" s="15" t="n">
        <f aca="false">'Fev-26'!B175</f>
        <v>339971.37</v>
      </c>
      <c r="D186" s="15" t="n">
        <f aca="false">'Mar-26'!B176</f>
        <v>323176.98</v>
      </c>
      <c r="E186" s="15" t="n">
        <f aca="false">'Abr-26'!B180</f>
        <v>325609.02</v>
      </c>
      <c r="F186" s="15" t="n">
        <f aca="false">'Mai-26'!B179</f>
        <v>321583.86</v>
      </c>
      <c r="G186" s="15" t="n">
        <f aca="false">'Jun-26'!B179</f>
        <v>320481.99</v>
      </c>
      <c r="H186" s="15" t="n">
        <f aca="false">'Jul-26'!B179</f>
        <v>356320.05</v>
      </c>
      <c r="I186" s="15" t="n">
        <f aca="false">'Ago-26'!B185</f>
        <v>370413.72</v>
      </c>
    </row>
    <row r="187" customFormat="false" ht="15" hidden="false" customHeight="false" outlineLevel="0" collapsed="false">
      <c r="A187" s="14" t="s">
        <v>187</v>
      </c>
      <c r="B187" s="15"/>
      <c r="C187" s="15" t="n">
        <f aca="false">'Fev-26'!B176</f>
        <v>8353.86</v>
      </c>
      <c r="D187" s="15" t="n">
        <f aca="false">'Mar-26'!B177</f>
        <v>924.26</v>
      </c>
      <c r="E187" s="15" t="n">
        <f aca="false">'Abr-26'!B181</f>
        <v>3288.78</v>
      </c>
      <c r="F187" s="15"/>
      <c r="G187" s="15" t="n">
        <f aca="false">'Jun-26'!B180</f>
        <v>1687.8</v>
      </c>
      <c r="H187" s="15" t="n">
        <f aca="false">'Jul-26'!B180</f>
        <v>14732.51</v>
      </c>
      <c r="I187" s="15" t="n">
        <f aca="false">'Ago-26'!B186</f>
        <v>2394.37</v>
      </c>
    </row>
    <row r="188" customFormat="false" ht="15" hidden="false" customHeight="false" outlineLevel="0" collapsed="false">
      <c r="A188" s="14" t="s">
        <v>188</v>
      </c>
      <c r="B188" s="15" t="n">
        <f aca="false">'Jan-26'!B169</f>
        <v>5841.27</v>
      </c>
      <c r="C188" s="15" t="n">
        <f aca="false">'Fev-26'!B177</f>
        <v>3022.77</v>
      </c>
      <c r="D188" s="15" t="n">
        <f aca="false">'Mar-26'!B178</f>
        <v>6307.96</v>
      </c>
      <c r="E188" s="15" t="n">
        <f aca="false">'Abr-26'!B182</f>
        <v>5951.93</v>
      </c>
      <c r="F188" s="15" t="n">
        <f aca="false">'Mai-26'!B180</f>
        <v>5251.38</v>
      </c>
      <c r="G188" s="15" t="n">
        <f aca="false">'Jun-26'!B181</f>
        <v>6105.58</v>
      </c>
      <c r="H188" s="15" t="n">
        <f aca="false">'Jul-26'!B181</f>
        <v>5758.37</v>
      </c>
      <c r="I188" s="15" t="n">
        <f aca="false">'Ago-26'!B187</f>
        <v>4625.58</v>
      </c>
    </row>
    <row r="189" customFormat="false" ht="15" hidden="false" customHeight="false" outlineLevel="0" collapsed="false">
      <c r="A189" s="13" t="s">
        <v>189</v>
      </c>
      <c r="B189" s="12" t="n">
        <f aca="false">'Jan-26'!B170</f>
        <v>67477.74</v>
      </c>
      <c r="C189" s="12" t="n">
        <f aca="false">'Fev-26'!B178</f>
        <v>69358.85</v>
      </c>
      <c r="D189" s="12" t="n">
        <f aca="false">'Mar-26'!B179</f>
        <v>70319.89</v>
      </c>
      <c r="E189" s="12" t="n">
        <f aca="false">'Abr-26'!B183</f>
        <v>49203.69</v>
      </c>
      <c r="F189" s="12" t="n">
        <f aca="false">'Mai-26'!B181</f>
        <v>48531.4</v>
      </c>
      <c r="G189" s="12" t="n">
        <f aca="false">'Jun-26'!B182</f>
        <v>50927.17</v>
      </c>
      <c r="H189" s="12" t="n">
        <f aca="false">'Jul-26'!B182</f>
        <v>55274.57</v>
      </c>
      <c r="I189" s="12" t="n">
        <f aca="false">'Ago-26'!B188</f>
        <v>66723.27</v>
      </c>
    </row>
    <row r="190" customFormat="false" ht="15" hidden="false" customHeight="false" outlineLevel="0" collapsed="false">
      <c r="A190" s="14" t="s">
        <v>190</v>
      </c>
      <c r="B190" s="15" t="n">
        <f aca="false">'Jan-26'!B171</f>
        <v>35566</v>
      </c>
      <c r="C190" s="15" t="n">
        <f aca="false">'Fev-26'!B179</f>
        <v>34547.44</v>
      </c>
      <c r="D190" s="15" t="n">
        <f aca="false">'Mar-26'!B180</f>
        <v>33299.96</v>
      </c>
      <c r="E190" s="15" t="n">
        <f aca="false">'Abr-26'!B184</f>
        <v>11841.74</v>
      </c>
      <c r="F190" s="15" t="n">
        <f aca="false">'Mai-26'!B182</f>
        <v>11140.23</v>
      </c>
      <c r="G190" s="15" t="n">
        <f aca="false">'Jun-26'!B183</f>
        <v>10510.41</v>
      </c>
      <c r="H190" s="15" t="n">
        <f aca="false">'Jul-26'!B183</f>
        <v>11824.97</v>
      </c>
      <c r="I190" s="15" t="n">
        <f aca="false">'Ago-26'!B189</f>
        <v>22316.54</v>
      </c>
    </row>
    <row r="191" customFormat="false" ht="15" hidden="false" customHeight="false" outlineLevel="0" collapsed="false">
      <c r="A191" s="14" t="s">
        <v>191</v>
      </c>
      <c r="B191" s="15" t="n">
        <f aca="false">'Jan-26'!B172</f>
        <v>1215.75</v>
      </c>
      <c r="C191" s="15" t="n">
        <f aca="false">'Fev-26'!B180</f>
        <v>1215.75</v>
      </c>
      <c r="D191" s="15" t="n">
        <f aca="false">'Mar-26'!B181</f>
        <v>1215.75</v>
      </c>
      <c r="E191" s="15" t="n">
        <f aca="false">'Abr-26'!B185</f>
        <v>1215.75</v>
      </c>
      <c r="F191" s="15" t="n">
        <f aca="false">'Mai-26'!B183</f>
        <v>1215.75</v>
      </c>
      <c r="G191" s="15" t="n">
        <f aca="false">'Jun-26'!B184</f>
        <v>1215.75</v>
      </c>
      <c r="H191" s="15" t="n">
        <f aca="false">'Jul-26'!B184</f>
        <v>1215.75</v>
      </c>
      <c r="I191" s="15" t="n">
        <f aca="false">'Ago-26'!B190</f>
        <v>1215.75</v>
      </c>
    </row>
    <row r="192" customFormat="false" ht="15" hidden="false" customHeight="false" outlineLevel="0" collapsed="false">
      <c r="A192" s="14" t="s">
        <v>192</v>
      </c>
      <c r="B192" s="15" t="n">
        <f aca="false">'Jan-26'!B173</f>
        <v>30695.99</v>
      </c>
      <c r="C192" s="15" t="n">
        <f aca="false">'Fev-26'!B181</f>
        <v>33595.66</v>
      </c>
      <c r="D192" s="15" t="n">
        <f aca="false">'Mar-26'!B182</f>
        <v>35804.18</v>
      </c>
      <c r="E192" s="15" t="n">
        <f aca="false">'Abr-26'!B186</f>
        <v>36146.2</v>
      </c>
      <c r="F192" s="15" t="n">
        <f aca="false">'Mai-26'!B184</f>
        <v>36175.42</v>
      </c>
      <c r="G192" s="15" t="n">
        <f aca="false">'Jun-26'!B185</f>
        <v>39201.01</v>
      </c>
      <c r="H192" s="15" t="n">
        <f aca="false">'Jul-26'!B185</f>
        <v>42233.85</v>
      </c>
      <c r="I192" s="15" t="n">
        <f aca="false">'Ago-26'!B191</f>
        <v>43190.98</v>
      </c>
    </row>
    <row r="193" customFormat="false" ht="15" hidden="false" customHeight="false" outlineLevel="0" collapsed="false">
      <c r="A193" s="13" t="s">
        <v>193</v>
      </c>
      <c r="B193" s="12" t="n">
        <f aca="false">'Jan-26'!B174</f>
        <v>1684259</v>
      </c>
      <c r="C193" s="12" t="n">
        <f aca="false">'Fev-26'!B182</f>
        <v>1921001.82</v>
      </c>
      <c r="D193" s="12" t="n">
        <f aca="false">'Mar-26'!B183</f>
        <v>2144183.56</v>
      </c>
      <c r="E193" s="12" t="n">
        <f aca="false">'Abr-26'!B187</f>
        <v>2377190.4</v>
      </c>
      <c r="F193" s="12" t="n">
        <f aca="false">'Mai-26'!B185</f>
        <v>2683496.96</v>
      </c>
      <c r="G193" s="12" t="n">
        <f aca="false">'Jun-26'!B186</f>
        <v>2681068.15</v>
      </c>
      <c r="H193" s="12" t="n">
        <f aca="false">'Jul-26'!B186</f>
        <v>2694923.47</v>
      </c>
      <c r="I193" s="12" t="n">
        <f aca="false">'Ago-26'!B192</f>
        <v>3084097.85</v>
      </c>
    </row>
    <row r="194" customFormat="false" ht="15" hidden="false" customHeight="false" outlineLevel="0" collapsed="false">
      <c r="A194" s="14" t="s">
        <v>194</v>
      </c>
      <c r="B194" s="15" t="n">
        <f aca="false">'Jan-26'!B175</f>
        <v>1593503.96</v>
      </c>
      <c r="C194" s="15" t="n">
        <f aca="false">'Fev-26'!B183</f>
        <v>1827862.26</v>
      </c>
      <c r="D194" s="15" t="n">
        <f aca="false">'Mar-26'!B184</f>
        <v>2053077.69</v>
      </c>
      <c r="E194" s="15" t="n">
        <f aca="false">'Abr-26'!B188</f>
        <v>2285660.22</v>
      </c>
      <c r="F194" s="15" t="n">
        <f aca="false">'Mai-26'!B186</f>
        <v>2592106.85</v>
      </c>
      <c r="G194" s="15" t="n">
        <f aca="false">'Jun-26'!B187</f>
        <v>2591727.18</v>
      </c>
      <c r="H194" s="15" t="n">
        <f aca="false">'Jul-26'!B187</f>
        <v>2607345.59</v>
      </c>
      <c r="I194" s="15" t="n">
        <f aca="false">'Ago-26'!B193</f>
        <v>2938992.67</v>
      </c>
    </row>
    <row r="195" customFormat="false" ht="15" hidden="false" customHeight="false" outlineLevel="0" collapsed="false">
      <c r="A195" s="14" t="s">
        <v>195</v>
      </c>
      <c r="B195" s="15" t="n">
        <f aca="false">'Jan-26'!B176</f>
        <v>65129.34</v>
      </c>
      <c r="C195" s="15" t="n">
        <f aca="false">'Fev-26'!B184</f>
        <v>62433.04</v>
      </c>
      <c r="D195" s="15" t="n">
        <f aca="false">'Mar-26'!B185</f>
        <v>61118.53</v>
      </c>
      <c r="E195" s="15" t="n">
        <f aca="false">'Abr-26'!B189</f>
        <v>62046.78</v>
      </c>
      <c r="F195" s="15" t="n">
        <f aca="false">'Mai-26'!B187</f>
        <v>62920.08</v>
      </c>
      <c r="G195" s="15" t="n">
        <f aca="false">'Jun-26'!B188</f>
        <v>61946.76</v>
      </c>
      <c r="H195" s="15" t="n">
        <f aca="false">'Jul-26'!B188</f>
        <v>64626.18</v>
      </c>
      <c r="I195" s="15" t="n">
        <f aca="false">'Ago-26'!B194</f>
        <v>121794.94</v>
      </c>
    </row>
    <row r="196" customFormat="false" ht="15" hidden="false" customHeight="false" outlineLevel="0" collapsed="false">
      <c r="A196" s="14" t="s">
        <v>196</v>
      </c>
      <c r="B196" s="15" t="n">
        <f aca="false">'Jan-26'!B177</f>
        <v>2516</v>
      </c>
      <c r="C196" s="15" t="n">
        <f aca="false">'Fev-26'!B185</f>
        <v>5736</v>
      </c>
      <c r="D196" s="15" t="n">
        <f aca="false">'Mar-26'!B186</f>
        <v>4138</v>
      </c>
      <c r="E196" s="15" t="n">
        <f aca="false">'Abr-26'!B190</f>
        <v>4038</v>
      </c>
      <c r="F196" s="15" t="n">
        <f aca="false">'Mai-26'!B188</f>
        <v>3818</v>
      </c>
      <c r="G196" s="15" t="n">
        <f aca="false">'Jun-26'!B189</f>
        <v>3818</v>
      </c>
      <c r="H196" s="15" t="n">
        <f aca="false">'Jul-26'!B189</f>
        <v>1098</v>
      </c>
      <c r="I196" s="15" t="n">
        <f aca="false">'Ago-26'!B195</f>
        <v>1098</v>
      </c>
    </row>
    <row r="197" customFormat="false" ht="15" hidden="false" customHeight="false" outlineLevel="0" collapsed="false">
      <c r="A197" s="14" t="s">
        <v>197</v>
      </c>
      <c r="B197" s="15" t="n">
        <f aca="false">'Jan-26'!B178</f>
        <v>23109.7</v>
      </c>
      <c r="C197" s="15" t="n">
        <f aca="false">'Fev-26'!B186</f>
        <v>24970.52</v>
      </c>
      <c r="D197" s="15" t="n">
        <f aca="false">'Mar-26'!B187</f>
        <v>25849.34</v>
      </c>
      <c r="E197" s="15" t="n">
        <f aca="false">'Abr-26'!B191</f>
        <v>25445.4</v>
      </c>
      <c r="F197" s="15" t="n">
        <f aca="false">'Mai-26'!B189</f>
        <v>24652.03</v>
      </c>
      <c r="G197" s="15" t="n">
        <f aca="false">'Jun-26'!B190</f>
        <v>23576.21</v>
      </c>
      <c r="H197" s="15" t="n">
        <f aca="false">'Jul-26'!B190</f>
        <v>21853.7</v>
      </c>
      <c r="I197" s="15" t="n">
        <f aca="false">'Ago-26'!B196</f>
        <v>21853.7</v>
      </c>
    </row>
    <row r="198" customFormat="false" ht="15" hidden="false" customHeight="false" outlineLevel="0" collapsed="false">
      <c r="A198" s="14" t="s">
        <v>198</v>
      </c>
      <c r="B198" s="15"/>
      <c r="C198" s="15"/>
      <c r="D198" s="15"/>
      <c r="E198" s="15"/>
      <c r="F198" s="15"/>
      <c r="G198" s="15"/>
      <c r="H198" s="15"/>
      <c r="I198" s="15" t="n">
        <f aca="false">'Ago-26'!B197</f>
        <v>358.54</v>
      </c>
    </row>
    <row r="199" customFormat="false" ht="15" hidden="false" customHeight="false" outlineLevel="0" collapsed="false">
      <c r="A199" s="13" t="s">
        <v>199</v>
      </c>
      <c r="B199" s="12" t="n">
        <f aca="false">'Jan-26'!B179</f>
        <v>228427.24</v>
      </c>
      <c r="C199" s="12" t="n">
        <f aca="false">'Fev-26'!B187</f>
        <v>335260.48</v>
      </c>
      <c r="D199" s="12" t="n">
        <f aca="false">'Mar-26'!B188</f>
        <v>672764.04</v>
      </c>
      <c r="E199" s="12" t="n">
        <f aca="false">'Abr-26'!B192</f>
        <v>838496.69</v>
      </c>
      <c r="F199" s="12" t="n">
        <f aca="false">'Mai-26'!B190</f>
        <v>1003099.69</v>
      </c>
      <c r="G199" s="12" t="n">
        <f aca="false">'Jun-26'!B191</f>
        <v>1132497.06</v>
      </c>
      <c r="H199" s="12" t="n">
        <f aca="false">'Jul-26'!B191</f>
        <v>1210256.12</v>
      </c>
      <c r="I199" s="12" t="n">
        <f aca="false">'Ago-26'!B198</f>
        <v>1363261.95</v>
      </c>
    </row>
    <row r="200" customFormat="false" ht="15" hidden="false" customHeight="false" outlineLevel="0" collapsed="false">
      <c r="A200" s="14" t="s">
        <v>200</v>
      </c>
      <c r="B200" s="15"/>
      <c r="C200" s="15"/>
      <c r="D200" s="15" t="n">
        <f aca="false">'Mar-26'!B189</f>
        <v>42340.79</v>
      </c>
      <c r="E200" s="15" t="n">
        <f aca="false">'Abr-26'!B194</f>
        <v>65188.23</v>
      </c>
      <c r="F200" s="15" t="n">
        <f aca="false">'Mai-26'!B192</f>
        <v>87228.83</v>
      </c>
      <c r="G200" s="15" t="n">
        <f aca="false">'Jun-26'!B193</f>
        <v>100937.99</v>
      </c>
      <c r="H200" s="15" t="n">
        <f aca="false">'Jul-26'!B193</f>
        <v>104518.73</v>
      </c>
      <c r="I200" s="15" t="n">
        <f aca="false">'Ago-26'!B199</f>
        <v>122440.6</v>
      </c>
    </row>
    <row r="201" customFormat="false" ht="15" hidden="false" customHeight="false" outlineLevel="0" collapsed="false">
      <c r="A201" s="14" t="s">
        <v>201</v>
      </c>
      <c r="B201" s="15"/>
      <c r="C201" s="15" t="n">
        <f aca="false">'Fev-26'!B188</f>
        <v>298.31</v>
      </c>
      <c r="D201" s="15"/>
      <c r="E201" s="15" t="n">
        <f aca="false">'Abr-26'!B193</f>
        <v>-4457.95</v>
      </c>
      <c r="F201" s="15" t="n">
        <f aca="false">'Mai-26'!B191</f>
        <v>-2013.9</v>
      </c>
      <c r="G201" s="15" t="n">
        <f aca="false">'Jun-26'!B192</f>
        <v>-2834.31</v>
      </c>
      <c r="H201" s="15" t="n">
        <f aca="false">'Jul-26'!B192</f>
        <v>-1198.99</v>
      </c>
      <c r="I201" s="15"/>
    </row>
    <row r="202" customFormat="false" ht="15" hidden="false" customHeight="false" outlineLevel="0" collapsed="false">
      <c r="A202" s="14" t="s">
        <v>202</v>
      </c>
      <c r="B202" s="15" t="n">
        <f aca="false">'Jan-26'!B180</f>
        <v>131983.61</v>
      </c>
      <c r="C202" s="15" t="n">
        <f aca="false">'Fev-26'!B189</f>
        <v>139387.63</v>
      </c>
      <c r="D202" s="15" t="n">
        <f aca="false">'Mar-26'!B190</f>
        <v>150885.78</v>
      </c>
      <c r="E202" s="15" t="n">
        <f aca="false">'Abr-26'!B195</f>
        <v>156988.66</v>
      </c>
      <c r="F202" s="15" t="n">
        <f aca="false">'Mai-26'!B193</f>
        <v>162756.05</v>
      </c>
      <c r="G202" s="15" t="n">
        <f aca="false">'Jun-26'!B194</f>
        <v>166193.85</v>
      </c>
      <c r="H202" s="15" t="n">
        <f aca="false">'Jul-26'!B194</f>
        <v>166714.44</v>
      </c>
      <c r="I202" s="15" t="n">
        <f aca="false">'Ago-26'!B200</f>
        <v>171612.63</v>
      </c>
    </row>
    <row r="203" customFormat="false" ht="15" hidden="false" customHeight="false" outlineLevel="0" collapsed="false">
      <c r="A203" s="14" t="s">
        <v>203</v>
      </c>
      <c r="B203" s="15" t="n">
        <f aca="false">'Jan-26'!B181</f>
        <v>9520.48</v>
      </c>
      <c r="C203" s="15" t="n">
        <f aca="false">'Fev-26'!B190</f>
        <v>24809.2</v>
      </c>
      <c r="D203" s="15" t="n">
        <f aca="false">'Mar-26'!B191</f>
        <v>57899.77</v>
      </c>
      <c r="E203" s="15" t="n">
        <f aca="false">'Abr-26'!B196</f>
        <v>76473.19</v>
      </c>
      <c r="F203" s="15" t="n">
        <f aca="false">'Mai-26'!B194</f>
        <v>94643.69</v>
      </c>
      <c r="G203" s="15" t="n">
        <f aca="false">'Jun-26'!B195</f>
        <v>112875.17</v>
      </c>
      <c r="H203" s="15" t="n">
        <f aca="false">'Jul-26'!B195</f>
        <v>131219.42</v>
      </c>
      <c r="I203" s="15" t="n">
        <f aca="false">'Ago-26'!B201</f>
        <v>149848.83</v>
      </c>
    </row>
    <row r="204" customFormat="false" ht="15" hidden="false" customHeight="false" outlineLevel="0" collapsed="false">
      <c r="A204" s="14" t="s">
        <v>204</v>
      </c>
      <c r="B204" s="15" t="n">
        <f aca="false">'Jan-26'!B182</f>
        <v>2598.67</v>
      </c>
      <c r="C204" s="15" t="n">
        <f aca="false">'Fev-26'!B191</f>
        <v>4341.42</v>
      </c>
      <c r="D204" s="15" t="n">
        <f aca="false">'Mar-26'!B192</f>
        <v>12289.49</v>
      </c>
      <c r="E204" s="15" t="n">
        <f aca="false">'Abr-26'!B197</f>
        <v>13534.27</v>
      </c>
      <c r="F204" s="15" t="n">
        <f aca="false">'Mai-26'!B195</f>
        <v>17973.93</v>
      </c>
      <c r="G204" s="15" t="n">
        <f aca="false">'Jun-26'!B196</f>
        <v>22858.81</v>
      </c>
      <c r="H204" s="15" t="n">
        <f aca="false">'Jul-26'!B196</f>
        <v>27696.84</v>
      </c>
      <c r="I204" s="15" t="n">
        <f aca="false">'Ago-26'!B202</f>
        <v>32545.14</v>
      </c>
    </row>
    <row r="205" customFormat="false" ht="15" hidden="false" customHeight="false" outlineLevel="0" collapsed="false">
      <c r="A205" s="14" t="s">
        <v>205</v>
      </c>
      <c r="B205" s="15" t="n">
        <f aca="false">'Jan-26'!B183</f>
        <v>53067.68</v>
      </c>
      <c r="C205" s="15" t="n">
        <f aca="false">'Fev-26'!B192</f>
        <v>84806.5</v>
      </c>
      <c r="D205" s="15" t="n">
        <f aca="false">'Mar-26'!B193</f>
        <v>217581.58</v>
      </c>
      <c r="E205" s="15" t="n">
        <f aca="false">'Abr-26'!B198</f>
        <v>278805.76</v>
      </c>
      <c r="F205" s="15" t="n">
        <f aca="false">'Mai-26'!B196</f>
        <v>334781.79</v>
      </c>
      <c r="G205" s="15" t="n">
        <f aca="false">'Jun-26'!B197</f>
        <v>369070.78</v>
      </c>
      <c r="H205" s="15" t="n">
        <f aca="false">'Jul-26'!B197</f>
        <v>363948.88</v>
      </c>
      <c r="I205" s="15" t="n">
        <f aca="false">'Ago-26'!B203</f>
        <v>413585.45</v>
      </c>
    </row>
    <row r="206" customFormat="false" ht="15" hidden="false" customHeight="false" outlineLevel="0" collapsed="false">
      <c r="A206" s="14" t="s">
        <v>206</v>
      </c>
      <c r="B206" s="15" t="n">
        <f aca="false">'Jan-26'!B184</f>
        <v>31256.8</v>
      </c>
      <c r="C206" s="15" t="n">
        <f aca="false">'Fev-26'!B193</f>
        <v>81617.42</v>
      </c>
      <c r="D206" s="15" t="n">
        <f aca="false">'Mar-26'!B194</f>
        <v>191766.63</v>
      </c>
      <c r="E206" s="15" t="n">
        <f aca="false">'Abr-26'!B199</f>
        <v>251964.53</v>
      </c>
      <c r="F206" s="15" t="n">
        <f aca="false">'Mai-26'!B197</f>
        <v>307729.3</v>
      </c>
      <c r="G206" s="15" t="n">
        <f aca="false">'Jun-26'!B198</f>
        <v>363394.77</v>
      </c>
      <c r="H206" s="15" t="n">
        <f aca="false">'Jul-26'!B198</f>
        <v>417356.8</v>
      </c>
      <c r="I206" s="15" t="n">
        <f aca="false">'Ago-26'!B204</f>
        <v>473229.3</v>
      </c>
    </row>
    <row r="207" customFormat="false" ht="15" hidden="false" customHeight="false" outlineLevel="0" collapsed="false">
      <c r="A207" s="11" t="s">
        <v>207</v>
      </c>
      <c r="B207" s="12" t="n">
        <f aca="false">'Jan-26'!B185</f>
        <v>792652.04</v>
      </c>
      <c r="C207" s="12" t="n">
        <f aca="false">'Fev-26'!B194</f>
        <v>622423.54</v>
      </c>
      <c r="D207" s="12" t="n">
        <f aca="false">'Mar-26'!B195</f>
        <v>442126.99</v>
      </c>
      <c r="E207" s="12" t="n">
        <f aca="false">'Abr-26'!B200</f>
        <v>287750.57</v>
      </c>
      <c r="F207" s="12" t="n">
        <f aca="false">'Mai-26'!B198</f>
        <v>-572346.59</v>
      </c>
      <c r="G207" s="12" t="n">
        <f aca="false">'Jun-26'!B199</f>
        <v>-731826.11</v>
      </c>
      <c r="H207" s="12" t="n">
        <f aca="false">'Jul-26'!B199</f>
        <v>-956548.75</v>
      </c>
      <c r="I207" s="12" t="n">
        <f aca="false">'Ago-26'!B205</f>
        <v>-1181567.51</v>
      </c>
    </row>
    <row r="208" customFormat="false" ht="15" hidden="false" customHeight="false" outlineLevel="0" collapsed="false">
      <c r="A208" s="13" t="s">
        <v>207</v>
      </c>
      <c r="B208" s="12" t="n">
        <f aca="false">'Jan-26'!B186</f>
        <v>1594609.4</v>
      </c>
      <c r="C208" s="12" t="n">
        <f aca="false">'Fev-26'!B195</f>
        <v>1406947.04</v>
      </c>
      <c r="D208" s="12" t="n">
        <f aca="false">'Mar-26'!B196</f>
        <v>1209216.63</v>
      </c>
      <c r="E208" s="12" t="n">
        <f aca="false">'Abr-26'!B201</f>
        <v>1037406.35</v>
      </c>
      <c r="F208" s="12" t="n">
        <f aca="false">'Mai-26'!B199</f>
        <v>1415521.93</v>
      </c>
      <c r="G208" s="12" t="n">
        <f aca="false">'Jun-26'!B200</f>
        <v>1238608.55</v>
      </c>
      <c r="H208" s="12" t="n">
        <f aca="false">'Jul-26'!B200</f>
        <v>996452.05</v>
      </c>
      <c r="I208" s="12" t="n">
        <f aca="false">'Ago-26'!B206</f>
        <v>753999.43</v>
      </c>
    </row>
    <row r="209" customFormat="false" ht="15" hidden="false" customHeight="false" outlineLevel="0" collapsed="false">
      <c r="A209" s="14" t="s">
        <v>208</v>
      </c>
      <c r="B209" s="15" t="n">
        <f aca="false">'Jan-26'!B187</f>
        <v>41904.8</v>
      </c>
      <c r="C209" s="15" t="n">
        <f aca="false">'Fev-26'!B196</f>
        <v>20952.42</v>
      </c>
      <c r="D209" s="15"/>
      <c r="E209" s="15"/>
      <c r="F209" s="15"/>
      <c r="G209" s="15"/>
      <c r="H209" s="15"/>
      <c r="I209" s="15"/>
    </row>
    <row r="210" customFormat="false" ht="15" hidden="false" customHeight="false" outlineLevel="0" collapsed="false">
      <c r="A210" s="14" t="s">
        <v>209</v>
      </c>
      <c r="B210" s="15" t="n">
        <f aca="false">'Jan-26'!B188</f>
        <v>196428.73</v>
      </c>
      <c r="C210" s="15" t="n">
        <f aca="false">'Fev-26'!B197</f>
        <v>157143.02</v>
      </c>
      <c r="D210" s="15" t="n">
        <f aca="false">'Mar-26'!B197</f>
        <v>117857.31</v>
      </c>
      <c r="E210" s="15" t="n">
        <f aca="false">'Abr-26'!B202</f>
        <v>78571.6</v>
      </c>
      <c r="F210" s="15" t="n">
        <f aca="false">'Mai-26'!B200</f>
        <v>39285.89</v>
      </c>
      <c r="G210" s="15"/>
      <c r="H210" s="15"/>
      <c r="I210" s="15"/>
    </row>
    <row r="211" customFormat="false" ht="15" hidden="false" customHeight="false" outlineLevel="0" collapsed="false">
      <c r="A211" s="14" t="s">
        <v>210</v>
      </c>
      <c r="B211" s="15" t="n">
        <f aca="false">'Jan-26'!B189</f>
        <v>85856.95</v>
      </c>
      <c r="C211" s="15" t="n">
        <f aca="false">'Fev-26'!B198</f>
        <v>68685.64</v>
      </c>
      <c r="D211" s="15" t="n">
        <f aca="false">'Mar-26'!B198</f>
        <v>51514.33</v>
      </c>
      <c r="E211" s="15" t="n">
        <f aca="false">'Abr-26'!B203</f>
        <v>34343.02</v>
      </c>
      <c r="F211" s="15" t="n">
        <f aca="false">'Mai-26'!B201</f>
        <v>17171.71</v>
      </c>
      <c r="G211" s="15"/>
      <c r="H211" s="15"/>
      <c r="I211" s="15"/>
    </row>
    <row r="212" customFormat="false" ht="15" hidden="false" customHeight="false" outlineLevel="0" collapsed="false">
      <c r="A212" s="14" t="s">
        <v>211</v>
      </c>
      <c r="B212" s="15" t="n">
        <f aca="false">'Jan-26'!B190</f>
        <v>515625</v>
      </c>
      <c r="C212" s="15" t="n">
        <f aca="false">'Fev-26'!B199</f>
        <v>468750</v>
      </c>
      <c r="D212" s="15" t="n">
        <f aca="false">'Mar-26'!B199</f>
        <v>421875</v>
      </c>
      <c r="E212" s="15" t="n">
        <f aca="false">'Abr-26'!B204</f>
        <v>375000</v>
      </c>
      <c r="F212" s="15" t="n">
        <f aca="false">'Mai-26'!B202</f>
        <v>328125</v>
      </c>
      <c r="G212" s="15" t="n">
        <f aca="false">'Jun-26'!B201</f>
        <v>281250</v>
      </c>
      <c r="H212" s="15" t="n">
        <f aca="false">'Jul-26'!B201</f>
        <v>234375</v>
      </c>
      <c r="I212" s="15" t="n">
        <f aca="false">'Ago-26'!B207</f>
        <v>187500</v>
      </c>
    </row>
    <row r="213" customFormat="false" ht="15" hidden="false" customHeight="false" outlineLevel="0" collapsed="false">
      <c r="A213" s="14" t="s">
        <v>212</v>
      </c>
      <c r="B213" s="15"/>
      <c r="C213" s="15"/>
      <c r="D213" s="15"/>
      <c r="E213" s="15"/>
      <c r="F213" s="15"/>
      <c r="G213" s="15"/>
      <c r="H213" s="15" t="n">
        <f aca="false">'Jul-26'!B202</f>
        <v>-35840.3</v>
      </c>
      <c r="I213" s="15" t="n">
        <f aca="false">'Ago-26'!B208</f>
        <v>-71930.08</v>
      </c>
    </row>
    <row r="214" customFormat="false" ht="15" hidden="false" customHeight="false" outlineLevel="0" collapsed="false">
      <c r="A214" s="14" t="s">
        <v>213</v>
      </c>
      <c r="B214" s="15" t="n">
        <f aca="false">'Jan-26'!B191</f>
        <v>41073.99</v>
      </c>
      <c r="C214" s="15" t="n">
        <f aca="false">'Fev-26'!B200</f>
        <v>37567.57</v>
      </c>
      <c r="D214" s="15" t="n">
        <f aca="false">'Mar-26'!B200</f>
        <v>34017.32</v>
      </c>
      <c r="E214" s="15" t="n">
        <f aca="false">'Abr-26'!B205</f>
        <v>30422.69</v>
      </c>
      <c r="F214" s="15" t="n">
        <f aca="false">'Mai-26'!B203</f>
        <v>26783.13</v>
      </c>
      <c r="G214" s="15" t="n">
        <f aca="false">'Jun-26'!B202</f>
        <v>23098.07</v>
      </c>
      <c r="H214" s="15" t="n">
        <f aca="false">'Jul-26'!B203</f>
        <v>19366.95</v>
      </c>
      <c r="I214" s="15" t="n">
        <f aca="false">'Ago-26'!B209</f>
        <v>15589.19</v>
      </c>
    </row>
    <row r="215" customFormat="false" ht="15" hidden="false" customHeight="false" outlineLevel="0" collapsed="false">
      <c r="A215" s="14" t="s">
        <v>214</v>
      </c>
      <c r="B215" s="15" t="n">
        <f aca="false">'Jan-26'!B192</f>
        <v>658586.94</v>
      </c>
      <c r="C215" s="15" t="n">
        <f aca="false">'Fev-26'!B201</f>
        <v>598715.4</v>
      </c>
      <c r="D215" s="15" t="n">
        <f aca="false">'Mar-26'!B201</f>
        <v>538843.86</v>
      </c>
      <c r="E215" s="15" t="n">
        <f aca="false">'Abr-26'!B206</f>
        <v>478972.32</v>
      </c>
      <c r="F215" s="15" t="n">
        <f aca="false">'Mai-26'!B204</f>
        <v>419100.78</v>
      </c>
      <c r="G215" s="15" t="n">
        <f aca="false">'Jun-26'!B203</f>
        <v>359229.24</v>
      </c>
      <c r="H215" s="15" t="n">
        <f aca="false">'Jul-26'!B204</f>
        <v>299357.7</v>
      </c>
      <c r="I215" s="15" t="n">
        <f aca="false">'Ago-26'!B210</f>
        <v>239486.16</v>
      </c>
    </row>
    <row r="216" customFormat="false" ht="15" hidden="false" customHeight="false" outlineLevel="0" collapsed="false">
      <c r="A216" s="14" t="s">
        <v>215</v>
      </c>
      <c r="B216" s="15" t="n">
        <f aca="false">'Jan-26'!B193</f>
        <v>55132.99</v>
      </c>
      <c r="C216" s="15" t="n">
        <f aca="false">'Fev-26'!B202</f>
        <v>55132.99</v>
      </c>
      <c r="D216" s="15" t="n">
        <f aca="false">'Mar-26'!B202</f>
        <v>45108.81</v>
      </c>
      <c r="E216" s="15" t="n">
        <f aca="false">'Abr-26'!B207</f>
        <v>40096.72</v>
      </c>
      <c r="F216" s="15" t="n">
        <f aca="false">'Mai-26'!B205</f>
        <v>40096.72</v>
      </c>
      <c r="G216" s="15" t="n">
        <f aca="false">'Jun-26'!B204</f>
        <v>30072.54</v>
      </c>
      <c r="H216" s="15" t="n">
        <f aca="false">'Jul-26'!B205</f>
        <v>25060.45</v>
      </c>
      <c r="I216" s="15" t="n">
        <f aca="false">'Ago-26'!B211</f>
        <v>20048.36</v>
      </c>
    </row>
    <row r="217" customFormat="false" ht="15" hidden="false" customHeight="false" outlineLevel="0" collapsed="false">
      <c r="A217" s="14" t="s">
        <v>216</v>
      </c>
      <c r="B217" s="15"/>
      <c r="C217" s="15"/>
      <c r="D217" s="15"/>
      <c r="E217" s="15"/>
      <c r="F217" s="15" t="n">
        <f aca="false">'Mai-26'!B206</f>
        <v>544958.7</v>
      </c>
      <c r="G217" s="15" t="n">
        <f aca="false">'Jun-26'!B205</f>
        <v>544958.7</v>
      </c>
      <c r="H217" s="15" t="n">
        <f aca="false">'Jul-26'!B206</f>
        <v>454132.25</v>
      </c>
      <c r="I217" s="15" t="n">
        <f aca="false">'Ago-26'!B212</f>
        <v>363305.8</v>
      </c>
    </row>
    <row r="218" customFormat="false" ht="15" hidden="false" customHeight="false" outlineLevel="0" collapsed="false">
      <c r="A218" s="13" t="s">
        <v>217</v>
      </c>
      <c r="B218" s="12" t="n">
        <f aca="false">'Jan-26'!B194</f>
        <v>-801957.36</v>
      </c>
      <c r="C218" s="12" t="n">
        <f aca="false">'Fev-26'!B203</f>
        <v>-784523.5</v>
      </c>
      <c r="D218" s="12" t="n">
        <f aca="false">'Mar-26'!B203</f>
        <v>-767089.64</v>
      </c>
      <c r="E218" s="12" t="n">
        <f aca="false">'Abr-26'!B208</f>
        <v>-749655.78</v>
      </c>
      <c r="F218" s="12" t="n">
        <f aca="false">'Mai-26'!B207</f>
        <v>-1987868.52</v>
      </c>
      <c r="G218" s="12" t="n">
        <f aca="false">'Jun-26'!B206</f>
        <v>-1970434.66</v>
      </c>
      <c r="H218" s="12" t="n">
        <f aca="false">'Jul-26'!B207</f>
        <v>-1953000.8</v>
      </c>
      <c r="I218" s="12" t="n">
        <f aca="false">'Ago-26'!B213</f>
        <v>-1935566.94</v>
      </c>
    </row>
    <row r="219" customFormat="false" ht="15" hidden="false" customHeight="false" outlineLevel="0" collapsed="false">
      <c r="A219" s="14" t="s">
        <v>218</v>
      </c>
      <c r="B219" s="15" t="n">
        <f aca="false">'Jan-26'!B195</f>
        <v>-801957.36</v>
      </c>
      <c r="C219" s="15" t="n">
        <f aca="false">'Fev-26'!B204</f>
        <v>-784523.5</v>
      </c>
      <c r="D219" s="15" t="n">
        <f aca="false">'Mar-26'!B204</f>
        <v>-767089.64</v>
      </c>
      <c r="E219" s="15" t="n">
        <f aca="false">'Abr-26'!B209</f>
        <v>-749655.78</v>
      </c>
      <c r="F219" s="15" t="n">
        <f aca="false">'Mai-26'!B208</f>
        <v>-1987868.52</v>
      </c>
      <c r="G219" s="15" t="n">
        <f aca="false">'Jun-26'!B207</f>
        <v>-1970434.66</v>
      </c>
      <c r="H219" s="15" t="n">
        <f aca="false">'Jul-26'!B208</f>
        <v>-1953000.8</v>
      </c>
      <c r="I219" s="15" t="n">
        <f aca="false">'Ago-26'!B214</f>
        <v>-1935566.94</v>
      </c>
    </row>
    <row r="220" customFormat="false" ht="15" hidden="false" customHeight="false" outlineLevel="0" collapsed="false">
      <c r="A220" s="11" t="s">
        <v>219</v>
      </c>
      <c r="B220" s="12" t="n">
        <f aca="false">'Jan-26'!B196</f>
        <v>-341000.22</v>
      </c>
      <c r="C220" s="12" t="n">
        <f aca="false">'Fev-26'!B205</f>
        <v>-555089.29</v>
      </c>
      <c r="D220" s="12" t="n">
        <f aca="false">'Mar-26'!B205</f>
        <v>-917589.29</v>
      </c>
      <c r="E220" s="12" t="n">
        <f aca="false">'Abr-26'!B210</f>
        <v>-1232808.4</v>
      </c>
      <c r="F220" s="12" t="n">
        <f aca="false">'Mai-26'!B209</f>
        <v>-1232808.4</v>
      </c>
      <c r="G220" s="12" t="n">
        <f aca="false">'Jun-26'!B208</f>
        <v>-1232808.4</v>
      </c>
      <c r="H220" s="12" t="n">
        <f aca="false">'Jul-26'!B209</f>
        <v>-1232808.4</v>
      </c>
      <c r="I220" s="12" t="n">
        <f aca="false">'Ago-26'!B215</f>
        <v>-1232808.4</v>
      </c>
    </row>
    <row r="221" customFormat="false" ht="15" hidden="false" customHeight="false" outlineLevel="0" collapsed="false">
      <c r="A221" s="13" t="s">
        <v>220</v>
      </c>
      <c r="B221" s="12" t="n">
        <f aca="false">'Jan-26'!B197</f>
        <v>-341000.22</v>
      </c>
      <c r="C221" s="12" t="n">
        <f aca="false">'Fev-26'!B206</f>
        <v>-555089.29</v>
      </c>
      <c r="D221" s="12" t="n">
        <f aca="false">'Mar-26'!B206</f>
        <v>-917589.29</v>
      </c>
      <c r="E221" s="12" t="n">
        <f aca="false">'Abr-26'!B211</f>
        <v>-1232808.4</v>
      </c>
      <c r="F221" s="12" t="n">
        <f aca="false">'Mai-26'!B210</f>
        <v>-1232808.4</v>
      </c>
      <c r="G221" s="12" t="n">
        <f aca="false">'Jun-26'!B209</f>
        <v>-1232808.4</v>
      </c>
      <c r="H221" s="12" t="n">
        <f aca="false">'Jul-26'!B210</f>
        <v>-1232808.4</v>
      </c>
      <c r="I221" s="12" t="n">
        <f aca="false">'Ago-26'!B216</f>
        <v>-1232808.4</v>
      </c>
    </row>
    <row r="222" customFormat="false" ht="15" hidden="false" customHeight="false" outlineLevel="0" collapsed="false">
      <c r="A222" s="14" t="s">
        <v>221</v>
      </c>
      <c r="B222" s="15" t="n">
        <f aca="false">'Jan-26'!B198</f>
        <v>31019.08</v>
      </c>
      <c r="C222" s="15" t="n">
        <f aca="false">'Fev-26'!B207</f>
        <v>31019.08</v>
      </c>
      <c r="D222" s="15" t="n">
        <f aca="false">'Mar-26'!B207</f>
        <v>31019.08</v>
      </c>
      <c r="E222" s="15" t="n">
        <f aca="false">'Abr-26'!B212</f>
        <v>31019.08</v>
      </c>
      <c r="F222" s="15" t="n">
        <f aca="false">'Mai-26'!B211</f>
        <v>31019.08</v>
      </c>
      <c r="G222" s="15" t="n">
        <f aca="false">'Jun-26'!B210</f>
        <v>31019.08</v>
      </c>
      <c r="H222" s="15" t="n">
        <f aca="false">'Jul-26'!B211</f>
        <v>31019.08</v>
      </c>
      <c r="I222" s="15" t="n">
        <f aca="false">'Ago-26'!B217</f>
        <v>31019.08</v>
      </c>
    </row>
    <row r="223" customFormat="false" ht="15" hidden="false" customHeight="false" outlineLevel="0" collapsed="false">
      <c r="A223" s="14" t="s">
        <v>222</v>
      </c>
      <c r="B223" s="15" t="n">
        <f aca="false">'Jan-26'!B199</f>
        <v>130354.56</v>
      </c>
      <c r="C223" s="15" t="n">
        <f aca="false">'Fev-26'!B208</f>
        <v>118504.15</v>
      </c>
      <c r="D223" s="15" t="n">
        <f aca="false">'Mar-26'!B208</f>
        <v>118504.15</v>
      </c>
      <c r="E223" s="15" t="n">
        <f aca="false">'Abr-26'!B213</f>
        <v>106653.74</v>
      </c>
      <c r="F223" s="15" t="n">
        <f aca="false">'Mai-26'!B212</f>
        <v>106653.74</v>
      </c>
      <c r="G223" s="15" t="n">
        <f aca="false">'Jun-26'!B211</f>
        <v>106653.74</v>
      </c>
      <c r="H223" s="15" t="n">
        <f aca="false">'Jul-26'!B212</f>
        <v>106653.74</v>
      </c>
      <c r="I223" s="15" t="n">
        <f aca="false">'Ago-26'!B218</f>
        <v>106653.74</v>
      </c>
    </row>
    <row r="224" customFormat="false" ht="15" hidden="false" customHeight="false" outlineLevel="0" collapsed="false">
      <c r="A224" s="14" t="s">
        <v>223</v>
      </c>
      <c r="B224" s="15" t="n">
        <f aca="false">'Jan-26'!B200</f>
        <v>-302421.57</v>
      </c>
      <c r="C224" s="15" t="n">
        <f aca="false">'Fev-26'!B209</f>
        <v>-302421.57</v>
      </c>
      <c r="D224" s="15" t="n">
        <f aca="false">'Mar-26'!B209</f>
        <v>-302421.57</v>
      </c>
      <c r="E224" s="15" t="n">
        <f aca="false">'Abr-26'!B214</f>
        <v>-302421.57</v>
      </c>
      <c r="F224" s="15" t="n">
        <f aca="false">'Mai-26'!B213</f>
        <v>-302421.57</v>
      </c>
      <c r="G224" s="15" t="n">
        <f aca="false">'Jun-26'!B212</f>
        <v>-302421.57</v>
      </c>
      <c r="H224" s="15" t="n">
        <f aca="false">'Jul-26'!B213</f>
        <v>-302421.57</v>
      </c>
      <c r="I224" s="15" t="n">
        <f aca="false">'Ago-26'!B219</f>
        <v>-302421.57</v>
      </c>
    </row>
    <row r="225" customFormat="false" ht="15" hidden="false" customHeight="false" outlineLevel="0" collapsed="false">
      <c r="A225" s="14" t="s">
        <v>224</v>
      </c>
      <c r="B225" s="15" t="n">
        <f aca="false">'Jan-26'!B201</f>
        <v>-199952.29</v>
      </c>
      <c r="C225" s="15" t="n">
        <f aca="false">'Fev-26'!B210</f>
        <v>-402190.95</v>
      </c>
      <c r="D225" s="15" t="n">
        <f aca="false">'Mar-26'!B210</f>
        <v>-764690.95</v>
      </c>
      <c r="E225" s="15" t="n">
        <f aca="false">'Abr-26'!B215</f>
        <v>-1068059.65</v>
      </c>
      <c r="F225" s="15" t="n">
        <f aca="false">'Mai-26'!B214</f>
        <v>-1068059.65</v>
      </c>
      <c r="G225" s="15" t="n">
        <f aca="false">'Jun-26'!B213</f>
        <v>-1068059.65</v>
      </c>
      <c r="H225" s="15" t="n">
        <f aca="false">'Jul-26'!B214</f>
        <v>-1068059.65</v>
      </c>
      <c r="I225" s="15" t="n">
        <f aca="false">'Ago-26'!B220</f>
        <v>-1068059.65</v>
      </c>
    </row>
    <row r="226" customFormat="false" ht="15" hidden="false" customHeight="false" outlineLevel="0" collapsed="false">
      <c r="A226" s="11" t="s">
        <v>225</v>
      </c>
      <c r="B226" s="12" t="n">
        <f aca="false">'Jan-26'!B202</f>
        <v>3556561.35</v>
      </c>
      <c r="C226" s="12" t="n">
        <f aca="false">'Fev-26'!B211</f>
        <v>3753065.78</v>
      </c>
      <c r="D226" s="12" t="n">
        <f aca="false">'Mar-26'!B211</f>
        <v>3805767.95</v>
      </c>
      <c r="E226" s="12" t="n">
        <f aca="false">'Abr-26'!B216</f>
        <v>3737909.04</v>
      </c>
      <c r="F226" s="12" t="n">
        <f aca="false">'Mai-26'!B215</f>
        <v>3790513.71</v>
      </c>
      <c r="G226" s="12" t="n">
        <f aca="false">'Jun-26'!B214</f>
        <v>3962382.22</v>
      </c>
      <c r="H226" s="12" t="n">
        <f aca="false">'Jul-26'!B215</f>
        <v>3892576.83</v>
      </c>
      <c r="I226" s="12" t="n">
        <f aca="false">'Ago-26'!B221</f>
        <v>3944451.05</v>
      </c>
    </row>
    <row r="227" customFormat="false" ht="15" hidden="false" customHeight="false" outlineLevel="0" collapsed="false">
      <c r="A227" s="13" t="s">
        <v>226</v>
      </c>
      <c r="B227" s="12" t="n">
        <f aca="false">'Jan-26'!B203</f>
        <v>3556561.35</v>
      </c>
      <c r="C227" s="12" t="n">
        <f aca="false">'Fev-26'!B212</f>
        <v>3753065.78</v>
      </c>
      <c r="D227" s="12" t="n">
        <f aca="false">'Mar-26'!B212</f>
        <v>3805767.95</v>
      </c>
      <c r="E227" s="12" t="n">
        <f aca="false">'Abr-26'!B217</f>
        <v>3737909.04</v>
      </c>
      <c r="F227" s="12" t="n">
        <f aca="false">'Mai-26'!B216</f>
        <v>3790513.71</v>
      </c>
      <c r="G227" s="12" t="n">
        <f aca="false">'Jun-26'!B215</f>
        <v>3962382.22</v>
      </c>
      <c r="H227" s="12" t="n">
        <f aca="false">'Jul-26'!B216</f>
        <v>3892576.83</v>
      </c>
      <c r="I227" s="12" t="n">
        <f aca="false">'Ago-26'!B222</f>
        <v>3944451.05</v>
      </c>
    </row>
    <row r="228" customFormat="false" ht="15" hidden="false" customHeight="false" outlineLevel="0" collapsed="false">
      <c r="A228" s="14" t="s">
        <v>227</v>
      </c>
      <c r="B228" s="15" t="n">
        <f aca="false">'Jan-26'!B204</f>
        <v>88524.92</v>
      </c>
      <c r="C228" s="15" t="n">
        <f aca="false">'Fev-26'!B213</f>
        <v>160244.92</v>
      </c>
      <c r="D228" s="15" t="n">
        <f aca="false">'Mar-26'!B213</f>
        <v>64084.92</v>
      </c>
      <c r="E228" s="15" t="n">
        <f aca="false">'Abr-26'!B218</f>
        <v>64829.94</v>
      </c>
      <c r="F228" s="15" t="n">
        <f aca="false">'Mai-26'!B217</f>
        <v>80879.78</v>
      </c>
      <c r="G228" s="15" t="n">
        <f aca="false">'Jun-26'!B216</f>
        <v>155029.94</v>
      </c>
      <c r="H228" s="15" t="n">
        <f aca="false">'Jul-26'!B217</f>
        <v>81379.94</v>
      </c>
      <c r="I228" s="15" t="n">
        <f aca="false">'Ago-26'!B223</f>
        <v>107176.82</v>
      </c>
    </row>
    <row r="229" customFormat="false" ht="15" hidden="false" customHeight="false" outlineLevel="0" collapsed="false">
      <c r="A229" s="14" t="s">
        <v>228</v>
      </c>
      <c r="B229" s="15" t="n">
        <f aca="false">'Jan-26'!B205</f>
        <v>1344389.56</v>
      </c>
      <c r="C229" s="15" t="n">
        <f aca="false">'Fev-26'!B214</f>
        <v>1473973.99</v>
      </c>
      <c r="D229" s="15" t="n">
        <f aca="false">'Mar-26'!B214</f>
        <v>1530832.66</v>
      </c>
      <c r="E229" s="15" t="n">
        <f aca="false">'Abr-26'!B219</f>
        <v>1459820.23</v>
      </c>
      <c r="F229" s="15" t="n">
        <f aca="false">'Mai-26'!B218</f>
        <v>1494495.68</v>
      </c>
      <c r="G229" s="15" t="n">
        <f aca="false">'Jun-26'!B217</f>
        <v>1545632.65</v>
      </c>
      <c r="H229" s="15" t="n">
        <f aca="false">'Jul-26'!B218</f>
        <v>1545937.26</v>
      </c>
      <c r="I229" s="15" t="n">
        <f aca="false">'Ago-26'!B224</f>
        <v>1568503.49</v>
      </c>
    </row>
    <row r="230" customFormat="false" ht="15" hidden="false" customHeight="false" outlineLevel="0" collapsed="false">
      <c r="A230" s="14" t="s">
        <v>229</v>
      </c>
      <c r="B230" s="15" t="n">
        <f aca="false">'Jan-26'!B206</f>
        <v>204730.87</v>
      </c>
      <c r="C230" s="15" t="n">
        <f aca="false">'Fev-26'!B215</f>
        <v>204730.87</v>
      </c>
      <c r="D230" s="15" t="n">
        <f aca="false">'Mar-26'!B215</f>
        <v>204730.87</v>
      </c>
      <c r="E230" s="15" t="n">
        <f aca="false">'Abr-26'!B220</f>
        <v>204730.87</v>
      </c>
      <c r="F230" s="15" t="n">
        <f aca="false">'Mai-26'!B219</f>
        <v>204930.87</v>
      </c>
      <c r="G230" s="15" t="n">
        <f aca="false">'Jun-26'!B218</f>
        <v>204930.87</v>
      </c>
      <c r="H230" s="15" t="n">
        <f aca="false">'Jul-26'!B219</f>
        <v>204930.87</v>
      </c>
      <c r="I230" s="15" t="n">
        <f aca="false">'Ago-26'!B225</f>
        <v>207181.98</v>
      </c>
    </row>
    <row r="231" customFormat="false" ht="15" hidden="false" customHeight="false" outlineLevel="0" collapsed="false">
      <c r="A231" s="14" t="s">
        <v>230</v>
      </c>
      <c r="B231" s="15" t="n">
        <f aca="false">'Jan-26'!B207</f>
        <v>1825149.72</v>
      </c>
      <c r="C231" s="15" t="n">
        <f aca="false">'Fev-26'!B216</f>
        <v>1820849.72</v>
      </c>
      <c r="D231" s="15" t="n">
        <f aca="false">'Mar-26'!B216</f>
        <v>1913627.22</v>
      </c>
      <c r="E231" s="15" t="n">
        <f aca="false">'Abr-26'!B221</f>
        <v>1915961.72</v>
      </c>
      <c r="F231" s="15" t="n">
        <f aca="false">'Mai-26'!B220</f>
        <v>1915961.72</v>
      </c>
      <c r="G231" s="15" t="n">
        <f aca="false">'Jun-26'!B219</f>
        <v>1922961.72</v>
      </c>
      <c r="H231" s="15" t="n">
        <f aca="false">'Jul-26'!B220</f>
        <v>1922961.72</v>
      </c>
      <c r="I231" s="15" t="n">
        <f aca="false">'Ago-26'!B226</f>
        <v>1922961.72</v>
      </c>
    </row>
    <row r="232" customFormat="false" ht="15" hidden="false" customHeight="false" outlineLevel="0" collapsed="false">
      <c r="A232" s="14" t="s">
        <v>231</v>
      </c>
      <c r="B232" s="15" t="n">
        <f aca="false">'Jan-26'!B208</f>
        <v>17596.77</v>
      </c>
      <c r="C232" s="15" t="n">
        <f aca="false">'Fev-26'!B217</f>
        <v>17596.77</v>
      </c>
      <c r="D232" s="15" t="n">
        <f aca="false">'Mar-26'!B217</f>
        <v>17822.77</v>
      </c>
      <c r="E232" s="15" t="n">
        <f aca="false">'Abr-26'!B222</f>
        <v>17596.77</v>
      </c>
      <c r="F232" s="15" t="n">
        <f aca="false">'Mai-26'!B221</f>
        <v>19576.15</v>
      </c>
      <c r="G232" s="15" t="n">
        <f aca="false">'Jun-26'!B220</f>
        <v>59757.53</v>
      </c>
      <c r="H232" s="15" t="n">
        <f aca="false">'Jul-26'!B221</f>
        <v>62497.53</v>
      </c>
      <c r="I232" s="15" t="n">
        <f aca="false">'Ago-26'!B227</f>
        <v>62457.53</v>
      </c>
    </row>
    <row r="233" customFormat="false" ht="15" hidden="false" customHeight="false" outlineLevel="0" collapsed="false">
      <c r="A233" s="14" t="s">
        <v>232</v>
      </c>
      <c r="B233" s="15" t="n">
        <f aca="false">'Jan-26'!B209</f>
        <v>96180</v>
      </c>
      <c r="C233" s="15" t="n">
        <f aca="false">'Fev-26'!B218</f>
        <v>95680</v>
      </c>
      <c r="D233" s="15" t="n">
        <f aca="false">'Mar-26'!B218</f>
        <v>94680</v>
      </c>
      <c r="E233" s="15" t="n">
        <f aca="false">'Abr-26'!B223</f>
        <v>94980</v>
      </c>
      <c r="F233" s="15" t="n">
        <f aca="false">'Mai-26'!B222</f>
        <v>94680</v>
      </c>
      <c r="G233" s="15" t="n">
        <f aca="false">'Jun-26'!B221</f>
        <v>94080</v>
      </c>
      <c r="H233" s="15" t="n">
        <f aca="false">'Jul-26'!B222</f>
        <v>94880</v>
      </c>
      <c r="I233" s="15" t="n">
        <f aca="false">'Ago-26'!B228</f>
        <v>96180</v>
      </c>
    </row>
    <row r="234" customFormat="false" ht="15" hidden="false" customHeight="false" outlineLevel="0" collapsed="false">
      <c r="A234" s="14" t="s">
        <v>233</v>
      </c>
      <c r="B234" s="15" t="n">
        <f aca="false">'Jan-26'!B210</f>
        <v>-20010.49</v>
      </c>
      <c r="C234" s="15" t="n">
        <f aca="false">'Fev-26'!B219</f>
        <v>-20010.49</v>
      </c>
      <c r="D234" s="15" t="n">
        <f aca="false">'Mar-26'!B219</f>
        <v>-20010.49</v>
      </c>
      <c r="E234" s="15" t="n">
        <f aca="false">'Abr-26'!B224</f>
        <v>-20010.49</v>
      </c>
      <c r="F234" s="15" t="n">
        <f aca="false">'Mai-26'!B223</f>
        <v>-20010.49</v>
      </c>
      <c r="G234" s="15" t="n">
        <f aca="false">'Jun-26'!B222</f>
        <v>-20010.49</v>
      </c>
      <c r="H234" s="15" t="n">
        <f aca="false">'Jul-26'!B223</f>
        <v>-20010.49</v>
      </c>
      <c r="I234" s="15" t="n">
        <f aca="false">'Ago-26'!B229</f>
        <v>-20010.49</v>
      </c>
    </row>
    <row r="235" customFormat="false" ht="15" hidden="false" customHeight="false" outlineLevel="0" collapsed="false">
      <c r="A235" s="11" t="s">
        <v>234</v>
      </c>
      <c r="B235" s="12" t="n">
        <f aca="false">'Jan-26'!B211</f>
        <v>3188606.76</v>
      </c>
      <c r="C235" s="12" t="n">
        <f aca="false">'Fev-26'!B220</f>
        <v>3228055.27</v>
      </c>
      <c r="D235" s="12" t="n">
        <f aca="false">'Mar-26'!B220</f>
        <v>3258593.97</v>
      </c>
      <c r="E235" s="12" t="n">
        <f aca="false">'Abr-26'!B225</f>
        <v>3308556.25</v>
      </c>
      <c r="F235" s="12" t="n">
        <f aca="false">'Mai-26'!B224</f>
        <v>3325767.26</v>
      </c>
      <c r="G235" s="12" t="n">
        <f aca="false">'Jun-26'!B223</f>
        <v>3289947.7</v>
      </c>
      <c r="H235" s="12" t="n">
        <f aca="false">'Jul-26'!B224</f>
        <v>3354394.59</v>
      </c>
      <c r="I235" s="12" t="n">
        <f aca="false">'Ago-26'!B230</f>
        <v>3090157.62</v>
      </c>
    </row>
    <row r="236" customFormat="false" ht="15" hidden="false" customHeight="false" outlineLevel="0" collapsed="false">
      <c r="A236" s="13" t="s">
        <v>234</v>
      </c>
      <c r="B236" s="12" t="n">
        <f aca="false">'Jan-26'!B212</f>
        <v>3188606.76</v>
      </c>
      <c r="C236" s="12" t="n">
        <f aca="false">'Fev-26'!B221</f>
        <v>3228055.27</v>
      </c>
      <c r="D236" s="12" t="n">
        <f aca="false">'Mar-26'!B221</f>
        <v>3258593.97</v>
      </c>
      <c r="E236" s="12" t="n">
        <f aca="false">'Abr-26'!B226</f>
        <v>3308556.25</v>
      </c>
      <c r="F236" s="12" t="n">
        <f aca="false">'Mai-26'!B225</f>
        <v>3325767.26</v>
      </c>
      <c r="G236" s="12" t="n">
        <f aca="false">'Jun-26'!B224</f>
        <v>3289947.7</v>
      </c>
      <c r="H236" s="12" t="n">
        <f aca="false">'Jul-26'!B225</f>
        <v>3354394.59</v>
      </c>
      <c r="I236" s="12" t="n">
        <f aca="false">'Ago-26'!B231</f>
        <v>3090157.62</v>
      </c>
    </row>
    <row r="237" customFormat="false" ht="15" hidden="false" customHeight="false" outlineLevel="0" collapsed="false">
      <c r="A237" s="14" t="s">
        <v>235</v>
      </c>
      <c r="B237" s="15" t="n">
        <f aca="false">'Jan-26'!B213</f>
        <v>3090966.39</v>
      </c>
      <c r="C237" s="15" t="n">
        <f aca="false">'Fev-26'!B222</f>
        <v>3126400.47</v>
      </c>
      <c r="D237" s="15" t="n">
        <f aca="false">'Mar-26'!B222</f>
        <v>3160953.6</v>
      </c>
      <c r="E237" s="15" t="n">
        <f aca="false">'Abr-26'!B227</f>
        <v>3210915.88</v>
      </c>
      <c r="F237" s="15" t="n">
        <f aca="false">'Mai-26'!B226</f>
        <v>3227945.57</v>
      </c>
      <c r="G237" s="15" t="n">
        <f aca="false">'Jun-26'!B225</f>
        <v>3192307.33</v>
      </c>
      <c r="H237" s="15" t="n">
        <f aca="false">'Jul-26'!B226</f>
        <v>3255790.14</v>
      </c>
      <c r="I237" s="15" t="n">
        <f aca="false">'Ago-26'!B232</f>
        <v>2992517.25</v>
      </c>
    </row>
    <row r="238" customFormat="false" ht="15" hidden="false" customHeight="false" outlineLevel="0" collapsed="false">
      <c r="A238" s="14" t="s">
        <v>236</v>
      </c>
      <c r="B238" s="15" t="n">
        <f aca="false">'Jan-26'!B214</f>
        <v>97640.37</v>
      </c>
      <c r="C238" s="15" t="n">
        <f aca="false">'Fev-26'!B223</f>
        <v>101654.8</v>
      </c>
      <c r="D238" s="15" t="n">
        <f aca="false">'Mar-26'!B223</f>
        <v>97640.37</v>
      </c>
      <c r="E238" s="15" t="n">
        <f aca="false">'Abr-26'!B228</f>
        <v>97640.37</v>
      </c>
      <c r="F238" s="15" t="n">
        <f aca="false">'Mai-26'!B227</f>
        <v>97821.69</v>
      </c>
      <c r="G238" s="15" t="n">
        <f aca="false">'Jun-26'!B226</f>
        <v>97640.37</v>
      </c>
      <c r="H238" s="15" t="n">
        <f aca="false">'Jul-26'!B227</f>
        <v>98604.45</v>
      </c>
      <c r="I238" s="15" t="n">
        <f aca="false">'Ago-26'!B233</f>
        <v>97640.37</v>
      </c>
    </row>
    <row r="239" customFormat="false" ht="15" hidden="false" customHeight="false" outlineLevel="0" collapsed="false">
      <c r="A239" s="11" t="s">
        <v>237</v>
      </c>
      <c r="B239" s="12" t="n">
        <f aca="false">'Jan-26'!B215</f>
        <v>1040330.29</v>
      </c>
      <c r="C239" s="12" t="n">
        <f aca="false">'Fev-26'!B224</f>
        <v>957341.18</v>
      </c>
      <c r="D239" s="12" t="n">
        <f aca="false">'Mar-26'!B224</f>
        <v>1048378.35</v>
      </c>
      <c r="E239" s="12" t="n">
        <f aca="false">'Abr-26'!B229</f>
        <v>836323.03</v>
      </c>
      <c r="F239" s="12" t="n">
        <f aca="false">'Mai-26'!B228</f>
        <v>690121.38</v>
      </c>
      <c r="G239" s="12" t="n">
        <f aca="false">'Jun-26'!B227</f>
        <v>625525.78</v>
      </c>
      <c r="H239" s="12" t="n">
        <f aca="false">'Jul-26'!B228</f>
        <v>582756.88</v>
      </c>
      <c r="I239" s="12" t="n">
        <f aca="false">'Ago-26'!B234</f>
        <v>503374.42</v>
      </c>
    </row>
    <row r="240" customFormat="false" ht="15" hidden="false" customHeight="false" outlineLevel="0" collapsed="false">
      <c r="A240" s="13" t="s">
        <v>238</v>
      </c>
      <c r="B240" s="12" t="n">
        <f aca="false">'Jan-26'!B216</f>
        <v>27783.55</v>
      </c>
      <c r="C240" s="12" t="n">
        <f aca="false">'Fev-26'!B225</f>
        <v>26365.58</v>
      </c>
      <c r="D240" s="12" t="n">
        <f aca="false">'Mar-26'!B225</f>
        <v>41440.12</v>
      </c>
      <c r="E240" s="12" t="n">
        <f aca="false">'Abr-26'!B230</f>
        <v>49251.24</v>
      </c>
      <c r="F240" s="12" t="n">
        <f aca="false">'Mai-26'!B229</f>
        <v>39515.04</v>
      </c>
      <c r="G240" s="12" t="n">
        <f aca="false">'Jun-26'!B228</f>
        <v>41391.62</v>
      </c>
      <c r="H240" s="12" t="n">
        <f aca="false">'Jul-26'!B229</f>
        <v>42590.24</v>
      </c>
      <c r="I240" s="12" t="n">
        <f aca="false">'Ago-26'!B235</f>
        <v>48014.26</v>
      </c>
    </row>
    <row r="241" customFormat="false" ht="15" hidden="false" customHeight="false" outlineLevel="0" collapsed="false">
      <c r="A241" s="14" t="s">
        <v>239</v>
      </c>
      <c r="B241" s="15" t="n">
        <f aca="false">'Jan-26'!B217</f>
        <v>25941.86</v>
      </c>
      <c r="C241" s="15" t="n">
        <f aca="false">'Fev-26'!B226</f>
        <v>23141.51</v>
      </c>
      <c r="D241" s="15" t="n">
        <f aca="false">'Mar-26'!B226</f>
        <v>38421.49</v>
      </c>
      <c r="E241" s="15" t="n">
        <f aca="false">'Abr-26'!B231</f>
        <v>46317.4</v>
      </c>
      <c r="F241" s="15" t="n">
        <f aca="false">'Mai-26'!B230</f>
        <v>36571.92</v>
      </c>
      <c r="G241" s="15" t="n">
        <f aca="false">'Jun-26'!B229</f>
        <v>39242.94</v>
      </c>
      <c r="H241" s="15" t="n">
        <f aca="false">'Jul-26'!B230</f>
        <v>40266.78</v>
      </c>
      <c r="I241" s="15" t="n">
        <f aca="false">'Ago-26'!B236</f>
        <v>44621.9</v>
      </c>
    </row>
    <row r="242" customFormat="false" ht="15" hidden="false" customHeight="false" outlineLevel="0" collapsed="false">
      <c r="A242" s="14" t="s">
        <v>240</v>
      </c>
      <c r="B242" s="15" t="n">
        <f aca="false">'Jan-26'!B218</f>
        <v>1841.69</v>
      </c>
      <c r="C242" s="15" t="n">
        <f aca="false">'Fev-26'!B227</f>
        <v>3224.07</v>
      </c>
      <c r="D242" s="15" t="n">
        <f aca="false">'Mar-26'!B227</f>
        <v>3018.63</v>
      </c>
      <c r="E242" s="15" t="n">
        <f aca="false">'Abr-26'!B232</f>
        <v>2933.84</v>
      </c>
      <c r="F242" s="15" t="n">
        <f aca="false">'Mai-26'!B231</f>
        <v>2943.12</v>
      </c>
      <c r="G242" s="15" t="n">
        <f aca="false">'Jun-26'!B230</f>
        <v>2148.68</v>
      </c>
      <c r="H242" s="15" t="n">
        <f aca="false">'Jul-26'!B231</f>
        <v>2323.46</v>
      </c>
      <c r="I242" s="15" t="n">
        <f aca="false">'Ago-26'!B237</f>
        <v>3392.36</v>
      </c>
    </row>
    <row r="243" customFormat="false" ht="15" hidden="false" customHeight="false" outlineLevel="0" collapsed="false">
      <c r="A243" s="13" t="s">
        <v>241</v>
      </c>
      <c r="B243" s="12" t="n">
        <f aca="false">'Jan-26'!B219</f>
        <v>89779.27</v>
      </c>
      <c r="C243" s="12" t="n">
        <f aca="false">'Fev-26'!B228</f>
        <v>75674.21</v>
      </c>
      <c r="D243" s="12" t="n">
        <f aca="false">'Mar-26'!B228</f>
        <v>145244.63</v>
      </c>
      <c r="E243" s="12" t="n">
        <f aca="false">'Abr-26'!B233</f>
        <v>195670.67</v>
      </c>
      <c r="F243" s="12" t="n">
        <f aca="false">'Mai-26'!B232</f>
        <v>181133.47</v>
      </c>
      <c r="G243" s="12" t="n">
        <f aca="false">'Jun-26'!B231</f>
        <v>170054.78</v>
      </c>
      <c r="H243" s="12" t="n">
        <f aca="false">'Jul-26'!B232</f>
        <v>174100.79</v>
      </c>
      <c r="I243" s="12" t="n">
        <f aca="false">'Ago-26'!B238</f>
        <v>151743.48</v>
      </c>
    </row>
    <row r="244" customFormat="false" ht="15" hidden="false" customHeight="false" outlineLevel="0" collapsed="false">
      <c r="A244" s="14" t="s">
        <v>242</v>
      </c>
      <c r="B244" s="15" t="n">
        <f aca="false">'Jan-26'!B220</f>
        <v>89779.27</v>
      </c>
      <c r="C244" s="15" t="n">
        <f aca="false">'Fev-26'!B229</f>
        <v>75674.21</v>
      </c>
      <c r="D244" s="15" t="n">
        <f aca="false">'Mar-26'!B229</f>
        <v>145244.63</v>
      </c>
      <c r="E244" s="15" t="n">
        <f aca="false">'Abr-26'!B234</f>
        <v>195670.67</v>
      </c>
      <c r="F244" s="15" t="n">
        <f aca="false">'Mai-26'!B233</f>
        <v>181133.47</v>
      </c>
      <c r="G244" s="15" t="n">
        <f aca="false">'Jun-26'!B232</f>
        <v>170054.78</v>
      </c>
      <c r="H244" s="15" t="n">
        <f aca="false">'Jul-26'!B233</f>
        <v>174100.79</v>
      </c>
      <c r="I244" s="15" t="n">
        <f aca="false">'Ago-26'!B239</f>
        <v>151743.48</v>
      </c>
    </row>
    <row r="245" customFormat="false" ht="15" hidden="false" customHeight="false" outlineLevel="0" collapsed="false">
      <c r="A245" s="13" t="s">
        <v>243</v>
      </c>
      <c r="B245" s="12" t="n">
        <f aca="false">'Jan-26'!B221</f>
        <v>18296</v>
      </c>
      <c r="C245" s="12" t="n">
        <f aca="false">'Fev-26'!B230</f>
        <v>16009</v>
      </c>
      <c r="D245" s="12" t="n">
        <f aca="false">'Mar-26'!B230</f>
        <v>13722</v>
      </c>
      <c r="E245" s="12" t="n">
        <f aca="false">'Abr-26'!B235</f>
        <v>11435</v>
      </c>
      <c r="F245" s="12" t="n">
        <f aca="false">'Mai-26'!B234</f>
        <v>9148</v>
      </c>
      <c r="G245" s="12" t="n">
        <f aca="false">'Jun-26'!B233</f>
        <v>6861</v>
      </c>
      <c r="H245" s="12" t="n">
        <f aca="false">'Jul-26'!B234</f>
        <v>4574</v>
      </c>
      <c r="I245" s="12" t="n">
        <f aca="false">'Ago-26'!B240</f>
        <v>2287</v>
      </c>
    </row>
    <row r="246" customFormat="false" ht="15" hidden="false" customHeight="false" outlineLevel="0" collapsed="false">
      <c r="A246" s="14" t="s">
        <v>243</v>
      </c>
      <c r="B246" s="15" t="n">
        <f aca="false">'Jan-26'!B222</f>
        <v>18296</v>
      </c>
      <c r="C246" s="15" t="n">
        <f aca="false">'Fev-26'!B231</f>
        <v>16009</v>
      </c>
      <c r="D246" s="15" t="n">
        <f aca="false">'Mar-26'!B231</f>
        <v>13722</v>
      </c>
      <c r="E246" s="15" t="n">
        <f aca="false">'Abr-26'!B236</f>
        <v>11435</v>
      </c>
      <c r="F246" s="15" t="n">
        <f aca="false">'Mai-26'!B235</f>
        <v>9148</v>
      </c>
      <c r="G246" s="15" t="n">
        <f aca="false">'Jun-26'!B234</f>
        <v>6861</v>
      </c>
      <c r="H246" s="15" t="n">
        <f aca="false">'Jul-26'!B235</f>
        <v>4574</v>
      </c>
      <c r="I246" s="15" t="n">
        <f aca="false">'Ago-26'!B241</f>
        <v>2287</v>
      </c>
    </row>
    <row r="247" customFormat="false" ht="15" hidden="false" customHeight="false" outlineLevel="0" collapsed="false">
      <c r="A247" s="13" t="s">
        <v>244</v>
      </c>
      <c r="B247" s="12" t="n">
        <f aca="false">'Jan-26'!B223</f>
        <v>904471.47</v>
      </c>
      <c r="C247" s="12" t="n">
        <f aca="false">'Fev-26'!B232</f>
        <v>839292.39</v>
      </c>
      <c r="D247" s="12" t="n">
        <f aca="false">'Mar-26'!B232</f>
        <v>847971.6</v>
      </c>
      <c r="E247" s="12" t="n">
        <f aca="false">'Abr-26'!B237</f>
        <v>579966.12</v>
      </c>
      <c r="F247" s="12" t="n">
        <f aca="false">'Mai-26'!B236</f>
        <v>460324.87</v>
      </c>
      <c r="G247" s="12" t="n">
        <f aca="false">'Jun-26'!B235</f>
        <v>407218.38</v>
      </c>
      <c r="H247" s="12" t="n">
        <f aca="false">'Jul-26'!B236</f>
        <v>361491.85</v>
      </c>
      <c r="I247" s="12" t="n">
        <f aca="false">'Ago-26'!B242</f>
        <v>301329.68</v>
      </c>
    </row>
    <row r="248" customFormat="false" ht="15" hidden="false" customHeight="false" outlineLevel="0" collapsed="false">
      <c r="A248" s="14" t="s">
        <v>244</v>
      </c>
      <c r="B248" s="15" t="n">
        <f aca="false">'Jan-26'!B224</f>
        <v>904471.47</v>
      </c>
      <c r="C248" s="15" t="n">
        <f aca="false">'Fev-26'!B233</f>
        <v>839292.39</v>
      </c>
      <c r="D248" s="15" t="n">
        <f aca="false">'Mar-26'!B233</f>
        <v>814269.61</v>
      </c>
      <c r="E248" s="15" t="n">
        <f aca="false">'Abr-26'!B238</f>
        <v>563115.12</v>
      </c>
      <c r="F248" s="15" t="n">
        <f aca="false">'Mai-26'!B237</f>
        <v>443473.87</v>
      </c>
      <c r="G248" s="15" t="n">
        <f aca="false">'Jun-26'!B236</f>
        <v>390367.38</v>
      </c>
      <c r="H248" s="15" t="n">
        <f aca="false">'Jul-26'!B237</f>
        <v>344640.85</v>
      </c>
      <c r="I248" s="15" t="n">
        <f aca="false">'Ago-26'!B243</f>
        <v>284478.68</v>
      </c>
    </row>
    <row r="249" customFormat="false" ht="15" hidden="false" customHeight="false" outlineLevel="0" collapsed="false">
      <c r="A249" s="14" t="s">
        <v>245</v>
      </c>
      <c r="B249" s="15"/>
      <c r="C249" s="15"/>
      <c r="D249" s="15" t="n">
        <f aca="false">'Mar-26'!B234</f>
        <v>33701.99</v>
      </c>
      <c r="E249" s="15" t="n">
        <f aca="false">'Abr-26'!B239</f>
        <v>16851</v>
      </c>
      <c r="F249" s="15" t="n">
        <f aca="false">'Mai-26'!B238</f>
        <v>16851</v>
      </c>
      <c r="G249" s="15" t="n">
        <f aca="false">'Jun-26'!B237</f>
        <v>16851</v>
      </c>
      <c r="H249" s="15" t="n">
        <f aca="false">'Jul-26'!B238</f>
        <v>16851</v>
      </c>
      <c r="I249" s="15" t="n">
        <f aca="false">'Ago-26'!B244</f>
        <v>16851</v>
      </c>
    </row>
    <row r="250" customFormat="false" ht="15" hidden="false" customHeight="false" outlineLevel="0" collapsed="false">
      <c r="A250" s="9" t="s">
        <v>246</v>
      </c>
      <c r="B250" s="10" t="n">
        <f aca="false">'Jan-26'!B225</f>
        <v>34505687.75</v>
      </c>
      <c r="C250" s="10" t="n">
        <f aca="false">'Fev-26'!B234</f>
        <v>34474376.89</v>
      </c>
      <c r="D250" s="10" t="n">
        <f aca="false">'Mar-26'!B235</f>
        <v>34415378.22</v>
      </c>
      <c r="E250" s="10" t="n">
        <f aca="false">'Abr-26'!B240</f>
        <v>34341996.28</v>
      </c>
      <c r="F250" s="10" t="n">
        <f aca="false">'Mai-26'!B239</f>
        <v>38156707.18</v>
      </c>
      <c r="G250" s="10" t="n">
        <f aca="false">'Jun-26'!B238</f>
        <v>38156707.18</v>
      </c>
      <c r="H250" s="10" t="n">
        <f aca="false">'Jul-26'!B239</f>
        <v>38156707.18</v>
      </c>
      <c r="I250" s="10" t="n">
        <f aca="false">'Ago-26'!B245</f>
        <v>38156707.18</v>
      </c>
    </row>
    <row r="251" customFormat="false" ht="15" hidden="false" customHeight="false" outlineLevel="0" collapsed="false">
      <c r="A251" s="11" t="s">
        <v>207</v>
      </c>
      <c r="B251" s="12" t="n">
        <f aca="false">'Jan-26'!B226</f>
        <v>4747604.33</v>
      </c>
      <c r="C251" s="12" t="n">
        <f aca="false">'Fev-26'!B235</f>
        <v>4747604.33</v>
      </c>
      <c r="D251" s="12" t="n">
        <f aca="false">'Mar-26'!B236</f>
        <v>4747604.33</v>
      </c>
      <c r="E251" s="12" t="n">
        <f aca="false">'Abr-26'!B241</f>
        <v>4747604.33</v>
      </c>
      <c r="F251" s="12" t="n">
        <f aca="false">'Mai-26'!B240</f>
        <v>8562315.23</v>
      </c>
      <c r="G251" s="12" t="n">
        <f aca="false">'Jun-26'!B239</f>
        <v>8562315.23</v>
      </c>
      <c r="H251" s="12" t="n">
        <f aca="false">'Jul-26'!B240</f>
        <v>8562315.23</v>
      </c>
      <c r="I251" s="12" t="n">
        <f aca="false">'Ago-26'!B246</f>
        <v>8562315.23</v>
      </c>
    </row>
    <row r="252" customFormat="false" ht="15" hidden="false" customHeight="false" outlineLevel="0" collapsed="false">
      <c r="A252" s="13" t="s">
        <v>247</v>
      </c>
      <c r="B252" s="12" t="n">
        <f aca="false">'Jan-26'!B227</f>
        <v>4747604.33</v>
      </c>
      <c r="C252" s="12" t="n">
        <f aca="false">'Fev-26'!B236</f>
        <v>4747604.33</v>
      </c>
      <c r="D252" s="12" t="n">
        <f aca="false">'Mar-26'!B237</f>
        <v>4747604.33</v>
      </c>
      <c r="E252" s="12" t="n">
        <f aca="false">'Abr-26'!B242</f>
        <v>4747604.33</v>
      </c>
      <c r="F252" s="12" t="n">
        <f aca="false">'Mai-26'!B241</f>
        <v>8562315.23</v>
      </c>
      <c r="G252" s="12" t="n">
        <f aca="false">'Jun-26'!B240</f>
        <v>8562315.23</v>
      </c>
      <c r="H252" s="12" t="n">
        <f aca="false">'Jul-26'!B241</f>
        <v>8562315.23</v>
      </c>
      <c r="I252" s="12" t="n">
        <f aca="false">'Ago-26'!B247</f>
        <v>8562315.23</v>
      </c>
    </row>
    <row r="253" customFormat="false" ht="15" hidden="false" customHeight="false" outlineLevel="0" collapsed="false">
      <c r="A253" s="14" t="s">
        <v>248</v>
      </c>
      <c r="B253" s="15" t="n">
        <f aca="false">'Jan-26'!B228</f>
        <v>703125</v>
      </c>
      <c r="C253" s="15" t="n">
        <f aca="false">'Fev-26'!B237</f>
        <v>703125</v>
      </c>
      <c r="D253" s="15" t="n">
        <f aca="false">'Mar-26'!B238</f>
        <v>703125</v>
      </c>
      <c r="E253" s="15" t="n">
        <f aca="false">'Abr-26'!B243</f>
        <v>703125</v>
      </c>
      <c r="F253" s="15" t="n">
        <f aca="false">'Mai-26'!B242</f>
        <v>703125</v>
      </c>
      <c r="G253" s="15" t="n">
        <f aca="false">'Jun-26'!B241</f>
        <v>703125</v>
      </c>
      <c r="H253" s="15" t="n">
        <f aca="false">'Jul-26'!B242</f>
        <v>703125</v>
      </c>
      <c r="I253" s="15" t="n">
        <f aca="false">'Ago-26'!B248</f>
        <v>703125</v>
      </c>
    </row>
    <row r="254" customFormat="false" ht="15" hidden="false" customHeight="false" outlineLevel="0" collapsed="false">
      <c r="A254" s="14" t="s">
        <v>249</v>
      </c>
      <c r="B254" s="15" t="n">
        <f aca="false">'Jan-26'!B229</f>
        <v>1781004.54</v>
      </c>
      <c r="C254" s="15" t="n">
        <f aca="false">'Fev-26'!B238</f>
        <v>1781004.54</v>
      </c>
      <c r="D254" s="15" t="n">
        <f aca="false">'Mar-26'!B239</f>
        <v>1781004.54</v>
      </c>
      <c r="E254" s="15" t="n">
        <f aca="false">'Abr-26'!B244</f>
        <v>1781004.54</v>
      </c>
      <c r="F254" s="15" t="n">
        <f aca="false">'Mai-26'!B243</f>
        <v>1781004.54</v>
      </c>
      <c r="G254" s="15" t="n">
        <f aca="false">'Jun-26'!B242</f>
        <v>1781004.54</v>
      </c>
      <c r="H254" s="15" t="n">
        <f aca="false">'Jul-26'!B243</f>
        <v>1781004.54</v>
      </c>
      <c r="I254" s="15" t="n">
        <f aca="false">'Ago-26'!B249</f>
        <v>1781004.54</v>
      </c>
    </row>
    <row r="255" customFormat="false" ht="15" hidden="false" customHeight="false" outlineLevel="0" collapsed="false">
      <c r="A255" s="14" t="s">
        <v>250</v>
      </c>
      <c r="B255" s="15" t="n">
        <f aca="false">'Jan-26'!B230</f>
        <v>162958.8</v>
      </c>
      <c r="C255" s="15" t="n">
        <f aca="false">'Fev-26'!B239</f>
        <v>162958.8</v>
      </c>
      <c r="D255" s="15" t="n">
        <f aca="false">'Mar-26'!B240</f>
        <v>162958.8</v>
      </c>
      <c r="E255" s="15" t="n">
        <f aca="false">'Abr-26'!B245</f>
        <v>162958.8</v>
      </c>
      <c r="F255" s="15" t="n">
        <f aca="false">'Mai-26'!B244</f>
        <v>162958.8</v>
      </c>
      <c r="G255" s="15" t="n">
        <f aca="false">'Jun-26'!B243</f>
        <v>162958.8</v>
      </c>
      <c r="H255" s="15" t="n">
        <f aca="false">'Jul-26'!B244</f>
        <v>162958.8</v>
      </c>
      <c r="I255" s="15" t="n">
        <f aca="false">'Ago-26'!B250</f>
        <v>162958.8</v>
      </c>
    </row>
    <row r="256" customFormat="false" ht="15" hidden="false" customHeight="false" outlineLevel="0" collapsed="false">
      <c r="A256" s="14" t="s">
        <v>251</v>
      </c>
      <c r="B256" s="15" t="n">
        <f aca="false">'Jan-26'!B231</f>
        <v>2095503.9</v>
      </c>
      <c r="C256" s="15" t="n">
        <f aca="false">'Fev-26'!B240</f>
        <v>2095503.9</v>
      </c>
      <c r="D256" s="15" t="n">
        <f aca="false">'Mar-26'!B241</f>
        <v>2095503.9</v>
      </c>
      <c r="E256" s="15" t="n">
        <f aca="false">'Abr-26'!B246</f>
        <v>2095503.9</v>
      </c>
      <c r="F256" s="15" t="n">
        <f aca="false">'Mai-26'!B245</f>
        <v>2095503.9</v>
      </c>
      <c r="G256" s="15" t="n">
        <f aca="false">'Jun-26'!B244</f>
        <v>2095503.9</v>
      </c>
      <c r="H256" s="15" t="n">
        <f aca="false">'Jul-26'!B245</f>
        <v>2095503.9</v>
      </c>
      <c r="I256" s="15" t="n">
        <f aca="false">'Ago-26'!B251</f>
        <v>2095503.9</v>
      </c>
    </row>
    <row r="257" customFormat="false" ht="15" hidden="false" customHeight="false" outlineLevel="0" collapsed="false">
      <c r="A257" s="14" t="s">
        <v>252</v>
      </c>
      <c r="B257" s="15" t="n">
        <f aca="false">'Jan-26'!B232</f>
        <v>5012.09</v>
      </c>
      <c r="C257" s="15" t="n">
        <f aca="false">'Fev-26'!B241</f>
        <v>5012.09</v>
      </c>
      <c r="D257" s="15" t="n">
        <f aca="false">'Mar-26'!B242</f>
        <v>5012.09</v>
      </c>
      <c r="E257" s="15" t="n">
        <f aca="false">'Abr-26'!B247</f>
        <v>5012.09</v>
      </c>
      <c r="F257" s="15" t="n">
        <f aca="false">'Mai-26'!B246</f>
        <v>5012.09</v>
      </c>
      <c r="G257" s="15" t="n">
        <f aca="false">'Jun-26'!B245</f>
        <v>5012.09</v>
      </c>
      <c r="H257" s="15" t="n">
        <f aca="false">'Jul-26'!B246</f>
        <v>5012.09</v>
      </c>
      <c r="I257" s="15" t="n">
        <f aca="false">'Ago-26'!B252</f>
        <v>5012.09</v>
      </c>
    </row>
    <row r="258" customFormat="false" ht="15" hidden="false" customHeight="false" outlineLevel="0" collapsed="false">
      <c r="A258" s="14" t="s">
        <v>253</v>
      </c>
      <c r="B258" s="15"/>
      <c r="C258" s="15"/>
      <c r="D258" s="15"/>
      <c r="E258" s="15"/>
      <c r="F258" s="15" t="n">
        <f aca="false">'Mai-26'!B247</f>
        <v>3814710.9</v>
      </c>
      <c r="G258" s="15" t="n">
        <f aca="false">'Jun-26'!B246</f>
        <v>3814710.9</v>
      </c>
      <c r="H258" s="15" t="n">
        <f aca="false">'Jul-26'!B247</f>
        <v>3814710.9</v>
      </c>
      <c r="I258" s="15" t="n">
        <f aca="false">'Ago-26'!B253</f>
        <v>3814710.9</v>
      </c>
    </row>
    <row r="259" customFormat="false" ht="15" hidden="false" customHeight="false" outlineLevel="0" collapsed="false">
      <c r="A259" s="11" t="s">
        <v>254</v>
      </c>
      <c r="B259" s="12" t="n">
        <f aca="false">'Jan-26'!B233</f>
        <v>4307409.95</v>
      </c>
      <c r="C259" s="12" t="n">
        <f aca="false">'Fev-26'!B242</f>
        <v>4307409.95</v>
      </c>
      <c r="D259" s="12" t="n">
        <f aca="false">'Mar-26'!B243</f>
        <v>4307409.95</v>
      </c>
      <c r="E259" s="12" t="n">
        <f aca="false">'Abr-26'!B248</f>
        <v>4307409.95</v>
      </c>
      <c r="F259" s="12" t="n">
        <f aca="false">'Mai-26'!B248</f>
        <v>4307409.95</v>
      </c>
      <c r="G259" s="12" t="n">
        <f aca="false">'Jun-26'!B247</f>
        <v>4307409.95</v>
      </c>
      <c r="H259" s="12" t="n">
        <f aca="false">'Jul-26'!B248</f>
        <v>4307409.95</v>
      </c>
      <c r="I259" s="12" t="n">
        <f aca="false">'Ago-26'!B254</f>
        <v>4307409.95</v>
      </c>
    </row>
    <row r="260" customFormat="false" ht="15" hidden="false" customHeight="false" outlineLevel="0" collapsed="false">
      <c r="A260" s="13" t="s">
        <v>255</v>
      </c>
      <c r="B260" s="12" t="n">
        <f aca="false">'Jan-26'!B234</f>
        <v>4307409.95</v>
      </c>
      <c r="C260" s="12" t="n">
        <f aca="false">'Fev-26'!B243</f>
        <v>4307409.95</v>
      </c>
      <c r="D260" s="12" t="n">
        <f aca="false">'Mar-26'!B244</f>
        <v>4307409.95</v>
      </c>
      <c r="E260" s="12" t="n">
        <f aca="false">'Abr-26'!B249</f>
        <v>4307409.95</v>
      </c>
      <c r="F260" s="12" t="n">
        <f aca="false">'Mai-26'!B249</f>
        <v>4307409.95</v>
      </c>
      <c r="G260" s="12" t="n">
        <f aca="false">'Jun-26'!B248</f>
        <v>4307409.95</v>
      </c>
      <c r="H260" s="12" t="n">
        <f aca="false">'Jul-26'!B249</f>
        <v>4307409.95</v>
      </c>
      <c r="I260" s="12" t="n">
        <f aca="false">'Ago-26'!B255</f>
        <v>4307409.95</v>
      </c>
    </row>
    <row r="261" customFormat="false" ht="15" hidden="false" customHeight="false" outlineLevel="0" collapsed="false">
      <c r="A261" s="14" t="s">
        <v>256</v>
      </c>
      <c r="B261" s="15" t="n">
        <f aca="false">'Jan-26'!B235</f>
        <v>3880794.99</v>
      </c>
      <c r="C261" s="15" t="n">
        <f aca="false">'Fev-26'!B244</f>
        <v>3880794.99</v>
      </c>
      <c r="D261" s="15" t="n">
        <f aca="false">'Mar-26'!B245</f>
        <v>3880794.99</v>
      </c>
      <c r="E261" s="15" t="n">
        <f aca="false">'Abr-26'!B250</f>
        <v>3880794.99</v>
      </c>
      <c r="F261" s="15" t="n">
        <f aca="false">'Mai-26'!B250</f>
        <v>3880794.99</v>
      </c>
      <c r="G261" s="15" t="n">
        <f aca="false">'Jun-26'!B249</f>
        <v>3880794.99</v>
      </c>
      <c r="H261" s="15" t="n">
        <f aca="false">'Jul-26'!B250</f>
        <v>3880794.99</v>
      </c>
      <c r="I261" s="15" t="n">
        <f aca="false">'Ago-26'!B256</f>
        <v>3880794.99</v>
      </c>
    </row>
    <row r="262" customFormat="false" ht="15" hidden="false" customHeight="false" outlineLevel="0" collapsed="false">
      <c r="A262" s="14" t="s">
        <v>257</v>
      </c>
      <c r="B262" s="15" t="n">
        <f aca="false">'Jan-26'!B236</f>
        <v>426614.96</v>
      </c>
      <c r="C262" s="15" t="n">
        <f aca="false">'Fev-26'!B245</f>
        <v>426614.96</v>
      </c>
      <c r="D262" s="15" t="n">
        <f aca="false">'Mar-26'!B246</f>
        <v>426614.96</v>
      </c>
      <c r="E262" s="15" t="n">
        <f aca="false">'Abr-26'!B251</f>
        <v>426614.96</v>
      </c>
      <c r="F262" s="15" t="n">
        <f aca="false">'Mai-26'!B251</f>
        <v>426614.96</v>
      </c>
      <c r="G262" s="15" t="n">
        <f aca="false">'Jun-26'!B250</f>
        <v>426614.96</v>
      </c>
      <c r="H262" s="15" t="n">
        <f aca="false">'Jul-26'!B251</f>
        <v>426614.96</v>
      </c>
      <c r="I262" s="15" t="n">
        <f aca="false">'Ago-26'!B257</f>
        <v>426614.96</v>
      </c>
    </row>
    <row r="263" customFormat="false" ht="15" hidden="false" customHeight="false" outlineLevel="0" collapsed="false">
      <c r="A263" s="11" t="s">
        <v>258</v>
      </c>
      <c r="B263" s="12" t="n">
        <f aca="false">'Jan-26'!B237</f>
        <v>5080111.31</v>
      </c>
      <c r="C263" s="12" t="n">
        <f aca="false">'Fev-26'!B246</f>
        <v>5048800.45</v>
      </c>
      <c r="D263" s="12" t="n">
        <f aca="false">'Mar-26'!B247</f>
        <v>4989801.78</v>
      </c>
      <c r="E263" s="12" t="n">
        <f aca="false">'Abr-26'!B252</f>
        <v>4916419.84</v>
      </c>
      <c r="F263" s="12" t="n">
        <f aca="false">'Mai-26'!B252</f>
        <v>4916419.84</v>
      </c>
      <c r="G263" s="12" t="n">
        <f aca="false">'Jun-26'!B251</f>
        <v>4916419.84</v>
      </c>
      <c r="H263" s="12" t="n">
        <f aca="false">'Jul-26'!B252</f>
        <v>4916419.84</v>
      </c>
      <c r="I263" s="12" t="n">
        <f aca="false">'Ago-26'!B258</f>
        <v>4916419.84</v>
      </c>
    </row>
    <row r="264" customFormat="false" ht="15" hidden="false" customHeight="false" outlineLevel="0" collapsed="false">
      <c r="A264" s="13" t="s">
        <v>259</v>
      </c>
      <c r="B264" s="12" t="n">
        <f aca="false">'Jan-26'!B238</f>
        <v>5080111.31</v>
      </c>
      <c r="C264" s="12" t="n">
        <f aca="false">'Fev-26'!B247</f>
        <v>5048800.45</v>
      </c>
      <c r="D264" s="12" t="n">
        <f aca="false">'Mar-26'!B248</f>
        <v>4989801.78</v>
      </c>
      <c r="E264" s="12" t="n">
        <f aca="false">'Abr-26'!B253</f>
        <v>4916419.84</v>
      </c>
      <c r="F264" s="12" t="n">
        <f aca="false">'Mai-26'!B253</f>
        <v>4916419.84</v>
      </c>
      <c r="G264" s="12" t="n">
        <f aca="false">'Jun-26'!B252</f>
        <v>4916419.84</v>
      </c>
      <c r="H264" s="12" t="n">
        <f aca="false">'Jul-26'!B253</f>
        <v>4916419.84</v>
      </c>
      <c r="I264" s="12" t="n">
        <f aca="false">'Ago-26'!B259</f>
        <v>4916419.84</v>
      </c>
    </row>
    <row r="265" customFormat="false" ht="15" hidden="false" customHeight="false" outlineLevel="0" collapsed="false">
      <c r="A265" s="14" t="s">
        <v>260</v>
      </c>
      <c r="B265" s="15" t="n">
        <f aca="false">'Jan-26'!B239</f>
        <v>4633313.86</v>
      </c>
      <c r="C265" s="15" t="n">
        <f aca="false">'Fev-26'!B248</f>
        <v>4602003</v>
      </c>
      <c r="D265" s="15" t="n">
        <f aca="false">'Mar-26'!B249</f>
        <v>4543004.33</v>
      </c>
      <c r="E265" s="15" t="n">
        <f aca="false">'Abr-26'!B254</f>
        <v>4469622.39</v>
      </c>
      <c r="F265" s="15" t="n">
        <f aca="false">'Mai-26'!B254</f>
        <v>4469622.39</v>
      </c>
      <c r="G265" s="15" t="n">
        <f aca="false">'Jun-26'!B253</f>
        <v>4469622.39</v>
      </c>
      <c r="H265" s="15" t="n">
        <f aca="false">'Jul-26'!B254</f>
        <v>4469622.39</v>
      </c>
      <c r="I265" s="15" t="n">
        <f aca="false">'Ago-26'!B260</f>
        <v>4469622.39</v>
      </c>
    </row>
    <row r="266" customFormat="false" ht="15" hidden="false" customHeight="false" outlineLevel="0" collapsed="false">
      <c r="A266" s="14" t="s">
        <v>261</v>
      </c>
      <c r="B266" s="15" t="n">
        <f aca="false">'Jan-26'!B240</f>
        <v>76482.3</v>
      </c>
      <c r="C266" s="15" t="n">
        <f aca="false">'Fev-26'!B249</f>
        <v>76482.3</v>
      </c>
      <c r="D266" s="15" t="n">
        <f aca="false">'Mar-26'!B250</f>
        <v>76482.3</v>
      </c>
      <c r="E266" s="15" t="n">
        <f aca="false">'Abr-26'!B255</f>
        <v>76482.3</v>
      </c>
      <c r="F266" s="15" t="n">
        <f aca="false">'Mai-26'!B255</f>
        <v>76482.3</v>
      </c>
      <c r="G266" s="15" t="n">
        <f aca="false">'Jun-26'!B254</f>
        <v>76482.3</v>
      </c>
      <c r="H266" s="15" t="n">
        <f aca="false">'Jul-26'!B255</f>
        <v>76482.3</v>
      </c>
      <c r="I266" s="15" t="n">
        <f aca="false">'Ago-26'!B261</f>
        <v>76482.3</v>
      </c>
    </row>
    <row r="267" customFormat="false" ht="15" hidden="false" customHeight="false" outlineLevel="0" collapsed="false">
      <c r="A267" s="14" t="s">
        <v>262</v>
      </c>
      <c r="B267" s="15" t="n">
        <f aca="false">'Jan-26'!B241</f>
        <v>370315.15</v>
      </c>
      <c r="C267" s="15" t="n">
        <f aca="false">'Fev-26'!B250</f>
        <v>370315.15</v>
      </c>
      <c r="D267" s="15" t="n">
        <f aca="false">'Mar-26'!B251</f>
        <v>370315.15</v>
      </c>
      <c r="E267" s="15" t="n">
        <f aca="false">'Abr-26'!B256</f>
        <v>370315.15</v>
      </c>
      <c r="F267" s="15" t="n">
        <f aca="false">'Mai-26'!B256</f>
        <v>370315.15</v>
      </c>
      <c r="G267" s="15" t="n">
        <f aca="false">'Jun-26'!B255</f>
        <v>370315.15</v>
      </c>
      <c r="H267" s="15" t="n">
        <f aca="false">'Jul-26'!B256</f>
        <v>370315.15</v>
      </c>
      <c r="I267" s="15" t="n">
        <f aca="false">'Ago-26'!B262</f>
        <v>370315.15</v>
      </c>
    </row>
    <row r="268" customFormat="false" ht="15" hidden="false" customHeight="false" outlineLevel="0" collapsed="false">
      <c r="A268" s="11" t="s">
        <v>263</v>
      </c>
      <c r="B268" s="12" t="n">
        <f aca="false">'Jan-26'!B242</f>
        <v>20370562.16</v>
      </c>
      <c r="C268" s="12" t="n">
        <f aca="false">'Fev-26'!B251</f>
        <v>20370562.16</v>
      </c>
      <c r="D268" s="12" t="n">
        <f aca="false">'Mar-26'!B252</f>
        <v>20370562.16</v>
      </c>
      <c r="E268" s="12" t="n">
        <f aca="false">'Abr-26'!B257</f>
        <v>20370562.16</v>
      </c>
      <c r="F268" s="12" t="n">
        <f aca="false">'Mai-26'!B257</f>
        <v>20370562.16</v>
      </c>
      <c r="G268" s="12" t="n">
        <f aca="false">'Jun-26'!B256</f>
        <v>20370562.16</v>
      </c>
      <c r="H268" s="12" t="n">
        <f aca="false">'Jul-26'!B257</f>
        <v>20370562.16</v>
      </c>
      <c r="I268" s="12" t="n">
        <f aca="false">'Ago-26'!B263</f>
        <v>20370562.16</v>
      </c>
    </row>
    <row r="269" customFormat="false" ht="15" hidden="false" customHeight="false" outlineLevel="0" collapsed="false">
      <c r="A269" s="13" t="s">
        <v>263</v>
      </c>
      <c r="B269" s="12" t="n">
        <f aca="false">'Jan-26'!B243</f>
        <v>20370562.16</v>
      </c>
      <c r="C269" s="12" t="n">
        <f aca="false">'Fev-26'!B252</f>
        <v>20370562.16</v>
      </c>
      <c r="D269" s="12" t="n">
        <f aca="false">'Mar-26'!B253</f>
        <v>20370562.16</v>
      </c>
      <c r="E269" s="12" t="n">
        <f aca="false">'Abr-26'!B258</f>
        <v>20370562.16</v>
      </c>
      <c r="F269" s="12" t="n">
        <f aca="false">'Mai-26'!B258</f>
        <v>20370562.16</v>
      </c>
      <c r="G269" s="12" t="n">
        <f aca="false">'Jun-26'!B257</f>
        <v>20370562.16</v>
      </c>
      <c r="H269" s="12" t="n">
        <f aca="false">'Jul-26'!B258</f>
        <v>20370562.16</v>
      </c>
      <c r="I269" s="12" t="n">
        <f aca="false">'Ago-26'!B264</f>
        <v>20370562.16</v>
      </c>
    </row>
    <row r="270" customFormat="false" ht="15" hidden="false" customHeight="false" outlineLevel="0" collapsed="false">
      <c r="A270" s="14" t="s">
        <v>264</v>
      </c>
      <c r="B270" s="15" t="n">
        <f aca="false">'Jan-26'!B244</f>
        <v>8511069.63</v>
      </c>
      <c r="C270" s="15" t="n">
        <f aca="false">'Fev-26'!B253</f>
        <v>8511069.63</v>
      </c>
      <c r="D270" s="15" t="n">
        <f aca="false">'Mar-26'!B254</f>
        <v>8511069.63</v>
      </c>
      <c r="E270" s="15" t="n">
        <f aca="false">'Abr-26'!B259</f>
        <v>8511069.63</v>
      </c>
      <c r="F270" s="15" t="n">
        <f aca="false">'Mai-26'!B259</f>
        <v>8511069.63</v>
      </c>
      <c r="G270" s="15" t="n">
        <f aca="false">'Jun-26'!B258</f>
        <v>8511069.63</v>
      </c>
      <c r="H270" s="15" t="n">
        <f aca="false">'Jul-26'!B259</f>
        <v>8511069.63</v>
      </c>
      <c r="I270" s="15" t="n">
        <f aca="false">'Ago-26'!B265</f>
        <v>8511069.63</v>
      </c>
    </row>
    <row r="271" customFormat="false" ht="15" hidden="false" customHeight="false" outlineLevel="0" collapsed="false">
      <c r="A271" s="14" t="s">
        <v>265</v>
      </c>
      <c r="B271" s="15" t="n">
        <f aca="false">'Jan-26'!B245</f>
        <v>8384137.46</v>
      </c>
      <c r="C271" s="15" t="n">
        <f aca="false">'Fev-26'!B254</f>
        <v>8384137.46</v>
      </c>
      <c r="D271" s="15" t="n">
        <f aca="false">'Mar-26'!B255</f>
        <v>8384137.46</v>
      </c>
      <c r="E271" s="15" t="n">
        <f aca="false">'Abr-26'!B260</f>
        <v>8384137.46</v>
      </c>
      <c r="F271" s="15" t="n">
        <f aca="false">'Mai-26'!B260</f>
        <v>8384137.46</v>
      </c>
      <c r="G271" s="15" t="n">
        <f aca="false">'Jun-26'!B259</f>
        <v>8384137.46</v>
      </c>
      <c r="H271" s="15" t="n">
        <f aca="false">'Jul-26'!B260</f>
        <v>8384137.46</v>
      </c>
      <c r="I271" s="15" t="n">
        <f aca="false">'Ago-26'!B266</f>
        <v>8384137.46</v>
      </c>
    </row>
    <row r="272" customFormat="false" ht="15" hidden="false" customHeight="false" outlineLevel="0" collapsed="false">
      <c r="A272" s="14" t="s">
        <v>266</v>
      </c>
      <c r="B272" s="15" t="n">
        <f aca="false">'Jan-26'!B246</f>
        <v>986346.19</v>
      </c>
      <c r="C272" s="15" t="n">
        <f aca="false">'Fev-26'!B255</f>
        <v>986346.19</v>
      </c>
      <c r="D272" s="15" t="n">
        <f aca="false">'Mar-26'!B256</f>
        <v>986346.19</v>
      </c>
      <c r="E272" s="15" t="n">
        <f aca="false">'Abr-26'!B261</f>
        <v>986346.19</v>
      </c>
      <c r="F272" s="15" t="n">
        <f aca="false">'Mai-26'!B261</f>
        <v>986346.19</v>
      </c>
      <c r="G272" s="15" t="n">
        <f aca="false">'Jun-26'!B260</f>
        <v>986346.19</v>
      </c>
      <c r="H272" s="15" t="n">
        <f aca="false">'Jul-26'!B261</f>
        <v>986346.19</v>
      </c>
      <c r="I272" s="15" t="n">
        <f aca="false">'Ago-26'!B267</f>
        <v>986346.19</v>
      </c>
    </row>
    <row r="273" customFormat="false" ht="15" hidden="false" customHeight="false" outlineLevel="0" collapsed="false">
      <c r="A273" s="14" t="s">
        <v>267</v>
      </c>
      <c r="B273" s="15" t="n">
        <f aca="false">'Jan-26'!B247</f>
        <v>2489008.88</v>
      </c>
      <c r="C273" s="15" t="n">
        <f aca="false">'Fev-26'!B256</f>
        <v>2489008.88</v>
      </c>
      <c r="D273" s="15" t="n">
        <f aca="false">'Mar-26'!B257</f>
        <v>2489008.88</v>
      </c>
      <c r="E273" s="15" t="n">
        <f aca="false">'Abr-26'!B262</f>
        <v>2489008.88</v>
      </c>
      <c r="F273" s="15" t="n">
        <f aca="false">'Mai-26'!B262</f>
        <v>2489008.88</v>
      </c>
      <c r="G273" s="15" t="n">
        <f aca="false">'Jun-26'!B261</f>
        <v>2489008.88</v>
      </c>
      <c r="H273" s="15" t="n">
        <f aca="false">'Jul-26'!B262</f>
        <v>2489008.88</v>
      </c>
      <c r="I273" s="15" t="n">
        <f aca="false">'Ago-26'!B268</f>
        <v>2489008.88</v>
      </c>
    </row>
    <row r="274" customFormat="false" ht="15" hidden="false" customHeight="false" outlineLevel="0" collapsed="false">
      <c r="A274" s="9" t="s">
        <v>268</v>
      </c>
      <c r="B274" s="10" t="n">
        <f aca="false">'Jan-26'!B248</f>
        <v>24427195.97</v>
      </c>
      <c r="C274" s="10" t="n">
        <f aca="false">'Fev-26'!B257</f>
        <v>24566385.15</v>
      </c>
      <c r="D274" s="10" t="n">
        <f aca="false">'Mar-26'!B258</f>
        <v>24745951.47</v>
      </c>
      <c r="E274" s="10" t="n">
        <f aca="false">'Abr-26'!B263</f>
        <v>24838646.39</v>
      </c>
      <c r="F274" s="10" t="n">
        <f aca="false">'Mai-26'!B263</f>
        <v>24590646.39</v>
      </c>
      <c r="G274" s="10" t="n">
        <f aca="false">'Jun-26'!B262</f>
        <v>24382846.39</v>
      </c>
      <c r="H274" s="10" t="n">
        <f aca="false">'Jul-26'!B263</f>
        <v>24142854.39</v>
      </c>
      <c r="I274" s="10" t="n">
        <f aca="false">'Ago-26'!B269</f>
        <v>23944854.39</v>
      </c>
    </row>
    <row r="275" customFormat="false" ht="15" hidden="false" customHeight="false" outlineLevel="0" collapsed="false">
      <c r="A275" s="11" t="s">
        <v>269</v>
      </c>
      <c r="B275" s="12" t="n">
        <f aca="false">'Jan-26'!B249</f>
        <v>6000000</v>
      </c>
      <c r="C275" s="12" t="n">
        <f aca="false">'Fev-26'!B258</f>
        <v>6000000</v>
      </c>
      <c r="D275" s="12" t="n">
        <f aca="false">'Mar-26'!B259</f>
        <v>6000000</v>
      </c>
      <c r="E275" s="12" t="n">
        <f aca="false">'Abr-26'!B264</f>
        <v>6000000</v>
      </c>
      <c r="F275" s="12" t="n">
        <f aca="false">'Mai-26'!B264</f>
        <v>6000000</v>
      </c>
      <c r="G275" s="12" t="n">
        <f aca="false">'Jun-26'!B263</f>
        <v>6000000</v>
      </c>
      <c r="H275" s="12" t="n">
        <f aca="false">'Jul-26'!B264</f>
        <v>6000000</v>
      </c>
      <c r="I275" s="12" t="n">
        <f aca="false">'Ago-26'!B270</f>
        <v>6000000</v>
      </c>
    </row>
    <row r="276" customFormat="false" ht="15" hidden="false" customHeight="false" outlineLevel="0" collapsed="false">
      <c r="A276" s="13" t="s">
        <v>269</v>
      </c>
      <c r="B276" s="12" t="n">
        <f aca="false">'Jan-26'!B250</f>
        <v>6000000</v>
      </c>
      <c r="C276" s="12" t="n">
        <f aca="false">'Fev-26'!B259</f>
        <v>6000000</v>
      </c>
      <c r="D276" s="12" t="n">
        <f aca="false">'Mar-26'!B260</f>
        <v>6000000</v>
      </c>
      <c r="E276" s="12" t="n">
        <f aca="false">'Abr-26'!B265</f>
        <v>6000000</v>
      </c>
      <c r="F276" s="12" t="n">
        <f aca="false">'Mai-26'!B265</f>
        <v>6000000</v>
      </c>
      <c r="G276" s="12" t="n">
        <f aca="false">'Jun-26'!B264</f>
        <v>6000000</v>
      </c>
      <c r="H276" s="12" t="n">
        <f aca="false">'Jul-26'!B265</f>
        <v>6000000</v>
      </c>
      <c r="I276" s="12" t="n">
        <f aca="false">'Ago-26'!B271</f>
        <v>6000000</v>
      </c>
    </row>
    <row r="277" customFormat="false" ht="15" hidden="false" customHeight="false" outlineLevel="0" collapsed="false">
      <c r="A277" s="14" t="s">
        <v>270</v>
      </c>
      <c r="B277" s="15" t="n">
        <f aca="false">'Jan-26'!B251</f>
        <v>6000000</v>
      </c>
      <c r="C277" s="15" t="n">
        <f aca="false">'Fev-26'!B260</f>
        <v>6000000</v>
      </c>
      <c r="D277" s="15" t="n">
        <f aca="false">'Mar-26'!B261</f>
        <v>6000000</v>
      </c>
      <c r="E277" s="15" t="n">
        <f aca="false">'Abr-26'!B266</f>
        <v>6000000</v>
      </c>
      <c r="F277" s="15" t="n">
        <f aca="false">'Mai-26'!B266</f>
        <v>6000000</v>
      </c>
      <c r="G277" s="15" t="n">
        <f aca="false">'Jun-26'!B265</f>
        <v>6000000</v>
      </c>
      <c r="H277" s="15" t="n">
        <f aca="false">'Jul-26'!B266</f>
        <v>6000000</v>
      </c>
      <c r="I277" s="15" t="n">
        <f aca="false">'Ago-26'!B272</f>
        <v>6000000</v>
      </c>
    </row>
    <row r="278" customFormat="false" ht="15" hidden="false" customHeight="false" outlineLevel="0" collapsed="false">
      <c r="A278" s="11" t="s">
        <v>271</v>
      </c>
      <c r="B278" s="12" t="n">
        <f aca="false">'Jan-26'!B252</f>
        <v>466704.13</v>
      </c>
      <c r="C278" s="12" t="n">
        <f aca="false">'Fev-26'!B261</f>
        <v>466704.13</v>
      </c>
      <c r="D278" s="12" t="n">
        <f aca="false">'Mar-26'!B262</f>
        <v>466704.13</v>
      </c>
      <c r="E278" s="12" t="n">
        <f aca="false">'Abr-26'!B267</f>
        <v>466704.13</v>
      </c>
      <c r="F278" s="12" t="n">
        <f aca="false">'Mai-26'!B267</f>
        <v>466704.13</v>
      </c>
      <c r="G278" s="12" t="n">
        <f aca="false">'Jun-26'!B266</f>
        <v>466704.13</v>
      </c>
      <c r="H278" s="12" t="n">
        <f aca="false">'Jul-26'!B267</f>
        <v>466704.13</v>
      </c>
      <c r="I278" s="12" t="n">
        <f aca="false">'Ago-26'!B273</f>
        <v>466704.13</v>
      </c>
    </row>
    <row r="279" customFormat="false" ht="15" hidden="false" customHeight="false" outlineLevel="0" collapsed="false">
      <c r="A279" s="13" t="s">
        <v>272</v>
      </c>
      <c r="B279" s="12" t="n">
        <f aca="false">'Jan-26'!B253</f>
        <v>466704.13</v>
      </c>
      <c r="C279" s="12" t="n">
        <f aca="false">'Fev-26'!B262</f>
        <v>466704.13</v>
      </c>
      <c r="D279" s="12" t="n">
        <f aca="false">'Mar-26'!B263</f>
        <v>466704.13</v>
      </c>
      <c r="E279" s="12" t="n">
        <f aca="false">'Abr-26'!B268</f>
        <v>466704.13</v>
      </c>
      <c r="F279" s="12" t="n">
        <f aca="false">'Mai-26'!B268</f>
        <v>466704.13</v>
      </c>
      <c r="G279" s="12" t="n">
        <f aca="false">'Jun-26'!B267</f>
        <v>466704.13</v>
      </c>
      <c r="H279" s="12" t="n">
        <f aca="false">'Jul-26'!B268</f>
        <v>466704.13</v>
      </c>
      <c r="I279" s="12" t="n">
        <f aca="false">'Ago-26'!B274</f>
        <v>466704.13</v>
      </c>
    </row>
    <row r="280" customFormat="false" ht="15" hidden="false" customHeight="false" outlineLevel="0" collapsed="false">
      <c r="A280" s="14" t="s">
        <v>272</v>
      </c>
      <c r="B280" s="15" t="n">
        <f aca="false">'Jan-26'!B254</f>
        <v>466704.13</v>
      </c>
      <c r="C280" s="15" t="n">
        <f aca="false">'Fev-26'!B263</f>
        <v>466704.13</v>
      </c>
      <c r="D280" s="15" t="n">
        <f aca="false">'Mar-26'!B264</f>
        <v>466704.13</v>
      </c>
      <c r="E280" s="15" t="n">
        <f aca="false">'Abr-26'!B269</f>
        <v>466704.13</v>
      </c>
      <c r="F280" s="15" t="n">
        <f aca="false">'Mai-26'!B269</f>
        <v>466704.13</v>
      </c>
      <c r="G280" s="15" t="n">
        <f aca="false">'Jun-26'!B268</f>
        <v>466704.13</v>
      </c>
      <c r="H280" s="15" t="n">
        <f aca="false">'Jul-26'!B269</f>
        <v>466704.13</v>
      </c>
      <c r="I280" s="15" t="n">
        <f aca="false">'Ago-26'!B275</f>
        <v>466704.13</v>
      </c>
    </row>
    <row r="281" customFormat="false" ht="15" hidden="false" customHeight="false" outlineLevel="0" collapsed="false">
      <c r="A281" s="11" t="s">
        <v>273</v>
      </c>
      <c r="B281" s="12" t="n">
        <f aca="false">'Jan-26'!B255</f>
        <v>11892705.04</v>
      </c>
      <c r="C281" s="12" t="n">
        <f aca="false">'Fev-26'!B264</f>
        <v>11815234.94</v>
      </c>
      <c r="D281" s="12" t="n">
        <f aca="false">'Mar-26'!B265</f>
        <v>11698234.94</v>
      </c>
      <c r="E281" s="12" t="n">
        <f aca="false">'Abr-26'!B270</f>
        <v>11610234.94</v>
      </c>
      <c r="F281" s="12" t="n">
        <f aca="false">'Mai-26'!B270</f>
        <v>11362234.94</v>
      </c>
      <c r="G281" s="12" t="n">
        <f aca="false">'Jun-26'!B269</f>
        <v>11154434.94</v>
      </c>
      <c r="H281" s="12" t="n">
        <f aca="false">'Jul-26'!B270</f>
        <v>10914442.94</v>
      </c>
      <c r="I281" s="12" t="n">
        <f aca="false">'Ago-26'!B276</f>
        <v>10716442.94</v>
      </c>
    </row>
    <row r="282" customFormat="false" ht="15" hidden="false" customHeight="false" outlineLevel="0" collapsed="false">
      <c r="A282" s="13" t="s">
        <v>274</v>
      </c>
      <c r="B282" s="12" t="n">
        <f aca="false">'Jan-26'!B256</f>
        <v>11892705.04</v>
      </c>
      <c r="C282" s="12" t="n">
        <f aca="false">'Fev-26'!B265</f>
        <v>11815234.94</v>
      </c>
      <c r="D282" s="12" t="n">
        <f aca="false">'Mar-26'!B266</f>
        <v>11698234.94</v>
      </c>
      <c r="E282" s="12" t="n">
        <f aca="false">'Abr-26'!B271</f>
        <v>11610234.94</v>
      </c>
      <c r="F282" s="12" t="n">
        <f aca="false">'Mai-26'!B271</f>
        <v>11362234.94</v>
      </c>
      <c r="G282" s="12" t="n">
        <f aca="false">'Jun-26'!B270</f>
        <v>11154434.94</v>
      </c>
      <c r="H282" s="12" t="n">
        <f aca="false">'Jul-26'!B271</f>
        <v>10914442.94</v>
      </c>
      <c r="I282" s="12" t="n">
        <f aca="false">'Ago-26'!B277</f>
        <v>10716442.94</v>
      </c>
    </row>
    <row r="283" customFormat="false" ht="15" hidden="false" customHeight="false" outlineLevel="0" collapsed="false">
      <c r="A283" s="14" t="s">
        <v>274</v>
      </c>
      <c r="B283" s="15" t="n">
        <f aca="false">'Jan-26'!B257</f>
        <v>11892705.04</v>
      </c>
      <c r="C283" s="15" t="n">
        <f aca="false">'Fev-26'!B266</f>
        <v>11814790.57</v>
      </c>
      <c r="D283" s="15" t="n">
        <f aca="false">'Mar-26'!B267</f>
        <v>11697790.57</v>
      </c>
      <c r="E283" s="15" t="n">
        <f aca="false">'Abr-26'!B272</f>
        <v>11609790.57</v>
      </c>
      <c r="F283" s="15" t="n">
        <f aca="false">'Mai-26'!B272</f>
        <v>11361790.57</v>
      </c>
      <c r="G283" s="15" t="n">
        <f aca="false">'Jun-26'!B271</f>
        <v>11153990.57</v>
      </c>
      <c r="H283" s="15" t="n">
        <f aca="false">'Jul-26'!B272</f>
        <v>10913998.57</v>
      </c>
      <c r="I283" s="15" t="n">
        <f aca="false">'Ago-26'!B278</f>
        <v>10715998.57</v>
      </c>
    </row>
    <row r="284" customFormat="false" ht="15" hidden="false" customHeight="false" outlineLevel="0" collapsed="false">
      <c r="A284" s="14" t="s">
        <v>275</v>
      </c>
      <c r="B284" s="15"/>
      <c r="C284" s="15" t="n">
        <f aca="false">'Fev-26'!B267</f>
        <v>444.37</v>
      </c>
      <c r="D284" s="15" t="n">
        <f aca="false">'Mar-26'!B268</f>
        <v>444.37</v>
      </c>
      <c r="E284" s="15" t="n">
        <f aca="false">'Abr-26'!B273</f>
        <v>444.37</v>
      </c>
      <c r="F284" s="15" t="n">
        <f aca="false">'Mai-26'!B273</f>
        <v>444.37</v>
      </c>
      <c r="G284" s="15" t="n">
        <f aca="false">'Jun-26'!B272</f>
        <v>444.37</v>
      </c>
      <c r="H284" s="15" t="n">
        <f aca="false">'Jul-26'!B273</f>
        <v>444.37</v>
      </c>
      <c r="I284" s="15" t="n">
        <f aca="false">'Ago-26'!B279</f>
        <v>444.37</v>
      </c>
    </row>
    <row r="285" customFormat="false" ht="15" hidden="false" customHeight="false" outlineLevel="0" collapsed="false">
      <c r="A285" s="11" t="s">
        <v>276</v>
      </c>
      <c r="B285" s="12" t="n">
        <f aca="false">'Jan-26'!B258</f>
        <v>6067786.8</v>
      </c>
      <c r="C285" s="12" t="n">
        <f aca="false">'Fev-26'!B268</f>
        <v>6284446.08</v>
      </c>
      <c r="D285" s="12" t="n">
        <f aca="false">'Mar-26'!B269</f>
        <v>6581012.4</v>
      </c>
      <c r="E285" s="12" t="n">
        <f aca="false">'Abr-26'!B274</f>
        <v>6761707.32</v>
      </c>
      <c r="F285" s="12" t="n">
        <f aca="false">'Mai-26'!B274</f>
        <v>6761707.32</v>
      </c>
      <c r="G285" s="12" t="n">
        <f aca="false">'Jun-26'!B273</f>
        <v>6761707.32</v>
      </c>
      <c r="H285" s="12" t="n">
        <f aca="false">'Jul-26'!B274</f>
        <v>6761707.32</v>
      </c>
      <c r="I285" s="12" t="n">
        <f aca="false">'Ago-26'!B280</f>
        <v>6761707.32</v>
      </c>
    </row>
    <row r="286" customFormat="false" ht="15" hidden="false" customHeight="false" outlineLevel="0" collapsed="false">
      <c r="A286" s="13" t="s">
        <v>276</v>
      </c>
      <c r="B286" s="12" t="n">
        <f aca="false">'Jan-26'!B259</f>
        <v>6067786.8</v>
      </c>
      <c r="C286" s="12" t="n">
        <f aca="false">'Fev-26'!B269</f>
        <v>6284446.08</v>
      </c>
      <c r="D286" s="12" t="n">
        <f aca="false">'Mar-26'!B270</f>
        <v>6581012.4</v>
      </c>
      <c r="E286" s="12" t="n">
        <f aca="false">'Abr-26'!B275</f>
        <v>6761707.32</v>
      </c>
      <c r="F286" s="12" t="n">
        <f aca="false">'Mai-26'!B275</f>
        <v>6761707.32</v>
      </c>
      <c r="G286" s="12" t="n">
        <f aca="false">'Jun-26'!B274</f>
        <v>6761707.32</v>
      </c>
      <c r="H286" s="12" t="n">
        <f aca="false">'Jul-26'!B275</f>
        <v>6761707.32</v>
      </c>
      <c r="I286" s="12" t="n">
        <f aca="false">'Ago-26'!B281</f>
        <v>6761707.32</v>
      </c>
    </row>
    <row r="287" customFormat="false" ht="15" hidden="false" customHeight="false" outlineLevel="0" collapsed="false">
      <c r="A287" s="14" t="s">
        <v>277</v>
      </c>
      <c r="B287" s="15" t="n">
        <f aca="false">'Jan-26'!B260</f>
        <v>1533460.17</v>
      </c>
      <c r="C287" s="15" t="n">
        <f aca="false">'Fev-26'!B270</f>
        <v>1533460.17</v>
      </c>
      <c r="D287" s="15" t="n">
        <f aca="false">'Mar-26'!B271</f>
        <v>1533460.17</v>
      </c>
      <c r="E287" s="15" t="n">
        <f aca="false">'Abr-26'!B276</f>
        <v>1533460.17</v>
      </c>
      <c r="F287" s="15" t="n">
        <f aca="false">'Mai-26'!B276</f>
        <v>1533460.17</v>
      </c>
      <c r="G287" s="15" t="n">
        <f aca="false">'Jun-26'!B275</f>
        <v>1533460.17</v>
      </c>
      <c r="H287" s="15" t="n">
        <f aca="false">'Jul-26'!B276</f>
        <v>1533460.17</v>
      </c>
      <c r="I287" s="15" t="n">
        <f aca="false">'Ago-26'!B282</f>
        <v>1533460.17</v>
      </c>
    </row>
    <row r="288" customFormat="false" ht="15" hidden="false" customHeight="false" outlineLevel="0" collapsed="false">
      <c r="A288" s="14" t="s">
        <v>278</v>
      </c>
      <c r="B288" s="15" t="n">
        <f aca="false">'Jan-26'!B261</f>
        <v>803053.23</v>
      </c>
      <c r="C288" s="15" t="n">
        <f aca="false">'Fev-26'!B271</f>
        <v>803053.23</v>
      </c>
      <c r="D288" s="15" t="n">
        <f aca="false">'Mar-26'!B272</f>
        <v>803053.23</v>
      </c>
      <c r="E288" s="15" t="n">
        <f aca="false">'Abr-26'!B277</f>
        <v>803053.23</v>
      </c>
      <c r="F288" s="15" t="n">
        <f aca="false">'Mai-26'!B277</f>
        <v>803053.23</v>
      </c>
      <c r="G288" s="15" t="n">
        <f aca="false">'Jun-26'!B276</f>
        <v>803053.23</v>
      </c>
      <c r="H288" s="15" t="n">
        <f aca="false">'Jul-26'!B277</f>
        <v>803053.23</v>
      </c>
      <c r="I288" s="15" t="n">
        <f aca="false">'Ago-26'!B283</f>
        <v>803053.23</v>
      </c>
    </row>
    <row r="289" customFormat="false" ht="15" hidden="false" customHeight="false" outlineLevel="0" collapsed="false">
      <c r="A289" s="14" t="s">
        <v>279</v>
      </c>
      <c r="B289" s="15" t="n">
        <f aca="false">'Jan-26'!B262</f>
        <v>3731273.4</v>
      </c>
      <c r="C289" s="15" t="n">
        <f aca="false">'Fev-26'!B272</f>
        <v>3947932.68</v>
      </c>
      <c r="D289" s="15" t="n">
        <f aca="false">'Mar-26'!B273</f>
        <v>4244499</v>
      </c>
      <c r="E289" s="15" t="n">
        <f aca="false">'Abr-26'!B278</f>
        <v>4425193.92</v>
      </c>
      <c r="F289" s="15" t="n">
        <f aca="false">'Mai-26'!B278</f>
        <v>4425193.92</v>
      </c>
      <c r="G289" s="15" t="n">
        <f aca="false">'Jun-26'!B277</f>
        <v>4425193.92</v>
      </c>
      <c r="H289" s="15" t="n">
        <f aca="false">'Jul-26'!B278</f>
        <v>4425193.92</v>
      </c>
      <c r="I289" s="15" t="n">
        <f aca="false">'Ago-26'!B284</f>
        <v>4425193.92</v>
      </c>
    </row>
    <row r="291" customFormat="false" ht="15" hidden="false" customHeight="false" outlineLevel="0" collapsed="false">
      <c r="A291" s="16" t="s">
        <v>280</v>
      </c>
      <c r="B291" s="17" t="n">
        <f aca="false">B8-B156</f>
        <v>3286063.34</v>
      </c>
      <c r="C291" s="17" t="n">
        <f aca="false">C8-C156</f>
        <v>2043351.22</v>
      </c>
      <c r="D291" s="17" t="n">
        <f aca="false">D8-D156</f>
        <v>-939030.340000004</v>
      </c>
      <c r="E291" s="17" t="n">
        <f aca="false">E8-E156</f>
        <v>-1949527.29000001</v>
      </c>
      <c r="F291" s="17" t="n">
        <f aca="false">F8-F156</f>
        <v>-3066714.49000001</v>
      </c>
      <c r="G291" s="17" t="n">
        <f aca="false">G8-G156</f>
        <v>-4198525.44000001</v>
      </c>
      <c r="H291" s="17" t="n">
        <f aca="false">H8-H156</f>
        <v>-4710730.57000001</v>
      </c>
      <c r="I291" s="17" t="n">
        <f aca="false">I8-I156</f>
        <v>-4771004.58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Folha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8"/>
    <col collapsed="false" customWidth="true" hidden="false" outlineLevel="0" max="2" min="2" style="0" width="2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281</v>
      </c>
    </row>
    <row r="3" customFormat="false" ht="15" hidden="false" customHeight="false" outlineLevel="0" collapsed="false">
      <c r="A3" s="3" t="s">
        <v>282</v>
      </c>
    </row>
    <row r="4" customFormat="false" ht="15" hidden="false" customHeight="false" outlineLevel="0" collapsed="false">
      <c r="A4" s="3" t="s">
        <v>3</v>
      </c>
    </row>
    <row r="5" customFormat="false" ht="15" hidden="false" customHeight="false" outlineLevel="0" collapsed="false">
      <c r="A5" s="4" t="s">
        <v>4</v>
      </c>
    </row>
    <row r="7" customFormat="false" ht="21.75" hidden="false" customHeight="true" outlineLevel="0" collapsed="false">
      <c r="A7" s="5" t="s">
        <v>5</v>
      </c>
      <c r="B7" s="6" t="s">
        <v>283</v>
      </c>
    </row>
    <row r="8" customFormat="false" ht="15" hidden="false" customHeight="false" outlineLevel="0" collapsed="false">
      <c r="A8" s="7" t="s">
        <v>14</v>
      </c>
      <c r="B8" s="8" t="n">
        <v>78939887.5</v>
      </c>
    </row>
    <row r="9" customFormat="false" ht="15" hidden="false" customHeight="false" outlineLevel="0" collapsed="false">
      <c r="A9" s="9" t="s">
        <v>15</v>
      </c>
      <c r="B9" s="10" t="n">
        <v>26399871.25</v>
      </c>
    </row>
    <row r="10" customFormat="false" ht="15" hidden="false" customHeight="false" outlineLevel="0" collapsed="false">
      <c r="A10" s="11" t="s">
        <v>16</v>
      </c>
      <c r="B10" s="12" t="n">
        <v>13049580.12</v>
      </c>
    </row>
    <row r="11" customFormat="false" ht="15" hidden="false" customHeight="false" outlineLevel="0" collapsed="false">
      <c r="A11" s="13" t="s">
        <v>17</v>
      </c>
      <c r="B11" s="12" t="n">
        <v>435852.87</v>
      </c>
    </row>
    <row r="12" customFormat="false" ht="15" hidden="false" customHeight="false" outlineLevel="0" collapsed="false">
      <c r="A12" s="14" t="s">
        <v>18</v>
      </c>
      <c r="B12" s="15" t="n">
        <v>435852.87</v>
      </c>
    </row>
    <row r="13" customFormat="false" ht="15" hidden="false" customHeight="false" outlineLevel="0" collapsed="false">
      <c r="A13" s="13" t="s">
        <v>19</v>
      </c>
      <c r="B13" s="12" t="n">
        <v>1274650.53</v>
      </c>
    </row>
    <row r="14" customFormat="false" ht="15" hidden="false" customHeight="false" outlineLevel="0" collapsed="false">
      <c r="A14" s="14" t="s">
        <v>20</v>
      </c>
      <c r="B14" s="15" t="n">
        <v>357005.17</v>
      </c>
    </row>
    <row r="15" customFormat="false" ht="15" hidden="false" customHeight="false" outlineLevel="0" collapsed="false">
      <c r="A15" s="14" t="s">
        <v>21</v>
      </c>
      <c r="B15" s="15" t="n">
        <v>55202.03</v>
      </c>
    </row>
    <row r="16" customFormat="false" ht="15" hidden="false" customHeight="false" outlineLevel="0" collapsed="false">
      <c r="A16" s="14" t="s">
        <v>22</v>
      </c>
      <c r="B16" s="15" t="n">
        <v>54168.69</v>
      </c>
    </row>
    <row r="17" customFormat="false" ht="15" hidden="false" customHeight="false" outlineLevel="0" collapsed="false">
      <c r="A17" s="14" t="s">
        <v>23</v>
      </c>
      <c r="B17" s="15" t="n">
        <v>390121.07</v>
      </c>
    </row>
    <row r="18" customFormat="false" ht="15" hidden="false" customHeight="false" outlineLevel="0" collapsed="false">
      <c r="A18" s="14" t="s">
        <v>24</v>
      </c>
      <c r="B18" s="15" t="n">
        <v>389423.65</v>
      </c>
    </row>
    <row r="19" customFormat="false" ht="15" hidden="false" customHeight="false" outlineLevel="0" collapsed="false">
      <c r="A19" s="14" t="s">
        <v>25</v>
      </c>
      <c r="B19" s="15" t="n">
        <v>20313.36</v>
      </c>
    </row>
    <row r="20" customFormat="false" ht="15" hidden="false" customHeight="false" outlineLevel="0" collapsed="false">
      <c r="A20" s="14" t="s">
        <v>26</v>
      </c>
      <c r="B20" s="15" t="n">
        <v>8416.56</v>
      </c>
    </row>
    <row r="21" customFormat="false" ht="15" hidden="false" customHeight="false" outlineLevel="0" collapsed="false">
      <c r="A21" s="13" t="s">
        <v>27</v>
      </c>
      <c r="B21" s="12" t="n">
        <v>11339076.72</v>
      </c>
    </row>
    <row r="22" customFormat="false" ht="15" hidden="false" customHeight="false" outlineLevel="0" collapsed="false">
      <c r="A22" s="14" t="s">
        <v>28</v>
      </c>
      <c r="B22" s="15" t="n">
        <v>3106798.67</v>
      </c>
    </row>
    <row r="23" customFormat="false" ht="15" hidden="false" customHeight="false" outlineLevel="0" collapsed="false">
      <c r="A23" s="14" t="s">
        <v>29</v>
      </c>
      <c r="B23" s="15" t="n">
        <v>7242239.23</v>
      </c>
    </row>
    <row r="24" customFormat="false" ht="15" hidden="false" customHeight="false" outlineLevel="0" collapsed="false">
      <c r="A24" s="14" t="s">
        <v>31</v>
      </c>
      <c r="B24" s="15" t="n">
        <v>940038.82</v>
      </c>
    </row>
    <row r="25" customFormat="false" ht="15" hidden="false" customHeight="false" outlineLevel="0" collapsed="false">
      <c r="A25" s="14" t="s">
        <v>32</v>
      </c>
      <c r="B25" s="15" t="n">
        <v>50000</v>
      </c>
    </row>
    <row r="26" customFormat="false" ht="15" hidden="false" customHeight="false" outlineLevel="0" collapsed="false">
      <c r="A26" s="11" t="s">
        <v>33</v>
      </c>
      <c r="B26" s="12" t="n">
        <v>14371795.24</v>
      </c>
    </row>
    <row r="27" customFormat="false" ht="15" hidden="false" customHeight="false" outlineLevel="0" collapsed="false">
      <c r="A27" s="13" t="s">
        <v>34</v>
      </c>
      <c r="B27" s="12" t="n">
        <v>11417677.17</v>
      </c>
    </row>
    <row r="28" customFormat="false" ht="15" hidden="false" customHeight="false" outlineLevel="0" collapsed="false">
      <c r="A28" s="14" t="s">
        <v>35</v>
      </c>
      <c r="B28" s="15" t="n">
        <v>5916087.99</v>
      </c>
    </row>
    <row r="29" customFormat="false" ht="15" hidden="false" customHeight="false" outlineLevel="0" collapsed="false">
      <c r="A29" s="14" t="s">
        <v>36</v>
      </c>
      <c r="B29" s="15" t="n">
        <v>3874301.57</v>
      </c>
    </row>
    <row r="30" customFormat="false" ht="15" hidden="false" customHeight="false" outlineLevel="0" collapsed="false">
      <c r="A30" s="14" t="s">
        <v>37</v>
      </c>
      <c r="B30" s="15" t="n">
        <v>1687.61</v>
      </c>
    </row>
    <row r="31" customFormat="false" ht="15" hidden="false" customHeight="false" outlineLevel="0" collapsed="false">
      <c r="A31" s="14" t="s">
        <v>38</v>
      </c>
      <c r="B31" s="15" t="n">
        <v>6600</v>
      </c>
    </row>
    <row r="32" customFormat="false" ht="15" hidden="false" customHeight="false" outlineLevel="0" collapsed="false">
      <c r="A32" s="14" t="s">
        <v>39</v>
      </c>
      <c r="B32" s="15" t="n">
        <v>1619000</v>
      </c>
    </row>
    <row r="33" customFormat="false" ht="15" hidden="false" customHeight="false" outlineLevel="0" collapsed="false">
      <c r="A33" s="13" t="s">
        <v>40</v>
      </c>
      <c r="B33" s="12" t="n">
        <v>2954118.07</v>
      </c>
    </row>
    <row r="34" customFormat="false" ht="15" hidden="false" customHeight="false" outlineLevel="0" collapsed="false">
      <c r="A34" s="14" t="s">
        <v>41</v>
      </c>
      <c r="B34" s="15" t="n">
        <v>26741.54</v>
      </c>
    </row>
    <row r="35" customFormat="false" ht="15" hidden="false" customHeight="false" outlineLevel="0" collapsed="false">
      <c r="A35" s="14" t="s">
        <v>42</v>
      </c>
      <c r="B35" s="15" t="n">
        <v>2927376.53</v>
      </c>
    </row>
    <row r="36" customFormat="false" ht="15" hidden="false" customHeight="false" outlineLevel="0" collapsed="false">
      <c r="A36" s="11" t="s">
        <v>44</v>
      </c>
      <c r="B36" s="12" t="n">
        <v>142755.99</v>
      </c>
    </row>
    <row r="37" customFormat="false" ht="15" hidden="false" customHeight="false" outlineLevel="0" collapsed="false">
      <c r="A37" s="13" t="s">
        <v>48</v>
      </c>
      <c r="B37" s="12" t="n">
        <v>142755.99</v>
      </c>
    </row>
    <row r="38" customFormat="false" ht="15" hidden="false" customHeight="false" outlineLevel="0" collapsed="false">
      <c r="A38" s="14" t="s">
        <v>50</v>
      </c>
      <c r="B38" s="15" t="n">
        <v>142755.99</v>
      </c>
    </row>
    <row r="39" customFormat="false" ht="15" hidden="false" customHeight="false" outlineLevel="0" collapsed="false">
      <c r="A39" s="11" t="s">
        <v>51</v>
      </c>
      <c r="B39" s="12" t="n">
        <v>-2797003.38</v>
      </c>
    </row>
    <row r="40" customFormat="false" ht="15" hidden="false" customHeight="false" outlineLevel="0" collapsed="false">
      <c r="A40" s="13" t="s">
        <v>52</v>
      </c>
      <c r="B40" s="12" t="n">
        <v>-6494075.17</v>
      </c>
    </row>
    <row r="41" customFormat="false" ht="15" hidden="false" customHeight="false" outlineLevel="0" collapsed="false">
      <c r="A41" s="14" t="s">
        <v>53</v>
      </c>
      <c r="B41" s="15" t="n">
        <v>-31700162.92</v>
      </c>
    </row>
    <row r="42" customFormat="false" ht="15" hidden="false" customHeight="false" outlineLevel="0" collapsed="false">
      <c r="A42" s="14" t="s">
        <v>54</v>
      </c>
      <c r="B42" s="15" t="n">
        <v>2578043.4</v>
      </c>
    </row>
    <row r="43" customFormat="false" ht="15" hidden="false" customHeight="false" outlineLevel="0" collapsed="false">
      <c r="A43" s="14" t="s">
        <v>55</v>
      </c>
      <c r="B43" s="15" t="n">
        <v>22603041.58</v>
      </c>
    </row>
    <row r="44" customFormat="false" ht="15" hidden="false" customHeight="false" outlineLevel="0" collapsed="false">
      <c r="A44" s="14" t="s">
        <v>56</v>
      </c>
      <c r="B44" s="15" t="n">
        <v>25002.77</v>
      </c>
    </row>
    <row r="45" customFormat="false" ht="15" hidden="false" customHeight="false" outlineLevel="0" collapsed="false">
      <c r="A45" s="13" t="s">
        <v>57</v>
      </c>
      <c r="B45" s="12" t="n">
        <v>-428183.02</v>
      </c>
    </row>
    <row r="46" customFormat="false" ht="15" hidden="false" customHeight="false" outlineLevel="0" collapsed="false">
      <c r="A46" s="14" t="s">
        <v>58</v>
      </c>
      <c r="B46" s="15" t="n">
        <v>-390733.02</v>
      </c>
    </row>
    <row r="47" customFormat="false" ht="15" hidden="false" customHeight="false" outlineLevel="0" collapsed="false">
      <c r="A47" s="14" t="s">
        <v>59</v>
      </c>
      <c r="B47" s="15" t="n">
        <v>-37450</v>
      </c>
    </row>
    <row r="48" customFormat="false" ht="15" hidden="false" customHeight="false" outlineLevel="0" collapsed="false">
      <c r="A48" s="13" t="s">
        <v>60</v>
      </c>
      <c r="B48" s="12" t="n">
        <v>842759.23</v>
      </c>
    </row>
    <row r="49" customFormat="false" ht="15" hidden="false" customHeight="false" outlineLevel="0" collapsed="false">
      <c r="A49" s="14" t="s">
        <v>61</v>
      </c>
      <c r="B49" s="15" t="n">
        <v>256440.3</v>
      </c>
    </row>
    <row r="50" customFormat="false" ht="15" hidden="false" customHeight="false" outlineLevel="0" collapsed="false">
      <c r="A50" s="14" t="s">
        <v>62</v>
      </c>
      <c r="B50" s="15" t="n">
        <v>931.83</v>
      </c>
    </row>
    <row r="51" customFormat="false" ht="15" hidden="false" customHeight="false" outlineLevel="0" collapsed="false">
      <c r="A51" s="14" t="s">
        <v>63</v>
      </c>
      <c r="B51" s="15" t="n">
        <v>118486.42</v>
      </c>
    </row>
    <row r="52" customFormat="false" ht="15" hidden="false" customHeight="false" outlineLevel="0" collapsed="false">
      <c r="A52" s="14" t="s">
        <v>64</v>
      </c>
      <c r="B52" s="15" t="n">
        <v>25392.38</v>
      </c>
    </row>
    <row r="53" customFormat="false" ht="15" hidden="false" customHeight="false" outlineLevel="0" collapsed="false">
      <c r="A53" s="14" t="s">
        <v>65</v>
      </c>
      <c r="B53" s="15" t="n">
        <v>311877.11</v>
      </c>
    </row>
    <row r="54" customFormat="false" ht="15" hidden="false" customHeight="false" outlineLevel="0" collapsed="false">
      <c r="A54" s="14" t="s">
        <v>66</v>
      </c>
      <c r="B54" s="15" t="n">
        <v>37104.88</v>
      </c>
    </row>
    <row r="55" customFormat="false" ht="15" hidden="false" customHeight="false" outlineLevel="0" collapsed="false">
      <c r="A55" s="14" t="s">
        <v>67</v>
      </c>
      <c r="B55" s="15" t="n">
        <v>86116.2</v>
      </c>
    </row>
    <row r="56" customFormat="false" ht="15" hidden="false" customHeight="false" outlineLevel="0" collapsed="false">
      <c r="A56" s="14" t="s">
        <v>68</v>
      </c>
      <c r="B56" s="15" t="n">
        <v>124050</v>
      </c>
    </row>
    <row r="57" customFormat="false" ht="15" hidden="false" customHeight="false" outlineLevel="0" collapsed="false">
      <c r="A57" s="14" t="s">
        <v>69</v>
      </c>
      <c r="B57" s="15" t="n">
        <v>53700.01</v>
      </c>
    </row>
    <row r="58" customFormat="false" ht="15" hidden="false" customHeight="false" outlineLevel="0" collapsed="false">
      <c r="A58" s="14" t="s">
        <v>70</v>
      </c>
      <c r="B58" s="15" t="n">
        <v>-171339.9</v>
      </c>
    </row>
    <row r="59" customFormat="false" ht="15" hidden="false" customHeight="false" outlineLevel="0" collapsed="false">
      <c r="A59" s="13" t="s">
        <v>72</v>
      </c>
      <c r="B59" s="12" t="n">
        <v>3282495.58</v>
      </c>
    </row>
    <row r="60" customFormat="false" ht="15" hidden="false" customHeight="false" outlineLevel="0" collapsed="false">
      <c r="A60" s="14" t="s">
        <v>73</v>
      </c>
      <c r="B60" s="15" t="n">
        <v>89580.47</v>
      </c>
    </row>
    <row r="61" customFormat="false" ht="15" hidden="false" customHeight="false" outlineLevel="0" collapsed="false">
      <c r="A61" s="14" t="s">
        <v>74</v>
      </c>
      <c r="B61" s="15" t="n">
        <v>1156458.96</v>
      </c>
    </row>
    <row r="62" customFormat="false" ht="15" hidden="false" customHeight="false" outlineLevel="0" collapsed="false">
      <c r="A62" s="14" t="s">
        <v>75</v>
      </c>
      <c r="B62" s="15" t="n">
        <v>190430.94</v>
      </c>
    </row>
    <row r="63" customFormat="false" ht="15" hidden="false" customHeight="false" outlineLevel="0" collapsed="false">
      <c r="A63" s="14" t="s">
        <v>76</v>
      </c>
      <c r="B63" s="15" t="n">
        <v>1825149.72</v>
      </c>
    </row>
    <row r="64" customFormat="false" ht="15" hidden="false" customHeight="false" outlineLevel="0" collapsed="false">
      <c r="A64" s="14" t="s">
        <v>77</v>
      </c>
      <c r="B64" s="15" t="n">
        <v>11295.49</v>
      </c>
    </row>
    <row r="65" customFormat="false" ht="15" hidden="false" customHeight="false" outlineLevel="0" collapsed="false">
      <c r="A65" s="14" t="s">
        <v>78</v>
      </c>
      <c r="B65" s="15" t="n">
        <v>9580</v>
      </c>
    </row>
    <row r="66" customFormat="false" ht="15" hidden="false" customHeight="false" outlineLevel="0" collapsed="false">
      <c r="A66" s="11" t="s">
        <v>79</v>
      </c>
      <c r="B66" s="12" t="n">
        <v>1543699.07</v>
      </c>
    </row>
    <row r="67" customFormat="false" ht="15" hidden="false" customHeight="false" outlineLevel="0" collapsed="false">
      <c r="A67" s="13" t="s">
        <v>82</v>
      </c>
      <c r="B67" s="12" t="n">
        <v>1543699.07</v>
      </c>
    </row>
    <row r="68" customFormat="false" ht="15" hidden="false" customHeight="false" outlineLevel="0" collapsed="false">
      <c r="A68" s="14" t="s">
        <v>83</v>
      </c>
      <c r="B68" s="15" t="n">
        <v>289523.85</v>
      </c>
    </row>
    <row r="69" customFormat="false" ht="15" hidden="false" customHeight="false" outlineLevel="0" collapsed="false">
      <c r="A69" s="14" t="s">
        <v>84</v>
      </c>
      <c r="B69" s="15" t="n">
        <v>54595.56</v>
      </c>
    </row>
    <row r="70" customFormat="false" ht="15" hidden="false" customHeight="false" outlineLevel="0" collapsed="false">
      <c r="A70" s="14" t="s">
        <v>87</v>
      </c>
      <c r="B70" s="15" t="n">
        <v>-3637.34</v>
      </c>
    </row>
    <row r="71" customFormat="false" ht="15" hidden="false" customHeight="false" outlineLevel="0" collapsed="false">
      <c r="A71" s="14" t="s">
        <v>88</v>
      </c>
      <c r="B71" s="15" t="n">
        <v>1203217</v>
      </c>
    </row>
    <row r="72" customFormat="false" ht="15" hidden="false" customHeight="false" outlineLevel="0" collapsed="false">
      <c r="A72" s="11" t="s">
        <v>89</v>
      </c>
      <c r="B72" s="12" t="n">
        <v>89044.21</v>
      </c>
    </row>
    <row r="73" customFormat="false" ht="15" hidden="false" customHeight="false" outlineLevel="0" collapsed="false">
      <c r="A73" s="13" t="s">
        <v>89</v>
      </c>
      <c r="B73" s="12" t="n">
        <v>89044.21</v>
      </c>
    </row>
    <row r="74" customFormat="false" ht="15" hidden="false" customHeight="false" outlineLevel="0" collapsed="false">
      <c r="A74" s="14" t="s">
        <v>90</v>
      </c>
      <c r="B74" s="15" t="n">
        <v>70748.21</v>
      </c>
    </row>
    <row r="75" customFormat="false" ht="15" hidden="false" customHeight="false" outlineLevel="0" collapsed="false">
      <c r="A75" s="14" t="s">
        <v>91</v>
      </c>
      <c r="B75" s="15" t="n">
        <v>18296</v>
      </c>
    </row>
    <row r="76" customFormat="false" ht="15" hidden="false" customHeight="false" outlineLevel="0" collapsed="false">
      <c r="A76" s="9" t="s">
        <v>92</v>
      </c>
      <c r="B76" s="10" t="n">
        <v>52540016.25</v>
      </c>
    </row>
    <row r="77" customFormat="false" ht="15" hidden="false" customHeight="false" outlineLevel="0" collapsed="false">
      <c r="A77" s="11" t="s">
        <v>93</v>
      </c>
      <c r="B77" s="12" t="n">
        <v>21809261.8</v>
      </c>
    </row>
    <row r="78" customFormat="false" ht="15" hidden="false" customHeight="false" outlineLevel="0" collapsed="false">
      <c r="A78" s="13" t="s">
        <v>94</v>
      </c>
      <c r="B78" s="12" t="n">
        <v>467011.84</v>
      </c>
    </row>
    <row r="79" customFormat="false" ht="15" hidden="false" customHeight="false" outlineLevel="0" collapsed="false">
      <c r="A79" s="14" t="s">
        <v>95</v>
      </c>
      <c r="B79" s="15" t="n">
        <v>467011.84</v>
      </c>
    </row>
    <row r="80" customFormat="false" ht="15" hidden="false" customHeight="false" outlineLevel="0" collapsed="false">
      <c r="A80" s="13" t="s">
        <v>96</v>
      </c>
      <c r="B80" s="12" t="n">
        <v>21342249.96</v>
      </c>
    </row>
    <row r="81" customFormat="false" ht="15" hidden="false" customHeight="false" outlineLevel="0" collapsed="false">
      <c r="A81" s="14" t="s">
        <v>97</v>
      </c>
      <c r="B81" s="15" t="n">
        <v>10728710.65</v>
      </c>
    </row>
    <row r="82" customFormat="false" ht="15" hidden="false" customHeight="false" outlineLevel="0" collapsed="false">
      <c r="A82" s="14" t="s">
        <v>98</v>
      </c>
      <c r="B82" s="15" t="n">
        <v>2182219.17</v>
      </c>
    </row>
    <row r="83" customFormat="false" ht="15" hidden="false" customHeight="false" outlineLevel="0" collapsed="false">
      <c r="A83" s="14" t="s">
        <v>99</v>
      </c>
      <c r="B83" s="15" t="n">
        <v>47182.68</v>
      </c>
    </row>
    <row r="84" customFormat="false" ht="15" hidden="false" customHeight="false" outlineLevel="0" collapsed="false">
      <c r="A84" s="14" t="s">
        <v>100</v>
      </c>
      <c r="B84" s="15" t="n">
        <v>8384137.46</v>
      </c>
    </row>
    <row r="85" customFormat="false" ht="15" hidden="false" customHeight="false" outlineLevel="0" collapsed="false">
      <c r="A85" s="11" t="s">
        <v>101</v>
      </c>
      <c r="B85" s="12" t="n">
        <v>3881945.16</v>
      </c>
    </row>
    <row r="86" customFormat="false" ht="15" hidden="false" customHeight="false" outlineLevel="0" collapsed="false">
      <c r="A86" s="13" t="s">
        <v>102</v>
      </c>
      <c r="B86" s="12" t="n">
        <v>1632864.31</v>
      </c>
    </row>
    <row r="87" customFormat="false" ht="15" hidden="false" customHeight="false" outlineLevel="0" collapsed="false">
      <c r="A87" s="14" t="s">
        <v>103</v>
      </c>
      <c r="B87" s="15" t="n">
        <v>1632864.31</v>
      </c>
    </row>
    <row r="88" customFormat="false" ht="15" hidden="false" customHeight="false" outlineLevel="0" collapsed="false">
      <c r="A88" s="13" t="s">
        <v>104</v>
      </c>
      <c r="B88" s="12" t="n">
        <v>1677313.15</v>
      </c>
    </row>
    <row r="89" customFormat="false" ht="15" hidden="false" customHeight="false" outlineLevel="0" collapsed="false">
      <c r="A89" s="14" t="s">
        <v>105</v>
      </c>
      <c r="B89" s="15" t="n">
        <v>1203490</v>
      </c>
    </row>
    <row r="90" customFormat="false" ht="15" hidden="false" customHeight="false" outlineLevel="0" collapsed="false">
      <c r="A90" s="14" t="s">
        <v>106</v>
      </c>
      <c r="B90" s="15" t="n">
        <v>445982</v>
      </c>
    </row>
    <row r="91" customFormat="false" ht="15" hidden="false" customHeight="false" outlineLevel="0" collapsed="false">
      <c r="A91" s="14" t="s">
        <v>107</v>
      </c>
      <c r="B91" s="15" t="n">
        <v>27841.15</v>
      </c>
    </row>
    <row r="92" customFormat="false" ht="15" hidden="false" customHeight="false" outlineLevel="0" collapsed="false">
      <c r="A92" s="13" t="s">
        <v>108</v>
      </c>
      <c r="B92" s="12" t="n">
        <v>350873.86</v>
      </c>
    </row>
    <row r="93" customFormat="false" ht="15" hidden="false" customHeight="false" outlineLevel="0" collapsed="false">
      <c r="A93" s="14" t="s">
        <v>109</v>
      </c>
      <c r="B93" s="15" t="n">
        <v>50472.83</v>
      </c>
    </row>
    <row r="94" customFormat="false" ht="15" hidden="false" customHeight="false" outlineLevel="0" collapsed="false">
      <c r="A94" s="14" t="s">
        <v>110</v>
      </c>
      <c r="B94" s="15" t="n">
        <v>65024.52</v>
      </c>
    </row>
    <row r="95" customFormat="false" ht="15" hidden="false" customHeight="false" outlineLevel="0" collapsed="false">
      <c r="A95" s="14" t="s">
        <v>111</v>
      </c>
      <c r="B95" s="15" t="n">
        <v>65024.52</v>
      </c>
    </row>
    <row r="96" customFormat="false" ht="15" hidden="false" customHeight="false" outlineLevel="0" collapsed="false">
      <c r="A96" s="14" t="s">
        <v>112</v>
      </c>
      <c r="B96" s="15" t="n">
        <v>59693.07</v>
      </c>
    </row>
    <row r="97" customFormat="false" ht="15" hidden="false" customHeight="false" outlineLevel="0" collapsed="false">
      <c r="A97" s="14" t="s">
        <v>113</v>
      </c>
      <c r="B97" s="15" t="n">
        <v>43311.58</v>
      </c>
    </row>
    <row r="98" customFormat="false" ht="15" hidden="false" customHeight="false" outlineLevel="0" collapsed="false">
      <c r="A98" s="14" t="s">
        <v>114</v>
      </c>
      <c r="B98" s="15" t="n">
        <v>35848.8</v>
      </c>
    </row>
    <row r="99" customFormat="false" ht="15" hidden="false" customHeight="false" outlineLevel="0" collapsed="false">
      <c r="A99" s="14" t="s">
        <v>115</v>
      </c>
      <c r="B99" s="15" t="n">
        <v>15731.74</v>
      </c>
    </row>
    <row r="100" customFormat="false" ht="15" hidden="false" customHeight="false" outlineLevel="0" collapsed="false">
      <c r="A100" s="14" t="s">
        <v>116</v>
      </c>
      <c r="B100" s="15" t="n">
        <v>15766.8</v>
      </c>
    </row>
    <row r="101" customFormat="false" ht="15" hidden="false" customHeight="false" outlineLevel="0" collapsed="false">
      <c r="A101" s="13" t="s">
        <v>118</v>
      </c>
      <c r="B101" s="12" t="n">
        <v>220893.84</v>
      </c>
    </row>
    <row r="102" customFormat="false" ht="15" hidden="false" customHeight="false" outlineLevel="0" collapsed="false">
      <c r="A102" s="14" t="s">
        <v>119</v>
      </c>
      <c r="B102" s="15" t="n">
        <v>93815.51</v>
      </c>
    </row>
    <row r="103" customFormat="false" ht="15" hidden="false" customHeight="false" outlineLevel="0" collapsed="false">
      <c r="A103" s="14" t="s">
        <v>120</v>
      </c>
      <c r="B103" s="15" t="n">
        <v>26314.07</v>
      </c>
    </row>
    <row r="104" customFormat="false" ht="15" hidden="false" customHeight="false" outlineLevel="0" collapsed="false">
      <c r="A104" s="14" t="s">
        <v>121</v>
      </c>
      <c r="B104" s="15" t="n">
        <v>21984.26</v>
      </c>
    </row>
    <row r="105" customFormat="false" ht="15" hidden="false" customHeight="false" outlineLevel="0" collapsed="false">
      <c r="A105" s="14" t="s">
        <v>122</v>
      </c>
      <c r="B105" s="15" t="n">
        <v>78780</v>
      </c>
    </row>
    <row r="106" customFormat="false" ht="15" hidden="false" customHeight="false" outlineLevel="0" collapsed="false">
      <c r="A106" s="11" t="s">
        <v>123</v>
      </c>
      <c r="B106" s="12" t="n">
        <v>24530597.28</v>
      </c>
    </row>
    <row r="107" customFormat="false" ht="15" hidden="false" customHeight="false" outlineLevel="0" collapsed="false">
      <c r="A107" s="13" t="s">
        <v>105</v>
      </c>
      <c r="B107" s="12" t="n">
        <v>6711830</v>
      </c>
    </row>
    <row r="108" customFormat="false" ht="15" hidden="false" customHeight="false" outlineLevel="0" collapsed="false">
      <c r="A108" s="14" t="s">
        <v>105</v>
      </c>
      <c r="B108" s="15" t="n">
        <v>6711830</v>
      </c>
    </row>
    <row r="109" customFormat="false" ht="15" hidden="false" customHeight="false" outlineLevel="0" collapsed="false">
      <c r="A109" s="13" t="s">
        <v>124</v>
      </c>
      <c r="B109" s="12" t="n">
        <v>2064316.57</v>
      </c>
    </row>
    <row r="110" customFormat="false" ht="15" hidden="false" customHeight="false" outlineLevel="0" collapsed="false">
      <c r="A110" s="14" t="s">
        <v>125</v>
      </c>
      <c r="B110" s="15" t="n">
        <v>2064316.57</v>
      </c>
    </row>
    <row r="111" customFormat="false" ht="15" hidden="false" customHeight="false" outlineLevel="0" collapsed="false">
      <c r="A111" s="13" t="s">
        <v>126</v>
      </c>
      <c r="B111" s="12" t="n">
        <v>19275752.51</v>
      </c>
    </row>
    <row r="112" customFormat="false" ht="15" hidden="false" customHeight="false" outlineLevel="0" collapsed="false">
      <c r="A112" s="14" t="s">
        <v>127</v>
      </c>
      <c r="B112" s="15" t="n">
        <v>19275752.51</v>
      </c>
    </row>
    <row r="113" customFormat="false" ht="15" hidden="false" customHeight="false" outlineLevel="0" collapsed="false">
      <c r="A113" s="13" t="s">
        <v>128</v>
      </c>
      <c r="B113" s="12" t="n">
        <v>661278.48</v>
      </c>
    </row>
    <row r="114" customFormat="false" ht="15" hidden="false" customHeight="false" outlineLevel="0" collapsed="false">
      <c r="A114" s="14" t="s">
        <v>129</v>
      </c>
      <c r="B114" s="15" t="n">
        <v>92262.56</v>
      </c>
    </row>
    <row r="115" customFormat="false" ht="15" hidden="false" customHeight="false" outlineLevel="0" collapsed="false">
      <c r="A115" s="14" t="s">
        <v>130</v>
      </c>
      <c r="B115" s="15" t="n">
        <v>569015.92</v>
      </c>
    </row>
    <row r="116" customFormat="false" ht="15" hidden="false" customHeight="false" outlineLevel="0" collapsed="false">
      <c r="A116" s="13" t="s">
        <v>131</v>
      </c>
      <c r="B116" s="12" t="n">
        <v>1288335.42</v>
      </c>
    </row>
    <row r="117" customFormat="false" ht="15" hidden="false" customHeight="false" outlineLevel="0" collapsed="false">
      <c r="A117" s="14" t="s">
        <v>132</v>
      </c>
      <c r="B117" s="15" t="n">
        <v>32525.91</v>
      </c>
    </row>
    <row r="118" customFormat="false" ht="15" hidden="false" customHeight="false" outlineLevel="0" collapsed="false">
      <c r="A118" s="14" t="s">
        <v>133</v>
      </c>
      <c r="B118" s="15" t="n">
        <v>173722.04</v>
      </c>
    </row>
    <row r="119" customFormat="false" ht="15" hidden="false" customHeight="false" outlineLevel="0" collapsed="false">
      <c r="A119" s="14" t="s">
        <v>131</v>
      </c>
      <c r="B119" s="15" t="n">
        <v>1082087.47</v>
      </c>
    </row>
    <row r="120" customFormat="false" ht="15" hidden="false" customHeight="false" outlineLevel="0" collapsed="false">
      <c r="A120" s="13" t="s">
        <v>134</v>
      </c>
      <c r="B120" s="12" t="n">
        <v>2671903.95</v>
      </c>
    </row>
    <row r="121" customFormat="false" ht="15" hidden="false" customHeight="false" outlineLevel="0" collapsed="false">
      <c r="A121" s="14" t="s">
        <v>135</v>
      </c>
      <c r="B121" s="15" t="n">
        <v>828900</v>
      </c>
    </row>
    <row r="122" customFormat="false" ht="15" hidden="false" customHeight="false" outlineLevel="0" collapsed="false">
      <c r="A122" s="14" t="s">
        <v>136</v>
      </c>
      <c r="B122" s="15" t="n">
        <v>793063.04</v>
      </c>
    </row>
    <row r="123" customFormat="false" ht="15" hidden="false" customHeight="false" outlineLevel="0" collapsed="false">
      <c r="A123" s="14" t="s">
        <v>137</v>
      </c>
      <c r="B123" s="15" t="n">
        <v>1049940.91</v>
      </c>
    </row>
    <row r="124" customFormat="false" ht="15" hidden="false" customHeight="false" outlineLevel="0" collapsed="false">
      <c r="A124" s="13" t="s">
        <v>138</v>
      </c>
      <c r="B124" s="12" t="n">
        <v>613755.19</v>
      </c>
    </row>
    <row r="125" customFormat="false" ht="15" hidden="false" customHeight="false" outlineLevel="0" collapsed="false">
      <c r="A125" s="14" t="s">
        <v>139</v>
      </c>
      <c r="B125" s="15" t="n">
        <v>316246.57</v>
      </c>
    </row>
    <row r="126" customFormat="false" ht="15" hidden="false" customHeight="false" outlineLevel="0" collapsed="false">
      <c r="A126" s="14" t="s">
        <v>140</v>
      </c>
      <c r="B126" s="15" t="n">
        <v>266055.38</v>
      </c>
    </row>
    <row r="127" customFormat="false" ht="15" hidden="false" customHeight="false" outlineLevel="0" collapsed="false">
      <c r="A127" s="14" t="s">
        <v>141</v>
      </c>
      <c r="B127" s="15" t="n">
        <v>31453.24</v>
      </c>
    </row>
    <row r="128" customFormat="false" ht="15" hidden="false" customHeight="false" outlineLevel="0" collapsed="false">
      <c r="A128" s="13" t="s">
        <v>142</v>
      </c>
      <c r="B128" s="12" t="n">
        <v>4318629.76</v>
      </c>
    </row>
    <row r="129" customFormat="false" ht="15" hidden="false" customHeight="false" outlineLevel="0" collapsed="false">
      <c r="A129" s="14" t="s">
        <v>143</v>
      </c>
      <c r="B129" s="15" t="n">
        <v>4318629.76</v>
      </c>
    </row>
    <row r="130" customFormat="false" ht="15" hidden="false" customHeight="false" outlineLevel="0" collapsed="false">
      <c r="A130" s="13" t="s">
        <v>144</v>
      </c>
      <c r="B130" s="12" t="n">
        <v>4399539.03</v>
      </c>
    </row>
    <row r="131" customFormat="false" ht="15" hidden="false" customHeight="false" outlineLevel="0" collapsed="false">
      <c r="A131" s="14" t="s">
        <v>145</v>
      </c>
      <c r="B131" s="15" t="n">
        <v>4399539.03</v>
      </c>
    </row>
    <row r="132" customFormat="false" ht="15" hidden="false" customHeight="false" outlineLevel="0" collapsed="false">
      <c r="A132" s="13" t="s">
        <v>148</v>
      </c>
      <c r="B132" s="12" t="n">
        <v>-17474743.63</v>
      </c>
    </row>
    <row r="133" customFormat="false" ht="15" hidden="false" customHeight="false" outlineLevel="0" collapsed="false">
      <c r="A133" s="14" t="s">
        <v>149</v>
      </c>
      <c r="B133" s="15" t="n">
        <v>-17474743.63</v>
      </c>
    </row>
    <row r="134" customFormat="false" ht="15" hidden="false" customHeight="false" outlineLevel="0" collapsed="false">
      <c r="A134" s="11" t="s">
        <v>150</v>
      </c>
      <c r="B134" s="12" t="n">
        <v>2318212.01</v>
      </c>
    </row>
    <row r="135" customFormat="false" ht="15" hidden="false" customHeight="false" outlineLevel="0" collapsed="false">
      <c r="A135" s="13" t="s">
        <v>151</v>
      </c>
      <c r="B135" s="12" t="n">
        <v>2094086.47</v>
      </c>
    </row>
    <row r="136" customFormat="false" ht="15" hidden="false" customHeight="false" outlineLevel="0" collapsed="false">
      <c r="A136" s="14" t="s">
        <v>152</v>
      </c>
      <c r="B136" s="15" t="n">
        <v>46948</v>
      </c>
    </row>
    <row r="137" customFormat="false" ht="15" hidden="false" customHeight="false" outlineLevel="0" collapsed="false">
      <c r="A137" s="14" t="s">
        <v>153</v>
      </c>
      <c r="B137" s="15" t="n">
        <v>1887138.47</v>
      </c>
    </row>
    <row r="138" customFormat="false" ht="15" hidden="false" customHeight="false" outlineLevel="0" collapsed="false">
      <c r="A138" s="14" t="s">
        <v>154</v>
      </c>
      <c r="B138" s="15" t="n">
        <v>160000</v>
      </c>
    </row>
    <row r="139" customFormat="false" ht="15" hidden="false" customHeight="false" outlineLevel="0" collapsed="false">
      <c r="A139" s="13" t="s">
        <v>155</v>
      </c>
      <c r="B139" s="12" t="n">
        <v>224125.54</v>
      </c>
    </row>
    <row r="140" customFormat="false" ht="15" hidden="false" customHeight="false" outlineLevel="0" collapsed="false">
      <c r="A140" s="14" t="s">
        <v>156</v>
      </c>
      <c r="B140" s="15" t="n">
        <v>830448.73</v>
      </c>
    </row>
    <row r="141" customFormat="false" ht="15" hidden="false" customHeight="false" outlineLevel="0" collapsed="false">
      <c r="A141" s="14" t="s">
        <v>157</v>
      </c>
      <c r="B141" s="15" t="n">
        <v>-606323.19</v>
      </c>
    </row>
    <row r="142" customFormat="false" ht="15" hidden="false" customHeight="false" outlineLevel="0" collapsed="false">
      <c r="A142" s="7" t="s">
        <v>158</v>
      </c>
      <c r="B142" s="8" t="n">
        <v>75653824.16</v>
      </c>
    </row>
    <row r="143" customFormat="false" ht="15" hidden="false" customHeight="false" outlineLevel="0" collapsed="false">
      <c r="A143" s="9" t="s">
        <v>159</v>
      </c>
      <c r="B143" s="10" t="n">
        <v>16720940.44</v>
      </c>
    </row>
    <row r="144" customFormat="false" ht="15" hidden="false" customHeight="false" outlineLevel="0" collapsed="false">
      <c r="A144" s="11" t="s">
        <v>160</v>
      </c>
      <c r="B144" s="12" t="n">
        <v>5915801.55</v>
      </c>
    </row>
    <row r="145" customFormat="false" ht="15" hidden="false" customHeight="false" outlineLevel="0" collapsed="false">
      <c r="A145" s="13" t="s">
        <v>161</v>
      </c>
      <c r="B145" s="12" t="n">
        <v>5915801.55</v>
      </c>
    </row>
    <row r="146" customFormat="false" ht="15" hidden="false" customHeight="false" outlineLevel="0" collapsed="false">
      <c r="A146" s="14" t="s">
        <v>161</v>
      </c>
      <c r="B146" s="15" t="n">
        <v>5915801.55</v>
      </c>
    </row>
    <row r="147" customFormat="false" ht="15" hidden="false" customHeight="false" outlineLevel="0" collapsed="false">
      <c r="A147" s="11" t="s">
        <v>163</v>
      </c>
      <c r="B147" s="12" t="n">
        <v>204791.02</v>
      </c>
    </row>
    <row r="148" customFormat="false" ht="15" hidden="false" customHeight="false" outlineLevel="0" collapsed="false">
      <c r="A148" s="13" t="s">
        <v>164</v>
      </c>
      <c r="B148" s="12" t="n">
        <v>144452.41</v>
      </c>
    </row>
    <row r="149" customFormat="false" ht="15" hidden="false" customHeight="false" outlineLevel="0" collapsed="false">
      <c r="A149" s="14" t="s">
        <v>165</v>
      </c>
      <c r="B149" s="15" t="n">
        <v>45044.23</v>
      </c>
    </row>
    <row r="150" customFormat="false" ht="15" hidden="false" customHeight="false" outlineLevel="0" collapsed="false">
      <c r="A150" s="14" t="s">
        <v>166</v>
      </c>
      <c r="B150" s="15" t="n">
        <v>201641.21</v>
      </c>
    </row>
    <row r="151" customFormat="false" ht="15" hidden="false" customHeight="false" outlineLevel="0" collapsed="false">
      <c r="A151" s="14" t="s">
        <v>167</v>
      </c>
      <c r="B151" s="15" t="n">
        <v>-83475.28</v>
      </c>
    </row>
    <row r="152" customFormat="false" ht="15" hidden="false" customHeight="false" outlineLevel="0" collapsed="false">
      <c r="A152" s="14" t="s">
        <v>168</v>
      </c>
      <c r="B152" s="15" t="n">
        <v>-39892.64</v>
      </c>
    </row>
    <row r="153" customFormat="false" ht="15" hidden="false" customHeight="false" outlineLevel="0" collapsed="false">
      <c r="A153" s="14" t="s">
        <v>169</v>
      </c>
      <c r="B153" s="15" t="n">
        <v>11915.89</v>
      </c>
    </row>
    <row r="154" customFormat="false" ht="15" hidden="false" customHeight="false" outlineLevel="0" collapsed="false">
      <c r="A154" s="14" t="s">
        <v>170</v>
      </c>
      <c r="B154" s="15" t="n">
        <v>1184.72</v>
      </c>
    </row>
    <row r="155" customFormat="false" ht="15" hidden="false" customHeight="false" outlineLevel="0" collapsed="false">
      <c r="A155" s="14" t="s">
        <v>171</v>
      </c>
      <c r="B155" s="15" t="n">
        <v>16.08</v>
      </c>
    </row>
    <row r="156" customFormat="false" ht="15" hidden="false" customHeight="false" outlineLevel="0" collapsed="false">
      <c r="A156" s="14" t="s">
        <v>172</v>
      </c>
      <c r="B156" s="15" t="n">
        <v>3824.24</v>
      </c>
    </row>
    <row r="157" customFormat="false" ht="15" hidden="false" customHeight="false" outlineLevel="0" collapsed="false">
      <c r="A157" s="14" t="s">
        <v>173</v>
      </c>
      <c r="B157" s="15" t="n">
        <v>4193.96</v>
      </c>
    </row>
    <row r="158" customFormat="false" ht="15" hidden="false" customHeight="false" outlineLevel="0" collapsed="false">
      <c r="A158" s="13" t="s">
        <v>174</v>
      </c>
      <c r="B158" s="12" t="n">
        <v>58812.62</v>
      </c>
    </row>
    <row r="159" customFormat="false" ht="15" hidden="false" customHeight="false" outlineLevel="0" collapsed="false">
      <c r="A159" s="14" t="s">
        <v>175</v>
      </c>
      <c r="B159" s="15" t="n">
        <v>47755.85</v>
      </c>
    </row>
    <row r="160" customFormat="false" ht="15" hidden="false" customHeight="false" outlineLevel="0" collapsed="false">
      <c r="A160" s="14" t="s">
        <v>177</v>
      </c>
      <c r="B160" s="15" t="n">
        <v>11056.77</v>
      </c>
    </row>
    <row r="161" customFormat="false" ht="15" hidden="false" customHeight="false" outlineLevel="0" collapsed="false">
      <c r="A161" s="13" t="s">
        <v>178</v>
      </c>
      <c r="B161" s="12" t="n">
        <v>1489.15</v>
      </c>
    </row>
    <row r="162" customFormat="false" ht="15" hidden="false" customHeight="false" outlineLevel="0" collapsed="false">
      <c r="A162" s="14" t="s">
        <v>179</v>
      </c>
      <c r="B162" s="15" t="n">
        <v>1233.58</v>
      </c>
    </row>
    <row r="163" customFormat="false" ht="15" hidden="false" customHeight="false" outlineLevel="0" collapsed="false">
      <c r="A163" s="14" t="s">
        <v>181</v>
      </c>
      <c r="B163" s="15" t="n">
        <v>255.57</v>
      </c>
    </row>
    <row r="164" customFormat="false" ht="15" hidden="false" customHeight="false" outlineLevel="0" collapsed="false">
      <c r="A164" s="13" t="s">
        <v>182</v>
      </c>
      <c r="B164" s="12" t="n">
        <v>36.84</v>
      </c>
    </row>
    <row r="165" customFormat="false" ht="15" hidden="false" customHeight="false" outlineLevel="0" collapsed="false">
      <c r="A165" s="14" t="s">
        <v>183</v>
      </c>
      <c r="B165" s="15" t="n">
        <v>36.84</v>
      </c>
    </row>
    <row r="166" customFormat="false" ht="15" hidden="false" customHeight="false" outlineLevel="0" collapsed="false">
      <c r="A166" s="11" t="s">
        <v>184</v>
      </c>
      <c r="B166" s="12" t="n">
        <v>2363197.65</v>
      </c>
    </row>
    <row r="167" customFormat="false" ht="15" hidden="false" customHeight="false" outlineLevel="0" collapsed="false">
      <c r="A167" s="13" t="s">
        <v>185</v>
      </c>
      <c r="B167" s="12" t="n">
        <v>383033.67</v>
      </c>
    </row>
    <row r="168" customFormat="false" ht="15" hidden="false" customHeight="false" outlineLevel="0" collapsed="false">
      <c r="A168" s="14" t="s">
        <v>186</v>
      </c>
      <c r="B168" s="15" t="n">
        <v>377192.4</v>
      </c>
    </row>
    <row r="169" customFormat="false" ht="15" hidden="false" customHeight="false" outlineLevel="0" collapsed="false">
      <c r="A169" s="14" t="s">
        <v>188</v>
      </c>
      <c r="B169" s="15" t="n">
        <v>5841.27</v>
      </c>
    </row>
    <row r="170" customFormat="false" ht="15" hidden="false" customHeight="false" outlineLevel="0" collapsed="false">
      <c r="A170" s="13" t="s">
        <v>189</v>
      </c>
      <c r="B170" s="12" t="n">
        <v>67477.74</v>
      </c>
    </row>
    <row r="171" customFormat="false" ht="15" hidden="false" customHeight="false" outlineLevel="0" collapsed="false">
      <c r="A171" s="14" t="s">
        <v>190</v>
      </c>
      <c r="B171" s="15" t="n">
        <v>35566</v>
      </c>
    </row>
    <row r="172" customFormat="false" ht="15" hidden="false" customHeight="false" outlineLevel="0" collapsed="false">
      <c r="A172" s="14" t="s">
        <v>191</v>
      </c>
      <c r="B172" s="15" t="n">
        <v>1215.75</v>
      </c>
    </row>
    <row r="173" customFormat="false" ht="15" hidden="false" customHeight="false" outlineLevel="0" collapsed="false">
      <c r="A173" s="14" t="s">
        <v>192</v>
      </c>
      <c r="B173" s="15" t="n">
        <v>30695.99</v>
      </c>
    </row>
    <row r="174" customFormat="false" ht="15" hidden="false" customHeight="false" outlineLevel="0" collapsed="false">
      <c r="A174" s="13" t="s">
        <v>193</v>
      </c>
      <c r="B174" s="12" t="n">
        <v>1684259</v>
      </c>
    </row>
    <row r="175" customFormat="false" ht="15" hidden="false" customHeight="false" outlineLevel="0" collapsed="false">
      <c r="A175" s="14" t="s">
        <v>194</v>
      </c>
      <c r="B175" s="15" t="n">
        <v>1593503.96</v>
      </c>
    </row>
    <row r="176" customFormat="false" ht="15" hidden="false" customHeight="false" outlineLevel="0" collapsed="false">
      <c r="A176" s="14" t="s">
        <v>195</v>
      </c>
      <c r="B176" s="15" t="n">
        <v>65129.34</v>
      </c>
    </row>
    <row r="177" customFormat="false" ht="15" hidden="false" customHeight="false" outlineLevel="0" collapsed="false">
      <c r="A177" s="14" t="s">
        <v>196</v>
      </c>
      <c r="B177" s="15" t="n">
        <v>2516</v>
      </c>
    </row>
    <row r="178" customFormat="false" ht="15" hidden="false" customHeight="false" outlineLevel="0" collapsed="false">
      <c r="A178" s="14" t="s">
        <v>197</v>
      </c>
      <c r="B178" s="15" t="n">
        <v>23109.7</v>
      </c>
    </row>
    <row r="179" customFormat="false" ht="15" hidden="false" customHeight="false" outlineLevel="0" collapsed="false">
      <c r="A179" s="13" t="s">
        <v>199</v>
      </c>
      <c r="B179" s="12" t="n">
        <v>228427.24</v>
      </c>
    </row>
    <row r="180" customFormat="false" ht="15" hidden="false" customHeight="false" outlineLevel="0" collapsed="false">
      <c r="A180" s="14" t="s">
        <v>202</v>
      </c>
      <c r="B180" s="15" t="n">
        <v>131983.61</v>
      </c>
    </row>
    <row r="181" customFormat="false" ht="15" hidden="false" customHeight="false" outlineLevel="0" collapsed="false">
      <c r="A181" s="14" t="s">
        <v>203</v>
      </c>
      <c r="B181" s="15" t="n">
        <v>9520.48</v>
      </c>
    </row>
    <row r="182" customFormat="false" ht="15" hidden="false" customHeight="false" outlineLevel="0" collapsed="false">
      <c r="A182" s="14" t="s">
        <v>204</v>
      </c>
      <c r="B182" s="15" t="n">
        <v>2598.67</v>
      </c>
    </row>
    <row r="183" customFormat="false" ht="15" hidden="false" customHeight="false" outlineLevel="0" collapsed="false">
      <c r="A183" s="14" t="s">
        <v>205</v>
      </c>
      <c r="B183" s="15" t="n">
        <v>53067.68</v>
      </c>
    </row>
    <row r="184" customFormat="false" ht="15" hidden="false" customHeight="false" outlineLevel="0" collapsed="false">
      <c r="A184" s="14" t="s">
        <v>206</v>
      </c>
      <c r="B184" s="15" t="n">
        <v>31256.8</v>
      </c>
    </row>
    <row r="185" customFormat="false" ht="15" hidden="false" customHeight="false" outlineLevel="0" collapsed="false">
      <c r="A185" s="11" t="s">
        <v>207</v>
      </c>
      <c r="B185" s="12" t="n">
        <v>792652.04</v>
      </c>
    </row>
    <row r="186" customFormat="false" ht="15" hidden="false" customHeight="false" outlineLevel="0" collapsed="false">
      <c r="A186" s="13" t="s">
        <v>207</v>
      </c>
      <c r="B186" s="12" t="n">
        <v>1594609.4</v>
      </c>
    </row>
    <row r="187" customFormat="false" ht="15" hidden="false" customHeight="false" outlineLevel="0" collapsed="false">
      <c r="A187" s="14" t="s">
        <v>208</v>
      </c>
      <c r="B187" s="15" t="n">
        <v>41904.8</v>
      </c>
    </row>
    <row r="188" customFormat="false" ht="15" hidden="false" customHeight="false" outlineLevel="0" collapsed="false">
      <c r="A188" s="14" t="s">
        <v>209</v>
      </c>
      <c r="B188" s="15" t="n">
        <v>196428.73</v>
      </c>
    </row>
    <row r="189" customFormat="false" ht="15" hidden="false" customHeight="false" outlineLevel="0" collapsed="false">
      <c r="A189" s="14" t="s">
        <v>210</v>
      </c>
      <c r="B189" s="15" t="n">
        <v>85856.95</v>
      </c>
    </row>
    <row r="190" customFormat="false" ht="15" hidden="false" customHeight="false" outlineLevel="0" collapsed="false">
      <c r="A190" s="14" t="s">
        <v>211</v>
      </c>
      <c r="B190" s="15" t="n">
        <v>515625</v>
      </c>
    </row>
    <row r="191" customFormat="false" ht="15" hidden="false" customHeight="false" outlineLevel="0" collapsed="false">
      <c r="A191" s="14" t="s">
        <v>213</v>
      </c>
      <c r="B191" s="15" t="n">
        <v>41073.99</v>
      </c>
    </row>
    <row r="192" customFormat="false" ht="15" hidden="false" customHeight="false" outlineLevel="0" collapsed="false">
      <c r="A192" s="14" t="s">
        <v>214</v>
      </c>
      <c r="B192" s="15" t="n">
        <v>658586.94</v>
      </c>
    </row>
    <row r="193" customFormat="false" ht="15" hidden="false" customHeight="false" outlineLevel="0" collapsed="false">
      <c r="A193" s="14" t="s">
        <v>215</v>
      </c>
      <c r="B193" s="15" t="n">
        <v>55132.99</v>
      </c>
    </row>
    <row r="194" customFormat="false" ht="15" hidden="false" customHeight="false" outlineLevel="0" collapsed="false">
      <c r="A194" s="13" t="s">
        <v>217</v>
      </c>
      <c r="B194" s="12" t="n">
        <v>-801957.36</v>
      </c>
    </row>
    <row r="195" customFormat="false" ht="15" hidden="false" customHeight="false" outlineLevel="0" collapsed="false">
      <c r="A195" s="14" t="s">
        <v>218</v>
      </c>
      <c r="B195" s="15" t="n">
        <v>-801957.36</v>
      </c>
    </row>
    <row r="196" customFormat="false" ht="15" hidden="false" customHeight="false" outlineLevel="0" collapsed="false">
      <c r="A196" s="11" t="s">
        <v>219</v>
      </c>
      <c r="B196" s="12" t="n">
        <v>-341000.22</v>
      </c>
    </row>
    <row r="197" customFormat="false" ht="15" hidden="false" customHeight="false" outlineLevel="0" collapsed="false">
      <c r="A197" s="13" t="s">
        <v>220</v>
      </c>
      <c r="B197" s="12" t="n">
        <v>-341000.22</v>
      </c>
    </row>
    <row r="198" customFormat="false" ht="15" hidden="false" customHeight="false" outlineLevel="0" collapsed="false">
      <c r="A198" s="14" t="s">
        <v>221</v>
      </c>
      <c r="B198" s="15" t="n">
        <v>31019.08</v>
      </c>
    </row>
    <row r="199" customFormat="false" ht="15" hidden="false" customHeight="false" outlineLevel="0" collapsed="false">
      <c r="A199" s="14" t="s">
        <v>222</v>
      </c>
      <c r="B199" s="15" t="n">
        <v>130354.56</v>
      </c>
    </row>
    <row r="200" customFormat="false" ht="15" hidden="false" customHeight="false" outlineLevel="0" collapsed="false">
      <c r="A200" s="14" t="s">
        <v>223</v>
      </c>
      <c r="B200" s="15" t="n">
        <v>-302421.57</v>
      </c>
    </row>
    <row r="201" customFormat="false" ht="15" hidden="false" customHeight="false" outlineLevel="0" collapsed="false">
      <c r="A201" s="14" t="s">
        <v>224</v>
      </c>
      <c r="B201" s="15" t="n">
        <v>-199952.29</v>
      </c>
    </row>
    <row r="202" customFormat="false" ht="15" hidden="false" customHeight="false" outlineLevel="0" collapsed="false">
      <c r="A202" s="11" t="s">
        <v>225</v>
      </c>
      <c r="B202" s="12" t="n">
        <v>3556561.35</v>
      </c>
    </row>
    <row r="203" customFormat="false" ht="15" hidden="false" customHeight="false" outlineLevel="0" collapsed="false">
      <c r="A203" s="13" t="s">
        <v>226</v>
      </c>
      <c r="B203" s="12" t="n">
        <v>3556561.35</v>
      </c>
    </row>
    <row r="204" customFormat="false" ht="15" hidden="false" customHeight="false" outlineLevel="0" collapsed="false">
      <c r="A204" s="14" t="s">
        <v>227</v>
      </c>
      <c r="B204" s="15" t="n">
        <v>88524.92</v>
      </c>
    </row>
    <row r="205" customFormat="false" ht="15" hidden="false" customHeight="false" outlineLevel="0" collapsed="false">
      <c r="A205" s="14" t="s">
        <v>228</v>
      </c>
      <c r="B205" s="15" t="n">
        <v>1344389.56</v>
      </c>
    </row>
    <row r="206" customFormat="false" ht="15" hidden="false" customHeight="false" outlineLevel="0" collapsed="false">
      <c r="A206" s="14" t="s">
        <v>229</v>
      </c>
      <c r="B206" s="15" t="n">
        <v>204730.87</v>
      </c>
    </row>
    <row r="207" customFormat="false" ht="15" hidden="false" customHeight="false" outlineLevel="0" collapsed="false">
      <c r="A207" s="14" t="s">
        <v>230</v>
      </c>
      <c r="B207" s="15" t="n">
        <v>1825149.72</v>
      </c>
    </row>
    <row r="208" customFormat="false" ht="15" hidden="false" customHeight="false" outlineLevel="0" collapsed="false">
      <c r="A208" s="14" t="s">
        <v>231</v>
      </c>
      <c r="B208" s="15" t="n">
        <v>17596.77</v>
      </c>
    </row>
    <row r="209" customFormat="false" ht="15" hidden="false" customHeight="false" outlineLevel="0" collapsed="false">
      <c r="A209" s="14" t="s">
        <v>232</v>
      </c>
      <c r="B209" s="15" t="n">
        <v>96180</v>
      </c>
    </row>
    <row r="210" customFormat="false" ht="15" hidden="false" customHeight="false" outlineLevel="0" collapsed="false">
      <c r="A210" s="14" t="s">
        <v>233</v>
      </c>
      <c r="B210" s="15" t="n">
        <v>-20010.49</v>
      </c>
    </row>
    <row r="211" customFormat="false" ht="15" hidden="false" customHeight="false" outlineLevel="0" collapsed="false">
      <c r="A211" s="11" t="s">
        <v>234</v>
      </c>
      <c r="B211" s="12" t="n">
        <v>3188606.76</v>
      </c>
    </row>
    <row r="212" customFormat="false" ht="15" hidden="false" customHeight="false" outlineLevel="0" collapsed="false">
      <c r="A212" s="13" t="s">
        <v>234</v>
      </c>
      <c r="B212" s="12" t="n">
        <v>3188606.76</v>
      </c>
    </row>
    <row r="213" customFormat="false" ht="15" hidden="false" customHeight="false" outlineLevel="0" collapsed="false">
      <c r="A213" s="14" t="s">
        <v>235</v>
      </c>
      <c r="B213" s="15" t="n">
        <v>3090966.39</v>
      </c>
    </row>
    <row r="214" customFormat="false" ht="15" hidden="false" customHeight="false" outlineLevel="0" collapsed="false">
      <c r="A214" s="14" t="s">
        <v>236</v>
      </c>
      <c r="B214" s="15" t="n">
        <v>97640.37</v>
      </c>
    </row>
    <row r="215" customFormat="false" ht="15" hidden="false" customHeight="false" outlineLevel="0" collapsed="false">
      <c r="A215" s="11" t="s">
        <v>237</v>
      </c>
      <c r="B215" s="12" t="n">
        <v>1040330.29</v>
      </c>
    </row>
    <row r="216" customFormat="false" ht="15" hidden="false" customHeight="false" outlineLevel="0" collapsed="false">
      <c r="A216" s="13" t="s">
        <v>238</v>
      </c>
      <c r="B216" s="12" t="n">
        <v>27783.55</v>
      </c>
    </row>
    <row r="217" customFormat="false" ht="15" hidden="false" customHeight="false" outlineLevel="0" collapsed="false">
      <c r="A217" s="14" t="s">
        <v>239</v>
      </c>
      <c r="B217" s="15" t="n">
        <v>25941.86</v>
      </c>
    </row>
    <row r="218" customFormat="false" ht="15" hidden="false" customHeight="false" outlineLevel="0" collapsed="false">
      <c r="A218" s="14" t="s">
        <v>240</v>
      </c>
      <c r="B218" s="15" t="n">
        <v>1841.69</v>
      </c>
    </row>
    <row r="219" customFormat="false" ht="15" hidden="false" customHeight="false" outlineLevel="0" collapsed="false">
      <c r="A219" s="13" t="s">
        <v>241</v>
      </c>
      <c r="B219" s="12" t="n">
        <v>89779.27</v>
      </c>
    </row>
    <row r="220" customFormat="false" ht="15" hidden="false" customHeight="false" outlineLevel="0" collapsed="false">
      <c r="A220" s="14" t="s">
        <v>242</v>
      </c>
      <c r="B220" s="15" t="n">
        <v>89779.27</v>
      </c>
    </row>
    <row r="221" customFormat="false" ht="15" hidden="false" customHeight="false" outlineLevel="0" collapsed="false">
      <c r="A221" s="13" t="s">
        <v>243</v>
      </c>
      <c r="B221" s="12" t="n">
        <v>18296</v>
      </c>
    </row>
    <row r="222" customFormat="false" ht="15" hidden="false" customHeight="false" outlineLevel="0" collapsed="false">
      <c r="A222" s="14" t="s">
        <v>243</v>
      </c>
      <c r="B222" s="15" t="n">
        <v>18296</v>
      </c>
    </row>
    <row r="223" customFormat="false" ht="15" hidden="false" customHeight="false" outlineLevel="0" collapsed="false">
      <c r="A223" s="13" t="s">
        <v>244</v>
      </c>
      <c r="B223" s="12" t="n">
        <v>904471.47</v>
      </c>
    </row>
    <row r="224" customFormat="false" ht="15" hidden="false" customHeight="false" outlineLevel="0" collapsed="false">
      <c r="A224" s="14" t="s">
        <v>244</v>
      </c>
      <c r="B224" s="15" t="n">
        <v>904471.47</v>
      </c>
    </row>
    <row r="225" customFormat="false" ht="15" hidden="false" customHeight="false" outlineLevel="0" collapsed="false">
      <c r="A225" s="9" t="s">
        <v>246</v>
      </c>
      <c r="B225" s="10" t="n">
        <v>34505687.75</v>
      </c>
    </row>
    <row r="226" customFormat="false" ht="15" hidden="false" customHeight="false" outlineLevel="0" collapsed="false">
      <c r="A226" s="11" t="s">
        <v>207</v>
      </c>
      <c r="B226" s="12" t="n">
        <v>4747604.33</v>
      </c>
    </row>
    <row r="227" customFormat="false" ht="15" hidden="false" customHeight="false" outlineLevel="0" collapsed="false">
      <c r="A227" s="13" t="s">
        <v>247</v>
      </c>
      <c r="B227" s="12" t="n">
        <v>4747604.33</v>
      </c>
    </row>
    <row r="228" customFormat="false" ht="15" hidden="false" customHeight="false" outlineLevel="0" collapsed="false">
      <c r="A228" s="14" t="s">
        <v>248</v>
      </c>
      <c r="B228" s="15" t="n">
        <v>703125</v>
      </c>
    </row>
    <row r="229" customFormat="false" ht="15" hidden="false" customHeight="false" outlineLevel="0" collapsed="false">
      <c r="A229" s="14" t="s">
        <v>249</v>
      </c>
      <c r="B229" s="15" t="n">
        <v>1781004.54</v>
      </c>
    </row>
    <row r="230" customFormat="false" ht="15" hidden="false" customHeight="false" outlineLevel="0" collapsed="false">
      <c r="A230" s="14" t="s">
        <v>250</v>
      </c>
      <c r="B230" s="15" t="n">
        <v>162958.8</v>
      </c>
    </row>
    <row r="231" customFormat="false" ht="15" hidden="false" customHeight="false" outlineLevel="0" collapsed="false">
      <c r="A231" s="14" t="s">
        <v>251</v>
      </c>
      <c r="B231" s="15" t="n">
        <v>2095503.9</v>
      </c>
    </row>
    <row r="232" customFormat="false" ht="15" hidden="false" customHeight="false" outlineLevel="0" collapsed="false">
      <c r="A232" s="14" t="s">
        <v>252</v>
      </c>
      <c r="B232" s="15" t="n">
        <v>5012.09</v>
      </c>
    </row>
    <row r="233" customFormat="false" ht="15" hidden="false" customHeight="false" outlineLevel="0" collapsed="false">
      <c r="A233" s="11" t="s">
        <v>254</v>
      </c>
      <c r="B233" s="12" t="n">
        <v>4307409.95</v>
      </c>
    </row>
    <row r="234" customFormat="false" ht="15" hidden="false" customHeight="false" outlineLevel="0" collapsed="false">
      <c r="A234" s="13" t="s">
        <v>255</v>
      </c>
      <c r="B234" s="12" t="n">
        <v>4307409.95</v>
      </c>
    </row>
    <row r="235" customFormat="false" ht="15" hidden="false" customHeight="false" outlineLevel="0" collapsed="false">
      <c r="A235" s="14" t="s">
        <v>256</v>
      </c>
      <c r="B235" s="15" t="n">
        <v>3880794.99</v>
      </c>
    </row>
    <row r="236" customFormat="false" ht="15" hidden="false" customHeight="false" outlineLevel="0" collapsed="false">
      <c r="A236" s="14" t="s">
        <v>257</v>
      </c>
      <c r="B236" s="15" t="n">
        <v>426614.96</v>
      </c>
    </row>
    <row r="237" customFormat="false" ht="15" hidden="false" customHeight="false" outlineLevel="0" collapsed="false">
      <c r="A237" s="11" t="s">
        <v>258</v>
      </c>
      <c r="B237" s="12" t="n">
        <v>5080111.31</v>
      </c>
    </row>
    <row r="238" customFormat="false" ht="15" hidden="false" customHeight="false" outlineLevel="0" collapsed="false">
      <c r="A238" s="13" t="s">
        <v>259</v>
      </c>
      <c r="B238" s="12" t="n">
        <v>5080111.31</v>
      </c>
    </row>
    <row r="239" customFormat="false" ht="15" hidden="false" customHeight="false" outlineLevel="0" collapsed="false">
      <c r="A239" s="14" t="s">
        <v>260</v>
      </c>
      <c r="B239" s="15" t="n">
        <v>4633313.86</v>
      </c>
    </row>
    <row r="240" customFormat="false" ht="15" hidden="false" customHeight="false" outlineLevel="0" collapsed="false">
      <c r="A240" s="14" t="s">
        <v>261</v>
      </c>
      <c r="B240" s="15" t="n">
        <v>76482.3</v>
      </c>
    </row>
    <row r="241" customFormat="false" ht="15" hidden="false" customHeight="false" outlineLevel="0" collapsed="false">
      <c r="A241" s="14" t="s">
        <v>262</v>
      </c>
      <c r="B241" s="15" t="n">
        <v>370315.15</v>
      </c>
    </row>
    <row r="242" customFormat="false" ht="15" hidden="false" customHeight="false" outlineLevel="0" collapsed="false">
      <c r="A242" s="11" t="s">
        <v>263</v>
      </c>
      <c r="B242" s="12" t="n">
        <v>20370562.16</v>
      </c>
    </row>
    <row r="243" customFormat="false" ht="15" hidden="false" customHeight="false" outlineLevel="0" collapsed="false">
      <c r="A243" s="13" t="s">
        <v>263</v>
      </c>
      <c r="B243" s="12" t="n">
        <v>20370562.16</v>
      </c>
    </row>
    <row r="244" customFormat="false" ht="15" hidden="false" customHeight="false" outlineLevel="0" collapsed="false">
      <c r="A244" s="14" t="s">
        <v>264</v>
      </c>
      <c r="B244" s="15" t="n">
        <v>8511069.63</v>
      </c>
    </row>
    <row r="245" customFormat="false" ht="15" hidden="false" customHeight="false" outlineLevel="0" collapsed="false">
      <c r="A245" s="14" t="s">
        <v>265</v>
      </c>
      <c r="B245" s="15" t="n">
        <v>8384137.46</v>
      </c>
    </row>
    <row r="246" customFormat="false" ht="15" hidden="false" customHeight="false" outlineLevel="0" collapsed="false">
      <c r="A246" s="14" t="s">
        <v>266</v>
      </c>
      <c r="B246" s="15" t="n">
        <v>986346.19</v>
      </c>
    </row>
    <row r="247" customFormat="false" ht="15" hidden="false" customHeight="false" outlineLevel="0" collapsed="false">
      <c r="A247" s="14" t="s">
        <v>267</v>
      </c>
      <c r="B247" s="15" t="n">
        <v>2489008.88</v>
      </c>
    </row>
    <row r="248" customFormat="false" ht="15" hidden="false" customHeight="false" outlineLevel="0" collapsed="false">
      <c r="A248" s="9" t="s">
        <v>268</v>
      </c>
      <c r="B248" s="10" t="n">
        <v>24427195.97</v>
      </c>
    </row>
    <row r="249" customFormat="false" ht="15" hidden="false" customHeight="false" outlineLevel="0" collapsed="false">
      <c r="A249" s="11" t="s">
        <v>269</v>
      </c>
      <c r="B249" s="12" t="n">
        <v>6000000</v>
      </c>
    </row>
    <row r="250" customFormat="false" ht="15" hidden="false" customHeight="false" outlineLevel="0" collapsed="false">
      <c r="A250" s="13" t="s">
        <v>269</v>
      </c>
      <c r="B250" s="12" t="n">
        <v>6000000</v>
      </c>
    </row>
    <row r="251" customFormat="false" ht="15" hidden="false" customHeight="false" outlineLevel="0" collapsed="false">
      <c r="A251" s="14" t="s">
        <v>270</v>
      </c>
      <c r="B251" s="15" t="n">
        <v>6000000</v>
      </c>
    </row>
    <row r="252" customFormat="false" ht="15" hidden="false" customHeight="false" outlineLevel="0" collapsed="false">
      <c r="A252" s="11" t="s">
        <v>271</v>
      </c>
      <c r="B252" s="12" t="n">
        <v>466704.13</v>
      </c>
    </row>
    <row r="253" customFormat="false" ht="15" hidden="false" customHeight="false" outlineLevel="0" collapsed="false">
      <c r="A253" s="13" t="s">
        <v>272</v>
      </c>
      <c r="B253" s="12" t="n">
        <v>466704.13</v>
      </c>
    </row>
    <row r="254" customFormat="false" ht="15" hidden="false" customHeight="false" outlineLevel="0" collapsed="false">
      <c r="A254" s="14" t="s">
        <v>272</v>
      </c>
      <c r="B254" s="15" t="n">
        <v>466704.13</v>
      </c>
    </row>
    <row r="255" customFormat="false" ht="15" hidden="false" customHeight="false" outlineLevel="0" collapsed="false">
      <c r="A255" s="11" t="s">
        <v>273</v>
      </c>
      <c r="B255" s="12" t="n">
        <v>11892705.04</v>
      </c>
    </row>
    <row r="256" customFormat="false" ht="15" hidden="false" customHeight="false" outlineLevel="0" collapsed="false">
      <c r="A256" s="13" t="s">
        <v>274</v>
      </c>
      <c r="B256" s="12" t="n">
        <v>11892705.04</v>
      </c>
    </row>
    <row r="257" customFormat="false" ht="15" hidden="false" customHeight="false" outlineLevel="0" collapsed="false">
      <c r="A257" s="14" t="s">
        <v>274</v>
      </c>
      <c r="B257" s="15" t="n">
        <v>11892705.04</v>
      </c>
    </row>
    <row r="258" customFormat="false" ht="15" hidden="false" customHeight="false" outlineLevel="0" collapsed="false">
      <c r="A258" s="11" t="s">
        <v>276</v>
      </c>
      <c r="B258" s="12" t="n">
        <v>6067786.8</v>
      </c>
    </row>
    <row r="259" customFormat="false" ht="15" hidden="false" customHeight="false" outlineLevel="0" collapsed="false">
      <c r="A259" s="13" t="s">
        <v>276</v>
      </c>
      <c r="B259" s="12" t="n">
        <v>6067786.8</v>
      </c>
    </row>
    <row r="260" customFormat="false" ht="15" hidden="false" customHeight="false" outlineLevel="0" collapsed="false">
      <c r="A260" s="14" t="s">
        <v>277</v>
      </c>
      <c r="B260" s="15" t="n">
        <v>1533460.17</v>
      </c>
    </row>
    <row r="261" customFormat="false" ht="15" hidden="false" customHeight="false" outlineLevel="0" collapsed="false">
      <c r="A261" s="14" t="s">
        <v>278</v>
      </c>
      <c r="B261" s="15" t="n">
        <v>803053.23</v>
      </c>
    </row>
    <row r="262" customFormat="false" ht="15" hidden="false" customHeight="false" outlineLevel="0" collapsed="false">
      <c r="A262" s="14" t="s">
        <v>279</v>
      </c>
      <c r="B262" s="15" t="n">
        <v>3731273.4</v>
      </c>
    </row>
    <row r="264" customFormat="false" ht="39.75" hidden="false" customHeight="true" outlineLevel="0" collapsed="false">
      <c r="A264" s="18" t="s">
        <v>284</v>
      </c>
      <c r="B264" s="18"/>
    </row>
    <row r="266" customFormat="false" ht="15" hidden="false" customHeight="false" outlineLevel="0" collapsed="false">
      <c r="A266" s="19" t="s">
        <v>285</v>
      </c>
      <c r="B266" s="19" t="s">
        <v>286</v>
      </c>
    </row>
    <row r="267" customFormat="false" ht="15" hidden="false" customHeight="false" outlineLevel="0" collapsed="false">
      <c r="A267" s="20" t="s">
        <v>287</v>
      </c>
      <c r="B267" s="20" t="s">
        <v>288</v>
      </c>
    </row>
    <row r="268" customFormat="false" ht="15" hidden="false" customHeight="false" outlineLevel="0" collapsed="false">
      <c r="A268" s="20" t="s">
        <v>289</v>
      </c>
      <c r="B268" s="20" t="s">
        <v>290</v>
      </c>
    </row>
  </sheetData>
  <mergeCells count="1">
    <mergeCell ref="A264:B264"/>
  </mergeCells>
  <printOptions headings="false" gridLines="false" gridLinesSet="true" horizontalCentered="false" verticalCentered="false"/>
  <pageMargins left="0.5" right="0.5" top="1" bottom="1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Folha 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7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8"/>
    <col collapsed="false" customWidth="true" hidden="false" outlineLevel="0" max="2" min="2" style="0" width="2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281</v>
      </c>
    </row>
    <row r="3" customFormat="false" ht="15" hidden="false" customHeight="false" outlineLevel="0" collapsed="false">
      <c r="A3" s="3" t="s">
        <v>291</v>
      </c>
    </row>
    <row r="4" customFormat="false" ht="15" hidden="false" customHeight="false" outlineLevel="0" collapsed="false">
      <c r="A4" s="3" t="s">
        <v>3</v>
      </c>
    </row>
    <row r="5" customFormat="false" ht="15" hidden="false" customHeight="false" outlineLevel="0" collapsed="false">
      <c r="A5" s="4" t="s">
        <v>4</v>
      </c>
    </row>
    <row r="7" customFormat="false" ht="21.75" hidden="false" customHeight="true" outlineLevel="0" collapsed="false">
      <c r="A7" s="5" t="s">
        <v>5</v>
      </c>
      <c r="B7" s="6" t="s">
        <v>283</v>
      </c>
    </row>
    <row r="8" customFormat="false" ht="15" hidden="false" customHeight="false" outlineLevel="0" collapsed="false">
      <c r="A8" s="7" t="s">
        <v>14</v>
      </c>
      <c r="B8" s="8" t="n">
        <v>78983368.77</v>
      </c>
    </row>
    <row r="9" customFormat="false" ht="15" hidden="false" customHeight="false" outlineLevel="0" collapsed="false">
      <c r="A9" s="9" t="s">
        <v>15</v>
      </c>
      <c r="B9" s="10" t="n">
        <v>26330619.48</v>
      </c>
    </row>
    <row r="10" customFormat="false" ht="15" hidden="false" customHeight="false" outlineLevel="0" collapsed="false">
      <c r="A10" s="11" t="s">
        <v>16</v>
      </c>
      <c r="B10" s="12" t="n">
        <v>10949414.94</v>
      </c>
    </row>
    <row r="11" customFormat="false" ht="15" hidden="false" customHeight="false" outlineLevel="0" collapsed="false">
      <c r="A11" s="13" t="s">
        <v>17</v>
      </c>
      <c r="B11" s="12" t="n">
        <v>453886.58</v>
      </c>
    </row>
    <row r="12" customFormat="false" ht="15" hidden="false" customHeight="false" outlineLevel="0" collapsed="false">
      <c r="A12" s="14" t="s">
        <v>18</v>
      </c>
      <c r="B12" s="15" t="n">
        <v>453886.58</v>
      </c>
    </row>
    <row r="13" customFormat="false" ht="15" hidden="false" customHeight="false" outlineLevel="0" collapsed="false">
      <c r="A13" s="13" t="s">
        <v>19</v>
      </c>
      <c r="B13" s="12" t="n">
        <v>743067.74</v>
      </c>
    </row>
    <row r="14" customFormat="false" ht="15" hidden="false" customHeight="false" outlineLevel="0" collapsed="false">
      <c r="A14" s="14" t="s">
        <v>20</v>
      </c>
      <c r="B14" s="15" t="n">
        <v>65824.05</v>
      </c>
    </row>
    <row r="15" customFormat="false" ht="15" hidden="false" customHeight="false" outlineLevel="0" collapsed="false">
      <c r="A15" s="14" t="s">
        <v>21</v>
      </c>
      <c r="B15" s="15" t="n">
        <v>42417.8</v>
      </c>
    </row>
    <row r="16" customFormat="false" ht="15" hidden="false" customHeight="false" outlineLevel="0" collapsed="false">
      <c r="A16" s="14" t="s">
        <v>22</v>
      </c>
      <c r="B16" s="15" t="n">
        <v>303.58</v>
      </c>
    </row>
    <row r="17" customFormat="false" ht="15" hidden="false" customHeight="false" outlineLevel="0" collapsed="false">
      <c r="A17" s="14" t="s">
        <v>23</v>
      </c>
      <c r="B17" s="15" t="n">
        <v>195468.48</v>
      </c>
    </row>
    <row r="18" customFormat="false" ht="15" hidden="false" customHeight="false" outlineLevel="0" collapsed="false">
      <c r="A18" s="14" t="s">
        <v>24</v>
      </c>
      <c r="B18" s="15" t="n">
        <v>385945.15</v>
      </c>
    </row>
    <row r="19" customFormat="false" ht="15" hidden="false" customHeight="false" outlineLevel="0" collapsed="false">
      <c r="A19" s="14" t="s">
        <v>25</v>
      </c>
      <c r="B19" s="15" t="n">
        <v>36658.7</v>
      </c>
    </row>
    <row r="20" customFormat="false" ht="15" hidden="false" customHeight="false" outlineLevel="0" collapsed="false">
      <c r="A20" s="14" t="s">
        <v>26</v>
      </c>
      <c r="B20" s="15" t="n">
        <v>16449.98</v>
      </c>
    </row>
    <row r="21" customFormat="false" ht="15" hidden="false" customHeight="false" outlineLevel="0" collapsed="false">
      <c r="A21" s="13" t="s">
        <v>27</v>
      </c>
      <c r="B21" s="12" t="n">
        <v>9752460.62</v>
      </c>
    </row>
    <row r="22" customFormat="false" ht="15" hidden="false" customHeight="false" outlineLevel="0" collapsed="false">
      <c r="A22" s="14" t="s">
        <v>28</v>
      </c>
      <c r="B22" s="15" t="n">
        <v>3106798.67</v>
      </c>
    </row>
    <row r="23" customFormat="false" ht="15" hidden="false" customHeight="false" outlineLevel="0" collapsed="false">
      <c r="A23" s="14" t="s">
        <v>29</v>
      </c>
      <c r="B23" s="15" t="n">
        <v>5646964.11</v>
      </c>
    </row>
    <row r="24" customFormat="false" ht="15" hidden="false" customHeight="false" outlineLevel="0" collapsed="false">
      <c r="A24" s="14" t="s">
        <v>31</v>
      </c>
      <c r="B24" s="15" t="n">
        <v>948697.84</v>
      </c>
    </row>
    <row r="25" customFormat="false" ht="15" hidden="false" customHeight="false" outlineLevel="0" collapsed="false">
      <c r="A25" s="14" t="s">
        <v>32</v>
      </c>
      <c r="B25" s="15" t="n">
        <v>50000</v>
      </c>
    </row>
    <row r="26" customFormat="false" ht="15" hidden="false" customHeight="false" outlineLevel="0" collapsed="false">
      <c r="A26" s="11" t="s">
        <v>33</v>
      </c>
      <c r="B26" s="12" t="n">
        <v>17799144.44</v>
      </c>
    </row>
    <row r="27" customFormat="false" ht="15" hidden="false" customHeight="false" outlineLevel="0" collapsed="false">
      <c r="A27" s="13" t="s">
        <v>34</v>
      </c>
      <c r="B27" s="12" t="n">
        <v>14716899.77</v>
      </c>
    </row>
    <row r="28" customFormat="false" ht="15" hidden="false" customHeight="false" outlineLevel="0" collapsed="false">
      <c r="A28" s="14" t="s">
        <v>35</v>
      </c>
      <c r="B28" s="15" t="n">
        <v>9185252.65</v>
      </c>
    </row>
    <row r="29" customFormat="false" ht="15" hidden="false" customHeight="false" outlineLevel="0" collapsed="false">
      <c r="A29" s="14" t="s">
        <v>36</v>
      </c>
      <c r="B29" s="15" t="n">
        <v>3886288.57</v>
      </c>
    </row>
    <row r="30" customFormat="false" ht="15" hidden="false" customHeight="false" outlineLevel="0" collapsed="false">
      <c r="A30" s="14" t="s">
        <v>37</v>
      </c>
      <c r="B30" s="15" t="n">
        <v>11448.55</v>
      </c>
    </row>
    <row r="31" customFormat="false" ht="15" hidden="false" customHeight="false" outlineLevel="0" collapsed="false">
      <c r="A31" s="14" t="s">
        <v>38</v>
      </c>
      <c r="B31" s="15" t="n">
        <v>14910</v>
      </c>
    </row>
    <row r="32" customFormat="false" ht="15" hidden="false" customHeight="false" outlineLevel="0" collapsed="false">
      <c r="A32" s="14" t="s">
        <v>39</v>
      </c>
      <c r="B32" s="15" t="n">
        <v>1619000</v>
      </c>
    </row>
    <row r="33" customFormat="false" ht="15" hidden="false" customHeight="false" outlineLevel="0" collapsed="false">
      <c r="A33" s="13" t="s">
        <v>40</v>
      </c>
      <c r="B33" s="12" t="n">
        <v>3082244.67</v>
      </c>
    </row>
    <row r="34" customFormat="false" ht="15" hidden="false" customHeight="false" outlineLevel="0" collapsed="false">
      <c r="A34" s="14" t="s">
        <v>41</v>
      </c>
      <c r="B34" s="15" t="n">
        <v>18015.45</v>
      </c>
    </row>
    <row r="35" customFormat="false" ht="15" hidden="false" customHeight="false" outlineLevel="0" collapsed="false">
      <c r="A35" s="14" t="s">
        <v>42</v>
      </c>
      <c r="B35" s="15" t="n">
        <v>3064229.22</v>
      </c>
    </row>
    <row r="36" customFormat="false" ht="15" hidden="false" customHeight="false" outlineLevel="0" collapsed="false">
      <c r="A36" s="11" t="s">
        <v>44</v>
      </c>
      <c r="B36" s="12" t="n">
        <v>182657.93</v>
      </c>
    </row>
    <row r="37" customFormat="false" ht="15" hidden="false" customHeight="false" outlineLevel="0" collapsed="false">
      <c r="A37" s="13" t="s">
        <v>45</v>
      </c>
      <c r="B37" s="12" t="n">
        <v>54440.18</v>
      </c>
    </row>
    <row r="38" customFormat="false" ht="15" hidden="false" customHeight="false" outlineLevel="0" collapsed="false">
      <c r="A38" s="14" t="s">
        <v>46</v>
      </c>
      <c r="B38" s="15" t="n">
        <v>54440.18</v>
      </c>
    </row>
    <row r="39" customFormat="false" ht="15" hidden="false" customHeight="false" outlineLevel="0" collapsed="false">
      <c r="A39" s="13" t="s">
        <v>48</v>
      </c>
      <c r="B39" s="12" t="n">
        <v>128217.75</v>
      </c>
    </row>
    <row r="40" customFormat="false" ht="15" hidden="false" customHeight="false" outlineLevel="0" collapsed="false">
      <c r="A40" s="14" t="s">
        <v>50</v>
      </c>
      <c r="B40" s="15" t="n">
        <v>128217.75</v>
      </c>
    </row>
    <row r="41" customFormat="false" ht="15" hidden="false" customHeight="false" outlineLevel="0" collapsed="false">
      <c r="A41" s="11" t="s">
        <v>51</v>
      </c>
      <c r="B41" s="12" t="n">
        <v>-4200518.08</v>
      </c>
    </row>
    <row r="42" customFormat="false" ht="15" hidden="false" customHeight="false" outlineLevel="0" collapsed="false">
      <c r="A42" s="13" t="s">
        <v>52</v>
      </c>
      <c r="B42" s="12" t="n">
        <v>-8132366.42</v>
      </c>
    </row>
    <row r="43" customFormat="false" ht="15" hidden="false" customHeight="false" outlineLevel="0" collapsed="false">
      <c r="A43" s="14" t="s">
        <v>53</v>
      </c>
      <c r="B43" s="15" t="n">
        <v>-35072536.28</v>
      </c>
    </row>
    <row r="44" customFormat="false" ht="15" hidden="false" customHeight="false" outlineLevel="0" collapsed="false">
      <c r="A44" s="14" t="s">
        <v>54</v>
      </c>
      <c r="B44" s="15" t="n">
        <v>2672590.7</v>
      </c>
    </row>
    <row r="45" customFormat="false" ht="15" hidden="false" customHeight="false" outlineLevel="0" collapsed="false">
      <c r="A45" s="14" t="s">
        <v>55</v>
      </c>
      <c r="B45" s="15" t="n">
        <v>24258457.91</v>
      </c>
    </row>
    <row r="46" customFormat="false" ht="15" hidden="false" customHeight="false" outlineLevel="0" collapsed="false">
      <c r="A46" s="14" t="s">
        <v>56</v>
      </c>
      <c r="B46" s="15" t="n">
        <v>9121.25</v>
      </c>
    </row>
    <row r="47" customFormat="false" ht="15" hidden="false" customHeight="false" outlineLevel="0" collapsed="false">
      <c r="A47" s="13" t="s">
        <v>57</v>
      </c>
      <c r="B47" s="12" t="n">
        <v>-472153.58</v>
      </c>
    </row>
    <row r="48" customFormat="false" ht="15" hidden="false" customHeight="false" outlineLevel="0" collapsed="false">
      <c r="A48" s="14" t="s">
        <v>58</v>
      </c>
      <c r="B48" s="15" t="n">
        <v>-423753.58</v>
      </c>
    </row>
    <row r="49" customFormat="false" ht="15" hidden="false" customHeight="false" outlineLevel="0" collapsed="false">
      <c r="A49" s="14" t="s">
        <v>59</v>
      </c>
      <c r="B49" s="15" t="n">
        <v>-48400</v>
      </c>
    </row>
    <row r="50" customFormat="false" ht="15" hidden="false" customHeight="false" outlineLevel="0" collapsed="false">
      <c r="A50" s="13" t="s">
        <v>60</v>
      </c>
      <c r="B50" s="12" t="n">
        <v>925001.91</v>
      </c>
    </row>
    <row r="51" customFormat="false" ht="15" hidden="false" customHeight="false" outlineLevel="0" collapsed="false">
      <c r="A51" s="14" t="s">
        <v>61</v>
      </c>
      <c r="B51" s="15" t="n">
        <v>266599.74</v>
      </c>
    </row>
    <row r="52" customFormat="false" ht="15" hidden="false" customHeight="false" outlineLevel="0" collapsed="false">
      <c r="A52" s="14" t="s">
        <v>62</v>
      </c>
      <c r="B52" s="15" t="n">
        <v>931.83</v>
      </c>
    </row>
    <row r="53" customFormat="false" ht="15" hidden="false" customHeight="false" outlineLevel="0" collapsed="false">
      <c r="A53" s="14" t="s">
        <v>63</v>
      </c>
      <c r="B53" s="15" t="n">
        <v>126252.42</v>
      </c>
    </row>
    <row r="54" customFormat="false" ht="15" hidden="false" customHeight="false" outlineLevel="0" collapsed="false">
      <c r="A54" s="14" t="s">
        <v>64</v>
      </c>
      <c r="B54" s="15" t="n">
        <v>25392.38</v>
      </c>
    </row>
    <row r="55" customFormat="false" ht="15" hidden="false" customHeight="false" outlineLevel="0" collapsed="false">
      <c r="A55" s="14" t="s">
        <v>65</v>
      </c>
      <c r="B55" s="15" t="n">
        <v>364991.85</v>
      </c>
    </row>
    <row r="56" customFormat="false" ht="15" hidden="false" customHeight="false" outlineLevel="0" collapsed="false">
      <c r="A56" s="14" t="s">
        <v>66</v>
      </c>
      <c r="B56" s="15" t="n">
        <v>37357.38</v>
      </c>
    </row>
    <row r="57" customFormat="false" ht="15" hidden="false" customHeight="false" outlineLevel="0" collapsed="false">
      <c r="A57" s="14" t="s">
        <v>67</v>
      </c>
      <c r="B57" s="15" t="n">
        <v>86116.2</v>
      </c>
    </row>
    <row r="58" customFormat="false" ht="15" hidden="false" customHeight="false" outlineLevel="0" collapsed="false">
      <c r="A58" s="14" t="s">
        <v>68</v>
      </c>
      <c r="B58" s="15" t="n">
        <v>135000</v>
      </c>
    </row>
    <row r="59" customFormat="false" ht="15" hidden="false" customHeight="false" outlineLevel="0" collapsed="false">
      <c r="A59" s="14" t="s">
        <v>69</v>
      </c>
      <c r="B59" s="15" t="n">
        <v>53700.01</v>
      </c>
    </row>
    <row r="60" customFormat="false" ht="15" hidden="false" customHeight="false" outlineLevel="0" collapsed="false">
      <c r="A60" s="14" t="s">
        <v>70</v>
      </c>
      <c r="B60" s="15" t="n">
        <v>-171339.9</v>
      </c>
    </row>
    <row r="61" customFormat="false" ht="15" hidden="false" customHeight="false" outlineLevel="0" collapsed="false">
      <c r="A61" s="13" t="s">
        <v>72</v>
      </c>
      <c r="B61" s="12" t="n">
        <v>3479000.01</v>
      </c>
    </row>
    <row r="62" customFormat="false" ht="15" hidden="false" customHeight="false" outlineLevel="0" collapsed="false">
      <c r="A62" s="14" t="s">
        <v>73</v>
      </c>
      <c r="B62" s="15" t="n">
        <v>161300.47</v>
      </c>
    </row>
    <row r="63" customFormat="false" ht="15" hidden="false" customHeight="false" outlineLevel="0" collapsed="false">
      <c r="A63" s="14" t="s">
        <v>74</v>
      </c>
      <c r="B63" s="15" t="n">
        <v>1286043.39</v>
      </c>
    </row>
    <row r="64" customFormat="false" ht="15" hidden="false" customHeight="false" outlineLevel="0" collapsed="false">
      <c r="A64" s="14" t="s">
        <v>75</v>
      </c>
      <c r="B64" s="15" t="n">
        <v>190430.94</v>
      </c>
    </row>
    <row r="65" customFormat="false" ht="15" hidden="false" customHeight="false" outlineLevel="0" collapsed="false">
      <c r="A65" s="14" t="s">
        <v>76</v>
      </c>
      <c r="B65" s="15" t="n">
        <v>1820849.72</v>
      </c>
    </row>
    <row r="66" customFormat="false" ht="15" hidden="false" customHeight="false" outlineLevel="0" collapsed="false">
      <c r="A66" s="14" t="s">
        <v>77</v>
      </c>
      <c r="B66" s="15" t="n">
        <v>11295.49</v>
      </c>
    </row>
    <row r="67" customFormat="false" ht="15" hidden="false" customHeight="false" outlineLevel="0" collapsed="false">
      <c r="A67" s="14" t="s">
        <v>78</v>
      </c>
      <c r="B67" s="15" t="n">
        <v>9080</v>
      </c>
    </row>
    <row r="68" customFormat="false" ht="15" hidden="false" customHeight="false" outlineLevel="0" collapsed="false">
      <c r="A68" s="11" t="s">
        <v>79</v>
      </c>
      <c r="B68" s="12" t="n">
        <v>1533539.92</v>
      </c>
    </row>
    <row r="69" customFormat="false" ht="15" hidden="false" customHeight="false" outlineLevel="0" collapsed="false">
      <c r="A69" s="13" t="s">
        <v>80</v>
      </c>
      <c r="B69" s="12" t="n">
        <v>-3530.11</v>
      </c>
    </row>
    <row r="70" customFormat="false" ht="15" hidden="false" customHeight="false" outlineLevel="0" collapsed="false">
      <c r="A70" s="14" t="s">
        <v>81</v>
      </c>
      <c r="B70" s="15" t="n">
        <v>-3530.11</v>
      </c>
    </row>
    <row r="71" customFormat="false" ht="15" hidden="false" customHeight="false" outlineLevel="0" collapsed="false">
      <c r="A71" s="13" t="s">
        <v>82</v>
      </c>
      <c r="B71" s="12" t="n">
        <v>1537070.03</v>
      </c>
    </row>
    <row r="72" customFormat="false" ht="15" hidden="false" customHeight="false" outlineLevel="0" collapsed="false">
      <c r="A72" s="14" t="s">
        <v>83</v>
      </c>
      <c r="B72" s="15" t="n">
        <v>289523.85</v>
      </c>
    </row>
    <row r="73" customFormat="false" ht="15" hidden="false" customHeight="false" outlineLevel="0" collapsed="false">
      <c r="A73" s="14" t="s">
        <v>84</v>
      </c>
      <c r="B73" s="15" t="n">
        <v>54595.56</v>
      </c>
    </row>
    <row r="74" customFormat="false" ht="15" hidden="false" customHeight="false" outlineLevel="0" collapsed="false">
      <c r="A74" s="14" t="s">
        <v>87</v>
      </c>
      <c r="B74" s="15" t="n">
        <v>-10266.38</v>
      </c>
    </row>
    <row r="75" customFormat="false" ht="15" hidden="false" customHeight="false" outlineLevel="0" collapsed="false">
      <c r="A75" s="14" t="s">
        <v>88</v>
      </c>
      <c r="B75" s="15" t="n">
        <v>1203217</v>
      </c>
    </row>
    <row r="76" customFormat="false" ht="15" hidden="false" customHeight="false" outlineLevel="0" collapsed="false">
      <c r="A76" s="11" t="s">
        <v>89</v>
      </c>
      <c r="B76" s="12" t="n">
        <v>66380.33</v>
      </c>
    </row>
    <row r="77" customFormat="false" ht="15" hidden="false" customHeight="false" outlineLevel="0" collapsed="false">
      <c r="A77" s="13" t="s">
        <v>89</v>
      </c>
      <c r="B77" s="12" t="n">
        <v>66380.33</v>
      </c>
    </row>
    <row r="78" customFormat="false" ht="15" hidden="false" customHeight="false" outlineLevel="0" collapsed="false">
      <c r="A78" s="14" t="s">
        <v>90</v>
      </c>
      <c r="B78" s="15" t="n">
        <v>50371.33</v>
      </c>
    </row>
    <row r="79" customFormat="false" ht="15" hidden="false" customHeight="false" outlineLevel="0" collapsed="false">
      <c r="A79" s="14" t="s">
        <v>91</v>
      </c>
      <c r="B79" s="15" t="n">
        <v>16009</v>
      </c>
    </row>
    <row r="80" customFormat="false" ht="15" hidden="false" customHeight="false" outlineLevel="0" collapsed="false">
      <c r="A80" s="9" t="s">
        <v>92</v>
      </c>
      <c r="B80" s="10" t="n">
        <v>52652749.29</v>
      </c>
    </row>
    <row r="81" customFormat="false" ht="15" hidden="false" customHeight="false" outlineLevel="0" collapsed="false">
      <c r="A81" s="11" t="s">
        <v>93</v>
      </c>
      <c r="B81" s="12" t="n">
        <v>21820799.95</v>
      </c>
    </row>
    <row r="82" customFormat="false" ht="15" hidden="false" customHeight="false" outlineLevel="0" collapsed="false">
      <c r="A82" s="13" t="s">
        <v>94</v>
      </c>
      <c r="B82" s="12" t="n">
        <v>478549.99</v>
      </c>
    </row>
    <row r="83" customFormat="false" ht="15" hidden="false" customHeight="false" outlineLevel="0" collapsed="false">
      <c r="A83" s="14" t="s">
        <v>95</v>
      </c>
      <c r="B83" s="15" t="n">
        <v>478549.99</v>
      </c>
    </row>
    <row r="84" customFormat="false" ht="15" hidden="false" customHeight="false" outlineLevel="0" collapsed="false">
      <c r="A84" s="13" t="s">
        <v>96</v>
      </c>
      <c r="B84" s="12" t="n">
        <v>21342249.96</v>
      </c>
    </row>
    <row r="85" customFormat="false" ht="15" hidden="false" customHeight="false" outlineLevel="0" collapsed="false">
      <c r="A85" s="14" t="s">
        <v>97</v>
      </c>
      <c r="B85" s="15" t="n">
        <v>10728710.65</v>
      </c>
    </row>
    <row r="86" customFormat="false" ht="15" hidden="false" customHeight="false" outlineLevel="0" collapsed="false">
      <c r="A86" s="14" t="s">
        <v>98</v>
      </c>
      <c r="B86" s="15" t="n">
        <v>2182219.17</v>
      </c>
    </row>
    <row r="87" customFormat="false" ht="15" hidden="false" customHeight="false" outlineLevel="0" collapsed="false">
      <c r="A87" s="14" t="s">
        <v>99</v>
      </c>
      <c r="B87" s="15" t="n">
        <v>47182.68</v>
      </c>
    </row>
    <row r="88" customFormat="false" ht="15" hidden="false" customHeight="false" outlineLevel="0" collapsed="false">
      <c r="A88" s="14" t="s">
        <v>100</v>
      </c>
      <c r="B88" s="15" t="n">
        <v>8384137.46</v>
      </c>
    </row>
    <row r="89" customFormat="false" ht="15" hidden="false" customHeight="false" outlineLevel="0" collapsed="false">
      <c r="A89" s="11" t="s">
        <v>101</v>
      </c>
      <c r="B89" s="12" t="n">
        <v>3915257.66</v>
      </c>
    </row>
    <row r="90" customFormat="false" ht="15" hidden="false" customHeight="false" outlineLevel="0" collapsed="false">
      <c r="A90" s="13" t="s">
        <v>102</v>
      </c>
      <c r="B90" s="12" t="n">
        <v>1632864.31</v>
      </c>
    </row>
    <row r="91" customFormat="false" ht="15" hidden="false" customHeight="false" outlineLevel="0" collapsed="false">
      <c r="A91" s="14" t="s">
        <v>103</v>
      </c>
      <c r="B91" s="15" t="n">
        <v>1632864.31</v>
      </c>
    </row>
    <row r="92" customFormat="false" ht="15" hidden="false" customHeight="false" outlineLevel="0" collapsed="false">
      <c r="A92" s="13" t="s">
        <v>104</v>
      </c>
      <c r="B92" s="12" t="n">
        <v>1700153.76</v>
      </c>
    </row>
    <row r="93" customFormat="false" ht="15" hidden="false" customHeight="false" outlineLevel="0" collapsed="false">
      <c r="A93" s="14" t="s">
        <v>105</v>
      </c>
      <c r="B93" s="15" t="n">
        <v>1203490</v>
      </c>
    </row>
    <row r="94" customFormat="false" ht="15" hidden="false" customHeight="false" outlineLevel="0" collapsed="false">
      <c r="A94" s="14" t="s">
        <v>106</v>
      </c>
      <c r="B94" s="15" t="n">
        <v>468822.61</v>
      </c>
    </row>
    <row r="95" customFormat="false" ht="15" hidden="false" customHeight="false" outlineLevel="0" collapsed="false">
      <c r="A95" s="14" t="s">
        <v>107</v>
      </c>
      <c r="B95" s="15" t="n">
        <v>27841.15</v>
      </c>
    </row>
    <row r="96" customFormat="false" ht="15" hidden="false" customHeight="false" outlineLevel="0" collapsed="false">
      <c r="A96" s="13" t="s">
        <v>108</v>
      </c>
      <c r="B96" s="12" t="n">
        <v>361345.75</v>
      </c>
    </row>
    <row r="97" customFormat="false" ht="15" hidden="false" customHeight="false" outlineLevel="0" collapsed="false">
      <c r="A97" s="14" t="s">
        <v>109</v>
      </c>
      <c r="B97" s="15" t="n">
        <v>51341.77</v>
      </c>
    </row>
    <row r="98" customFormat="false" ht="15" hidden="false" customHeight="false" outlineLevel="0" collapsed="false">
      <c r="A98" s="14" t="s">
        <v>110</v>
      </c>
      <c r="B98" s="15" t="n">
        <v>66295</v>
      </c>
    </row>
    <row r="99" customFormat="false" ht="15" hidden="false" customHeight="false" outlineLevel="0" collapsed="false">
      <c r="A99" s="14" t="s">
        <v>111</v>
      </c>
      <c r="B99" s="15" t="n">
        <v>66295</v>
      </c>
    </row>
    <row r="100" customFormat="false" ht="15" hidden="false" customHeight="false" outlineLevel="0" collapsed="false">
      <c r="A100" s="14" t="s">
        <v>112</v>
      </c>
      <c r="B100" s="15" t="n">
        <v>60942.64</v>
      </c>
    </row>
    <row r="101" customFormat="false" ht="15" hidden="false" customHeight="false" outlineLevel="0" collapsed="false">
      <c r="A101" s="14" t="s">
        <v>113</v>
      </c>
      <c r="B101" s="15" t="n">
        <v>44396.96</v>
      </c>
    </row>
    <row r="102" customFormat="false" ht="15" hidden="false" customHeight="false" outlineLevel="0" collapsed="false">
      <c r="A102" s="14" t="s">
        <v>114</v>
      </c>
      <c r="B102" s="15" t="n">
        <v>37359</v>
      </c>
    </row>
    <row r="103" customFormat="false" ht="15" hidden="false" customHeight="false" outlineLevel="0" collapsed="false">
      <c r="A103" s="14" t="s">
        <v>115</v>
      </c>
      <c r="B103" s="15" t="n">
        <v>16696.18</v>
      </c>
    </row>
    <row r="104" customFormat="false" ht="15" hidden="false" customHeight="false" outlineLevel="0" collapsed="false">
      <c r="A104" s="14" t="s">
        <v>116</v>
      </c>
      <c r="B104" s="15" t="n">
        <v>18019.2</v>
      </c>
    </row>
    <row r="105" customFormat="false" ht="15" hidden="false" customHeight="false" outlineLevel="0" collapsed="false">
      <c r="A105" s="13" t="s">
        <v>118</v>
      </c>
      <c r="B105" s="12" t="n">
        <v>220893.84</v>
      </c>
    </row>
    <row r="106" customFormat="false" ht="15" hidden="false" customHeight="false" outlineLevel="0" collapsed="false">
      <c r="A106" s="14" t="s">
        <v>119</v>
      </c>
      <c r="B106" s="15" t="n">
        <v>93815.51</v>
      </c>
    </row>
    <row r="107" customFormat="false" ht="15" hidden="false" customHeight="false" outlineLevel="0" collapsed="false">
      <c r="A107" s="14" t="s">
        <v>120</v>
      </c>
      <c r="B107" s="15" t="n">
        <v>26314.07</v>
      </c>
    </row>
    <row r="108" customFormat="false" ht="15" hidden="false" customHeight="false" outlineLevel="0" collapsed="false">
      <c r="A108" s="14" t="s">
        <v>121</v>
      </c>
      <c r="B108" s="15" t="n">
        <v>21984.26</v>
      </c>
    </row>
    <row r="109" customFormat="false" ht="15" hidden="false" customHeight="false" outlineLevel="0" collapsed="false">
      <c r="A109" s="14" t="s">
        <v>122</v>
      </c>
      <c r="B109" s="15" t="n">
        <v>78780</v>
      </c>
    </row>
    <row r="110" customFormat="false" ht="15" hidden="false" customHeight="false" outlineLevel="0" collapsed="false">
      <c r="A110" s="11" t="s">
        <v>123</v>
      </c>
      <c r="B110" s="12" t="n">
        <v>24597219.69</v>
      </c>
    </row>
    <row r="111" customFormat="false" ht="15" hidden="false" customHeight="false" outlineLevel="0" collapsed="false">
      <c r="A111" s="13" t="s">
        <v>105</v>
      </c>
      <c r="B111" s="12" t="n">
        <v>6711830</v>
      </c>
    </row>
    <row r="112" customFormat="false" ht="15" hidden="false" customHeight="false" outlineLevel="0" collapsed="false">
      <c r="A112" s="14" t="s">
        <v>105</v>
      </c>
      <c r="B112" s="15" t="n">
        <v>6711830</v>
      </c>
    </row>
    <row r="113" customFormat="false" ht="15" hidden="false" customHeight="false" outlineLevel="0" collapsed="false">
      <c r="A113" s="13" t="s">
        <v>124</v>
      </c>
      <c r="B113" s="12" t="n">
        <v>2151462.87</v>
      </c>
    </row>
    <row r="114" customFormat="false" ht="15" hidden="false" customHeight="false" outlineLevel="0" collapsed="false">
      <c r="A114" s="14" t="s">
        <v>125</v>
      </c>
      <c r="B114" s="15" t="n">
        <v>2151462.87</v>
      </c>
    </row>
    <row r="115" customFormat="false" ht="15" hidden="false" customHeight="false" outlineLevel="0" collapsed="false">
      <c r="A115" s="13" t="s">
        <v>126</v>
      </c>
      <c r="B115" s="12" t="n">
        <v>19411275.53</v>
      </c>
    </row>
    <row r="116" customFormat="false" ht="15" hidden="false" customHeight="false" outlineLevel="0" collapsed="false">
      <c r="A116" s="14" t="s">
        <v>127</v>
      </c>
      <c r="B116" s="15" t="n">
        <v>19411275.53</v>
      </c>
    </row>
    <row r="117" customFormat="false" ht="15" hidden="false" customHeight="false" outlineLevel="0" collapsed="false">
      <c r="A117" s="13" t="s">
        <v>128</v>
      </c>
      <c r="B117" s="12" t="n">
        <v>664206.18</v>
      </c>
    </row>
    <row r="118" customFormat="false" ht="15" hidden="false" customHeight="false" outlineLevel="0" collapsed="false">
      <c r="A118" s="14" t="s">
        <v>129</v>
      </c>
      <c r="B118" s="15" t="n">
        <v>92262.56</v>
      </c>
    </row>
    <row r="119" customFormat="false" ht="15" hidden="false" customHeight="false" outlineLevel="0" collapsed="false">
      <c r="A119" s="14" t="s">
        <v>130</v>
      </c>
      <c r="B119" s="15" t="n">
        <v>571943.62</v>
      </c>
    </row>
    <row r="120" customFormat="false" ht="15" hidden="false" customHeight="false" outlineLevel="0" collapsed="false">
      <c r="A120" s="13" t="s">
        <v>131</v>
      </c>
      <c r="B120" s="12" t="n">
        <v>1288335.42</v>
      </c>
    </row>
    <row r="121" customFormat="false" ht="15" hidden="false" customHeight="false" outlineLevel="0" collapsed="false">
      <c r="A121" s="14" t="s">
        <v>132</v>
      </c>
      <c r="B121" s="15" t="n">
        <v>32525.91</v>
      </c>
    </row>
    <row r="122" customFormat="false" ht="15" hidden="false" customHeight="false" outlineLevel="0" collapsed="false">
      <c r="A122" s="14" t="s">
        <v>133</v>
      </c>
      <c r="B122" s="15" t="n">
        <v>173722.04</v>
      </c>
    </row>
    <row r="123" customFormat="false" ht="15" hidden="false" customHeight="false" outlineLevel="0" collapsed="false">
      <c r="A123" s="14" t="s">
        <v>131</v>
      </c>
      <c r="B123" s="15" t="n">
        <v>1082087.47</v>
      </c>
    </row>
    <row r="124" customFormat="false" ht="15" hidden="false" customHeight="false" outlineLevel="0" collapsed="false">
      <c r="A124" s="13" t="s">
        <v>134</v>
      </c>
      <c r="B124" s="12" t="n">
        <v>2671903.95</v>
      </c>
    </row>
    <row r="125" customFormat="false" ht="15" hidden="false" customHeight="false" outlineLevel="0" collapsed="false">
      <c r="A125" s="14" t="s">
        <v>135</v>
      </c>
      <c r="B125" s="15" t="n">
        <v>828900</v>
      </c>
    </row>
    <row r="126" customFormat="false" ht="15" hidden="false" customHeight="false" outlineLevel="0" collapsed="false">
      <c r="A126" s="14" t="s">
        <v>136</v>
      </c>
      <c r="B126" s="15" t="n">
        <v>793063.04</v>
      </c>
    </row>
    <row r="127" customFormat="false" ht="15" hidden="false" customHeight="false" outlineLevel="0" collapsed="false">
      <c r="A127" s="14" t="s">
        <v>137</v>
      </c>
      <c r="B127" s="15" t="n">
        <v>1049940.91</v>
      </c>
    </row>
    <row r="128" customFormat="false" ht="15" hidden="false" customHeight="false" outlineLevel="0" collapsed="false">
      <c r="A128" s="13" t="s">
        <v>138</v>
      </c>
      <c r="B128" s="12" t="n">
        <v>623892.1</v>
      </c>
    </row>
    <row r="129" customFormat="false" ht="15" hidden="false" customHeight="false" outlineLevel="0" collapsed="false">
      <c r="A129" s="14" t="s">
        <v>139</v>
      </c>
      <c r="B129" s="15" t="n">
        <v>320273.68</v>
      </c>
    </row>
    <row r="130" customFormat="false" ht="15" hidden="false" customHeight="false" outlineLevel="0" collapsed="false">
      <c r="A130" s="14" t="s">
        <v>140</v>
      </c>
      <c r="B130" s="15" t="n">
        <v>272165.18</v>
      </c>
    </row>
    <row r="131" customFormat="false" ht="15" hidden="false" customHeight="false" outlineLevel="0" collapsed="false">
      <c r="A131" s="14" t="s">
        <v>141</v>
      </c>
      <c r="B131" s="15" t="n">
        <v>31453.24</v>
      </c>
    </row>
    <row r="132" customFormat="false" ht="15" hidden="false" customHeight="false" outlineLevel="0" collapsed="false">
      <c r="A132" s="13" t="s">
        <v>142</v>
      </c>
      <c r="B132" s="12" t="n">
        <v>4322010.36</v>
      </c>
    </row>
    <row r="133" customFormat="false" ht="15" hidden="false" customHeight="false" outlineLevel="0" collapsed="false">
      <c r="A133" s="14" t="s">
        <v>143</v>
      </c>
      <c r="B133" s="15" t="n">
        <v>4322010.36</v>
      </c>
    </row>
    <row r="134" customFormat="false" ht="15" hidden="false" customHeight="false" outlineLevel="0" collapsed="false">
      <c r="A134" s="13" t="s">
        <v>144</v>
      </c>
      <c r="B134" s="12" t="n">
        <v>4373623.02</v>
      </c>
    </row>
    <row r="135" customFormat="false" ht="15" hidden="false" customHeight="false" outlineLevel="0" collapsed="false">
      <c r="A135" s="14" t="s">
        <v>145</v>
      </c>
      <c r="B135" s="15" t="n">
        <v>4373623.02</v>
      </c>
    </row>
    <row r="136" customFormat="false" ht="15" hidden="false" customHeight="false" outlineLevel="0" collapsed="false">
      <c r="A136" s="13" t="s">
        <v>146</v>
      </c>
      <c r="B136" s="12" t="n">
        <v>52004.22</v>
      </c>
    </row>
    <row r="137" customFormat="false" ht="15" hidden="false" customHeight="false" outlineLevel="0" collapsed="false">
      <c r="A137" s="14" t="s">
        <v>147</v>
      </c>
      <c r="B137" s="15" t="n">
        <v>52004.22</v>
      </c>
    </row>
    <row r="138" customFormat="false" ht="15" hidden="false" customHeight="false" outlineLevel="0" collapsed="false">
      <c r="A138" s="13" t="s">
        <v>148</v>
      </c>
      <c r="B138" s="12" t="n">
        <v>-17673323.96</v>
      </c>
    </row>
    <row r="139" customFormat="false" ht="15" hidden="false" customHeight="false" outlineLevel="0" collapsed="false">
      <c r="A139" s="14" t="s">
        <v>149</v>
      </c>
      <c r="B139" s="15" t="n">
        <v>-17673323.96</v>
      </c>
    </row>
    <row r="140" customFormat="false" ht="15" hidden="false" customHeight="false" outlineLevel="0" collapsed="false">
      <c r="A140" s="11" t="s">
        <v>150</v>
      </c>
      <c r="B140" s="12" t="n">
        <v>2319471.99</v>
      </c>
    </row>
    <row r="141" customFormat="false" ht="15" hidden="false" customHeight="false" outlineLevel="0" collapsed="false">
      <c r="A141" s="13" t="s">
        <v>151</v>
      </c>
      <c r="B141" s="12" t="n">
        <v>2094086.47</v>
      </c>
    </row>
    <row r="142" customFormat="false" ht="15" hidden="false" customHeight="false" outlineLevel="0" collapsed="false">
      <c r="A142" s="14" t="s">
        <v>152</v>
      </c>
      <c r="B142" s="15" t="n">
        <v>46948</v>
      </c>
    </row>
    <row r="143" customFormat="false" ht="15" hidden="false" customHeight="false" outlineLevel="0" collapsed="false">
      <c r="A143" s="14" t="s">
        <v>153</v>
      </c>
      <c r="B143" s="15" t="n">
        <v>1887138.47</v>
      </c>
    </row>
    <row r="144" customFormat="false" ht="15" hidden="false" customHeight="false" outlineLevel="0" collapsed="false">
      <c r="A144" s="14" t="s">
        <v>154</v>
      </c>
      <c r="B144" s="15" t="n">
        <v>160000</v>
      </c>
    </row>
    <row r="145" customFormat="false" ht="15" hidden="false" customHeight="false" outlineLevel="0" collapsed="false">
      <c r="A145" s="13" t="s">
        <v>155</v>
      </c>
      <c r="B145" s="12" t="n">
        <v>225385.52</v>
      </c>
    </row>
    <row r="146" customFormat="false" ht="15" hidden="false" customHeight="false" outlineLevel="0" collapsed="false">
      <c r="A146" s="14" t="s">
        <v>156</v>
      </c>
      <c r="B146" s="15" t="n">
        <v>831708.71</v>
      </c>
    </row>
    <row r="147" customFormat="false" ht="15" hidden="false" customHeight="false" outlineLevel="0" collapsed="false">
      <c r="A147" s="14" t="s">
        <v>157</v>
      </c>
      <c r="B147" s="15" t="n">
        <v>-606323.19</v>
      </c>
    </row>
    <row r="148" customFormat="false" ht="15" hidden="false" customHeight="false" outlineLevel="0" collapsed="false">
      <c r="A148" s="7" t="s">
        <v>158</v>
      </c>
      <c r="B148" s="8" t="n">
        <v>76940017.55</v>
      </c>
    </row>
    <row r="149" customFormat="false" ht="15" hidden="false" customHeight="false" outlineLevel="0" collapsed="false">
      <c r="A149" s="9" t="s">
        <v>159</v>
      </c>
      <c r="B149" s="10" t="n">
        <v>17899255.51</v>
      </c>
    </row>
    <row r="150" customFormat="false" ht="15" hidden="false" customHeight="false" outlineLevel="0" collapsed="false">
      <c r="A150" s="11" t="s">
        <v>160</v>
      </c>
      <c r="B150" s="12" t="n">
        <v>6894177.73</v>
      </c>
    </row>
    <row r="151" customFormat="false" ht="15" hidden="false" customHeight="false" outlineLevel="0" collapsed="false">
      <c r="A151" s="13" t="s">
        <v>161</v>
      </c>
      <c r="B151" s="12" t="n">
        <v>6894177.73</v>
      </c>
    </row>
    <row r="152" customFormat="false" ht="15" hidden="false" customHeight="false" outlineLevel="0" collapsed="false">
      <c r="A152" s="14" t="s">
        <v>161</v>
      </c>
      <c r="B152" s="15" t="n">
        <v>6894177.73</v>
      </c>
    </row>
    <row r="153" customFormat="false" ht="15" hidden="false" customHeight="false" outlineLevel="0" collapsed="false">
      <c r="A153" s="11" t="s">
        <v>163</v>
      </c>
      <c r="B153" s="12" t="n">
        <v>322312.15</v>
      </c>
    </row>
    <row r="154" customFormat="false" ht="15" hidden="false" customHeight="false" outlineLevel="0" collapsed="false">
      <c r="A154" s="13" t="s">
        <v>164</v>
      </c>
      <c r="B154" s="12" t="n">
        <v>236530.58</v>
      </c>
    </row>
    <row r="155" customFormat="false" ht="15" hidden="false" customHeight="false" outlineLevel="0" collapsed="false">
      <c r="A155" s="14" t="s">
        <v>165</v>
      </c>
      <c r="B155" s="15" t="n">
        <v>58834.03</v>
      </c>
    </row>
    <row r="156" customFormat="false" ht="15" hidden="false" customHeight="false" outlineLevel="0" collapsed="false">
      <c r="A156" s="14" t="s">
        <v>166</v>
      </c>
      <c r="B156" s="15" t="n">
        <v>265076.08</v>
      </c>
    </row>
    <row r="157" customFormat="false" ht="15" hidden="false" customHeight="false" outlineLevel="0" collapsed="false">
      <c r="A157" s="14" t="s">
        <v>167</v>
      </c>
      <c r="B157" s="15" t="n">
        <v>-83475.28</v>
      </c>
    </row>
    <row r="158" customFormat="false" ht="15" hidden="false" customHeight="false" outlineLevel="0" collapsed="false">
      <c r="A158" s="14" t="s">
        <v>168</v>
      </c>
      <c r="B158" s="15" t="n">
        <v>-39892.64</v>
      </c>
    </row>
    <row r="159" customFormat="false" ht="15" hidden="false" customHeight="false" outlineLevel="0" collapsed="false">
      <c r="A159" s="14" t="s">
        <v>169</v>
      </c>
      <c r="B159" s="15" t="n">
        <v>15653.03</v>
      </c>
    </row>
    <row r="160" customFormat="false" ht="15" hidden="false" customHeight="false" outlineLevel="0" collapsed="false">
      <c r="A160" s="14" t="s">
        <v>170</v>
      </c>
      <c r="B160" s="15" t="n">
        <v>2055.97</v>
      </c>
    </row>
    <row r="161" customFormat="false" ht="15" hidden="false" customHeight="false" outlineLevel="0" collapsed="false">
      <c r="A161" s="14" t="s">
        <v>171</v>
      </c>
      <c r="B161" s="15" t="n">
        <v>12.76</v>
      </c>
    </row>
    <row r="162" customFormat="false" ht="15" hidden="false" customHeight="false" outlineLevel="0" collapsed="false">
      <c r="A162" s="14" t="s">
        <v>172</v>
      </c>
      <c r="B162" s="15" t="n">
        <v>11426.34</v>
      </c>
    </row>
    <row r="163" customFormat="false" ht="15" hidden="false" customHeight="false" outlineLevel="0" collapsed="false">
      <c r="A163" s="14" t="s">
        <v>173</v>
      </c>
      <c r="B163" s="15" t="n">
        <v>6840.29</v>
      </c>
    </row>
    <row r="164" customFormat="false" ht="15" hidden="false" customHeight="false" outlineLevel="0" collapsed="false">
      <c r="A164" s="13" t="s">
        <v>174</v>
      </c>
      <c r="B164" s="12" t="n">
        <v>84144.24</v>
      </c>
    </row>
    <row r="165" customFormat="false" ht="15" hidden="false" customHeight="false" outlineLevel="0" collapsed="false">
      <c r="A165" s="14" t="s">
        <v>175</v>
      </c>
      <c r="B165" s="15" t="n">
        <v>75740.05</v>
      </c>
    </row>
    <row r="166" customFormat="false" ht="15" hidden="false" customHeight="false" outlineLevel="0" collapsed="false">
      <c r="A166" s="14" t="s">
        <v>176</v>
      </c>
      <c r="B166" s="15" t="n">
        <v>111.62</v>
      </c>
    </row>
    <row r="167" customFormat="false" ht="15" hidden="false" customHeight="false" outlineLevel="0" collapsed="false">
      <c r="A167" s="14" t="s">
        <v>177</v>
      </c>
      <c r="B167" s="15" t="n">
        <v>8292.57</v>
      </c>
    </row>
    <row r="168" customFormat="false" ht="15" hidden="false" customHeight="false" outlineLevel="0" collapsed="false">
      <c r="A168" s="13" t="s">
        <v>178</v>
      </c>
      <c r="B168" s="12" t="n">
        <v>1309.12</v>
      </c>
    </row>
    <row r="169" customFormat="false" ht="15" hidden="false" customHeight="false" outlineLevel="0" collapsed="false">
      <c r="A169" s="14" t="s">
        <v>179</v>
      </c>
      <c r="B169" s="15" t="n">
        <v>1093.89</v>
      </c>
    </row>
    <row r="170" customFormat="false" ht="15" hidden="false" customHeight="false" outlineLevel="0" collapsed="false">
      <c r="A170" s="14" t="s">
        <v>181</v>
      </c>
      <c r="B170" s="15" t="n">
        <v>215.23</v>
      </c>
    </row>
    <row r="171" customFormat="false" ht="15" hidden="false" customHeight="false" outlineLevel="0" collapsed="false">
      <c r="A171" s="13" t="s">
        <v>182</v>
      </c>
      <c r="B171" s="12" t="n">
        <v>328.21</v>
      </c>
    </row>
    <row r="172" customFormat="false" ht="15" hidden="false" customHeight="false" outlineLevel="0" collapsed="false">
      <c r="A172" s="14" t="s">
        <v>183</v>
      </c>
      <c r="B172" s="15" t="n">
        <v>328.21</v>
      </c>
    </row>
    <row r="173" customFormat="false" ht="15" hidden="false" customHeight="false" outlineLevel="0" collapsed="false">
      <c r="A173" s="11" t="s">
        <v>184</v>
      </c>
      <c r="B173" s="12" t="n">
        <v>2676969.15</v>
      </c>
    </row>
    <row r="174" customFormat="false" ht="15" hidden="false" customHeight="false" outlineLevel="0" collapsed="false">
      <c r="A174" s="13" t="s">
        <v>185</v>
      </c>
      <c r="B174" s="12" t="n">
        <v>351348</v>
      </c>
    </row>
    <row r="175" customFormat="false" ht="15" hidden="false" customHeight="false" outlineLevel="0" collapsed="false">
      <c r="A175" s="14" t="s">
        <v>186</v>
      </c>
      <c r="B175" s="15" t="n">
        <v>339971.37</v>
      </c>
    </row>
    <row r="176" customFormat="false" ht="15" hidden="false" customHeight="false" outlineLevel="0" collapsed="false">
      <c r="A176" s="14" t="s">
        <v>187</v>
      </c>
      <c r="B176" s="15" t="n">
        <v>8353.86</v>
      </c>
    </row>
    <row r="177" customFormat="false" ht="15" hidden="false" customHeight="false" outlineLevel="0" collapsed="false">
      <c r="A177" s="14" t="s">
        <v>188</v>
      </c>
      <c r="B177" s="15" t="n">
        <v>3022.77</v>
      </c>
    </row>
    <row r="178" customFormat="false" ht="15" hidden="false" customHeight="false" outlineLevel="0" collapsed="false">
      <c r="A178" s="13" t="s">
        <v>189</v>
      </c>
      <c r="B178" s="12" t="n">
        <v>69358.85</v>
      </c>
    </row>
    <row r="179" customFormat="false" ht="15" hidden="false" customHeight="false" outlineLevel="0" collapsed="false">
      <c r="A179" s="14" t="s">
        <v>190</v>
      </c>
      <c r="B179" s="15" t="n">
        <v>34547.44</v>
      </c>
    </row>
    <row r="180" customFormat="false" ht="15" hidden="false" customHeight="false" outlineLevel="0" collapsed="false">
      <c r="A180" s="14" t="s">
        <v>191</v>
      </c>
      <c r="B180" s="15" t="n">
        <v>1215.75</v>
      </c>
    </row>
    <row r="181" customFormat="false" ht="15" hidden="false" customHeight="false" outlineLevel="0" collapsed="false">
      <c r="A181" s="14" t="s">
        <v>192</v>
      </c>
      <c r="B181" s="15" t="n">
        <v>33595.66</v>
      </c>
    </row>
    <row r="182" customFormat="false" ht="15" hidden="false" customHeight="false" outlineLevel="0" collapsed="false">
      <c r="A182" s="13" t="s">
        <v>193</v>
      </c>
      <c r="B182" s="12" t="n">
        <v>1921001.82</v>
      </c>
    </row>
    <row r="183" customFormat="false" ht="15" hidden="false" customHeight="false" outlineLevel="0" collapsed="false">
      <c r="A183" s="14" t="s">
        <v>194</v>
      </c>
      <c r="B183" s="15" t="n">
        <v>1827862.26</v>
      </c>
    </row>
    <row r="184" customFormat="false" ht="15" hidden="false" customHeight="false" outlineLevel="0" collapsed="false">
      <c r="A184" s="14" t="s">
        <v>195</v>
      </c>
      <c r="B184" s="15" t="n">
        <v>62433.04</v>
      </c>
    </row>
    <row r="185" customFormat="false" ht="15" hidden="false" customHeight="false" outlineLevel="0" collapsed="false">
      <c r="A185" s="14" t="s">
        <v>196</v>
      </c>
      <c r="B185" s="15" t="n">
        <v>5736</v>
      </c>
    </row>
    <row r="186" customFormat="false" ht="15" hidden="false" customHeight="false" outlineLevel="0" collapsed="false">
      <c r="A186" s="14" t="s">
        <v>197</v>
      </c>
      <c r="B186" s="15" t="n">
        <v>24970.52</v>
      </c>
    </row>
    <row r="187" customFormat="false" ht="15" hidden="false" customHeight="false" outlineLevel="0" collapsed="false">
      <c r="A187" s="13" t="s">
        <v>199</v>
      </c>
      <c r="B187" s="12" t="n">
        <v>335260.48</v>
      </c>
    </row>
    <row r="188" customFormat="false" ht="15" hidden="false" customHeight="false" outlineLevel="0" collapsed="false">
      <c r="A188" s="14" t="s">
        <v>201</v>
      </c>
      <c r="B188" s="15" t="n">
        <v>298.31</v>
      </c>
    </row>
    <row r="189" customFormat="false" ht="15" hidden="false" customHeight="false" outlineLevel="0" collapsed="false">
      <c r="A189" s="14" t="s">
        <v>202</v>
      </c>
      <c r="B189" s="15" t="n">
        <v>139387.63</v>
      </c>
    </row>
    <row r="190" customFormat="false" ht="15" hidden="false" customHeight="false" outlineLevel="0" collapsed="false">
      <c r="A190" s="14" t="s">
        <v>203</v>
      </c>
      <c r="B190" s="15" t="n">
        <v>24809.2</v>
      </c>
    </row>
    <row r="191" customFormat="false" ht="15" hidden="false" customHeight="false" outlineLevel="0" collapsed="false">
      <c r="A191" s="14" t="s">
        <v>204</v>
      </c>
      <c r="B191" s="15" t="n">
        <v>4341.42</v>
      </c>
    </row>
    <row r="192" customFormat="false" ht="15" hidden="false" customHeight="false" outlineLevel="0" collapsed="false">
      <c r="A192" s="14" t="s">
        <v>205</v>
      </c>
      <c r="B192" s="15" t="n">
        <v>84806.5</v>
      </c>
    </row>
    <row r="193" customFormat="false" ht="15" hidden="false" customHeight="false" outlineLevel="0" collapsed="false">
      <c r="A193" s="14" t="s">
        <v>206</v>
      </c>
      <c r="B193" s="15" t="n">
        <v>81617.42</v>
      </c>
    </row>
    <row r="194" customFormat="false" ht="15" hidden="false" customHeight="false" outlineLevel="0" collapsed="false">
      <c r="A194" s="11" t="s">
        <v>207</v>
      </c>
      <c r="B194" s="12" t="n">
        <v>622423.54</v>
      </c>
    </row>
    <row r="195" customFormat="false" ht="15" hidden="false" customHeight="false" outlineLevel="0" collapsed="false">
      <c r="A195" s="13" t="s">
        <v>207</v>
      </c>
      <c r="B195" s="12" t="n">
        <v>1406947.04</v>
      </c>
    </row>
    <row r="196" customFormat="false" ht="15" hidden="false" customHeight="false" outlineLevel="0" collapsed="false">
      <c r="A196" s="14" t="s">
        <v>208</v>
      </c>
      <c r="B196" s="15" t="n">
        <v>20952.42</v>
      </c>
    </row>
    <row r="197" customFormat="false" ht="15" hidden="false" customHeight="false" outlineLevel="0" collapsed="false">
      <c r="A197" s="14" t="s">
        <v>209</v>
      </c>
      <c r="B197" s="15" t="n">
        <v>157143.02</v>
      </c>
    </row>
    <row r="198" customFormat="false" ht="15" hidden="false" customHeight="false" outlineLevel="0" collapsed="false">
      <c r="A198" s="14" t="s">
        <v>210</v>
      </c>
      <c r="B198" s="15" t="n">
        <v>68685.64</v>
      </c>
    </row>
    <row r="199" customFormat="false" ht="15" hidden="false" customHeight="false" outlineLevel="0" collapsed="false">
      <c r="A199" s="14" t="s">
        <v>211</v>
      </c>
      <c r="B199" s="15" t="n">
        <v>468750</v>
      </c>
    </row>
    <row r="200" customFormat="false" ht="15" hidden="false" customHeight="false" outlineLevel="0" collapsed="false">
      <c r="A200" s="14" t="s">
        <v>213</v>
      </c>
      <c r="B200" s="15" t="n">
        <v>37567.57</v>
      </c>
    </row>
    <row r="201" customFormat="false" ht="15" hidden="false" customHeight="false" outlineLevel="0" collapsed="false">
      <c r="A201" s="14" t="s">
        <v>214</v>
      </c>
      <c r="B201" s="15" t="n">
        <v>598715.4</v>
      </c>
    </row>
    <row r="202" customFormat="false" ht="15" hidden="false" customHeight="false" outlineLevel="0" collapsed="false">
      <c r="A202" s="14" t="s">
        <v>215</v>
      </c>
      <c r="B202" s="15" t="n">
        <v>55132.99</v>
      </c>
    </row>
    <row r="203" customFormat="false" ht="15" hidden="false" customHeight="false" outlineLevel="0" collapsed="false">
      <c r="A203" s="13" t="s">
        <v>217</v>
      </c>
      <c r="B203" s="12" t="n">
        <v>-784523.5</v>
      </c>
    </row>
    <row r="204" customFormat="false" ht="15" hidden="false" customHeight="false" outlineLevel="0" collapsed="false">
      <c r="A204" s="14" t="s">
        <v>218</v>
      </c>
      <c r="B204" s="15" t="n">
        <v>-784523.5</v>
      </c>
    </row>
    <row r="205" customFormat="false" ht="15" hidden="false" customHeight="false" outlineLevel="0" collapsed="false">
      <c r="A205" s="11" t="s">
        <v>219</v>
      </c>
      <c r="B205" s="12" t="n">
        <v>-555089.29</v>
      </c>
    </row>
    <row r="206" customFormat="false" ht="15" hidden="false" customHeight="false" outlineLevel="0" collapsed="false">
      <c r="A206" s="13" t="s">
        <v>220</v>
      </c>
      <c r="B206" s="12" t="n">
        <v>-555089.29</v>
      </c>
    </row>
    <row r="207" customFormat="false" ht="15" hidden="false" customHeight="false" outlineLevel="0" collapsed="false">
      <c r="A207" s="14" t="s">
        <v>221</v>
      </c>
      <c r="B207" s="15" t="n">
        <v>31019.08</v>
      </c>
    </row>
    <row r="208" customFormat="false" ht="15" hidden="false" customHeight="false" outlineLevel="0" collapsed="false">
      <c r="A208" s="14" t="s">
        <v>222</v>
      </c>
      <c r="B208" s="15" t="n">
        <v>118504.15</v>
      </c>
    </row>
    <row r="209" customFormat="false" ht="15" hidden="false" customHeight="false" outlineLevel="0" collapsed="false">
      <c r="A209" s="14" t="s">
        <v>223</v>
      </c>
      <c r="B209" s="15" t="n">
        <v>-302421.57</v>
      </c>
    </row>
    <row r="210" customFormat="false" ht="15" hidden="false" customHeight="false" outlineLevel="0" collapsed="false">
      <c r="A210" s="14" t="s">
        <v>224</v>
      </c>
      <c r="B210" s="15" t="n">
        <v>-402190.95</v>
      </c>
    </row>
    <row r="211" customFormat="false" ht="15" hidden="false" customHeight="false" outlineLevel="0" collapsed="false">
      <c r="A211" s="11" t="s">
        <v>225</v>
      </c>
      <c r="B211" s="12" t="n">
        <v>3753065.78</v>
      </c>
    </row>
    <row r="212" customFormat="false" ht="15" hidden="false" customHeight="false" outlineLevel="0" collapsed="false">
      <c r="A212" s="13" t="s">
        <v>226</v>
      </c>
      <c r="B212" s="12" t="n">
        <v>3753065.78</v>
      </c>
    </row>
    <row r="213" customFormat="false" ht="15" hidden="false" customHeight="false" outlineLevel="0" collapsed="false">
      <c r="A213" s="14" t="s">
        <v>227</v>
      </c>
      <c r="B213" s="15" t="n">
        <v>160244.92</v>
      </c>
    </row>
    <row r="214" customFormat="false" ht="15" hidden="false" customHeight="false" outlineLevel="0" collapsed="false">
      <c r="A214" s="14" t="s">
        <v>228</v>
      </c>
      <c r="B214" s="15" t="n">
        <v>1473973.99</v>
      </c>
    </row>
    <row r="215" customFormat="false" ht="15" hidden="false" customHeight="false" outlineLevel="0" collapsed="false">
      <c r="A215" s="14" t="s">
        <v>229</v>
      </c>
      <c r="B215" s="15" t="n">
        <v>204730.87</v>
      </c>
    </row>
    <row r="216" customFormat="false" ht="15" hidden="false" customHeight="false" outlineLevel="0" collapsed="false">
      <c r="A216" s="14" t="s">
        <v>230</v>
      </c>
      <c r="B216" s="15" t="n">
        <v>1820849.72</v>
      </c>
    </row>
    <row r="217" customFormat="false" ht="15" hidden="false" customHeight="false" outlineLevel="0" collapsed="false">
      <c r="A217" s="14" t="s">
        <v>231</v>
      </c>
      <c r="B217" s="15" t="n">
        <v>17596.77</v>
      </c>
    </row>
    <row r="218" customFormat="false" ht="15" hidden="false" customHeight="false" outlineLevel="0" collapsed="false">
      <c r="A218" s="14" t="s">
        <v>232</v>
      </c>
      <c r="B218" s="15" t="n">
        <v>95680</v>
      </c>
    </row>
    <row r="219" customFormat="false" ht="15" hidden="false" customHeight="false" outlineLevel="0" collapsed="false">
      <c r="A219" s="14" t="s">
        <v>233</v>
      </c>
      <c r="B219" s="15" t="n">
        <v>-20010.49</v>
      </c>
    </row>
    <row r="220" customFormat="false" ht="15" hidden="false" customHeight="false" outlineLevel="0" collapsed="false">
      <c r="A220" s="11" t="s">
        <v>234</v>
      </c>
      <c r="B220" s="12" t="n">
        <v>3228055.27</v>
      </c>
    </row>
    <row r="221" customFormat="false" ht="15" hidden="false" customHeight="false" outlineLevel="0" collapsed="false">
      <c r="A221" s="13" t="s">
        <v>234</v>
      </c>
      <c r="B221" s="12" t="n">
        <v>3228055.27</v>
      </c>
    </row>
    <row r="222" customFormat="false" ht="15" hidden="false" customHeight="false" outlineLevel="0" collapsed="false">
      <c r="A222" s="14" t="s">
        <v>235</v>
      </c>
      <c r="B222" s="15" t="n">
        <v>3126400.47</v>
      </c>
    </row>
    <row r="223" customFormat="false" ht="15" hidden="false" customHeight="false" outlineLevel="0" collapsed="false">
      <c r="A223" s="14" t="s">
        <v>236</v>
      </c>
      <c r="B223" s="15" t="n">
        <v>101654.8</v>
      </c>
    </row>
    <row r="224" customFormat="false" ht="15" hidden="false" customHeight="false" outlineLevel="0" collapsed="false">
      <c r="A224" s="11" t="s">
        <v>237</v>
      </c>
      <c r="B224" s="12" t="n">
        <v>957341.18</v>
      </c>
    </row>
    <row r="225" customFormat="false" ht="15" hidden="false" customHeight="false" outlineLevel="0" collapsed="false">
      <c r="A225" s="13" t="s">
        <v>238</v>
      </c>
      <c r="B225" s="12" t="n">
        <v>26365.58</v>
      </c>
    </row>
    <row r="226" customFormat="false" ht="15" hidden="false" customHeight="false" outlineLevel="0" collapsed="false">
      <c r="A226" s="14" t="s">
        <v>239</v>
      </c>
      <c r="B226" s="15" t="n">
        <v>23141.51</v>
      </c>
    </row>
    <row r="227" customFormat="false" ht="15" hidden="false" customHeight="false" outlineLevel="0" collapsed="false">
      <c r="A227" s="14" t="s">
        <v>240</v>
      </c>
      <c r="B227" s="15" t="n">
        <v>3224.07</v>
      </c>
    </row>
    <row r="228" customFormat="false" ht="15" hidden="false" customHeight="false" outlineLevel="0" collapsed="false">
      <c r="A228" s="13" t="s">
        <v>241</v>
      </c>
      <c r="B228" s="12" t="n">
        <v>75674.21</v>
      </c>
    </row>
    <row r="229" customFormat="false" ht="15" hidden="false" customHeight="false" outlineLevel="0" collapsed="false">
      <c r="A229" s="14" t="s">
        <v>242</v>
      </c>
      <c r="B229" s="15" t="n">
        <v>75674.21</v>
      </c>
    </row>
    <row r="230" customFormat="false" ht="15" hidden="false" customHeight="false" outlineLevel="0" collapsed="false">
      <c r="A230" s="13" t="s">
        <v>243</v>
      </c>
      <c r="B230" s="12" t="n">
        <v>16009</v>
      </c>
    </row>
    <row r="231" customFormat="false" ht="15" hidden="false" customHeight="false" outlineLevel="0" collapsed="false">
      <c r="A231" s="14" t="s">
        <v>243</v>
      </c>
      <c r="B231" s="15" t="n">
        <v>16009</v>
      </c>
    </row>
    <row r="232" customFormat="false" ht="15" hidden="false" customHeight="false" outlineLevel="0" collapsed="false">
      <c r="A232" s="13" t="s">
        <v>244</v>
      </c>
      <c r="B232" s="12" t="n">
        <v>839292.39</v>
      </c>
    </row>
    <row r="233" customFormat="false" ht="15" hidden="false" customHeight="false" outlineLevel="0" collapsed="false">
      <c r="A233" s="14" t="s">
        <v>244</v>
      </c>
      <c r="B233" s="15" t="n">
        <v>839292.39</v>
      </c>
    </row>
    <row r="234" customFormat="false" ht="15" hidden="false" customHeight="false" outlineLevel="0" collapsed="false">
      <c r="A234" s="9" t="s">
        <v>246</v>
      </c>
      <c r="B234" s="10" t="n">
        <v>34474376.89</v>
      </c>
    </row>
    <row r="235" customFormat="false" ht="15" hidden="false" customHeight="false" outlineLevel="0" collapsed="false">
      <c r="A235" s="11" t="s">
        <v>207</v>
      </c>
      <c r="B235" s="12" t="n">
        <v>4747604.33</v>
      </c>
    </row>
    <row r="236" customFormat="false" ht="15" hidden="false" customHeight="false" outlineLevel="0" collapsed="false">
      <c r="A236" s="13" t="s">
        <v>247</v>
      </c>
      <c r="B236" s="12" t="n">
        <v>4747604.33</v>
      </c>
    </row>
    <row r="237" customFormat="false" ht="15" hidden="false" customHeight="false" outlineLevel="0" collapsed="false">
      <c r="A237" s="14" t="s">
        <v>248</v>
      </c>
      <c r="B237" s="15" t="n">
        <v>703125</v>
      </c>
    </row>
    <row r="238" customFormat="false" ht="15" hidden="false" customHeight="false" outlineLevel="0" collapsed="false">
      <c r="A238" s="14" t="s">
        <v>249</v>
      </c>
      <c r="B238" s="15" t="n">
        <v>1781004.54</v>
      </c>
    </row>
    <row r="239" customFormat="false" ht="15" hidden="false" customHeight="false" outlineLevel="0" collapsed="false">
      <c r="A239" s="14" t="s">
        <v>250</v>
      </c>
      <c r="B239" s="15" t="n">
        <v>162958.8</v>
      </c>
    </row>
    <row r="240" customFormat="false" ht="15" hidden="false" customHeight="false" outlineLevel="0" collapsed="false">
      <c r="A240" s="14" t="s">
        <v>251</v>
      </c>
      <c r="B240" s="15" t="n">
        <v>2095503.9</v>
      </c>
    </row>
    <row r="241" customFormat="false" ht="15" hidden="false" customHeight="false" outlineLevel="0" collapsed="false">
      <c r="A241" s="14" t="s">
        <v>252</v>
      </c>
      <c r="B241" s="15" t="n">
        <v>5012.09</v>
      </c>
    </row>
    <row r="242" customFormat="false" ht="15" hidden="false" customHeight="false" outlineLevel="0" collapsed="false">
      <c r="A242" s="11" t="s">
        <v>254</v>
      </c>
      <c r="B242" s="12" t="n">
        <v>4307409.95</v>
      </c>
    </row>
    <row r="243" customFormat="false" ht="15" hidden="false" customHeight="false" outlineLevel="0" collapsed="false">
      <c r="A243" s="13" t="s">
        <v>255</v>
      </c>
      <c r="B243" s="12" t="n">
        <v>4307409.95</v>
      </c>
    </row>
    <row r="244" customFormat="false" ht="15" hidden="false" customHeight="false" outlineLevel="0" collapsed="false">
      <c r="A244" s="14" t="s">
        <v>256</v>
      </c>
      <c r="B244" s="15" t="n">
        <v>3880794.99</v>
      </c>
    </row>
    <row r="245" customFormat="false" ht="15" hidden="false" customHeight="false" outlineLevel="0" collapsed="false">
      <c r="A245" s="14" t="s">
        <v>257</v>
      </c>
      <c r="B245" s="15" t="n">
        <v>426614.96</v>
      </c>
    </row>
    <row r="246" customFormat="false" ht="15" hidden="false" customHeight="false" outlineLevel="0" collapsed="false">
      <c r="A246" s="11" t="s">
        <v>258</v>
      </c>
      <c r="B246" s="12" t="n">
        <v>5048800.45</v>
      </c>
    </row>
    <row r="247" customFormat="false" ht="15" hidden="false" customHeight="false" outlineLevel="0" collapsed="false">
      <c r="A247" s="13" t="s">
        <v>259</v>
      </c>
      <c r="B247" s="12" t="n">
        <v>5048800.45</v>
      </c>
    </row>
    <row r="248" customFormat="false" ht="15" hidden="false" customHeight="false" outlineLevel="0" collapsed="false">
      <c r="A248" s="14" t="s">
        <v>260</v>
      </c>
      <c r="B248" s="15" t="n">
        <v>4602003</v>
      </c>
    </row>
    <row r="249" customFormat="false" ht="15" hidden="false" customHeight="false" outlineLevel="0" collapsed="false">
      <c r="A249" s="14" t="s">
        <v>261</v>
      </c>
      <c r="B249" s="15" t="n">
        <v>76482.3</v>
      </c>
    </row>
    <row r="250" customFormat="false" ht="15" hidden="false" customHeight="false" outlineLevel="0" collapsed="false">
      <c r="A250" s="14" t="s">
        <v>262</v>
      </c>
      <c r="B250" s="15" t="n">
        <v>370315.15</v>
      </c>
    </row>
    <row r="251" customFormat="false" ht="15" hidden="false" customHeight="false" outlineLevel="0" collapsed="false">
      <c r="A251" s="11" t="s">
        <v>263</v>
      </c>
      <c r="B251" s="12" t="n">
        <v>20370562.16</v>
      </c>
    </row>
    <row r="252" customFormat="false" ht="15" hidden="false" customHeight="false" outlineLevel="0" collapsed="false">
      <c r="A252" s="13" t="s">
        <v>263</v>
      </c>
      <c r="B252" s="12" t="n">
        <v>20370562.16</v>
      </c>
    </row>
    <row r="253" customFormat="false" ht="15" hidden="false" customHeight="false" outlineLevel="0" collapsed="false">
      <c r="A253" s="14" t="s">
        <v>264</v>
      </c>
      <c r="B253" s="15" t="n">
        <v>8511069.63</v>
      </c>
    </row>
    <row r="254" customFormat="false" ht="15" hidden="false" customHeight="false" outlineLevel="0" collapsed="false">
      <c r="A254" s="14" t="s">
        <v>265</v>
      </c>
      <c r="B254" s="15" t="n">
        <v>8384137.46</v>
      </c>
    </row>
    <row r="255" customFormat="false" ht="15" hidden="false" customHeight="false" outlineLevel="0" collapsed="false">
      <c r="A255" s="14" t="s">
        <v>266</v>
      </c>
      <c r="B255" s="15" t="n">
        <v>986346.19</v>
      </c>
    </row>
    <row r="256" customFormat="false" ht="15" hidden="false" customHeight="false" outlineLevel="0" collapsed="false">
      <c r="A256" s="14" t="s">
        <v>267</v>
      </c>
      <c r="B256" s="15" t="n">
        <v>2489008.88</v>
      </c>
    </row>
    <row r="257" customFormat="false" ht="15" hidden="false" customHeight="false" outlineLevel="0" collapsed="false">
      <c r="A257" s="9" t="s">
        <v>268</v>
      </c>
      <c r="B257" s="10" t="n">
        <v>24566385.15</v>
      </c>
    </row>
    <row r="258" customFormat="false" ht="15" hidden="false" customHeight="false" outlineLevel="0" collapsed="false">
      <c r="A258" s="11" t="s">
        <v>269</v>
      </c>
      <c r="B258" s="12" t="n">
        <v>6000000</v>
      </c>
    </row>
    <row r="259" customFormat="false" ht="15" hidden="false" customHeight="false" outlineLevel="0" collapsed="false">
      <c r="A259" s="13" t="s">
        <v>269</v>
      </c>
      <c r="B259" s="12" t="n">
        <v>6000000</v>
      </c>
    </row>
    <row r="260" customFormat="false" ht="15" hidden="false" customHeight="false" outlineLevel="0" collapsed="false">
      <c r="A260" s="14" t="s">
        <v>270</v>
      </c>
      <c r="B260" s="15" t="n">
        <v>6000000</v>
      </c>
    </row>
    <row r="261" customFormat="false" ht="15" hidden="false" customHeight="false" outlineLevel="0" collapsed="false">
      <c r="A261" s="11" t="s">
        <v>271</v>
      </c>
      <c r="B261" s="12" t="n">
        <v>466704.13</v>
      </c>
    </row>
    <row r="262" customFormat="false" ht="15" hidden="false" customHeight="false" outlineLevel="0" collapsed="false">
      <c r="A262" s="13" t="s">
        <v>272</v>
      </c>
      <c r="B262" s="12" t="n">
        <v>466704.13</v>
      </c>
    </row>
    <row r="263" customFormat="false" ht="15" hidden="false" customHeight="false" outlineLevel="0" collapsed="false">
      <c r="A263" s="14" t="s">
        <v>272</v>
      </c>
      <c r="B263" s="15" t="n">
        <v>466704.13</v>
      </c>
    </row>
    <row r="264" customFormat="false" ht="15" hidden="false" customHeight="false" outlineLevel="0" collapsed="false">
      <c r="A264" s="11" t="s">
        <v>273</v>
      </c>
      <c r="B264" s="12" t="n">
        <v>11815234.94</v>
      </c>
    </row>
    <row r="265" customFormat="false" ht="15" hidden="false" customHeight="false" outlineLevel="0" collapsed="false">
      <c r="A265" s="13" t="s">
        <v>274</v>
      </c>
      <c r="B265" s="12" t="n">
        <v>11815234.94</v>
      </c>
    </row>
    <row r="266" customFormat="false" ht="15" hidden="false" customHeight="false" outlineLevel="0" collapsed="false">
      <c r="A266" s="14" t="s">
        <v>274</v>
      </c>
      <c r="B266" s="15" t="n">
        <v>11814790.57</v>
      </c>
    </row>
    <row r="267" customFormat="false" ht="15" hidden="false" customHeight="false" outlineLevel="0" collapsed="false">
      <c r="A267" s="14" t="s">
        <v>275</v>
      </c>
      <c r="B267" s="15" t="n">
        <v>444.37</v>
      </c>
    </row>
    <row r="268" customFormat="false" ht="15" hidden="false" customHeight="false" outlineLevel="0" collapsed="false">
      <c r="A268" s="11" t="s">
        <v>276</v>
      </c>
      <c r="B268" s="12" t="n">
        <v>6284446.08</v>
      </c>
    </row>
    <row r="269" customFormat="false" ht="15" hidden="false" customHeight="false" outlineLevel="0" collapsed="false">
      <c r="A269" s="13" t="s">
        <v>276</v>
      </c>
      <c r="B269" s="12" t="n">
        <v>6284446.08</v>
      </c>
    </row>
    <row r="270" customFormat="false" ht="15" hidden="false" customHeight="false" outlineLevel="0" collapsed="false">
      <c r="A270" s="14" t="s">
        <v>277</v>
      </c>
      <c r="B270" s="15" t="n">
        <v>1533460.17</v>
      </c>
    </row>
    <row r="271" customFormat="false" ht="15" hidden="false" customHeight="false" outlineLevel="0" collapsed="false">
      <c r="A271" s="14" t="s">
        <v>278</v>
      </c>
      <c r="B271" s="15" t="n">
        <v>803053.23</v>
      </c>
    </row>
    <row r="272" customFormat="false" ht="15" hidden="false" customHeight="false" outlineLevel="0" collapsed="false">
      <c r="A272" s="14" t="s">
        <v>279</v>
      </c>
      <c r="B272" s="15" t="n">
        <v>3947932.68</v>
      </c>
    </row>
    <row r="274" customFormat="false" ht="39.75" hidden="false" customHeight="true" outlineLevel="0" collapsed="false">
      <c r="A274" s="18" t="s">
        <v>292</v>
      </c>
      <c r="B274" s="18"/>
    </row>
    <row r="276" customFormat="false" ht="15" hidden="false" customHeight="false" outlineLevel="0" collapsed="false">
      <c r="A276" s="19" t="s">
        <v>285</v>
      </c>
      <c r="B276" s="19" t="s">
        <v>286</v>
      </c>
    </row>
    <row r="277" customFormat="false" ht="15" hidden="false" customHeight="false" outlineLevel="0" collapsed="false">
      <c r="A277" s="20" t="s">
        <v>287</v>
      </c>
      <c r="B277" s="20" t="s">
        <v>288</v>
      </c>
    </row>
    <row r="278" customFormat="false" ht="15" hidden="false" customHeight="false" outlineLevel="0" collapsed="false">
      <c r="A278" s="20" t="s">
        <v>289</v>
      </c>
      <c r="B278" s="20" t="s">
        <v>290</v>
      </c>
    </row>
  </sheetData>
  <mergeCells count="1">
    <mergeCell ref="A274:B274"/>
  </mergeCells>
  <printOptions headings="false" gridLines="false" gridLinesSet="true" horizontalCentered="false" verticalCentered="false"/>
  <pageMargins left="0.5" right="0.5" top="1" bottom="1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Folha &amp;P de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7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8"/>
    <col collapsed="false" customWidth="true" hidden="false" outlineLevel="0" max="2" min="2" style="0" width="2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281</v>
      </c>
    </row>
    <row r="3" customFormat="false" ht="15" hidden="false" customHeight="false" outlineLevel="0" collapsed="false">
      <c r="A3" s="3" t="s">
        <v>293</v>
      </c>
    </row>
    <row r="4" customFormat="false" ht="15" hidden="false" customHeight="false" outlineLevel="0" collapsed="false">
      <c r="A4" s="3" t="s">
        <v>3</v>
      </c>
    </row>
    <row r="5" customFormat="false" ht="15" hidden="false" customHeight="false" outlineLevel="0" collapsed="false">
      <c r="A5" s="4" t="s">
        <v>4</v>
      </c>
    </row>
    <row r="7" customFormat="false" ht="21.75" hidden="false" customHeight="true" outlineLevel="0" collapsed="false">
      <c r="A7" s="5" t="s">
        <v>5</v>
      </c>
      <c r="B7" s="6" t="s">
        <v>283</v>
      </c>
    </row>
    <row r="8" customFormat="false" ht="15" hidden="false" customHeight="false" outlineLevel="0" collapsed="false">
      <c r="A8" s="7" t="s">
        <v>14</v>
      </c>
      <c r="B8" s="8" t="n">
        <v>77560196.52</v>
      </c>
    </row>
    <row r="9" customFormat="false" ht="15" hidden="false" customHeight="false" outlineLevel="0" collapsed="false">
      <c r="A9" s="9" t="s">
        <v>15</v>
      </c>
      <c r="B9" s="10" t="n">
        <v>24996421.22</v>
      </c>
    </row>
    <row r="10" customFormat="false" ht="15" hidden="false" customHeight="false" outlineLevel="0" collapsed="false">
      <c r="A10" s="11" t="s">
        <v>16</v>
      </c>
      <c r="B10" s="12" t="n">
        <v>10373712.68</v>
      </c>
    </row>
    <row r="11" customFormat="false" ht="15" hidden="false" customHeight="false" outlineLevel="0" collapsed="false">
      <c r="A11" s="13" t="s">
        <v>17</v>
      </c>
      <c r="B11" s="12" t="n">
        <v>403565.39</v>
      </c>
    </row>
    <row r="12" customFormat="false" ht="15" hidden="false" customHeight="false" outlineLevel="0" collapsed="false">
      <c r="A12" s="14" t="s">
        <v>18</v>
      </c>
      <c r="B12" s="15" t="n">
        <v>403565.39</v>
      </c>
    </row>
    <row r="13" customFormat="false" ht="15" hidden="false" customHeight="false" outlineLevel="0" collapsed="false">
      <c r="A13" s="13" t="s">
        <v>19</v>
      </c>
      <c r="B13" s="12" t="n">
        <v>721790.63</v>
      </c>
    </row>
    <row r="14" customFormat="false" ht="15" hidden="false" customHeight="false" outlineLevel="0" collapsed="false">
      <c r="A14" s="14" t="s">
        <v>20</v>
      </c>
      <c r="B14" s="15" t="n">
        <v>150626.73</v>
      </c>
    </row>
    <row r="15" customFormat="false" ht="15" hidden="false" customHeight="false" outlineLevel="0" collapsed="false">
      <c r="A15" s="14" t="s">
        <v>21</v>
      </c>
      <c r="B15" s="15" t="n">
        <v>131231.18</v>
      </c>
    </row>
    <row r="16" customFormat="false" ht="15" hidden="false" customHeight="false" outlineLevel="0" collapsed="false">
      <c r="A16" s="14" t="s">
        <v>22</v>
      </c>
      <c r="B16" s="15" t="n">
        <v>22279.6</v>
      </c>
    </row>
    <row r="17" customFormat="false" ht="15" hidden="false" customHeight="false" outlineLevel="0" collapsed="false">
      <c r="A17" s="14" t="s">
        <v>23</v>
      </c>
      <c r="B17" s="15" t="n">
        <v>157366.16</v>
      </c>
    </row>
    <row r="18" customFormat="false" ht="15" hidden="false" customHeight="false" outlineLevel="0" collapsed="false">
      <c r="A18" s="14" t="s">
        <v>24</v>
      </c>
      <c r="B18" s="15" t="n">
        <v>240851.27</v>
      </c>
    </row>
    <row r="19" customFormat="false" ht="15" hidden="false" customHeight="false" outlineLevel="0" collapsed="false">
      <c r="A19" s="14" t="s">
        <v>25</v>
      </c>
      <c r="B19" s="15" t="n">
        <v>1396.52</v>
      </c>
    </row>
    <row r="20" customFormat="false" ht="15" hidden="false" customHeight="false" outlineLevel="0" collapsed="false">
      <c r="A20" s="14" t="s">
        <v>26</v>
      </c>
      <c r="B20" s="15" t="n">
        <v>18039.17</v>
      </c>
    </row>
    <row r="21" customFormat="false" ht="15" hidden="false" customHeight="false" outlineLevel="0" collapsed="false">
      <c r="A21" s="13" t="s">
        <v>27</v>
      </c>
      <c r="B21" s="12" t="n">
        <v>9248356.66</v>
      </c>
    </row>
    <row r="22" customFormat="false" ht="15" hidden="false" customHeight="false" outlineLevel="0" collapsed="false">
      <c r="A22" s="14" t="s">
        <v>28</v>
      </c>
      <c r="B22" s="15" t="n">
        <v>3106798.67</v>
      </c>
    </row>
    <row r="23" customFormat="false" ht="15" hidden="false" customHeight="false" outlineLevel="0" collapsed="false">
      <c r="A23" s="14" t="s">
        <v>29</v>
      </c>
      <c r="B23" s="15" t="n">
        <v>5339552.87</v>
      </c>
    </row>
    <row r="24" customFormat="false" ht="15" hidden="false" customHeight="false" outlineLevel="0" collapsed="false">
      <c r="A24" s="14" t="s">
        <v>31</v>
      </c>
      <c r="B24" s="15" t="n">
        <v>752005.12</v>
      </c>
    </row>
    <row r="25" customFormat="false" ht="15" hidden="false" customHeight="false" outlineLevel="0" collapsed="false">
      <c r="A25" s="14" t="s">
        <v>32</v>
      </c>
      <c r="B25" s="15" t="n">
        <v>50000</v>
      </c>
    </row>
    <row r="26" customFormat="false" ht="15" hidden="false" customHeight="false" outlineLevel="0" collapsed="false">
      <c r="A26" s="11" t="s">
        <v>33</v>
      </c>
      <c r="B26" s="12" t="n">
        <v>20240209.17</v>
      </c>
    </row>
    <row r="27" customFormat="false" ht="15" hidden="false" customHeight="false" outlineLevel="0" collapsed="false">
      <c r="A27" s="13" t="s">
        <v>34</v>
      </c>
      <c r="B27" s="12" t="n">
        <v>16438090.36</v>
      </c>
    </row>
    <row r="28" customFormat="false" ht="15" hidden="false" customHeight="false" outlineLevel="0" collapsed="false">
      <c r="A28" s="14" t="s">
        <v>35</v>
      </c>
      <c r="B28" s="15" t="n">
        <v>10377392.47</v>
      </c>
    </row>
    <row r="29" customFormat="false" ht="15" hidden="false" customHeight="false" outlineLevel="0" collapsed="false">
      <c r="A29" s="14" t="s">
        <v>36</v>
      </c>
      <c r="B29" s="15" t="n">
        <v>4404444.41</v>
      </c>
    </row>
    <row r="30" customFormat="false" ht="15" hidden="false" customHeight="false" outlineLevel="0" collapsed="false">
      <c r="A30" s="14" t="s">
        <v>37</v>
      </c>
      <c r="B30" s="15" t="n">
        <v>23753.48</v>
      </c>
    </row>
    <row r="31" customFormat="false" ht="15" hidden="false" customHeight="false" outlineLevel="0" collapsed="false">
      <c r="A31" s="14" t="s">
        <v>38</v>
      </c>
      <c r="B31" s="15" t="n">
        <v>13500</v>
      </c>
    </row>
    <row r="32" customFormat="false" ht="15" hidden="false" customHeight="false" outlineLevel="0" collapsed="false">
      <c r="A32" s="14" t="s">
        <v>39</v>
      </c>
      <c r="B32" s="15" t="n">
        <v>1619000</v>
      </c>
    </row>
    <row r="33" customFormat="false" ht="15" hidden="false" customHeight="false" outlineLevel="0" collapsed="false">
      <c r="A33" s="13" t="s">
        <v>40</v>
      </c>
      <c r="B33" s="12" t="n">
        <v>3802118.81</v>
      </c>
    </row>
    <row r="34" customFormat="false" ht="15" hidden="false" customHeight="false" outlineLevel="0" collapsed="false">
      <c r="A34" s="14" t="s">
        <v>41</v>
      </c>
      <c r="B34" s="15" t="n">
        <v>17296.95</v>
      </c>
    </row>
    <row r="35" customFormat="false" ht="15" hidden="false" customHeight="false" outlineLevel="0" collapsed="false">
      <c r="A35" s="14" t="s">
        <v>42</v>
      </c>
      <c r="B35" s="15" t="n">
        <v>3784821.86</v>
      </c>
    </row>
    <row r="36" customFormat="false" ht="15" hidden="false" customHeight="false" outlineLevel="0" collapsed="false">
      <c r="A36" s="11" t="s">
        <v>44</v>
      </c>
      <c r="B36" s="12" t="n">
        <v>197017.32</v>
      </c>
    </row>
    <row r="37" customFormat="false" ht="15" hidden="false" customHeight="false" outlineLevel="0" collapsed="false">
      <c r="A37" s="13" t="s">
        <v>45</v>
      </c>
      <c r="B37" s="12" t="n">
        <v>75097.6</v>
      </c>
    </row>
    <row r="38" customFormat="false" ht="15" hidden="false" customHeight="false" outlineLevel="0" collapsed="false">
      <c r="A38" s="14" t="s">
        <v>46</v>
      </c>
      <c r="B38" s="15" t="n">
        <v>69131.19</v>
      </c>
    </row>
    <row r="39" customFormat="false" ht="15" hidden="false" customHeight="false" outlineLevel="0" collapsed="false">
      <c r="A39" s="14" t="s">
        <v>47</v>
      </c>
      <c r="B39" s="15" t="n">
        <v>5966.41</v>
      </c>
    </row>
    <row r="40" customFormat="false" ht="15" hidden="false" customHeight="false" outlineLevel="0" collapsed="false">
      <c r="A40" s="13" t="s">
        <v>48</v>
      </c>
      <c r="B40" s="12" t="n">
        <v>121919.72</v>
      </c>
    </row>
    <row r="41" customFormat="false" ht="15" hidden="false" customHeight="false" outlineLevel="0" collapsed="false">
      <c r="A41" s="14" t="s">
        <v>49</v>
      </c>
      <c r="B41" s="15" t="n">
        <v>11248.59</v>
      </c>
    </row>
    <row r="42" customFormat="false" ht="15" hidden="false" customHeight="false" outlineLevel="0" collapsed="false">
      <c r="A42" s="14" t="s">
        <v>50</v>
      </c>
      <c r="B42" s="15" t="n">
        <v>110671.13</v>
      </c>
    </row>
    <row r="43" customFormat="false" ht="15" hidden="false" customHeight="false" outlineLevel="0" collapsed="false">
      <c r="A43" s="11" t="s">
        <v>51</v>
      </c>
      <c r="B43" s="12" t="n">
        <v>-7461575.93</v>
      </c>
    </row>
    <row r="44" customFormat="false" ht="15" hidden="false" customHeight="false" outlineLevel="0" collapsed="false">
      <c r="A44" s="13" t="s">
        <v>52</v>
      </c>
      <c r="B44" s="12" t="n">
        <v>-11297570.04</v>
      </c>
    </row>
    <row r="45" customFormat="false" ht="15" hidden="false" customHeight="false" outlineLevel="0" collapsed="false">
      <c r="A45" s="14" t="s">
        <v>53</v>
      </c>
      <c r="B45" s="15" t="n">
        <v>-40894297.07</v>
      </c>
    </row>
    <row r="46" customFormat="false" ht="15" hidden="false" customHeight="false" outlineLevel="0" collapsed="false">
      <c r="A46" s="14" t="s">
        <v>54</v>
      </c>
      <c r="B46" s="15" t="n">
        <v>2838844.48</v>
      </c>
    </row>
    <row r="47" customFormat="false" ht="15" hidden="false" customHeight="false" outlineLevel="0" collapsed="false">
      <c r="A47" s="14" t="s">
        <v>55</v>
      </c>
      <c r="B47" s="15" t="n">
        <v>26722508.1</v>
      </c>
    </row>
    <row r="48" customFormat="false" ht="15" hidden="false" customHeight="false" outlineLevel="0" collapsed="false">
      <c r="A48" s="14" t="s">
        <v>56</v>
      </c>
      <c r="B48" s="15" t="n">
        <v>35374.45</v>
      </c>
    </row>
    <row r="49" customFormat="false" ht="15" hidden="false" customHeight="false" outlineLevel="0" collapsed="false">
      <c r="A49" s="13" t="s">
        <v>57</v>
      </c>
      <c r="B49" s="12" t="n">
        <v>-386244.68</v>
      </c>
    </row>
    <row r="50" customFormat="false" ht="15" hidden="false" customHeight="false" outlineLevel="0" collapsed="false">
      <c r="A50" s="14" t="s">
        <v>58</v>
      </c>
      <c r="B50" s="15" t="n">
        <v>-333994.68</v>
      </c>
    </row>
    <row r="51" customFormat="false" ht="15" hidden="false" customHeight="false" outlineLevel="0" collapsed="false">
      <c r="A51" s="14" t="s">
        <v>59</v>
      </c>
      <c r="B51" s="15" t="n">
        <v>-52250</v>
      </c>
    </row>
    <row r="52" customFormat="false" ht="15" hidden="false" customHeight="false" outlineLevel="0" collapsed="false">
      <c r="A52" s="13" t="s">
        <v>60</v>
      </c>
      <c r="B52" s="12" t="n">
        <v>690536.61</v>
      </c>
    </row>
    <row r="53" customFormat="false" ht="15" hidden="false" customHeight="false" outlineLevel="0" collapsed="false">
      <c r="A53" s="14" t="s">
        <v>61</v>
      </c>
      <c r="B53" s="15" t="n">
        <v>137870.28</v>
      </c>
    </row>
    <row r="54" customFormat="false" ht="15" hidden="false" customHeight="false" outlineLevel="0" collapsed="false">
      <c r="A54" s="14" t="s">
        <v>63</v>
      </c>
      <c r="B54" s="15" t="n">
        <v>124758.12</v>
      </c>
    </row>
    <row r="55" customFormat="false" ht="15" hidden="false" customHeight="false" outlineLevel="0" collapsed="false">
      <c r="A55" s="14" t="s">
        <v>64</v>
      </c>
      <c r="B55" s="15" t="n">
        <v>25392.38</v>
      </c>
    </row>
    <row r="56" customFormat="false" ht="15" hidden="false" customHeight="false" outlineLevel="0" collapsed="false">
      <c r="A56" s="14" t="s">
        <v>65</v>
      </c>
      <c r="B56" s="15" t="n">
        <v>303669.89</v>
      </c>
    </row>
    <row r="57" customFormat="false" ht="15" hidden="false" customHeight="false" outlineLevel="0" collapsed="false">
      <c r="A57" s="14" t="s">
        <v>66</v>
      </c>
      <c r="B57" s="15" t="n">
        <v>42741.04</v>
      </c>
    </row>
    <row r="58" customFormat="false" ht="15" hidden="false" customHeight="false" outlineLevel="0" collapsed="false">
      <c r="A58" s="14" t="s">
        <v>67</v>
      </c>
      <c r="B58" s="15" t="n">
        <v>86116.2</v>
      </c>
    </row>
    <row r="59" customFormat="false" ht="15" hidden="false" customHeight="false" outlineLevel="0" collapsed="false">
      <c r="A59" s="14" t="s">
        <v>68</v>
      </c>
      <c r="B59" s="15" t="n">
        <v>138850</v>
      </c>
    </row>
    <row r="60" customFormat="false" ht="15" hidden="false" customHeight="false" outlineLevel="0" collapsed="false">
      <c r="A60" s="14" t="s">
        <v>69</v>
      </c>
      <c r="B60" s="15" t="n">
        <v>2478.6</v>
      </c>
    </row>
    <row r="61" customFormat="false" ht="15" hidden="false" customHeight="false" outlineLevel="0" collapsed="false">
      <c r="A61" s="14" t="s">
        <v>70</v>
      </c>
      <c r="B61" s="15" t="n">
        <v>-171339.9</v>
      </c>
    </row>
    <row r="62" customFormat="false" ht="15" hidden="false" customHeight="false" outlineLevel="0" collapsed="false">
      <c r="A62" s="13" t="s">
        <v>72</v>
      </c>
      <c r="B62" s="12" t="n">
        <v>3531702.18</v>
      </c>
    </row>
    <row r="63" customFormat="false" ht="15" hidden="false" customHeight="false" outlineLevel="0" collapsed="false">
      <c r="A63" s="14" t="s">
        <v>73</v>
      </c>
      <c r="B63" s="15" t="n">
        <v>65140.47</v>
      </c>
    </row>
    <row r="64" customFormat="false" ht="15" hidden="false" customHeight="false" outlineLevel="0" collapsed="false">
      <c r="A64" s="14" t="s">
        <v>74</v>
      </c>
      <c r="B64" s="15" t="n">
        <v>1342902.06</v>
      </c>
    </row>
    <row r="65" customFormat="false" ht="15" hidden="false" customHeight="false" outlineLevel="0" collapsed="false">
      <c r="A65" s="14" t="s">
        <v>75</v>
      </c>
      <c r="B65" s="15" t="n">
        <v>190430.94</v>
      </c>
    </row>
    <row r="66" customFormat="false" ht="15" hidden="false" customHeight="false" outlineLevel="0" collapsed="false">
      <c r="A66" s="14" t="s">
        <v>76</v>
      </c>
      <c r="B66" s="15" t="n">
        <v>1913627.22</v>
      </c>
    </row>
    <row r="67" customFormat="false" ht="15" hidden="false" customHeight="false" outlineLevel="0" collapsed="false">
      <c r="A67" s="14" t="s">
        <v>77</v>
      </c>
      <c r="B67" s="15" t="n">
        <v>11521.49</v>
      </c>
    </row>
    <row r="68" customFormat="false" ht="15" hidden="false" customHeight="false" outlineLevel="0" collapsed="false">
      <c r="A68" s="14" t="s">
        <v>78</v>
      </c>
      <c r="B68" s="15" t="n">
        <v>8080</v>
      </c>
    </row>
    <row r="69" customFormat="false" ht="15" hidden="false" customHeight="false" outlineLevel="0" collapsed="false">
      <c r="A69" s="11" t="s">
        <v>79</v>
      </c>
      <c r="B69" s="12" t="n">
        <v>1528361.97</v>
      </c>
    </row>
    <row r="70" customFormat="false" ht="15" hidden="false" customHeight="false" outlineLevel="0" collapsed="false">
      <c r="A70" s="13" t="s">
        <v>80</v>
      </c>
      <c r="B70" s="12" t="n">
        <v>-9561.25</v>
      </c>
    </row>
    <row r="71" customFormat="false" ht="15" hidden="false" customHeight="false" outlineLevel="0" collapsed="false">
      <c r="A71" s="14" t="s">
        <v>81</v>
      </c>
      <c r="B71" s="15" t="n">
        <v>-9561.25</v>
      </c>
    </row>
    <row r="72" customFormat="false" ht="15" hidden="false" customHeight="false" outlineLevel="0" collapsed="false">
      <c r="A72" s="13" t="s">
        <v>82</v>
      </c>
      <c r="B72" s="12" t="n">
        <v>1537923.22</v>
      </c>
    </row>
    <row r="73" customFormat="false" ht="15" hidden="false" customHeight="false" outlineLevel="0" collapsed="false">
      <c r="A73" s="14" t="s">
        <v>83</v>
      </c>
      <c r="B73" s="15" t="n">
        <v>289523.85</v>
      </c>
    </row>
    <row r="74" customFormat="false" ht="15" hidden="false" customHeight="false" outlineLevel="0" collapsed="false">
      <c r="A74" s="14" t="s">
        <v>84</v>
      </c>
      <c r="B74" s="15" t="n">
        <v>54595.56</v>
      </c>
    </row>
    <row r="75" customFormat="false" ht="15" hidden="false" customHeight="false" outlineLevel="0" collapsed="false">
      <c r="A75" s="14" t="s">
        <v>86</v>
      </c>
      <c r="B75" s="15" t="n">
        <v>7500</v>
      </c>
    </row>
    <row r="76" customFormat="false" ht="15" hidden="false" customHeight="false" outlineLevel="0" collapsed="false">
      <c r="A76" s="14" t="s">
        <v>87</v>
      </c>
      <c r="B76" s="15" t="n">
        <v>-16913.19</v>
      </c>
    </row>
    <row r="77" customFormat="false" ht="15" hidden="false" customHeight="false" outlineLevel="0" collapsed="false">
      <c r="A77" s="14" t="s">
        <v>88</v>
      </c>
      <c r="B77" s="15" t="n">
        <v>1203217</v>
      </c>
    </row>
    <row r="78" customFormat="false" ht="15" hidden="false" customHeight="false" outlineLevel="0" collapsed="false">
      <c r="A78" s="11" t="s">
        <v>89</v>
      </c>
      <c r="B78" s="12" t="n">
        <v>118696.01</v>
      </c>
    </row>
    <row r="79" customFormat="false" ht="15" hidden="false" customHeight="false" outlineLevel="0" collapsed="false">
      <c r="A79" s="13" t="s">
        <v>89</v>
      </c>
      <c r="B79" s="12" t="n">
        <v>118696.01</v>
      </c>
    </row>
    <row r="80" customFormat="false" ht="15" hidden="false" customHeight="false" outlineLevel="0" collapsed="false">
      <c r="A80" s="14" t="s">
        <v>90</v>
      </c>
      <c r="B80" s="15" t="n">
        <v>104974.01</v>
      </c>
    </row>
    <row r="81" customFormat="false" ht="15" hidden="false" customHeight="false" outlineLevel="0" collapsed="false">
      <c r="A81" s="14" t="s">
        <v>91</v>
      </c>
      <c r="B81" s="15" t="n">
        <v>13722</v>
      </c>
    </row>
    <row r="82" customFormat="false" ht="15" hidden="false" customHeight="false" outlineLevel="0" collapsed="false">
      <c r="A82" s="9" t="s">
        <v>92</v>
      </c>
      <c r="B82" s="10" t="n">
        <v>52563775.3</v>
      </c>
    </row>
    <row r="83" customFormat="false" ht="15" hidden="false" customHeight="false" outlineLevel="0" collapsed="false">
      <c r="A83" s="11" t="s">
        <v>93</v>
      </c>
      <c r="B83" s="12" t="n">
        <v>21822155.04</v>
      </c>
    </row>
    <row r="84" customFormat="false" ht="15" hidden="false" customHeight="false" outlineLevel="0" collapsed="false">
      <c r="A84" s="13" t="s">
        <v>94</v>
      </c>
      <c r="B84" s="12" t="n">
        <v>479905.08</v>
      </c>
    </row>
    <row r="85" customFormat="false" ht="15" hidden="false" customHeight="false" outlineLevel="0" collapsed="false">
      <c r="A85" s="14" t="s">
        <v>95</v>
      </c>
      <c r="B85" s="15" t="n">
        <v>479905.08</v>
      </c>
    </row>
    <row r="86" customFormat="false" ht="15" hidden="false" customHeight="false" outlineLevel="0" collapsed="false">
      <c r="A86" s="13" t="s">
        <v>96</v>
      </c>
      <c r="B86" s="12" t="n">
        <v>21342249.96</v>
      </c>
    </row>
    <row r="87" customFormat="false" ht="15" hidden="false" customHeight="false" outlineLevel="0" collapsed="false">
      <c r="A87" s="14" t="s">
        <v>97</v>
      </c>
      <c r="B87" s="15" t="n">
        <v>10728710.65</v>
      </c>
    </row>
    <row r="88" customFormat="false" ht="15" hidden="false" customHeight="false" outlineLevel="0" collapsed="false">
      <c r="A88" s="14" t="s">
        <v>98</v>
      </c>
      <c r="B88" s="15" t="n">
        <v>2182219.17</v>
      </c>
    </row>
    <row r="89" customFormat="false" ht="15" hidden="false" customHeight="false" outlineLevel="0" collapsed="false">
      <c r="A89" s="14" t="s">
        <v>99</v>
      </c>
      <c r="B89" s="15" t="n">
        <v>47182.68</v>
      </c>
    </row>
    <row r="90" customFormat="false" ht="15" hidden="false" customHeight="false" outlineLevel="0" collapsed="false">
      <c r="A90" s="14" t="s">
        <v>100</v>
      </c>
      <c r="B90" s="15" t="n">
        <v>8384137.46</v>
      </c>
    </row>
    <row r="91" customFormat="false" ht="15" hidden="false" customHeight="false" outlineLevel="0" collapsed="false">
      <c r="A91" s="11" t="s">
        <v>101</v>
      </c>
      <c r="B91" s="12" t="n">
        <v>3955501.62</v>
      </c>
    </row>
    <row r="92" customFormat="false" ht="15" hidden="false" customHeight="false" outlineLevel="0" collapsed="false">
      <c r="A92" s="13" t="s">
        <v>102</v>
      </c>
      <c r="B92" s="12" t="n">
        <v>1632864.31</v>
      </c>
    </row>
    <row r="93" customFormat="false" ht="15" hidden="false" customHeight="false" outlineLevel="0" collapsed="false">
      <c r="A93" s="14" t="s">
        <v>103</v>
      </c>
      <c r="B93" s="15" t="n">
        <v>1632864.31</v>
      </c>
    </row>
    <row r="94" customFormat="false" ht="15" hidden="false" customHeight="false" outlineLevel="0" collapsed="false">
      <c r="A94" s="13" t="s">
        <v>104</v>
      </c>
      <c r="B94" s="12" t="n">
        <v>1713045.16</v>
      </c>
    </row>
    <row r="95" customFormat="false" ht="15" hidden="false" customHeight="false" outlineLevel="0" collapsed="false">
      <c r="A95" s="14" t="s">
        <v>105</v>
      </c>
      <c r="B95" s="15" t="n">
        <v>1203490</v>
      </c>
    </row>
    <row r="96" customFormat="false" ht="15" hidden="false" customHeight="false" outlineLevel="0" collapsed="false">
      <c r="A96" s="14" t="s">
        <v>106</v>
      </c>
      <c r="B96" s="15" t="n">
        <v>481714.01</v>
      </c>
    </row>
    <row r="97" customFormat="false" ht="15" hidden="false" customHeight="false" outlineLevel="0" collapsed="false">
      <c r="A97" s="14" t="s">
        <v>107</v>
      </c>
      <c r="B97" s="15" t="n">
        <v>27841.15</v>
      </c>
    </row>
    <row r="98" customFormat="false" ht="15" hidden="false" customHeight="false" outlineLevel="0" collapsed="false">
      <c r="A98" s="13" t="s">
        <v>108</v>
      </c>
      <c r="B98" s="12" t="n">
        <v>371871.27</v>
      </c>
    </row>
    <row r="99" customFormat="false" ht="15" hidden="false" customHeight="false" outlineLevel="0" collapsed="false">
      <c r="A99" s="14" t="s">
        <v>109</v>
      </c>
      <c r="B99" s="15" t="n">
        <v>52210.58</v>
      </c>
    </row>
    <row r="100" customFormat="false" ht="15" hidden="false" customHeight="false" outlineLevel="0" collapsed="false">
      <c r="A100" s="14" t="s">
        <v>110</v>
      </c>
      <c r="B100" s="15" t="n">
        <v>67565.48</v>
      </c>
    </row>
    <row r="101" customFormat="false" ht="15" hidden="false" customHeight="false" outlineLevel="0" collapsed="false">
      <c r="A101" s="14" t="s">
        <v>111</v>
      </c>
      <c r="B101" s="15" t="n">
        <v>67565.48</v>
      </c>
    </row>
    <row r="102" customFormat="false" ht="15" hidden="false" customHeight="false" outlineLevel="0" collapsed="false">
      <c r="A102" s="14" t="s">
        <v>112</v>
      </c>
      <c r="B102" s="15" t="n">
        <v>62192.21</v>
      </c>
    </row>
    <row r="103" customFormat="false" ht="15" hidden="false" customHeight="false" outlineLevel="0" collapsed="false">
      <c r="A103" s="14" t="s">
        <v>113</v>
      </c>
      <c r="B103" s="15" t="n">
        <v>45482.34</v>
      </c>
    </row>
    <row r="104" customFormat="false" ht="15" hidden="false" customHeight="false" outlineLevel="0" collapsed="false">
      <c r="A104" s="14" t="s">
        <v>114</v>
      </c>
      <c r="B104" s="15" t="n">
        <v>38922.96</v>
      </c>
    </row>
    <row r="105" customFormat="false" ht="15" hidden="false" customHeight="false" outlineLevel="0" collapsed="false">
      <c r="A105" s="14" t="s">
        <v>115</v>
      </c>
      <c r="B105" s="15" t="n">
        <v>17660.62</v>
      </c>
    </row>
    <row r="106" customFormat="false" ht="15" hidden="false" customHeight="false" outlineLevel="0" collapsed="false">
      <c r="A106" s="14" t="s">
        <v>116</v>
      </c>
      <c r="B106" s="15" t="n">
        <v>20271.6</v>
      </c>
    </row>
    <row r="107" customFormat="false" ht="15" hidden="false" customHeight="false" outlineLevel="0" collapsed="false">
      <c r="A107" s="13" t="s">
        <v>118</v>
      </c>
      <c r="B107" s="12" t="n">
        <v>237720.88</v>
      </c>
    </row>
    <row r="108" customFormat="false" ht="15" hidden="false" customHeight="false" outlineLevel="0" collapsed="false">
      <c r="A108" s="14" t="s">
        <v>119</v>
      </c>
      <c r="B108" s="15" t="n">
        <v>104705.76</v>
      </c>
    </row>
    <row r="109" customFormat="false" ht="15" hidden="false" customHeight="false" outlineLevel="0" collapsed="false">
      <c r="A109" s="14" t="s">
        <v>120</v>
      </c>
      <c r="B109" s="15" t="n">
        <v>32250.86</v>
      </c>
    </row>
    <row r="110" customFormat="false" ht="15" hidden="false" customHeight="false" outlineLevel="0" collapsed="false">
      <c r="A110" s="14" t="s">
        <v>121</v>
      </c>
      <c r="B110" s="15" t="n">
        <v>21984.26</v>
      </c>
    </row>
    <row r="111" customFormat="false" ht="15" hidden="false" customHeight="false" outlineLevel="0" collapsed="false">
      <c r="A111" s="14" t="s">
        <v>122</v>
      </c>
      <c r="B111" s="15" t="n">
        <v>78780</v>
      </c>
    </row>
    <row r="112" customFormat="false" ht="15" hidden="false" customHeight="false" outlineLevel="0" collapsed="false">
      <c r="A112" s="11" t="s">
        <v>123</v>
      </c>
      <c r="B112" s="12" t="n">
        <v>24466646.65</v>
      </c>
    </row>
    <row r="113" customFormat="false" ht="15" hidden="false" customHeight="false" outlineLevel="0" collapsed="false">
      <c r="A113" s="13" t="s">
        <v>105</v>
      </c>
      <c r="B113" s="12" t="n">
        <v>6711830</v>
      </c>
    </row>
    <row r="114" customFormat="false" ht="15" hidden="false" customHeight="false" outlineLevel="0" collapsed="false">
      <c r="A114" s="14" t="s">
        <v>105</v>
      </c>
      <c r="B114" s="15" t="n">
        <v>6711830</v>
      </c>
    </row>
    <row r="115" customFormat="false" ht="15" hidden="false" customHeight="false" outlineLevel="0" collapsed="false">
      <c r="A115" s="13" t="s">
        <v>124</v>
      </c>
      <c r="B115" s="12" t="n">
        <v>2151462.87</v>
      </c>
    </row>
    <row r="116" customFormat="false" ht="15" hidden="false" customHeight="false" outlineLevel="0" collapsed="false">
      <c r="A116" s="14" t="s">
        <v>125</v>
      </c>
      <c r="B116" s="15" t="n">
        <v>2151462.87</v>
      </c>
    </row>
    <row r="117" customFormat="false" ht="15" hidden="false" customHeight="false" outlineLevel="0" collapsed="false">
      <c r="A117" s="13" t="s">
        <v>126</v>
      </c>
      <c r="B117" s="12" t="n">
        <v>19447486.16</v>
      </c>
    </row>
    <row r="118" customFormat="false" ht="15" hidden="false" customHeight="false" outlineLevel="0" collapsed="false">
      <c r="A118" s="14" t="s">
        <v>127</v>
      </c>
      <c r="B118" s="15" t="n">
        <v>19447486.16</v>
      </c>
    </row>
    <row r="119" customFormat="false" ht="15" hidden="false" customHeight="false" outlineLevel="0" collapsed="false">
      <c r="A119" s="13" t="s">
        <v>128</v>
      </c>
      <c r="B119" s="12" t="n">
        <v>673999.63</v>
      </c>
    </row>
    <row r="120" customFormat="false" ht="15" hidden="false" customHeight="false" outlineLevel="0" collapsed="false">
      <c r="A120" s="14" t="s">
        <v>129</v>
      </c>
      <c r="B120" s="15" t="n">
        <v>92262.56</v>
      </c>
    </row>
    <row r="121" customFormat="false" ht="15" hidden="false" customHeight="false" outlineLevel="0" collapsed="false">
      <c r="A121" s="14" t="s">
        <v>130</v>
      </c>
      <c r="B121" s="15" t="n">
        <v>581737.07</v>
      </c>
    </row>
    <row r="122" customFormat="false" ht="15" hidden="false" customHeight="false" outlineLevel="0" collapsed="false">
      <c r="A122" s="13" t="s">
        <v>131</v>
      </c>
      <c r="B122" s="12" t="n">
        <v>1288335.42</v>
      </c>
    </row>
    <row r="123" customFormat="false" ht="15" hidden="false" customHeight="false" outlineLevel="0" collapsed="false">
      <c r="A123" s="14" t="s">
        <v>132</v>
      </c>
      <c r="B123" s="15" t="n">
        <v>32525.91</v>
      </c>
    </row>
    <row r="124" customFormat="false" ht="15" hidden="false" customHeight="false" outlineLevel="0" collapsed="false">
      <c r="A124" s="14" t="s">
        <v>133</v>
      </c>
      <c r="B124" s="15" t="n">
        <v>173722.04</v>
      </c>
    </row>
    <row r="125" customFormat="false" ht="15" hidden="false" customHeight="false" outlineLevel="0" collapsed="false">
      <c r="A125" s="14" t="s">
        <v>131</v>
      </c>
      <c r="B125" s="15" t="n">
        <v>1082087.47</v>
      </c>
    </row>
    <row r="126" customFormat="false" ht="15" hidden="false" customHeight="false" outlineLevel="0" collapsed="false">
      <c r="A126" s="13" t="s">
        <v>134</v>
      </c>
      <c r="B126" s="12" t="n">
        <v>2671903.95</v>
      </c>
    </row>
    <row r="127" customFormat="false" ht="15" hidden="false" customHeight="false" outlineLevel="0" collapsed="false">
      <c r="A127" s="14" t="s">
        <v>135</v>
      </c>
      <c r="B127" s="15" t="n">
        <v>828900</v>
      </c>
    </row>
    <row r="128" customFormat="false" ht="15" hidden="false" customHeight="false" outlineLevel="0" collapsed="false">
      <c r="A128" s="14" t="s">
        <v>136</v>
      </c>
      <c r="B128" s="15" t="n">
        <v>793063.04</v>
      </c>
    </row>
    <row r="129" customFormat="false" ht="15" hidden="false" customHeight="false" outlineLevel="0" collapsed="false">
      <c r="A129" s="14" t="s">
        <v>137</v>
      </c>
      <c r="B129" s="15" t="n">
        <v>1049940.91</v>
      </c>
    </row>
    <row r="130" customFormat="false" ht="15" hidden="false" customHeight="false" outlineLevel="0" collapsed="false">
      <c r="A130" s="13" t="s">
        <v>138</v>
      </c>
      <c r="B130" s="12" t="n">
        <v>629632.82</v>
      </c>
    </row>
    <row r="131" customFormat="false" ht="15" hidden="false" customHeight="false" outlineLevel="0" collapsed="false">
      <c r="A131" s="14" t="s">
        <v>139</v>
      </c>
      <c r="B131" s="15" t="n">
        <v>323756.96</v>
      </c>
    </row>
    <row r="132" customFormat="false" ht="15" hidden="false" customHeight="false" outlineLevel="0" collapsed="false">
      <c r="A132" s="14" t="s">
        <v>140</v>
      </c>
      <c r="B132" s="15" t="n">
        <v>274422.62</v>
      </c>
    </row>
    <row r="133" customFormat="false" ht="15" hidden="false" customHeight="false" outlineLevel="0" collapsed="false">
      <c r="A133" s="14" t="s">
        <v>141</v>
      </c>
      <c r="B133" s="15" t="n">
        <v>31453.24</v>
      </c>
    </row>
    <row r="134" customFormat="false" ht="15" hidden="false" customHeight="false" outlineLevel="0" collapsed="false">
      <c r="A134" s="13" t="s">
        <v>142</v>
      </c>
      <c r="B134" s="12" t="n">
        <v>4335941.36</v>
      </c>
    </row>
    <row r="135" customFormat="false" ht="15" hidden="false" customHeight="false" outlineLevel="0" collapsed="false">
      <c r="A135" s="14" t="s">
        <v>143</v>
      </c>
      <c r="B135" s="15" t="n">
        <v>4335941.36</v>
      </c>
    </row>
    <row r="136" customFormat="false" ht="15" hidden="false" customHeight="false" outlineLevel="0" collapsed="false">
      <c r="A136" s="13" t="s">
        <v>144</v>
      </c>
      <c r="B136" s="12" t="n">
        <v>4385344.01</v>
      </c>
    </row>
    <row r="137" customFormat="false" ht="15" hidden="false" customHeight="false" outlineLevel="0" collapsed="false">
      <c r="A137" s="14" t="s">
        <v>145</v>
      </c>
      <c r="B137" s="15" t="n">
        <v>4385344.01</v>
      </c>
    </row>
    <row r="138" customFormat="false" ht="15" hidden="false" customHeight="false" outlineLevel="0" collapsed="false">
      <c r="A138" s="13" t="s">
        <v>146</v>
      </c>
      <c r="B138" s="12" t="n">
        <v>70617.05</v>
      </c>
    </row>
    <row r="139" customFormat="false" ht="15" hidden="false" customHeight="false" outlineLevel="0" collapsed="false">
      <c r="A139" s="14" t="s">
        <v>147</v>
      </c>
      <c r="B139" s="15" t="n">
        <v>70617.05</v>
      </c>
    </row>
    <row r="140" customFormat="false" ht="15" hidden="false" customHeight="false" outlineLevel="0" collapsed="false">
      <c r="A140" s="13" t="s">
        <v>148</v>
      </c>
      <c r="B140" s="12" t="n">
        <v>-17899906.62</v>
      </c>
    </row>
    <row r="141" customFormat="false" ht="15" hidden="false" customHeight="false" outlineLevel="0" collapsed="false">
      <c r="A141" s="14" t="s">
        <v>149</v>
      </c>
      <c r="B141" s="15" t="n">
        <v>-17899906.62</v>
      </c>
    </row>
    <row r="142" customFormat="false" ht="15" hidden="false" customHeight="false" outlineLevel="0" collapsed="false">
      <c r="A142" s="11" t="s">
        <v>150</v>
      </c>
      <c r="B142" s="12" t="n">
        <v>2319471.99</v>
      </c>
    </row>
    <row r="143" customFormat="false" ht="15" hidden="false" customHeight="false" outlineLevel="0" collapsed="false">
      <c r="A143" s="13" t="s">
        <v>151</v>
      </c>
      <c r="B143" s="12" t="n">
        <v>2094086.47</v>
      </c>
    </row>
    <row r="144" customFormat="false" ht="15" hidden="false" customHeight="false" outlineLevel="0" collapsed="false">
      <c r="A144" s="14" t="s">
        <v>152</v>
      </c>
      <c r="B144" s="15" t="n">
        <v>46948</v>
      </c>
    </row>
    <row r="145" customFormat="false" ht="15" hidden="false" customHeight="false" outlineLevel="0" collapsed="false">
      <c r="A145" s="14" t="s">
        <v>153</v>
      </c>
      <c r="B145" s="15" t="n">
        <v>1887138.47</v>
      </c>
    </row>
    <row r="146" customFormat="false" ht="15" hidden="false" customHeight="false" outlineLevel="0" collapsed="false">
      <c r="A146" s="14" t="s">
        <v>154</v>
      </c>
      <c r="B146" s="15" t="n">
        <v>160000</v>
      </c>
    </row>
    <row r="147" customFormat="false" ht="15" hidden="false" customHeight="false" outlineLevel="0" collapsed="false">
      <c r="A147" s="13" t="s">
        <v>155</v>
      </c>
      <c r="B147" s="12" t="n">
        <v>225385.52</v>
      </c>
    </row>
    <row r="148" customFormat="false" ht="15" hidden="false" customHeight="false" outlineLevel="0" collapsed="false">
      <c r="A148" s="14" t="s">
        <v>156</v>
      </c>
      <c r="B148" s="15" t="n">
        <v>831708.71</v>
      </c>
    </row>
    <row r="149" customFormat="false" ht="15" hidden="false" customHeight="false" outlineLevel="0" collapsed="false">
      <c r="A149" s="14" t="s">
        <v>157</v>
      </c>
      <c r="B149" s="15" t="n">
        <v>-606323.19</v>
      </c>
    </row>
    <row r="150" customFormat="false" ht="15" hidden="false" customHeight="false" outlineLevel="0" collapsed="false">
      <c r="A150" s="7" t="s">
        <v>158</v>
      </c>
      <c r="B150" s="8" t="n">
        <v>78499226.86</v>
      </c>
    </row>
    <row r="151" customFormat="false" ht="15" hidden="false" customHeight="false" outlineLevel="0" collapsed="false">
      <c r="A151" s="9" t="s">
        <v>159</v>
      </c>
      <c r="B151" s="10" t="n">
        <v>19337897.17</v>
      </c>
    </row>
    <row r="152" customFormat="false" ht="15" hidden="false" customHeight="false" outlineLevel="0" collapsed="false">
      <c r="A152" s="11" t="s">
        <v>160</v>
      </c>
      <c r="B152" s="12" t="n">
        <v>7819676.4</v>
      </c>
    </row>
    <row r="153" customFormat="false" ht="15" hidden="false" customHeight="false" outlineLevel="0" collapsed="false">
      <c r="A153" s="13" t="s">
        <v>161</v>
      </c>
      <c r="B153" s="12" t="n">
        <v>7819676.4</v>
      </c>
    </row>
    <row r="154" customFormat="false" ht="15" hidden="false" customHeight="false" outlineLevel="0" collapsed="false">
      <c r="A154" s="14" t="s">
        <v>161</v>
      </c>
      <c r="B154" s="15" t="n">
        <v>7819676.4</v>
      </c>
    </row>
    <row r="155" customFormat="false" ht="15" hidden="false" customHeight="false" outlineLevel="0" collapsed="false">
      <c r="A155" s="11" t="s">
        <v>163</v>
      </c>
      <c r="B155" s="12" t="n">
        <v>663266.11</v>
      </c>
    </row>
    <row r="156" customFormat="false" ht="15" hidden="false" customHeight="false" outlineLevel="0" collapsed="false">
      <c r="A156" s="13" t="s">
        <v>164</v>
      </c>
      <c r="B156" s="12" t="n">
        <v>575783.87</v>
      </c>
    </row>
    <row r="157" customFormat="false" ht="15" hidden="false" customHeight="false" outlineLevel="0" collapsed="false">
      <c r="A157" s="14" t="s">
        <v>165</v>
      </c>
      <c r="B157" s="15" t="n">
        <v>75542.57</v>
      </c>
    </row>
    <row r="158" customFormat="false" ht="15" hidden="false" customHeight="false" outlineLevel="0" collapsed="false">
      <c r="A158" s="14" t="s">
        <v>166</v>
      </c>
      <c r="B158" s="15" t="n">
        <v>341861.3</v>
      </c>
    </row>
    <row r="159" customFormat="false" ht="15" hidden="false" customHeight="false" outlineLevel="0" collapsed="false">
      <c r="A159" s="14" t="s">
        <v>167</v>
      </c>
      <c r="B159" s="15" t="n">
        <v>75628.26</v>
      </c>
    </row>
    <row r="160" customFormat="false" ht="15" hidden="false" customHeight="false" outlineLevel="0" collapsed="false">
      <c r="A160" s="14" t="s">
        <v>168</v>
      </c>
      <c r="B160" s="15" t="n">
        <v>42385.46</v>
      </c>
    </row>
    <row r="161" customFormat="false" ht="15" hidden="false" customHeight="false" outlineLevel="0" collapsed="false">
      <c r="A161" s="14" t="s">
        <v>169</v>
      </c>
      <c r="B161" s="15" t="n">
        <v>15196.48</v>
      </c>
    </row>
    <row r="162" customFormat="false" ht="15" hidden="false" customHeight="false" outlineLevel="0" collapsed="false">
      <c r="A162" s="14" t="s">
        <v>170</v>
      </c>
      <c r="B162" s="15" t="n">
        <v>2135.13</v>
      </c>
    </row>
    <row r="163" customFormat="false" ht="15" hidden="false" customHeight="false" outlineLevel="0" collapsed="false">
      <c r="A163" s="14" t="s">
        <v>172</v>
      </c>
      <c r="B163" s="15" t="n">
        <v>15975.53</v>
      </c>
    </row>
    <row r="164" customFormat="false" ht="15" hidden="false" customHeight="false" outlineLevel="0" collapsed="false">
      <c r="A164" s="14" t="s">
        <v>173</v>
      </c>
      <c r="B164" s="15" t="n">
        <v>7059.14</v>
      </c>
    </row>
    <row r="165" customFormat="false" ht="15" hidden="false" customHeight="false" outlineLevel="0" collapsed="false">
      <c r="A165" s="13" t="s">
        <v>174</v>
      </c>
      <c r="B165" s="12" t="n">
        <v>53289.24</v>
      </c>
    </row>
    <row r="166" customFormat="false" ht="15" hidden="false" customHeight="false" outlineLevel="0" collapsed="false">
      <c r="A166" s="14" t="s">
        <v>175</v>
      </c>
      <c r="B166" s="15" t="n">
        <v>47760.87</v>
      </c>
    </row>
    <row r="167" customFormat="false" ht="15" hidden="false" customHeight="false" outlineLevel="0" collapsed="false">
      <c r="A167" s="14" t="s">
        <v>177</v>
      </c>
      <c r="B167" s="15" t="n">
        <v>5528.37</v>
      </c>
    </row>
    <row r="168" customFormat="false" ht="15" hidden="false" customHeight="false" outlineLevel="0" collapsed="false">
      <c r="A168" s="13" t="s">
        <v>178</v>
      </c>
      <c r="B168" s="12" t="n">
        <v>26899.87</v>
      </c>
    </row>
    <row r="169" customFormat="false" ht="15" hidden="false" customHeight="false" outlineLevel="0" collapsed="false">
      <c r="A169" s="14" t="s">
        <v>179</v>
      </c>
      <c r="B169" s="15" t="n">
        <v>3709.48</v>
      </c>
    </row>
    <row r="170" customFormat="false" ht="15" hidden="false" customHeight="false" outlineLevel="0" collapsed="false">
      <c r="A170" s="14" t="s">
        <v>180</v>
      </c>
      <c r="B170" s="15" t="n">
        <v>22975.16</v>
      </c>
    </row>
    <row r="171" customFormat="false" ht="15" hidden="false" customHeight="false" outlineLevel="0" collapsed="false">
      <c r="A171" s="14" t="s">
        <v>181</v>
      </c>
      <c r="B171" s="15" t="n">
        <v>215.23</v>
      </c>
    </row>
    <row r="172" customFormat="false" ht="15" hidden="false" customHeight="false" outlineLevel="0" collapsed="false">
      <c r="A172" s="13" t="s">
        <v>182</v>
      </c>
      <c r="B172" s="12" t="n">
        <v>7293.13</v>
      </c>
    </row>
    <row r="173" customFormat="false" ht="15" hidden="false" customHeight="false" outlineLevel="0" collapsed="false">
      <c r="A173" s="14" t="s">
        <v>183</v>
      </c>
      <c r="B173" s="15" t="n">
        <v>7293.13</v>
      </c>
    </row>
    <row r="174" customFormat="false" ht="15" hidden="false" customHeight="false" outlineLevel="0" collapsed="false">
      <c r="A174" s="11" t="s">
        <v>184</v>
      </c>
      <c r="B174" s="12" t="n">
        <v>3217676.69</v>
      </c>
    </row>
    <row r="175" customFormat="false" ht="15" hidden="false" customHeight="false" outlineLevel="0" collapsed="false">
      <c r="A175" s="13" t="s">
        <v>185</v>
      </c>
      <c r="B175" s="12" t="n">
        <v>330409.2</v>
      </c>
    </row>
    <row r="176" customFormat="false" ht="15" hidden="false" customHeight="false" outlineLevel="0" collapsed="false">
      <c r="A176" s="14" t="s">
        <v>186</v>
      </c>
      <c r="B176" s="15" t="n">
        <v>323176.98</v>
      </c>
    </row>
    <row r="177" customFormat="false" ht="15" hidden="false" customHeight="false" outlineLevel="0" collapsed="false">
      <c r="A177" s="14" t="s">
        <v>187</v>
      </c>
      <c r="B177" s="15" t="n">
        <v>924.26</v>
      </c>
    </row>
    <row r="178" customFormat="false" ht="15" hidden="false" customHeight="false" outlineLevel="0" collapsed="false">
      <c r="A178" s="14" t="s">
        <v>188</v>
      </c>
      <c r="B178" s="15" t="n">
        <v>6307.96</v>
      </c>
    </row>
    <row r="179" customFormat="false" ht="15" hidden="false" customHeight="false" outlineLevel="0" collapsed="false">
      <c r="A179" s="13" t="s">
        <v>189</v>
      </c>
      <c r="B179" s="12" t="n">
        <v>70319.89</v>
      </c>
    </row>
    <row r="180" customFormat="false" ht="15" hidden="false" customHeight="false" outlineLevel="0" collapsed="false">
      <c r="A180" s="14" t="s">
        <v>190</v>
      </c>
      <c r="B180" s="15" t="n">
        <v>33299.96</v>
      </c>
    </row>
    <row r="181" customFormat="false" ht="15" hidden="false" customHeight="false" outlineLevel="0" collapsed="false">
      <c r="A181" s="14" t="s">
        <v>191</v>
      </c>
      <c r="B181" s="15" t="n">
        <v>1215.75</v>
      </c>
    </row>
    <row r="182" customFormat="false" ht="15" hidden="false" customHeight="false" outlineLevel="0" collapsed="false">
      <c r="A182" s="14" t="s">
        <v>192</v>
      </c>
      <c r="B182" s="15" t="n">
        <v>35804.18</v>
      </c>
    </row>
    <row r="183" customFormat="false" ht="15" hidden="false" customHeight="false" outlineLevel="0" collapsed="false">
      <c r="A183" s="13" t="s">
        <v>193</v>
      </c>
      <c r="B183" s="12" t="n">
        <v>2144183.56</v>
      </c>
    </row>
    <row r="184" customFormat="false" ht="15" hidden="false" customHeight="false" outlineLevel="0" collapsed="false">
      <c r="A184" s="14" t="s">
        <v>194</v>
      </c>
      <c r="B184" s="15" t="n">
        <v>2053077.69</v>
      </c>
    </row>
    <row r="185" customFormat="false" ht="15" hidden="false" customHeight="false" outlineLevel="0" collapsed="false">
      <c r="A185" s="14" t="s">
        <v>195</v>
      </c>
      <c r="B185" s="15" t="n">
        <v>61118.53</v>
      </c>
    </row>
    <row r="186" customFormat="false" ht="15" hidden="false" customHeight="false" outlineLevel="0" collapsed="false">
      <c r="A186" s="14" t="s">
        <v>196</v>
      </c>
      <c r="B186" s="15" t="n">
        <v>4138</v>
      </c>
    </row>
    <row r="187" customFormat="false" ht="15" hidden="false" customHeight="false" outlineLevel="0" collapsed="false">
      <c r="A187" s="14" t="s">
        <v>197</v>
      </c>
      <c r="B187" s="15" t="n">
        <v>25849.34</v>
      </c>
    </row>
    <row r="188" customFormat="false" ht="15" hidden="false" customHeight="false" outlineLevel="0" collapsed="false">
      <c r="A188" s="13" t="s">
        <v>199</v>
      </c>
      <c r="B188" s="12" t="n">
        <v>672764.04</v>
      </c>
    </row>
    <row r="189" customFormat="false" ht="15" hidden="false" customHeight="false" outlineLevel="0" collapsed="false">
      <c r="A189" s="14" t="s">
        <v>200</v>
      </c>
      <c r="B189" s="15" t="n">
        <v>42340.79</v>
      </c>
    </row>
    <row r="190" customFormat="false" ht="15" hidden="false" customHeight="false" outlineLevel="0" collapsed="false">
      <c r="A190" s="14" t="s">
        <v>202</v>
      </c>
      <c r="B190" s="15" t="n">
        <v>150885.78</v>
      </c>
    </row>
    <row r="191" customFormat="false" ht="15" hidden="false" customHeight="false" outlineLevel="0" collapsed="false">
      <c r="A191" s="14" t="s">
        <v>203</v>
      </c>
      <c r="B191" s="15" t="n">
        <v>57899.77</v>
      </c>
    </row>
    <row r="192" customFormat="false" ht="15" hidden="false" customHeight="false" outlineLevel="0" collapsed="false">
      <c r="A192" s="14" t="s">
        <v>204</v>
      </c>
      <c r="B192" s="15" t="n">
        <v>12289.49</v>
      </c>
    </row>
    <row r="193" customFormat="false" ht="15" hidden="false" customHeight="false" outlineLevel="0" collapsed="false">
      <c r="A193" s="14" t="s">
        <v>205</v>
      </c>
      <c r="B193" s="15" t="n">
        <v>217581.58</v>
      </c>
    </row>
    <row r="194" customFormat="false" ht="15" hidden="false" customHeight="false" outlineLevel="0" collapsed="false">
      <c r="A194" s="14" t="s">
        <v>206</v>
      </c>
      <c r="B194" s="15" t="n">
        <v>191766.63</v>
      </c>
    </row>
    <row r="195" customFormat="false" ht="15" hidden="false" customHeight="false" outlineLevel="0" collapsed="false">
      <c r="A195" s="11" t="s">
        <v>207</v>
      </c>
      <c r="B195" s="12" t="n">
        <v>442126.99</v>
      </c>
    </row>
    <row r="196" customFormat="false" ht="15" hidden="false" customHeight="false" outlineLevel="0" collapsed="false">
      <c r="A196" s="13" t="s">
        <v>207</v>
      </c>
      <c r="B196" s="12" t="n">
        <v>1209216.63</v>
      </c>
    </row>
    <row r="197" customFormat="false" ht="15" hidden="false" customHeight="false" outlineLevel="0" collapsed="false">
      <c r="A197" s="14" t="s">
        <v>209</v>
      </c>
      <c r="B197" s="15" t="n">
        <v>117857.31</v>
      </c>
    </row>
    <row r="198" customFormat="false" ht="15" hidden="false" customHeight="false" outlineLevel="0" collapsed="false">
      <c r="A198" s="14" t="s">
        <v>210</v>
      </c>
      <c r="B198" s="15" t="n">
        <v>51514.33</v>
      </c>
    </row>
    <row r="199" customFormat="false" ht="15" hidden="false" customHeight="false" outlineLevel="0" collapsed="false">
      <c r="A199" s="14" t="s">
        <v>211</v>
      </c>
      <c r="B199" s="15" t="n">
        <v>421875</v>
      </c>
    </row>
    <row r="200" customFormat="false" ht="15" hidden="false" customHeight="false" outlineLevel="0" collapsed="false">
      <c r="A200" s="14" t="s">
        <v>213</v>
      </c>
      <c r="B200" s="15" t="n">
        <v>34017.32</v>
      </c>
    </row>
    <row r="201" customFormat="false" ht="15" hidden="false" customHeight="false" outlineLevel="0" collapsed="false">
      <c r="A201" s="14" t="s">
        <v>214</v>
      </c>
      <c r="B201" s="15" t="n">
        <v>538843.86</v>
      </c>
    </row>
    <row r="202" customFormat="false" ht="15" hidden="false" customHeight="false" outlineLevel="0" collapsed="false">
      <c r="A202" s="14" t="s">
        <v>215</v>
      </c>
      <c r="B202" s="15" t="n">
        <v>45108.81</v>
      </c>
    </row>
    <row r="203" customFormat="false" ht="15" hidden="false" customHeight="false" outlineLevel="0" collapsed="false">
      <c r="A203" s="13" t="s">
        <v>217</v>
      </c>
      <c r="B203" s="12" t="n">
        <v>-767089.64</v>
      </c>
    </row>
    <row r="204" customFormat="false" ht="15" hidden="false" customHeight="false" outlineLevel="0" collapsed="false">
      <c r="A204" s="14" t="s">
        <v>218</v>
      </c>
      <c r="B204" s="15" t="n">
        <v>-767089.64</v>
      </c>
    </row>
    <row r="205" customFormat="false" ht="15" hidden="false" customHeight="false" outlineLevel="0" collapsed="false">
      <c r="A205" s="11" t="s">
        <v>219</v>
      </c>
      <c r="B205" s="12" t="n">
        <v>-917589.29</v>
      </c>
    </row>
    <row r="206" customFormat="false" ht="15" hidden="false" customHeight="false" outlineLevel="0" collapsed="false">
      <c r="A206" s="13" t="s">
        <v>220</v>
      </c>
      <c r="B206" s="12" t="n">
        <v>-917589.29</v>
      </c>
    </row>
    <row r="207" customFormat="false" ht="15" hidden="false" customHeight="false" outlineLevel="0" collapsed="false">
      <c r="A207" s="14" t="s">
        <v>221</v>
      </c>
      <c r="B207" s="15" t="n">
        <v>31019.08</v>
      </c>
    </row>
    <row r="208" customFormat="false" ht="15" hidden="false" customHeight="false" outlineLevel="0" collapsed="false">
      <c r="A208" s="14" t="s">
        <v>222</v>
      </c>
      <c r="B208" s="15" t="n">
        <v>118504.15</v>
      </c>
    </row>
    <row r="209" customFormat="false" ht="15" hidden="false" customHeight="false" outlineLevel="0" collapsed="false">
      <c r="A209" s="14" t="s">
        <v>223</v>
      </c>
      <c r="B209" s="15" t="n">
        <v>-302421.57</v>
      </c>
    </row>
    <row r="210" customFormat="false" ht="15" hidden="false" customHeight="false" outlineLevel="0" collapsed="false">
      <c r="A210" s="14" t="s">
        <v>224</v>
      </c>
      <c r="B210" s="15" t="n">
        <v>-764690.95</v>
      </c>
    </row>
    <row r="211" customFormat="false" ht="15" hidden="false" customHeight="false" outlineLevel="0" collapsed="false">
      <c r="A211" s="11" t="s">
        <v>225</v>
      </c>
      <c r="B211" s="12" t="n">
        <v>3805767.95</v>
      </c>
    </row>
    <row r="212" customFormat="false" ht="15" hidden="false" customHeight="false" outlineLevel="0" collapsed="false">
      <c r="A212" s="13" t="s">
        <v>226</v>
      </c>
      <c r="B212" s="12" t="n">
        <v>3805767.95</v>
      </c>
    </row>
    <row r="213" customFormat="false" ht="15" hidden="false" customHeight="false" outlineLevel="0" collapsed="false">
      <c r="A213" s="14" t="s">
        <v>227</v>
      </c>
      <c r="B213" s="15" t="n">
        <v>64084.92</v>
      </c>
    </row>
    <row r="214" customFormat="false" ht="15" hidden="false" customHeight="false" outlineLevel="0" collapsed="false">
      <c r="A214" s="14" t="s">
        <v>228</v>
      </c>
      <c r="B214" s="15" t="n">
        <v>1530832.66</v>
      </c>
    </row>
    <row r="215" customFormat="false" ht="15" hidden="false" customHeight="false" outlineLevel="0" collapsed="false">
      <c r="A215" s="14" t="s">
        <v>229</v>
      </c>
      <c r="B215" s="15" t="n">
        <v>204730.87</v>
      </c>
    </row>
    <row r="216" customFormat="false" ht="15" hidden="false" customHeight="false" outlineLevel="0" collapsed="false">
      <c r="A216" s="14" t="s">
        <v>230</v>
      </c>
      <c r="B216" s="15" t="n">
        <v>1913627.22</v>
      </c>
    </row>
    <row r="217" customFormat="false" ht="15" hidden="false" customHeight="false" outlineLevel="0" collapsed="false">
      <c r="A217" s="14" t="s">
        <v>231</v>
      </c>
      <c r="B217" s="15" t="n">
        <v>17822.77</v>
      </c>
    </row>
    <row r="218" customFormat="false" ht="15" hidden="false" customHeight="false" outlineLevel="0" collapsed="false">
      <c r="A218" s="14" t="s">
        <v>232</v>
      </c>
      <c r="B218" s="15" t="n">
        <v>94680</v>
      </c>
    </row>
    <row r="219" customFormat="false" ht="15" hidden="false" customHeight="false" outlineLevel="0" collapsed="false">
      <c r="A219" s="14" t="s">
        <v>233</v>
      </c>
      <c r="B219" s="15" t="n">
        <v>-20010.49</v>
      </c>
    </row>
    <row r="220" customFormat="false" ht="15" hidden="false" customHeight="false" outlineLevel="0" collapsed="false">
      <c r="A220" s="11" t="s">
        <v>234</v>
      </c>
      <c r="B220" s="12" t="n">
        <v>3258593.97</v>
      </c>
    </row>
    <row r="221" customFormat="false" ht="15" hidden="false" customHeight="false" outlineLevel="0" collapsed="false">
      <c r="A221" s="13" t="s">
        <v>234</v>
      </c>
      <c r="B221" s="12" t="n">
        <v>3258593.97</v>
      </c>
    </row>
    <row r="222" customFormat="false" ht="15" hidden="false" customHeight="false" outlineLevel="0" collapsed="false">
      <c r="A222" s="14" t="s">
        <v>235</v>
      </c>
      <c r="B222" s="15" t="n">
        <v>3160953.6</v>
      </c>
    </row>
    <row r="223" customFormat="false" ht="15" hidden="false" customHeight="false" outlineLevel="0" collapsed="false">
      <c r="A223" s="14" t="s">
        <v>236</v>
      </c>
      <c r="B223" s="15" t="n">
        <v>97640.37</v>
      </c>
    </row>
    <row r="224" customFormat="false" ht="15" hidden="false" customHeight="false" outlineLevel="0" collapsed="false">
      <c r="A224" s="11" t="s">
        <v>237</v>
      </c>
      <c r="B224" s="12" t="n">
        <v>1048378.35</v>
      </c>
    </row>
    <row r="225" customFormat="false" ht="15" hidden="false" customHeight="false" outlineLevel="0" collapsed="false">
      <c r="A225" s="13" t="s">
        <v>238</v>
      </c>
      <c r="B225" s="12" t="n">
        <v>41440.12</v>
      </c>
    </row>
    <row r="226" customFormat="false" ht="15" hidden="false" customHeight="false" outlineLevel="0" collapsed="false">
      <c r="A226" s="14" t="s">
        <v>239</v>
      </c>
      <c r="B226" s="15" t="n">
        <v>38421.49</v>
      </c>
    </row>
    <row r="227" customFormat="false" ht="15" hidden="false" customHeight="false" outlineLevel="0" collapsed="false">
      <c r="A227" s="14" t="s">
        <v>240</v>
      </c>
      <c r="B227" s="15" t="n">
        <v>3018.63</v>
      </c>
    </row>
    <row r="228" customFormat="false" ht="15" hidden="false" customHeight="false" outlineLevel="0" collapsed="false">
      <c r="A228" s="13" t="s">
        <v>241</v>
      </c>
      <c r="B228" s="12" t="n">
        <v>145244.63</v>
      </c>
    </row>
    <row r="229" customFormat="false" ht="15" hidden="false" customHeight="false" outlineLevel="0" collapsed="false">
      <c r="A229" s="14" t="s">
        <v>242</v>
      </c>
      <c r="B229" s="15" t="n">
        <v>145244.63</v>
      </c>
    </row>
    <row r="230" customFormat="false" ht="15" hidden="false" customHeight="false" outlineLevel="0" collapsed="false">
      <c r="A230" s="13" t="s">
        <v>243</v>
      </c>
      <c r="B230" s="12" t="n">
        <v>13722</v>
      </c>
    </row>
    <row r="231" customFormat="false" ht="15" hidden="false" customHeight="false" outlineLevel="0" collapsed="false">
      <c r="A231" s="14" t="s">
        <v>243</v>
      </c>
      <c r="B231" s="15" t="n">
        <v>13722</v>
      </c>
    </row>
    <row r="232" customFormat="false" ht="15" hidden="false" customHeight="false" outlineLevel="0" collapsed="false">
      <c r="A232" s="13" t="s">
        <v>244</v>
      </c>
      <c r="B232" s="12" t="n">
        <v>847971.6</v>
      </c>
    </row>
    <row r="233" customFormat="false" ht="15" hidden="false" customHeight="false" outlineLevel="0" collapsed="false">
      <c r="A233" s="14" t="s">
        <v>244</v>
      </c>
      <c r="B233" s="15" t="n">
        <v>814269.61</v>
      </c>
    </row>
    <row r="234" customFormat="false" ht="15" hidden="false" customHeight="false" outlineLevel="0" collapsed="false">
      <c r="A234" s="14" t="s">
        <v>245</v>
      </c>
      <c r="B234" s="15" t="n">
        <v>33701.99</v>
      </c>
    </row>
    <row r="235" customFormat="false" ht="15" hidden="false" customHeight="false" outlineLevel="0" collapsed="false">
      <c r="A235" s="9" t="s">
        <v>246</v>
      </c>
      <c r="B235" s="10" t="n">
        <v>34415378.22</v>
      </c>
    </row>
    <row r="236" customFormat="false" ht="15" hidden="false" customHeight="false" outlineLevel="0" collapsed="false">
      <c r="A236" s="11" t="s">
        <v>207</v>
      </c>
      <c r="B236" s="12" t="n">
        <v>4747604.33</v>
      </c>
    </row>
    <row r="237" customFormat="false" ht="15" hidden="false" customHeight="false" outlineLevel="0" collapsed="false">
      <c r="A237" s="13" t="s">
        <v>247</v>
      </c>
      <c r="B237" s="12" t="n">
        <v>4747604.33</v>
      </c>
    </row>
    <row r="238" customFormat="false" ht="15" hidden="false" customHeight="false" outlineLevel="0" collapsed="false">
      <c r="A238" s="14" t="s">
        <v>248</v>
      </c>
      <c r="B238" s="15" t="n">
        <v>703125</v>
      </c>
    </row>
    <row r="239" customFormat="false" ht="15" hidden="false" customHeight="false" outlineLevel="0" collapsed="false">
      <c r="A239" s="14" t="s">
        <v>249</v>
      </c>
      <c r="B239" s="15" t="n">
        <v>1781004.54</v>
      </c>
    </row>
    <row r="240" customFormat="false" ht="15" hidden="false" customHeight="false" outlineLevel="0" collapsed="false">
      <c r="A240" s="14" t="s">
        <v>250</v>
      </c>
      <c r="B240" s="15" t="n">
        <v>162958.8</v>
      </c>
    </row>
    <row r="241" customFormat="false" ht="15" hidden="false" customHeight="false" outlineLevel="0" collapsed="false">
      <c r="A241" s="14" t="s">
        <v>251</v>
      </c>
      <c r="B241" s="15" t="n">
        <v>2095503.9</v>
      </c>
    </row>
    <row r="242" customFormat="false" ht="15" hidden="false" customHeight="false" outlineLevel="0" collapsed="false">
      <c r="A242" s="14" t="s">
        <v>252</v>
      </c>
      <c r="B242" s="15" t="n">
        <v>5012.09</v>
      </c>
    </row>
    <row r="243" customFormat="false" ht="15" hidden="false" customHeight="false" outlineLevel="0" collapsed="false">
      <c r="A243" s="11" t="s">
        <v>254</v>
      </c>
      <c r="B243" s="12" t="n">
        <v>4307409.95</v>
      </c>
    </row>
    <row r="244" customFormat="false" ht="15" hidden="false" customHeight="false" outlineLevel="0" collapsed="false">
      <c r="A244" s="13" t="s">
        <v>255</v>
      </c>
      <c r="B244" s="12" t="n">
        <v>4307409.95</v>
      </c>
    </row>
    <row r="245" customFormat="false" ht="15" hidden="false" customHeight="false" outlineLevel="0" collapsed="false">
      <c r="A245" s="14" t="s">
        <v>256</v>
      </c>
      <c r="B245" s="15" t="n">
        <v>3880794.99</v>
      </c>
    </row>
    <row r="246" customFormat="false" ht="15" hidden="false" customHeight="false" outlineLevel="0" collapsed="false">
      <c r="A246" s="14" t="s">
        <v>257</v>
      </c>
      <c r="B246" s="15" t="n">
        <v>426614.96</v>
      </c>
    </row>
    <row r="247" customFormat="false" ht="15" hidden="false" customHeight="false" outlineLevel="0" collapsed="false">
      <c r="A247" s="11" t="s">
        <v>258</v>
      </c>
      <c r="B247" s="12" t="n">
        <v>4989801.78</v>
      </c>
    </row>
    <row r="248" customFormat="false" ht="15" hidden="false" customHeight="false" outlineLevel="0" collapsed="false">
      <c r="A248" s="13" t="s">
        <v>259</v>
      </c>
      <c r="B248" s="12" t="n">
        <v>4989801.78</v>
      </c>
    </row>
    <row r="249" customFormat="false" ht="15" hidden="false" customHeight="false" outlineLevel="0" collapsed="false">
      <c r="A249" s="14" t="s">
        <v>260</v>
      </c>
      <c r="B249" s="15" t="n">
        <v>4543004.33</v>
      </c>
    </row>
    <row r="250" customFormat="false" ht="15" hidden="false" customHeight="false" outlineLevel="0" collapsed="false">
      <c r="A250" s="14" t="s">
        <v>261</v>
      </c>
      <c r="B250" s="15" t="n">
        <v>76482.3</v>
      </c>
    </row>
    <row r="251" customFormat="false" ht="15" hidden="false" customHeight="false" outlineLevel="0" collapsed="false">
      <c r="A251" s="14" t="s">
        <v>262</v>
      </c>
      <c r="B251" s="15" t="n">
        <v>370315.15</v>
      </c>
    </row>
    <row r="252" customFormat="false" ht="15" hidden="false" customHeight="false" outlineLevel="0" collapsed="false">
      <c r="A252" s="11" t="s">
        <v>263</v>
      </c>
      <c r="B252" s="12" t="n">
        <v>20370562.16</v>
      </c>
    </row>
    <row r="253" customFormat="false" ht="15" hidden="false" customHeight="false" outlineLevel="0" collapsed="false">
      <c r="A253" s="13" t="s">
        <v>263</v>
      </c>
      <c r="B253" s="12" t="n">
        <v>20370562.16</v>
      </c>
    </row>
    <row r="254" customFormat="false" ht="15" hidden="false" customHeight="false" outlineLevel="0" collapsed="false">
      <c r="A254" s="14" t="s">
        <v>264</v>
      </c>
      <c r="B254" s="15" t="n">
        <v>8511069.63</v>
      </c>
    </row>
    <row r="255" customFormat="false" ht="15" hidden="false" customHeight="false" outlineLevel="0" collapsed="false">
      <c r="A255" s="14" t="s">
        <v>265</v>
      </c>
      <c r="B255" s="15" t="n">
        <v>8384137.46</v>
      </c>
    </row>
    <row r="256" customFormat="false" ht="15" hidden="false" customHeight="false" outlineLevel="0" collapsed="false">
      <c r="A256" s="14" t="s">
        <v>266</v>
      </c>
      <c r="B256" s="15" t="n">
        <v>986346.19</v>
      </c>
    </row>
    <row r="257" customFormat="false" ht="15" hidden="false" customHeight="false" outlineLevel="0" collapsed="false">
      <c r="A257" s="14" t="s">
        <v>267</v>
      </c>
      <c r="B257" s="15" t="n">
        <v>2489008.88</v>
      </c>
    </row>
    <row r="258" customFormat="false" ht="15" hidden="false" customHeight="false" outlineLevel="0" collapsed="false">
      <c r="A258" s="9" t="s">
        <v>268</v>
      </c>
      <c r="B258" s="10" t="n">
        <v>24745951.47</v>
      </c>
    </row>
    <row r="259" customFormat="false" ht="15" hidden="false" customHeight="false" outlineLevel="0" collapsed="false">
      <c r="A259" s="11" t="s">
        <v>269</v>
      </c>
      <c r="B259" s="12" t="n">
        <v>6000000</v>
      </c>
    </row>
    <row r="260" customFormat="false" ht="15" hidden="false" customHeight="false" outlineLevel="0" collapsed="false">
      <c r="A260" s="13" t="s">
        <v>269</v>
      </c>
      <c r="B260" s="12" t="n">
        <v>6000000</v>
      </c>
    </row>
    <row r="261" customFormat="false" ht="15" hidden="false" customHeight="false" outlineLevel="0" collapsed="false">
      <c r="A261" s="14" t="s">
        <v>270</v>
      </c>
      <c r="B261" s="15" t="n">
        <v>6000000</v>
      </c>
    </row>
    <row r="262" customFormat="false" ht="15" hidden="false" customHeight="false" outlineLevel="0" collapsed="false">
      <c r="A262" s="11" t="s">
        <v>271</v>
      </c>
      <c r="B262" s="12" t="n">
        <v>466704.13</v>
      </c>
    </row>
    <row r="263" customFormat="false" ht="15" hidden="false" customHeight="false" outlineLevel="0" collapsed="false">
      <c r="A263" s="13" t="s">
        <v>272</v>
      </c>
      <c r="B263" s="12" t="n">
        <v>466704.13</v>
      </c>
    </row>
    <row r="264" customFormat="false" ht="15" hidden="false" customHeight="false" outlineLevel="0" collapsed="false">
      <c r="A264" s="14" t="s">
        <v>272</v>
      </c>
      <c r="B264" s="15" t="n">
        <v>466704.13</v>
      </c>
    </row>
    <row r="265" customFormat="false" ht="15" hidden="false" customHeight="false" outlineLevel="0" collapsed="false">
      <c r="A265" s="11" t="s">
        <v>273</v>
      </c>
      <c r="B265" s="12" t="n">
        <v>11698234.94</v>
      </c>
    </row>
    <row r="266" customFormat="false" ht="15" hidden="false" customHeight="false" outlineLevel="0" collapsed="false">
      <c r="A266" s="13" t="s">
        <v>274</v>
      </c>
      <c r="B266" s="12" t="n">
        <v>11698234.94</v>
      </c>
    </row>
    <row r="267" customFormat="false" ht="15" hidden="false" customHeight="false" outlineLevel="0" collapsed="false">
      <c r="A267" s="14" t="s">
        <v>274</v>
      </c>
      <c r="B267" s="15" t="n">
        <v>11697790.57</v>
      </c>
    </row>
    <row r="268" customFormat="false" ht="15" hidden="false" customHeight="false" outlineLevel="0" collapsed="false">
      <c r="A268" s="14" t="s">
        <v>275</v>
      </c>
      <c r="B268" s="15" t="n">
        <v>444.37</v>
      </c>
    </row>
    <row r="269" customFormat="false" ht="15" hidden="false" customHeight="false" outlineLevel="0" collapsed="false">
      <c r="A269" s="11" t="s">
        <v>276</v>
      </c>
      <c r="B269" s="12" t="n">
        <v>6581012.4</v>
      </c>
    </row>
    <row r="270" customFormat="false" ht="15" hidden="false" customHeight="false" outlineLevel="0" collapsed="false">
      <c r="A270" s="13" t="s">
        <v>276</v>
      </c>
      <c r="B270" s="12" t="n">
        <v>6581012.4</v>
      </c>
    </row>
    <row r="271" customFormat="false" ht="15" hidden="false" customHeight="false" outlineLevel="0" collapsed="false">
      <c r="A271" s="14" t="s">
        <v>277</v>
      </c>
      <c r="B271" s="15" t="n">
        <v>1533460.17</v>
      </c>
    </row>
    <row r="272" customFormat="false" ht="15" hidden="false" customHeight="false" outlineLevel="0" collapsed="false">
      <c r="A272" s="14" t="s">
        <v>278</v>
      </c>
      <c r="B272" s="15" t="n">
        <v>803053.23</v>
      </c>
    </row>
    <row r="273" customFormat="false" ht="15" hidden="false" customHeight="false" outlineLevel="0" collapsed="false">
      <c r="A273" s="14" t="s">
        <v>279</v>
      </c>
      <c r="B273" s="15" t="n">
        <v>4244499</v>
      </c>
    </row>
    <row r="275" customFormat="false" ht="39.75" hidden="false" customHeight="true" outlineLevel="0" collapsed="false">
      <c r="A275" s="18" t="s">
        <v>294</v>
      </c>
      <c r="B275" s="18"/>
    </row>
    <row r="277" customFormat="false" ht="15" hidden="false" customHeight="false" outlineLevel="0" collapsed="false">
      <c r="A277" s="19" t="s">
        <v>285</v>
      </c>
      <c r="B277" s="19" t="s">
        <v>286</v>
      </c>
    </row>
    <row r="278" customFormat="false" ht="15" hidden="false" customHeight="false" outlineLevel="0" collapsed="false">
      <c r="A278" s="20" t="s">
        <v>287</v>
      </c>
      <c r="B278" s="20" t="s">
        <v>288</v>
      </c>
    </row>
    <row r="279" customFormat="false" ht="15" hidden="false" customHeight="false" outlineLevel="0" collapsed="false">
      <c r="A279" s="20" t="s">
        <v>289</v>
      </c>
      <c r="B279" s="20" t="s">
        <v>290</v>
      </c>
    </row>
  </sheetData>
  <mergeCells count="1">
    <mergeCell ref="A275:B275"/>
  </mergeCells>
  <printOptions headings="false" gridLines="false" gridLinesSet="true" horizontalCentered="false" verticalCentered="false"/>
  <pageMargins left="0.5" right="0.5" top="1" bottom="1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Folha &amp;P de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8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8"/>
    <col collapsed="false" customWidth="true" hidden="false" outlineLevel="0" max="2" min="2" style="0" width="2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281</v>
      </c>
    </row>
    <row r="3" customFormat="false" ht="15" hidden="false" customHeight="false" outlineLevel="0" collapsed="false">
      <c r="A3" s="3" t="s">
        <v>295</v>
      </c>
    </row>
    <row r="4" customFormat="false" ht="15" hidden="false" customHeight="false" outlineLevel="0" collapsed="false">
      <c r="A4" s="3" t="s">
        <v>3</v>
      </c>
    </row>
    <row r="5" customFormat="false" ht="15" hidden="false" customHeight="false" outlineLevel="0" collapsed="false">
      <c r="A5" s="4" t="s">
        <v>4</v>
      </c>
    </row>
    <row r="7" customFormat="false" ht="21.75" hidden="false" customHeight="true" outlineLevel="0" collapsed="false">
      <c r="A7" s="5" t="s">
        <v>5</v>
      </c>
      <c r="B7" s="6" t="s">
        <v>283</v>
      </c>
    </row>
    <row r="8" customFormat="false" ht="15" hidden="false" customHeight="false" outlineLevel="0" collapsed="false">
      <c r="A8" s="7" t="s">
        <v>14</v>
      </c>
      <c r="B8" s="8" t="n">
        <v>76392797.83</v>
      </c>
    </row>
    <row r="9" customFormat="false" ht="15" hidden="false" customHeight="false" outlineLevel="0" collapsed="false">
      <c r="A9" s="9" t="s">
        <v>15</v>
      </c>
      <c r="B9" s="10" t="n">
        <v>23987738.66</v>
      </c>
    </row>
    <row r="10" customFormat="false" ht="15" hidden="false" customHeight="false" outlineLevel="0" collapsed="false">
      <c r="A10" s="11" t="s">
        <v>16</v>
      </c>
      <c r="B10" s="12" t="n">
        <v>8221774.09</v>
      </c>
    </row>
    <row r="11" customFormat="false" ht="15" hidden="false" customHeight="false" outlineLevel="0" collapsed="false">
      <c r="A11" s="13" t="s">
        <v>17</v>
      </c>
      <c r="B11" s="12" t="n">
        <v>427034.7</v>
      </c>
    </row>
    <row r="12" customFormat="false" ht="15" hidden="false" customHeight="false" outlineLevel="0" collapsed="false">
      <c r="A12" s="14" t="s">
        <v>18</v>
      </c>
      <c r="B12" s="15" t="n">
        <v>427034.7</v>
      </c>
    </row>
    <row r="13" customFormat="false" ht="15" hidden="false" customHeight="false" outlineLevel="0" collapsed="false">
      <c r="A13" s="13" t="s">
        <v>19</v>
      </c>
      <c r="B13" s="12" t="n">
        <v>737939.06</v>
      </c>
    </row>
    <row r="14" customFormat="false" ht="15" hidden="false" customHeight="false" outlineLevel="0" collapsed="false">
      <c r="A14" s="14" t="s">
        <v>20</v>
      </c>
      <c r="B14" s="15" t="n">
        <v>14679.27</v>
      </c>
    </row>
    <row r="15" customFormat="false" ht="15" hidden="false" customHeight="false" outlineLevel="0" collapsed="false">
      <c r="A15" s="14" t="s">
        <v>21</v>
      </c>
      <c r="B15" s="15" t="n">
        <v>22314.57</v>
      </c>
    </row>
    <row r="16" customFormat="false" ht="15" hidden="false" customHeight="false" outlineLevel="0" collapsed="false">
      <c r="A16" s="14" t="s">
        <v>22</v>
      </c>
      <c r="B16" s="15" t="n">
        <v>36423.99</v>
      </c>
    </row>
    <row r="17" customFormat="false" ht="15" hidden="false" customHeight="false" outlineLevel="0" collapsed="false">
      <c r="A17" s="14" t="s">
        <v>23</v>
      </c>
      <c r="B17" s="15" t="n">
        <v>457916.71</v>
      </c>
    </row>
    <row r="18" customFormat="false" ht="15" hidden="false" customHeight="false" outlineLevel="0" collapsed="false">
      <c r="A18" s="14" t="s">
        <v>24</v>
      </c>
      <c r="B18" s="15" t="n">
        <v>172519.29</v>
      </c>
    </row>
    <row r="19" customFormat="false" ht="15" hidden="false" customHeight="false" outlineLevel="0" collapsed="false">
      <c r="A19" s="14" t="s">
        <v>25</v>
      </c>
      <c r="B19" s="15" t="n">
        <v>20321.93</v>
      </c>
    </row>
    <row r="20" customFormat="false" ht="15" hidden="false" customHeight="false" outlineLevel="0" collapsed="false">
      <c r="A20" s="14" t="s">
        <v>26</v>
      </c>
      <c r="B20" s="15" t="n">
        <v>13763.3</v>
      </c>
    </row>
    <row r="21" customFormat="false" ht="15" hidden="false" customHeight="false" outlineLevel="0" collapsed="false">
      <c r="A21" s="13" t="s">
        <v>27</v>
      </c>
      <c r="B21" s="12" t="n">
        <v>7056800.33</v>
      </c>
    </row>
    <row r="22" customFormat="false" ht="15" hidden="false" customHeight="false" outlineLevel="0" collapsed="false">
      <c r="A22" s="14" t="s">
        <v>28</v>
      </c>
      <c r="B22" s="15" t="n">
        <v>2831365.7</v>
      </c>
    </row>
    <row r="23" customFormat="false" ht="15" hidden="false" customHeight="false" outlineLevel="0" collapsed="false">
      <c r="A23" s="14" t="s">
        <v>29</v>
      </c>
      <c r="B23" s="15" t="n">
        <v>3415844.14</v>
      </c>
    </row>
    <row r="24" customFormat="false" ht="15" hidden="false" customHeight="false" outlineLevel="0" collapsed="false">
      <c r="A24" s="14" t="s">
        <v>31</v>
      </c>
      <c r="B24" s="15" t="n">
        <v>759590.49</v>
      </c>
    </row>
    <row r="25" customFormat="false" ht="15" hidden="false" customHeight="false" outlineLevel="0" collapsed="false">
      <c r="A25" s="14" t="s">
        <v>32</v>
      </c>
      <c r="B25" s="15" t="n">
        <v>50000</v>
      </c>
    </row>
    <row r="26" customFormat="false" ht="15" hidden="false" customHeight="false" outlineLevel="0" collapsed="false">
      <c r="A26" s="11" t="s">
        <v>33</v>
      </c>
      <c r="B26" s="12" t="n">
        <v>22236418.19</v>
      </c>
    </row>
    <row r="27" customFormat="false" ht="15" hidden="false" customHeight="false" outlineLevel="0" collapsed="false">
      <c r="A27" s="13" t="s">
        <v>34</v>
      </c>
      <c r="B27" s="12" t="n">
        <v>16987572.99</v>
      </c>
    </row>
    <row r="28" customFormat="false" ht="15" hidden="false" customHeight="false" outlineLevel="0" collapsed="false">
      <c r="A28" s="14" t="s">
        <v>35</v>
      </c>
      <c r="B28" s="15" t="n">
        <v>10739239.26</v>
      </c>
    </row>
    <row r="29" customFormat="false" ht="15" hidden="false" customHeight="false" outlineLevel="0" collapsed="false">
      <c r="A29" s="14" t="s">
        <v>36</v>
      </c>
      <c r="B29" s="15" t="n">
        <v>4771978.77</v>
      </c>
    </row>
    <row r="30" customFormat="false" ht="15" hidden="false" customHeight="false" outlineLevel="0" collapsed="false">
      <c r="A30" s="14" t="s">
        <v>37</v>
      </c>
      <c r="B30" s="15" t="n">
        <v>20664.96</v>
      </c>
    </row>
    <row r="31" customFormat="false" ht="15" hidden="false" customHeight="false" outlineLevel="0" collapsed="false">
      <c r="A31" s="14" t="s">
        <v>38</v>
      </c>
      <c r="B31" s="15" t="n">
        <v>12690</v>
      </c>
    </row>
    <row r="32" customFormat="false" ht="15" hidden="false" customHeight="false" outlineLevel="0" collapsed="false">
      <c r="A32" s="14" t="s">
        <v>39</v>
      </c>
      <c r="B32" s="15" t="n">
        <v>1443000</v>
      </c>
    </row>
    <row r="33" customFormat="false" ht="15" hidden="false" customHeight="false" outlineLevel="0" collapsed="false">
      <c r="A33" s="13" t="s">
        <v>40</v>
      </c>
      <c r="B33" s="12" t="n">
        <v>5248845.2</v>
      </c>
    </row>
    <row r="34" customFormat="false" ht="15" hidden="false" customHeight="false" outlineLevel="0" collapsed="false">
      <c r="A34" s="14" t="s">
        <v>41</v>
      </c>
      <c r="B34" s="15" t="n">
        <v>16603.9</v>
      </c>
    </row>
    <row r="35" customFormat="false" ht="15" hidden="false" customHeight="false" outlineLevel="0" collapsed="false">
      <c r="A35" s="14" t="s">
        <v>42</v>
      </c>
      <c r="B35" s="15" t="n">
        <v>5227154.95</v>
      </c>
    </row>
    <row r="36" customFormat="false" ht="15" hidden="false" customHeight="false" outlineLevel="0" collapsed="false">
      <c r="A36" s="14" t="s">
        <v>43</v>
      </c>
      <c r="B36" s="15" t="n">
        <v>5086.35</v>
      </c>
    </row>
    <row r="37" customFormat="false" ht="15" hidden="false" customHeight="false" outlineLevel="0" collapsed="false">
      <c r="A37" s="11" t="s">
        <v>44</v>
      </c>
      <c r="B37" s="12" t="n">
        <v>270058.76</v>
      </c>
    </row>
    <row r="38" customFormat="false" ht="15" hidden="false" customHeight="false" outlineLevel="0" collapsed="false">
      <c r="A38" s="13" t="s">
        <v>45</v>
      </c>
      <c r="B38" s="12" t="n">
        <v>143509.35</v>
      </c>
    </row>
    <row r="39" customFormat="false" ht="15" hidden="false" customHeight="false" outlineLevel="0" collapsed="false">
      <c r="A39" s="14" t="s">
        <v>46</v>
      </c>
      <c r="B39" s="15" t="n">
        <v>138899.4</v>
      </c>
    </row>
    <row r="40" customFormat="false" ht="15" hidden="false" customHeight="false" outlineLevel="0" collapsed="false">
      <c r="A40" s="14" t="s">
        <v>47</v>
      </c>
      <c r="B40" s="15" t="n">
        <v>4609.95</v>
      </c>
    </row>
    <row r="41" customFormat="false" ht="15" hidden="false" customHeight="false" outlineLevel="0" collapsed="false">
      <c r="A41" s="13" t="s">
        <v>48</v>
      </c>
      <c r="B41" s="12" t="n">
        <v>126549.41</v>
      </c>
    </row>
    <row r="42" customFormat="false" ht="15" hidden="false" customHeight="false" outlineLevel="0" collapsed="false">
      <c r="A42" s="14" t="s">
        <v>49</v>
      </c>
      <c r="B42" s="15" t="n">
        <v>33184.41</v>
      </c>
    </row>
    <row r="43" customFormat="false" ht="15" hidden="false" customHeight="false" outlineLevel="0" collapsed="false">
      <c r="A43" s="14" t="s">
        <v>50</v>
      </c>
      <c r="B43" s="15" t="n">
        <v>93365</v>
      </c>
    </row>
    <row r="44" customFormat="false" ht="15" hidden="false" customHeight="false" outlineLevel="0" collapsed="false">
      <c r="A44" s="11" t="s">
        <v>51</v>
      </c>
      <c r="B44" s="12" t="n">
        <v>-8436484.21</v>
      </c>
    </row>
    <row r="45" customFormat="false" ht="15" hidden="false" customHeight="false" outlineLevel="0" collapsed="false">
      <c r="A45" s="13" t="s">
        <v>52</v>
      </c>
      <c r="B45" s="12" t="n">
        <v>-12284602.21</v>
      </c>
    </row>
    <row r="46" customFormat="false" ht="15" hidden="false" customHeight="false" outlineLevel="0" collapsed="false">
      <c r="A46" s="14" t="s">
        <v>53</v>
      </c>
      <c r="B46" s="15" t="n">
        <v>-44145147.03</v>
      </c>
    </row>
    <row r="47" customFormat="false" ht="15" hidden="false" customHeight="false" outlineLevel="0" collapsed="false">
      <c r="A47" s="14" t="s">
        <v>54</v>
      </c>
      <c r="B47" s="15" t="n">
        <v>2960589.73</v>
      </c>
    </row>
    <row r="48" customFormat="false" ht="15" hidden="false" customHeight="false" outlineLevel="0" collapsed="false">
      <c r="A48" s="14" t="s">
        <v>55</v>
      </c>
      <c r="B48" s="15" t="n">
        <v>28851818.31</v>
      </c>
    </row>
    <row r="49" customFormat="false" ht="15" hidden="false" customHeight="false" outlineLevel="0" collapsed="false">
      <c r="A49" s="14" t="s">
        <v>56</v>
      </c>
      <c r="B49" s="15" t="n">
        <v>48136.78</v>
      </c>
    </row>
    <row r="50" customFormat="false" ht="15" hidden="false" customHeight="false" outlineLevel="0" collapsed="false">
      <c r="A50" s="13" t="s">
        <v>57</v>
      </c>
      <c r="B50" s="12" t="n">
        <v>-406545.16</v>
      </c>
    </row>
    <row r="51" customFormat="false" ht="15" hidden="false" customHeight="false" outlineLevel="0" collapsed="false">
      <c r="A51" s="14" t="s">
        <v>58</v>
      </c>
      <c r="B51" s="15" t="n">
        <v>-348195.16</v>
      </c>
    </row>
    <row r="52" customFormat="false" ht="15" hidden="false" customHeight="false" outlineLevel="0" collapsed="false">
      <c r="A52" s="14" t="s">
        <v>59</v>
      </c>
      <c r="B52" s="15" t="n">
        <v>-58350</v>
      </c>
    </row>
    <row r="53" customFormat="false" ht="15" hidden="false" customHeight="false" outlineLevel="0" collapsed="false">
      <c r="A53" s="13" t="s">
        <v>60</v>
      </c>
      <c r="B53" s="12" t="n">
        <v>790819.89</v>
      </c>
    </row>
    <row r="54" customFormat="false" ht="15" hidden="false" customHeight="false" outlineLevel="0" collapsed="false">
      <c r="A54" s="14" t="s">
        <v>61</v>
      </c>
      <c r="B54" s="15" t="n">
        <v>140066.3</v>
      </c>
    </row>
    <row r="55" customFormat="false" ht="15" hidden="false" customHeight="false" outlineLevel="0" collapsed="false">
      <c r="A55" s="14" t="s">
        <v>62</v>
      </c>
      <c r="B55" s="15" t="n">
        <v>712.27</v>
      </c>
    </row>
    <row r="56" customFormat="false" ht="15" hidden="false" customHeight="false" outlineLevel="0" collapsed="false">
      <c r="A56" s="14" t="s">
        <v>63</v>
      </c>
      <c r="B56" s="15" t="n">
        <v>124658.12</v>
      </c>
    </row>
    <row r="57" customFormat="false" ht="15" hidden="false" customHeight="false" outlineLevel="0" collapsed="false">
      <c r="A57" s="14" t="s">
        <v>64</v>
      </c>
      <c r="B57" s="15" t="n">
        <v>25943.18</v>
      </c>
    </row>
    <row r="58" customFormat="false" ht="15" hidden="false" customHeight="false" outlineLevel="0" collapsed="false">
      <c r="A58" s="14" t="s">
        <v>65</v>
      </c>
      <c r="B58" s="15" t="n">
        <v>400686.54</v>
      </c>
    </row>
    <row r="59" customFormat="false" ht="15" hidden="false" customHeight="false" outlineLevel="0" collapsed="false">
      <c r="A59" s="14" t="s">
        <v>66</v>
      </c>
      <c r="B59" s="15" t="n">
        <v>36548.58</v>
      </c>
    </row>
    <row r="60" customFormat="false" ht="15" hidden="false" customHeight="false" outlineLevel="0" collapsed="false">
      <c r="A60" s="14" t="s">
        <v>67</v>
      </c>
      <c r="B60" s="15" t="n">
        <v>86116.2</v>
      </c>
    </row>
    <row r="61" customFormat="false" ht="15" hidden="false" customHeight="false" outlineLevel="0" collapsed="false">
      <c r="A61" s="14" t="s">
        <v>68</v>
      </c>
      <c r="B61" s="15" t="n">
        <v>144950</v>
      </c>
    </row>
    <row r="62" customFormat="false" ht="15" hidden="false" customHeight="false" outlineLevel="0" collapsed="false">
      <c r="A62" s="14" t="s">
        <v>69</v>
      </c>
      <c r="B62" s="15" t="n">
        <v>2478.6</v>
      </c>
    </row>
    <row r="63" customFormat="false" ht="15" hidden="false" customHeight="false" outlineLevel="0" collapsed="false">
      <c r="A63" s="14" t="s">
        <v>70</v>
      </c>
      <c r="B63" s="15" t="n">
        <v>-171339.9</v>
      </c>
    </row>
    <row r="64" customFormat="false" ht="15" hidden="false" customHeight="false" outlineLevel="0" collapsed="false">
      <c r="A64" s="13" t="s">
        <v>72</v>
      </c>
      <c r="B64" s="12" t="n">
        <v>3463843.27</v>
      </c>
    </row>
    <row r="65" customFormat="false" ht="15" hidden="false" customHeight="false" outlineLevel="0" collapsed="false">
      <c r="A65" s="14" t="s">
        <v>73</v>
      </c>
      <c r="B65" s="15" t="n">
        <v>65885.49</v>
      </c>
    </row>
    <row r="66" customFormat="false" ht="15" hidden="false" customHeight="false" outlineLevel="0" collapsed="false">
      <c r="A66" s="14" t="s">
        <v>74</v>
      </c>
      <c r="B66" s="15" t="n">
        <v>1271889.63</v>
      </c>
    </row>
    <row r="67" customFormat="false" ht="15" hidden="false" customHeight="false" outlineLevel="0" collapsed="false">
      <c r="A67" s="14" t="s">
        <v>75</v>
      </c>
      <c r="B67" s="15" t="n">
        <v>190430.94</v>
      </c>
    </row>
    <row r="68" customFormat="false" ht="15" hidden="false" customHeight="false" outlineLevel="0" collapsed="false">
      <c r="A68" s="14" t="s">
        <v>76</v>
      </c>
      <c r="B68" s="15" t="n">
        <v>1915961.72</v>
      </c>
    </row>
    <row r="69" customFormat="false" ht="15" hidden="false" customHeight="false" outlineLevel="0" collapsed="false">
      <c r="A69" s="14" t="s">
        <v>77</v>
      </c>
      <c r="B69" s="15" t="n">
        <v>11295.49</v>
      </c>
    </row>
    <row r="70" customFormat="false" ht="15" hidden="false" customHeight="false" outlineLevel="0" collapsed="false">
      <c r="A70" s="14" t="s">
        <v>78</v>
      </c>
      <c r="B70" s="15" t="n">
        <v>8380</v>
      </c>
    </row>
    <row r="71" customFormat="false" ht="15" hidden="false" customHeight="false" outlineLevel="0" collapsed="false">
      <c r="A71" s="11" t="s">
        <v>79</v>
      </c>
      <c r="B71" s="12" t="n">
        <v>1521186.8</v>
      </c>
    </row>
    <row r="72" customFormat="false" ht="15" hidden="false" customHeight="false" outlineLevel="0" collapsed="false">
      <c r="A72" s="13" t="s">
        <v>80</v>
      </c>
      <c r="B72" s="12" t="n">
        <v>-15512.96</v>
      </c>
    </row>
    <row r="73" customFormat="false" ht="15" hidden="false" customHeight="false" outlineLevel="0" collapsed="false">
      <c r="A73" s="14" t="s">
        <v>81</v>
      </c>
      <c r="B73" s="15" t="n">
        <v>-15512.96</v>
      </c>
    </row>
    <row r="74" customFormat="false" ht="15" hidden="false" customHeight="false" outlineLevel="0" collapsed="false">
      <c r="A74" s="13" t="s">
        <v>82</v>
      </c>
      <c r="B74" s="12" t="n">
        <v>1536699.76</v>
      </c>
    </row>
    <row r="75" customFormat="false" ht="15" hidden="false" customHeight="false" outlineLevel="0" collapsed="false">
      <c r="A75" s="14" t="s">
        <v>83</v>
      </c>
      <c r="B75" s="15" t="n">
        <v>289523.85</v>
      </c>
    </row>
    <row r="76" customFormat="false" ht="15" hidden="false" customHeight="false" outlineLevel="0" collapsed="false">
      <c r="A76" s="14" t="s">
        <v>84</v>
      </c>
      <c r="B76" s="15" t="n">
        <v>54595.56</v>
      </c>
    </row>
    <row r="77" customFormat="false" ht="15" hidden="false" customHeight="false" outlineLevel="0" collapsed="false">
      <c r="A77" s="14" t="s">
        <v>86</v>
      </c>
      <c r="B77" s="15" t="n">
        <v>7500</v>
      </c>
    </row>
    <row r="78" customFormat="false" ht="15" hidden="false" customHeight="false" outlineLevel="0" collapsed="false">
      <c r="A78" s="14" t="s">
        <v>87</v>
      </c>
      <c r="B78" s="15" t="n">
        <v>-18136.65</v>
      </c>
    </row>
    <row r="79" customFormat="false" ht="15" hidden="false" customHeight="false" outlineLevel="0" collapsed="false">
      <c r="A79" s="14" t="s">
        <v>88</v>
      </c>
      <c r="B79" s="15" t="n">
        <v>1203217</v>
      </c>
    </row>
    <row r="80" customFormat="false" ht="15" hidden="false" customHeight="false" outlineLevel="0" collapsed="false">
      <c r="A80" s="11" t="s">
        <v>89</v>
      </c>
      <c r="B80" s="12" t="n">
        <v>174785.03</v>
      </c>
    </row>
    <row r="81" customFormat="false" ht="15" hidden="false" customHeight="false" outlineLevel="0" collapsed="false">
      <c r="A81" s="13" t="s">
        <v>89</v>
      </c>
      <c r="B81" s="12" t="n">
        <v>174785.03</v>
      </c>
    </row>
    <row r="82" customFormat="false" ht="15" hidden="false" customHeight="false" outlineLevel="0" collapsed="false">
      <c r="A82" s="14" t="s">
        <v>90</v>
      </c>
      <c r="B82" s="15" t="n">
        <v>163350.03</v>
      </c>
    </row>
    <row r="83" customFormat="false" ht="15" hidden="false" customHeight="false" outlineLevel="0" collapsed="false">
      <c r="A83" s="14" t="s">
        <v>91</v>
      </c>
      <c r="B83" s="15" t="n">
        <v>11435</v>
      </c>
    </row>
    <row r="84" customFormat="false" ht="15" hidden="false" customHeight="false" outlineLevel="0" collapsed="false">
      <c r="A84" s="9" t="s">
        <v>92</v>
      </c>
      <c r="B84" s="10" t="n">
        <v>52405059.17</v>
      </c>
    </row>
    <row r="85" customFormat="false" ht="15" hidden="false" customHeight="false" outlineLevel="0" collapsed="false">
      <c r="A85" s="11" t="s">
        <v>93</v>
      </c>
      <c r="B85" s="12" t="n">
        <v>21824985.52</v>
      </c>
    </row>
    <row r="86" customFormat="false" ht="15" hidden="false" customHeight="false" outlineLevel="0" collapsed="false">
      <c r="A86" s="13" t="s">
        <v>94</v>
      </c>
      <c r="B86" s="12" t="n">
        <v>482592.83</v>
      </c>
    </row>
    <row r="87" customFormat="false" ht="15" hidden="false" customHeight="false" outlineLevel="0" collapsed="false">
      <c r="A87" s="14" t="s">
        <v>95</v>
      </c>
      <c r="B87" s="15" t="n">
        <v>482592.83</v>
      </c>
    </row>
    <row r="88" customFormat="false" ht="15" hidden="false" customHeight="false" outlineLevel="0" collapsed="false">
      <c r="A88" s="13" t="s">
        <v>96</v>
      </c>
      <c r="B88" s="12" t="n">
        <v>21342392.69</v>
      </c>
    </row>
    <row r="89" customFormat="false" ht="15" hidden="false" customHeight="false" outlineLevel="0" collapsed="false">
      <c r="A89" s="14" t="s">
        <v>97</v>
      </c>
      <c r="B89" s="15" t="n">
        <v>10728710.65</v>
      </c>
    </row>
    <row r="90" customFormat="false" ht="15" hidden="false" customHeight="false" outlineLevel="0" collapsed="false">
      <c r="A90" s="14" t="s">
        <v>98</v>
      </c>
      <c r="B90" s="15" t="n">
        <v>2182361.9</v>
      </c>
    </row>
    <row r="91" customFormat="false" ht="15" hidden="false" customHeight="false" outlineLevel="0" collapsed="false">
      <c r="A91" s="14" t="s">
        <v>99</v>
      </c>
      <c r="B91" s="15" t="n">
        <v>47182.68</v>
      </c>
    </row>
    <row r="92" customFormat="false" ht="15" hidden="false" customHeight="false" outlineLevel="0" collapsed="false">
      <c r="A92" s="14" t="s">
        <v>100</v>
      </c>
      <c r="B92" s="15" t="n">
        <v>8384137.46</v>
      </c>
    </row>
    <row r="93" customFormat="false" ht="15" hidden="false" customHeight="false" outlineLevel="0" collapsed="false">
      <c r="A93" s="11" t="s">
        <v>101</v>
      </c>
      <c r="B93" s="12" t="n">
        <v>3981039.49</v>
      </c>
    </row>
    <row r="94" customFormat="false" ht="15" hidden="false" customHeight="false" outlineLevel="0" collapsed="false">
      <c r="A94" s="13" t="s">
        <v>102</v>
      </c>
      <c r="B94" s="12" t="n">
        <v>1632864.31</v>
      </c>
    </row>
    <row r="95" customFormat="false" ht="15" hidden="false" customHeight="false" outlineLevel="0" collapsed="false">
      <c r="A95" s="14" t="s">
        <v>103</v>
      </c>
      <c r="B95" s="15" t="n">
        <v>1632864.31</v>
      </c>
    </row>
    <row r="96" customFormat="false" ht="15" hidden="false" customHeight="false" outlineLevel="0" collapsed="false">
      <c r="A96" s="13" t="s">
        <v>104</v>
      </c>
      <c r="B96" s="12" t="n">
        <v>1724659.1</v>
      </c>
    </row>
    <row r="97" customFormat="false" ht="15" hidden="false" customHeight="false" outlineLevel="0" collapsed="false">
      <c r="A97" s="14" t="s">
        <v>105</v>
      </c>
      <c r="B97" s="15" t="n">
        <v>1203490</v>
      </c>
    </row>
    <row r="98" customFormat="false" ht="15" hidden="false" customHeight="false" outlineLevel="0" collapsed="false">
      <c r="A98" s="14" t="s">
        <v>106</v>
      </c>
      <c r="B98" s="15" t="n">
        <v>493327.95</v>
      </c>
    </row>
    <row r="99" customFormat="false" ht="15" hidden="false" customHeight="false" outlineLevel="0" collapsed="false">
      <c r="A99" s="14" t="s">
        <v>107</v>
      </c>
      <c r="B99" s="15" t="n">
        <v>27841.15</v>
      </c>
    </row>
    <row r="100" customFormat="false" ht="15" hidden="false" customHeight="false" outlineLevel="0" collapsed="false">
      <c r="A100" s="13" t="s">
        <v>108</v>
      </c>
      <c r="B100" s="12" t="n">
        <v>382423.2</v>
      </c>
    </row>
    <row r="101" customFormat="false" ht="15" hidden="false" customHeight="false" outlineLevel="0" collapsed="false">
      <c r="A101" s="14" t="s">
        <v>109</v>
      </c>
      <c r="B101" s="15" t="n">
        <v>53093.54</v>
      </c>
    </row>
    <row r="102" customFormat="false" ht="15" hidden="false" customHeight="false" outlineLevel="0" collapsed="false">
      <c r="A102" s="14" t="s">
        <v>110</v>
      </c>
      <c r="B102" s="15" t="n">
        <v>68835.96</v>
      </c>
    </row>
    <row r="103" customFormat="false" ht="15" hidden="false" customHeight="false" outlineLevel="0" collapsed="false">
      <c r="A103" s="14" t="s">
        <v>111</v>
      </c>
      <c r="B103" s="15" t="n">
        <v>68835.96</v>
      </c>
    </row>
    <row r="104" customFormat="false" ht="15" hidden="false" customHeight="false" outlineLevel="0" collapsed="false">
      <c r="A104" s="14" t="s">
        <v>112</v>
      </c>
      <c r="B104" s="15" t="n">
        <v>63441.78</v>
      </c>
    </row>
    <row r="105" customFormat="false" ht="15" hidden="false" customHeight="false" outlineLevel="0" collapsed="false">
      <c r="A105" s="14" t="s">
        <v>113</v>
      </c>
      <c r="B105" s="15" t="n">
        <v>46567.72</v>
      </c>
    </row>
    <row r="106" customFormat="false" ht="15" hidden="false" customHeight="false" outlineLevel="0" collapsed="false">
      <c r="A106" s="14" t="s">
        <v>114</v>
      </c>
      <c r="B106" s="15" t="n">
        <v>40499.18</v>
      </c>
    </row>
    <row r="107" customFormat="false" ht="15" hidden="false" customHeight="false" outlineLevel="0" collapsed="false">
      <c r="A107" s="14" t="s">
        <v>115</v>
      </c>
      <c r="B107" s="15" t="n">
        <v>18625.06</v>
      </c>
    </row>
    <row r="108" customFormat="false" ht="15" hidden="false" customHeight="false" outlineLevel="0" collapsed="false">
      <c r="A108" s="14" t="s">
        <v>116</v>
      </c>
      <c r="B108" s="15" t="n">
        <v>22524</v>
      </c>
    </row>
    <row r="109" customFormat="false" ht="15" hidden="false" customHeight="false" outlineLevel="0" collapsed="false">
      <c r="A109" s="13" t="s">
        <v>118</v>
      </c>
      <c r="B109" s="12" t="n">
        <v>241092.88</v>
      </c>
    </row>
    <row r="110" customFormat="false" ht="15" hidden="false" customHeight="false" outlineLevel="0" collapsed="false">
      <c r="A110" s="14" t="s">
        <v>119</v>
      </c>
      <c r="B110" s="15" t="n">
        <v>104705.76</v>
      </c>
    </row>
    <row r="111" customFormat="false" ht="15" hidden="false" customHeight="false" outlineLevel="0" collapsed="false">
      <c r="A111" s="14" t="s">
        <v>120</v>
      </c>
      <c r="B111" s="15" t="n">
        <v>32250.86</v>
      </c>
    </row>
    <row r="112" customFormat="false" ht="15" hidden="false" customHeight="false" outlineLevel="0" collapsed="false">
      <c r="A112" s="14" t="s">
        <v>121</v>
      </c>
      <c r="B112" s="15" t="n">
        <v>21984.26</v>
      </c>
    </row>
    <row r="113" customFormat="false" ht="15" hidden="false" customHeight="false" outlineLevel="0" collapsed="false">
      <c r="A113" s="14" t="s">
        <v>122</v>
      </c>
      <c r="B113" s="15" t="n">
        <v>82152</v>
      </c>
    </row>
    <row r="114" customFormat="false" ht="15" hidden="false" customHeight="false" outlineLevel="0" collapsed="false">
      <c r="A114" s="11" t="s">
        <v>123</v>
      </c>
      <c r="B114" s="12" t="n">
        <v>24279562.17</v>
      </c>
    </row>
    <row r="115" customFormat="false" ht="15" hidden="false" customHeight="false" outlineLevel="0" collapsed="false">
      <c r="A115" s="13" t="s">
        <v>105</v>
      </c>
      <c r="B115" s="12" t="n">
        <v>6711830</v>
      </c>
    </row>
    <row r="116" customFormat="false" ht="15" hidden="false" customHeight="false" outlineLevel="0" collapsed="false">
      <c r="A116" s="14" t="s">
        <v>105</v>
      </c>
      <c r="B116" s="15" t="n">
        <v>6711830</v>
      </c>
    </row>
    <row r="117" customFormat="false" ht="15" hidden="false" customHeight="false" outlineLevel="0" collapsed="false">
      <c r="A117" s="13" t="s">
        <v>124</v>
      </c>
      <c r="B117" s="12" t="n">
        <v>2151462.87</v>
      </c>
    </row>
    <row r="118" customFormat="false" ht="15" hidden="false" customHeight="false" outlineLevel="0" collapsed="false">
      <c r="A118" s="14" t="s">
        <v>125</v>
      </c>
      <c r="B118" s="15" t="n">
        <v>2151462.87</v>
      </c>
    </row>
    <row r="119" customFormat="false" ht="15" hidden="false" customHeight="false" outlineLevel="0" collapsed="false">
      <c r="A119" s="13" t="s">
        <v>126</v>
      </c>
      <c r="B119" s="12" t="n">
        <v>19457123.46</v>
      </c>
    </row>
    <row r="120" customFormat="false" ht="15" hidden="false" customHeight="false" outlineLevel="0" collapsed="false">
      <c r="A120" s="14" t="s">
        <v>127</v>
      </c>
      <c r="B120" s="15" t="n">
        <v>19457123.46</v>
      </c>
    </row>
    <row r="121" customFormat="false" ht="15" hidden="false" customHeight="false" outlineLevel="0" collapsed="false">
      <c r="A121" s="13" t="s">
        <v>128</v>
      </c>
      <c r="B121" s="12" t="n">
        <v>689152.11</v>
      </c>
    </row>
    <row r="122" customFormat="false" ht="15" hidden="false" customHeight="false" outlineLevel="0" collapsed="false">
      <c r="A122" s="14" t="s">
        <v>129</v>
      </c>
      <c r="B122" s="15" t="n">
        <v>92262.56</v>
      </c>
    </row>
    <row r="123" customFormat="false" ht="15" hidden="false" customHeight="false" outlineLevel="0" collapsed="false">
      <c r="A123" s="14" t="s">
        <v>130</v>
      </c>
      <c r="B123" s="15" t="n">
        <v>596889.55</v>
      </c>
    </row>
    <row r="124" customFormat="false" ht="15" hidden="false" customHeight="false" outlineLevel="0" collapsed="false">
      <c r="A124" s="13" t="s">
        <v>131</v>
      </c>
      <c r="B124" s="12" t="n">
        <v>1288335.42</v>
      </c>
    </row>
    <row r="125" customFormat="false" ht="15" hidden="false" customHeight="false" outlineLevel="0" collapsed="false">
      <c r="A125" s="14" t="s">
        <v>132</v>
      </c>
      <c r="B125" s="15" t="n">
        <v>32525.91</v>
      </c>
    </row>
    <row r="126" customFormat="false" ht="15" hidden="false" customHeight="false" outlineLevel="0" collapsed="false">
      <c r="A126" s="14" t="s">
        <v>133</v>
      </c>
      <c r="B126" s="15" t="n">
        <v>173722.04</v>
      </c>
    </row>
    <row r="127" customFormat="false" ht="15" hidden="false" customHeight="false" outlineLevel="0" collapsed="false">
      <c r="A127" s="14" t="s">
        <v>131</v>
      </c>
      <c r="B127" s="15" t="n">
        <v>1082087.47</v>
      </c>
    </row>
    <row r="128" customFormat="false" ht="15" hidden="false" customHeight="false" outlineLevel="0" collapsed="false">
      <c r="A128" s="13" t="s">
        <v>134</v>
      </c>
      <c r="B128" s="12" t="n">
        <v>2671903.95</v>
      </c>
    </row>
    <row r="129" customFormat="false" ht="15" hidden="false" customHeight="false" outlineLevel="0" collapsed="false">
      <c r="A129" s="14" t="s">
        <v>135</v>
      </c>
      <c r="B129" s="15" t="n">
        <v>828900</v>
      </c>
    </row>
    <row r="130" customFormat="false" ht="15" hidden="false" customHeight="false" outlineLevel="0" collapsed="false">
      <c r="A130" s="14" t="s">
        <v>136</v>
      </c>
      <c r="B130" s="15" t="n">
        <v>793063.04</v>
      </c>
    </row>
    <row r="131" customFormat="false" ht="15" hidden="false" customHeight="false" outlineLevel="0" collapsed="false">
      <c r="A131" s="14" t="s">
        <v>137</v>
      </c>
      <c r="B131" s="15" t="n">
        <v>1049940.91</v>
      </c>
    </row>
    <row r="132" customFormat="false" ht="15" hidden="false" customHeight="false" outlineLevel="0" collapsed="false">
      <c r="A132" s="13" t="s">
        <v>138</v>
      </c>
      <c r="B132" s="12" t="n">
        <v>635635.54</v>
      </c>
    </row>
    <row r="133" customFormat="false" ht="15" hidden="false" customHeight="false" outlineLevel="0" collapsed="false">
      <c r="A133" s="14" t="s">
        <v>139</v>
      </c>
      <c r="B133" s="15" t="n">
        <v>326072.7</v>
      </c>
    </row>
    <row r="134" customFormat="false" ht="15" hidden="false" customHeight="false" outlineLevel="0" collapsed="false">
      <c r="A134" s="14" t="s">
        <v>140</v>
      </c>
      <c r="B134" s="15" t="n">
        <v>278109.6</v>
      </c>
    </row>
    <row r="135" customFormat="false" ht="15" hidden="false" customHeight="false" outlineLevel="0" collapsed="false">
      <c r="A135" s="14" t="s">
        <v>141</v>
      </c>
      <c r="B135" s="15" t="n">
        <v>31453.24</v>
      </c>
    </row>
    <row r="136" customFormat="false" ht="15" hidden="false" customHeight="false" outlineLevel="0" collapsed="false">
      <c r="A136" s="13" t="s">
        <v>142</v>
      </c>
      <c r="B136" s="12" t="n">
        <v>4489258.22</v>
      </c>
    </row>
    <row r="137" customFormat="false" ht="15" hidden="false" customHeight="false" outlineLevel="0" collapsed="false">
      <c r="A137" s="14" t="s">
        <v>143</v>
      </c>
      <c r="B137" s="15" t="n">
        <v>4489258.22</v>
      </c>
    </row>
    <row r="138" customFormat="false" ht="15" hidden="false" customHeight="false" outlineLevel="0" collapsed="false">
      <c r="A138" s="13" t="s">
        <v>144</v>
      </c>
      <c r="B138" s="12" t="n">
        <v>4221802.56</v>
      </c>
    </row>
    <row r="139" customFormat="false" ht="15" hidden="false" customHeight="false" outlineLevel="0" collapsed="false">
      <c r="A139" s="14" t="s">
        <v>145</v>
      </c>
      <c r="B139" s="15" t="n">
        <v>4221802.56</v>
      </c>
    </row>
    <row r="140" customFormat="false" ht="15" hidden="false" customHeight="false" outlineLevel="0" collapsed="false">
      <c r="A140" s="13" t="s">
        <v>146</v>
      </c>
      <c r="B140" s="12" t="n">
        <v>235108.44</v>
      </c>
    </row>
    <row r="141" customFormat="false" ht="15" hidden="false" customHeight="false" outlineLevel="0" collapsed="false">
      <c r="A141" s="14" t="s">
        <v>147</v>
      </c>
      <c r="B141" s="15" t="n">
        <v>235108.44</v>
      </c>
    </row>
    <row r="142" customFormat="false" ht="15" hidden="false" customHeight="false" outlineLevel="0" collapsed="false">
      <c r="A142" s="13" t="s">
        <v>148</v>
      </c>
      <c r="B142" s="12" t="n">
        <v>-18272050.4</v>
      </c>
    </row>
    <row r="143" customFormat="false" ht="15" hidden="false" customHeight="false" outlineLevel="0" collapsed="false">
      <c r="A143" s="14" t="s">
        <v>149</v>
      </c>
      <c r="B143" s="15" t="n">
        <v>-18272050.4</v>
      </c>
    </row>
    <row r="144" customFormat="false" ht="15" hidden="false" customHeight="false" outlineLevel="0" collapsed="false">
      <c r="A144" s="11" t="s">
        <v>150</v>
      </c>
      <c r="B144" s="12" t="n">
        <v>2319471.99</v>
      </c>
    </row>
    <row r="145" customFormat="false" ht="15" hidden="false" customHeight="false" outlineLevel="0" collapsed="false">
      <c r="A145" s="13" t="s">
        <v>151</v>
      </c>
      <c r="B145" s="12" t="n">
        <v>2094086.47</v>
      </c>
    </row>
    <row r="146" customFormat="false" ht="15" hidden="false" customHeight="false" outlineLevel="0" collapsed="false">
      <c r="A146" s="14" t="s">
        <v>152</v>
      </c>
      <c r="B146" s="15" t="n">
        <v>46948</v>
      </c>
    </row>
    <row r="147" customFormat="false" ht="15" hidden="false" customHeight="false" outlineLevel="0" collapsed="false">
      <c r="A147" s="14" t="s">
        <v>153</v>
      </c>
      <c r="B147" s="15" t="n">
        <v>1887138.47</v>
      </c>
    </row>
    <row r="148" customFormat="false" ht="15" hidden="false" customHeight="false" outlineLevel="0" collapsed="false">
      <c r="A148" s="14" t="s">
        <v>154</v>
      </c>
      <c r="B148" s="15" t="n">
        <v>160000</v>
      </c>
    </row>
    <row r="149" customFormat="false" ht="15" hidden="false" customHeight="false" outlineLevel="0" collapsed="false">
      <c r="A149" s="13" t="s">
        <v>155</v>
      </c>
      <c r="B149" s="12" t="n">
        <v>225385.52</v>
      </c>
    </row>
    <row r="150" customFormat="false" ht="15" hidden="false" customHeight="false" outlineLevel="0" collapsed="false">
      <c r="A150" s="14" t="s">
        <v>156</v>
      </c>
      <c r="B150" s="15" t="n">
        <v>831708.71</v>
      </c>
    </row>
    <row r="151" customFormat="false" ht="15" hidden="false" customHeight="false" outlineLevel="0" collapsed="false">
      <c r="A151" s="14" t="s">
        <v>157</v>
      </c>
      <c r="B151" s="15" t="n">
        <v>-606323.19</v>
      </c>
    </row>
    <row r="152" customFormat="false" ht="15" hidden="false" customHeight="false" outlineLevel="0" collapsed="false">
      <c r="A152" s="7" t="s">
        <v>158</v>
      </c>
      <c r="B152" s="8" t="n">
        <v>78342325.12</v>
      </c>
    </row>
    <row r="153" customFormat="false" ht="15" hidden="false" customHeight="false" outlineLevel="0" collapsed="false">
      <c r="A153" s="9" t="s">
        <v>159</v>
      </c>
      <c r="B153" s="10" t="n">
        <v>19161682.45</v>
      </c>
    </row>
    <row r="154" customFormat="false" ht="15" hidden="false" customHeight="false" outlineLevel="0" collapsed="false">
      <c r="A154" s="11" t="s">
        <v>160</v>
      </c>
      <c r="B154" s="12" t="n">
        <v>7701685.44</v>
      </c>
    </row>
    <row r="155" customFormat="false" ht="15" hidden="false" customHeight="false" outlineLevel="0" collapsed="false">
      <c r="A155" s="13" t="s">
        <v>161</v>
      </c>
      <c r="B155" s="12" t="n">
        <v>7637241.94</v>
      </c>
    </row>
    <row r="156" customFormat="false" ht="15" hidden="false" customHeight="false" outlineLevel="0" collapsed="false">
      <c r="A156" s="14" t="s">
        <v>161</v>
      </c>
      <c r="B156" s="15" t="n">
        <v>7637241.94</v>
      </c>
    </row>
    <row r="157" customFormat="false" ht="15" hidden="false" customHeight="false" outlineLevel="0" collapsed="false">
      <c r="A157" s="13" t="s">
        <v>162</v>
      </c>
      <c r="B157" s="12" t="n">
        <v>64443.5</v>
      </c>
    </row>
    <row r="158" customFormat="false" ht="15" hidden="false" customHeight="false" outlineLevel="0" collapsed="false">
      <c r="A158" s="14" t="s">
        <v>162</v>
      </c>
      <c r="B158" s="15" t="n">
        <v>64443.5</v>
      </c>
    </row>
    <row r="159" customFormat="false" ht="15" hidden="false" customHeight="false" outlineLevel="0" collapsed="false">
      <c r="A159" s="11" t="s">
        <v>163</v>
      </c>
      <c r="B159" s="12" t="n">
        <v>922526.01</v>
      </c>
    </row>
    <row r="160" customFormat="false" ht="15" hidden="false" customHeight="false" outlineLevel="0" collapsed="false">
      <c r="A160" s="13" t="s">
        <v>164</v>
      </c>
      <c r="B160" s="12" t="n">
        <v>684957.21</v>
      </c>
    </row>
    <row r="161" customFormat="false" ht="15" hidden="false" customHeight="false" outlineLevel="0" collapsed="false">
      <c r="A161" s="14" t="s">
        <v>165</v>
      </c>
      <c r="B161" s="15" t="n">
        <v>100371.23</v>
      </c>
    </row>
    <row r="162" customFormat="false" ht="15" hidden="false" customHeight="false" outlineLevel="0" collapsed="false">
      <c r="A162" s="14" t="s">
        <v>166</v>
      </c>
      <c r="B162" s="15" t="n">
        <v>456190.6</v>
      </c>
    </row>
    <row r="163" customFormat="false" ht="15" hidden="false" customHeight="false" outlineLevel="0" collapsed="false">
      <c r="A163" s="14" t="s">
        <v>167</v>
      </c>
      <c r="B163" s="15" t="n">
        <v>67673.08</v>
      </c>
    </row>
    <row r="164" customFormat="false" ht="15" hidden="false" customHeight="false" outlineLevel="0" collapsed="false">
      <c r="A164" s="14" t="s">
        <v>168</v>
      </c>
      <c r="B164" s="15" t="n">
        <v>38271.55</v>
      </c>
    </row>
    <row r="165" customFormat="false" ht="15" hidden="false" customHeight="false" outlineLevel="0" collapsed="false">
      <c r="A165" s="14" t="s">
        <v>169</v>
      </c>
      <c r="B165" s="15" t="n">
        <v>4917.48</v>
      </c>
    </row>
    <row r="166" customFormat="false" ht="15" hidden="false" customHeight="false" outlineLevel="0" collapsed="false">
      <c r="A166" s="14" t="s">
        <v>170</v>
      </c>
      <c r="B166" s="15" t="n">
        <v>390</v>
      </c>
    </row>
    <row r="167" customFormat="false" ht="15" hidden="false" customHeight="false" outlineLevel="0" collapsed="false">
      <c r="A167" s="14" t="s">
        <v>172</v>
      </c>
      <c r="B167" s="15" t="n">
        <v>15576.43</v>
      </c>
    </row>
    <row r="168" customFormat="false" ht="15" hidden="false" customHeight="false" outlineLevel="0" collapsed="false">
      <c r="A168" s="14" t="s">
        <v>173</v>
      </c>
      <c r="B168" s="15" t="n">
        <v>1566.84</v>
      </c>
    </row>
    <row r="169" customFormat="false" ht="15" hidden="false" customHeight="false" outlineLevel="0" collapsed="false">
      <c r="A169" s="13" t="s">
        <v>174</v>
      </c>
      <c r="B169" s="12" t="n">
        <v>233519.37</v>
      </c>
    </row>
    <row r="170" customFormat="false" ht="15" hidden="false" customHeight="false" outlineLevel="0" collapsed="false">
      <c r="A170" s="14" t="s">
        <v>175</v>
      </c>
      <c r="B170" s="15" t="n">
        <v>230315.75</v>
      </c>
    </row>
    <row r="171" customFormat="false" ht="15" hidden="false" customHeight="false" outlineLevel="0" collapsed="false">
      <c r="A171" s="14" t="s">
        <v>176</v>
      </c>
      <c r="B171" s="15" t="n">
        <v>439.45</v>
      </c>
    </row>
    <row r="172" customFormat="false" ht="15" hidden="false" customHeight="false" outlineLevel="0" collapsed="false">
      <c r="A172" s="14" t="s">
        <v>177</v>
      </c>
      <c r="B172" s="15" t="n">
        <v>2764.17</v>
      </c>
    </row>
    <row r="173" customFormat="false" ht="15" hidden="false" customHeight="false" outlineLevel="0" collapsed="false">
      <c r="A173" s="13" t="s">
        <v>178</v>
      </c>
      <c r="B173" s="12" t="n">
        <v>3444.64</v>
      </c>
    </row>
    <row r="174" customFormat="false" ht="15" hidden="false" customHeight="false" outlineLevel="0" collapsed="false">
      <c r="A174" s="14" t="s">
        <v>179</v>
      </c>
      <c r="B174" s="15" t="n">
        <v>3292.44</v>
      </c>
    </row>
    <row r="175" customFormat="false" ht="15" hidden="false" customHeight="false" outlineLevel="0" collapsed="false">
      <c r="A175" s="14" t="s">
        <v>181</v>
      </c>
      <c r="B175" s="15" t="n">
        <v>152.2</v>
      </c>
    </row>
    <row r="176" customFormat="false" ht="15" hidden="false" customHeight="false" outlineLevel="0" collapsed="false">
      <c r="A176" s="13" t="s">
        <v>182</v>
      </c>
      <c r="B176" s="12" t="n">
        <v>604.79</v>
      </c>
    </row>
    <row r="177" customFormat="false" ht="15" hidden="false" customHeight="false" outlineLevel="0" collapsed="false">
      <c r="A177" s="14" t="s">
        <v>183</v>
      </c>
      <c r="B177" s="15" t="n">
        <v>604.79</v>
      </c>
    </row>
    <row r="178" customFormat="false" ht="15" hidden="false" customHeight="false" outlineLevel="0" collapsed="false">
      <c r="A178" s="11" t="s">
        <v>184</v>
      </c>
      <c r="B178" s="12" t="n">
        <v>3599740.51</v>
      </c>
    </row>
    <row r="179" customFormat="false" ht="15" hidden="false" customHeight="false" outlineLevel="0" collapsed="false">
      <c r="A179" s="13" t="s">
        <v>185</v>
      </c>
      <c r="B179" s="12" t="n">
        <v>334849.73</v>
      </c>
    </row>
    <row r="180" customFormat="false" ht="15" hidden="false" customHeight="false" outlineLevel="0" collapsed="false">
      <c r="A180" s="14" t="s">
        <v>186</v>
      </c>
      <c r="B180" s="15" t="n">
        <v>325609.02</v>
      </c>
    </row>
    <row r="181" customFormat="false" ht="15" hidden="false" customHeight="false" outlineLevel="0" collapsed="false">
      <c r="A181" s="14" t="s">
        <v>187</v>
      </c>
      <c r="B181" s="15" t="n">
        <v>3288.78</v>
      </c>
    </row>
    <row r="182" customFormat="false" ht="15" hidden="false" customHeight="false" outlineLevel="0" collapsed="false">
      <c r="A182" s="14" t="s">
        <v>188</v>
      </c>
      <c r="B182" s="15" t="n">
        <v>5951.93</v>
      </c>
    </row>
    <row r="183" customFormat="false" ht="15" hidden="false" customHeight="false" outlineLevel="0" collapsed="false">
      <c r="A183" s="13" t="s">
        <v>189</v>
      </c>
      <c r="B183" s="12" t="n">
        <v>49203.69</v>
      </c>
    </row>
    <row r="184" customFormat="false" ht="15" hidden="false" customHeight="false" outlineLevel="0" collapsed="false">
      <c r="A184" s="14" t="s">
        <v>190</v>
      </c>
      <c r="B184" s="15" t="n">
        <v>11841.74</v>
      </c>
    </row>
    <row r="185" customFormat="false" ht="15" hidden="false" customHeight="false" outlineLevel="0" collapsed="false">
      <c r="A185" s="14" t="s">
        <v>191</v>
      </c>
      <c r="B185" s="15" t="n">
        <v>1215.75</v>
      </c>
    </row>
    <row r="186" customFormat="false" ht="15" hidden="false" customHeight="false" outlineLevel="0" collapsed="false">
      <c r="A186" s="14" t="s">
        <v>192</v>
      </c>
      <c r="B186" s="15" t="n">
        <v>36146.2</v>
      </c>
    </row>
    <row r="187" customFormat="false" ht="15" hidden="false" customHeight="false" outlineLevel="0" collapsed="false">
      <c r="A187" s="13" t="s">
        <v>193</v>
      </c>
      <c r="B187" s="12" t="n">
        <v>2377190.4</v>
      </c>
    </row>
    <row r="188" customFormat="false" ht="15" hidden="false" customHeight="false" outlineLevel="0" collapsed="false">
      <c r="A188" s="14" t="s">
        <v>194</v>
      </c>
      <c r="B188" s="15" t="n">
        <v>2285660.22</v>
      </c>
    </row>
    <row r="189" customFormat="false" ht="15" hidden="false" customHeight="false" outlineLevel="0" collapsed="false">
      <c r="A189" s="14" t="s">
        <v>195</v>
      </c>
      <c r="B189" s="15" t="n">
        <v>62046.78</v>
      </c>
    </row>
    <row r="190" customFormat="false" ht="15" hidden="false" customHeight="false" outlineLevel="0" collapsed="false">
      <c r="A190" s="14" t="s">
        <v>196</v>
      </c>
      <c r="B190" s="15" t="n">
        <v>4038</v>
      </c>
    </row>
    <row r="191" customFormat="false" ht="15" hidden="false" customHeight="false" outlineLevel="0" collapsed="false">
      <c r="A191" s="14" t="s">
        <v>197</v>
      </c>
      <c r="B191" s="15" t="n">
        <v>25445.4</v>
      </c>
    </row>
    <row r="192" customFormat="false" ht="15" hidden="false" customHeight="false" outlineLevel="0" collapsed="false">
      <c r="A192" s="13" t="s">
        <v>199</v>
      </c>
      <c r="B192" s="12" t="n">
        <v>838496.69</v>
      </c>
    </row>
    <row r="193" customFormat="false" ht="15" hidden="false" customHeight="false" outlineLevel="0" collapsed="false">
      <c r="A193" s="14" t="s">
        <v>201</v>
      </c>
      <c r="B193" s="15" t="n">
        <v>-4457.95</v>
      </c>
    </row>
    <row r="194" customFormat="false" ht="15" hidden="false" customHeight="false" outlineLevel="0" collapsed="false">
      <c r="A194" s="14" t="s">
        <v>200</v>
      </c>
      <c r="B194" s="15" t="n">
        <v>65188.23</v>
      </c>
    </row>
    <row r="195" customFormat="false" ht="15" hidden="false" customHeight="false" outlineLevel="0" collapsed="false">
      <c r="A195" s="14" t="s">
        <v>202</v>
      </c>
      <c r="B195" s="15" t="n">
        <v>156988.66</v>
      </c>
    </row>
    <row r="196" customFormat="false" ht="15" hidden="false" customHeight="false" outlineLevel="0" collapsed="false">
      <c r="A196" s="14" t="s">
        <v>203</v>
      </c>
      <c r="B196" s="15" t="n">
        <v>76473.19</v>
      </c>
    </row>
    <row r="197" customFormat="false" ht="15" hidden="false" customHeight="false" outlineLevel="0" collapsed="false">
      <c r="A197" s="14" t="s">
        <v>204</v>
      </c>
      <c r="B197" s="15" t="n">
        <v>13534.27</v>
      </c>
    </row>
    <row r="198" customFormat="false" ht="15" hidden="false" customHeight="false" outlineLevel="0" collapsed="false">
      <c r="A198" s="14" t="s">
        <v>205</v>
      </c>
      <c r="B198" s="15" t="n">
        <v>278805.76</v>
      </c>
    </row>
    <row r="199" customFormat="false" ht="15" hidden="false" customHeight="false" outlineLevel="0" collapsed="false">
      <c r="A199" s="14" t="s">
        <v>206</v>
      </c>
      <c r="B199" s="15" t="n">
        <v>251964.53</v>
      </c>
    </row>
    <row r="200" customFormat="false" ht="15" hidden="false" customHeight="false" outlineLevel="0" collapsed="false">
      <c r="A200" s="11" t="s">
        <v>207</v>
      </c>
      <c r="B200" s="12" t="n">
        <v>287750.57</v>
      </c>
    </row>
    <row r="201" customFormat="false" ht="15" hidden="false" customHeight="false" outlineLevel="0" collapsed="false">
      <c r="A201" s="13" t="s">
        <v>207</v>
      </c>
      <c r="B201" s="12" t="n">
        <v>1037406.35</v>
      </c>
    </row>
    <row r="202" customFormat="false" ht="15" hidden="false" customHeight="false" outlineLevel="0" collapsed="false">
      <c r="A202" s="14" t="s">
        <v>209</v>
      </c>
      <c r="B202" s="15" t="n">
        <v>78571.6</v>
      </c>
    </row>
    <row r="203" customFormat="false" ht="15" hidden="false" customHeight="false" outlineLevel="0" collapsed="false">
      <c r="A203" s="14" t="s">
        <v>210</v>
      </c>
      <c r="B203" s="15" t="n">
        <v>34343.02</v>
      </c>
    </row>
    <row r="204" customFormat="false" ht="15" hidden="false" customHeight="false" outlineLevel="0" collapsed="false">
      <c r="A204" s="14" t="s">
        <v>211</v>
      </c>
      <c r="B204" s="15" t="n">
        <v>375000</v>
      </c>
    </row>
    <row r="205" customFormat="false" ht="15" hidden="false" customHeight="false" outlineLevel="0" collapsed="false">
      <c r="A205" s="14" t="s">
        <v>213</v>
      </c>
      <c r="B205" s="15" t="n">
        <v>30422.69</v>
      </c>
    </row>
    <row r="206" customFormat="false" ht="15" hidden="false" customHeight="false" outlineLevel="0" collapsed="false">
      <c r="A206" s="14" t="s">
        <v>214</v>
      </c>
      <c r="B206" s="15" t="n">
        <v>478972.32</v>
      </c>
    </row>
    <row r="207" customFormat="false" ht="15" hidden="false" customHeight="false" outlineLevel="0" collapsed="false">
      <c r="A207" s="14" t="s">
        <v>215</v>
      </c>
      <c r="B207" s="15" t="n">
        <v>40096.72</v>
      </c>
    </row>
    <row r="208" customFormat="false" ht="15" hidden="false" customHeight="false" outlineLevel="0" collapsed="false">
      <c r="A208" s="13" t="s">
        <v>217</v>
      </c>
      <c r="B208" s="12" t="n">
        <v>-749655.78</v>
      </c>
    </row>
    <row r="209" customFormat="false" ht="15" hidden="false" customHeight="false" outlineLevel="0" collapsed="false">
      <c r="A209" s="14" t="s">
        <v>218</v>
      </c>
      <c r="B209" s="15" t="n">
        <v>-749655.78</v>
      </c>
    </row>
    <row r="210" customFormat="false" ht="15" hidden="false" customHeight="false" outlineLevel="0" collapsed="false">
      <c r="A210" s="11" t="s">
        <v>219</v>
      </c>
      <c r="B210" s="12" t="n">
        <v>-1232808.4</v>
      </c>
    </row>
    <row r="211" customFormat="false" ht="15" hidden="false" customHeight="false" outlineLevel="0" collapsed="false">
      <c r="A211" s="13" t="s">
        <v>220</v>
      </c>
      <c r="B211" s="12" t="n">
        <v>-1232808.4</v>
      </c>
    </row>
    <row r="212" customFormat="false" ht="15" hidden="false" customHeight="false" outlineLevel="0" collapsed="false">
      <c r="A212" s="14" t="s">
        <v>221</v>
      </c>
      <c r="B212" s="15" t="n">
        <v>31019.08</v>
      </c>
    </row>
    <row r="213" customFormat="false" ht="15" hidden="false" customHeight="false" outlineLevel="0" collapsed="false">
      <c r="A213" s="14" t="s">
        <v>222</v>
      </c>
      <c r="B213" s="15" t="n">
        <v>106653.74</v>
      </c>
    </row>
    <row r="214" customFormat="false" ht="15" hidden="false" customHeight="false" outlineLevel="0" collapsed="false">
      <c r="A214" s="14" t="s">
        <v>223</v>
      </c>
      <c r="B214" s="15" t="n">
        <v>-302421.57</v>
      </c>
    </row>
    <row r="215" customFormat="false" ht="15" hidden="false" customHeight="false" outlineLevel="0" collapsed="false">
      <c r="A215" s="14" t="s">
        <v>224</v>
      </c>
      <c r="B215" s="15" t="n">
        <v>-1068059.65</v>
      </c>
    </row>
    <row r="216" customFormat="false" ht="15" hidden="false" customHeight="false" outlineLevel="0" collapsed="false">
      <c r="A216" s="11" t="s">
        <v>225</v>
      </c>
      <c r="B216" s="12" t="n">
        <v>3737909.04</v>
      </c>
    </row>
    <row r="217" customFormat="false" ht="15" hidden="false" customHeight="false" outlineLevel="0" collapsed="false">
      <c r="A217" s="13" t="s">
        <v>226</v>
      </c>
      <c r="B217" s="12" t="n">
        <v>3737909.04</v>
      </c>
    </row>
    <row r="218" customFormat="false" ht="15" hidden="false" customHeight="false" outlineLevel="0" collapsed="false">
      <c r="A218" s="14" t="s">
        <v>227</v>
      </c>
      <c r="B218" s="15" t="n">
        <v>64829.94</v>
      </c>
    </row>
    <row r="219" customFormat="false" ht="15" hidden="false" customHeight="false" outlineLevel="0" collapsed="false">
      <c r="A219" s="14" t="s">
        <v>228</v>
      </c>
      <c r="B219" s="15" t="n">
        <v>1459820.23</v>
      </c>
    </row>
    <row r="220" customFormat="false" ht="15" hidden="false" customHeight="false" outlineLevel="0" collapsed="false">
      <c r="A220" s="14" t="s">
        <v>229</v>
      </c>
      <c r="B220" s="15" t="n">
        <v>204730.87</v>
      </c>
    </row>
    <row r="221" customFormat="false" ht="15" hidden="false" customHeight="false" outlineLevel="0" collapsed="false">
      <c r="A221" s="14" t="s">
        <v>230</v>
      </c>
      <c r="B221" s="15" t="n">
        <v>1915961.72</v>
      </c>
    </row>
    <row r="222" customFormat="false" ht="15" hidden="false" customHeight="false" outlineLevel="0" collapsed="false">
      <c r="A222" s="14" t="s">
        <v>231</v>
      </c>
      <c r="B222" s="15" t="n">
        <v>17596.77</v>
      </c>
    </row>
    <row r="223" customFormat="false" ht="15" hidden="false" customHeight="false" outlineLevel="0" collapsed="false">
      <c r="A223" s="14" t="s">
        <v>232</v>
      </c>
      <c r="B223" s="15" t="n">
        <v>94980</v>
      </c>
    </row>
    <row r="224" customFormat="false" ht="15" hidden="false" customHeight="false" outlineLevel="0" collapsed="false">
      <c r="A224" s="14" t="s">
        <v>233</v>
      </c>
      <c r="B224" s="15" t="n">
        <v>-20010.49</v>
      </c>
    </row>
    <row r="225" customFormat="false" ht="15" hidden="false" customHeight="false" outlineLevel="0" collapsed="false">
      <c r="A225" s="11" t="s">
        <v>234</v>
      </c>
      <c r="B225" s="12" t="n">
        <v>3308556.25</v>
      </c>
    </row>
    <row r="226" customFormat="false" ht="15" hidden="false" customHeight="false" outlineLevel="0" collapsed="false">
      <c r="A226" s="13" t="s">
        <v>234</v>
      </c>
      <c r="B226" s="12" t="n">
        <v>3308556.25</v>
      </c>
    </row>
    <row r="227" customFormat="false" ht="15" hidden="false" customHeight="false" outlineLevel="0" collapsed="false">
      <c r="A227" s="14" t="s">
        <v>235</v>
      </c>
      <c r="B227" s="15" t="n">
        <v>3210915.88</v>
      </c>
    </row>
    <row r="228" customFormat="false" ht="15" hidden="false" customHeight="false" outlineLevel="0" collapsed="false">
      <c r="A228" s="14" t="s">
        <v>236</v>
      </c>
      <c r="B228" s="15" t="n">
        <v>97640.37</v>
      </c>
    </row>
    <row r="229" customFormat="false" ht="15" hidden="false" customHeight="false" outlineLevel="0" collapsed="false">
      <c r="A229" s="11" t="s">
        <v>237</v>
      </c>
      <c r="B229" s="12" t="n">
        <v>836323.03</v>
      </c>
    </row>
    <row r="230" customFormat="false" ht="15" hidden="false" customHeight="false" outlineLevel="0" collapsed="false">
      <c r="A230" s="13" t="s">
        <v>238</v>
      </c>
      <c r="B230" s="12" t="n">
        <v>49251.24</v>
      </c>
    </row>
    <row r="231" customFormat="false" ht="15" hidden="false" customHeight="false" outlineLevel="0" collapsed="false">
      <c r="A231" s="14" t="s">
        <v>239</v>
      </c>
      <c r="B231" s="15" t="n">
        <v>46317.4</v>
      </c>
    </row>
    <row r="232" customFormat="false" ht="15" hidden="false" customHeight="false" outlineLevel="0" collapsed="false">
      <c r="A232" s="14" t="s">
        <v>240</v>
      </c>
      <c r="B232" s="15" t="n">
        <v>2933.84</v>
      </c>
    </row>
    <row r="233" customFormat="false" ht="15" hidden="false" customHeight="false" outlineLevel="0" collapsed="false">
      <c r="A233" s="13" t="s">
        <v>241</v>
      </c>
      <c r="B233" s="12" t="n">
        <v>195670.67</v>
      </c>
    </row>
    <row r="234" customFormat="false" ht="15" hidden="false" customHeight="false" outlineLevel="0" collapsed="false">
      <c r="A234" s="14" t="s">
        <v>242</v>
      </c>
      <c r="B234" s="15" t="n">
        <v>195670.67</v>
      </c>
    </row>
    <row r="235" customFormat="false" ht="15" hidden="false" customHeight="false" outlineLevel="0" collapsed="false">
      <c r="A235" s="13" t="s">
        <v>243</v>
      </c>
      <c r="B235" s="12" t="n">
        <v>11435</v>
      </c>
    </row>
    <row r="236" customFormat="false" ht="15" hidden="false" customHeight="false" outlineLevel="0" collapsed="false">
      <c r="A236" s="14" t="s">
        <v>243</v>
      </c>
      <c r="B236" s="15" t="n">
        <v>11435</v>
      </c>
    </row>
    <row r="237" customFormat="false" ht="15" hidden="false" customHeight="false" outlineLevel="0" collapsed="false">
      <c r="A237" s="13" t="s">
        <v>244</v>
      </c>
      <c r="B237" s="12" t="n">
        <v>579966.12</v>
      </c>
    </row>
    <row r="238" customFormat="false" ht="15" hidden="false" customHeight="false" outlineLevel="0" collapsed="false">
      <c r="A238" s="14" t="s">
        <v>244</v>
      </c>
      <c r="B238" s="15" t="n">
        <v>563115.12</v>
      </c>
    </row>
    <row r="239" customFormat="false" ht="15" hidden="false" customHeight="false" outlineLevel="0" collapsed="false">
      <c r="A239" s="14" t="s">
        <v>245</v>
      </c>
      <c r="B239" s="15" t="n">
        <v>16851</v>
      </c>
    </row>
    <row r="240" customFormat="false" ht="15" hidden="false" customHeight="false" outlineLevel="0" collapsed="false">
      <c r="A240" s="9" t="s">
        <v>246</v>
      </c>
      <c r="B240" s="10" t="n">
        <v>34341996.28</v>
      </c>
    </row>
    <row r="241" customFormat="false" ht="15" hidden="false" customHeight="false" outlineLevel="0" collapsed="false">
      <c r="A241" s="11" t="s">
        <v>207</v>
      </c>
      <c r="B241" s="12" t="n">
        <v>4747604.33</v>
      </c>
    </row>
    <row r="242" customFormat="false" ht="15" hidden="false" customHeight="false" outlineLevel="0" collapsed="false">
      <c r="A242" s="13" t="s">
        <v>247</v>
      </c>
      <c r="B242" s="12" t="n">
        <v>4747604.33</v>
      </c>
    </row>
    <row r="243" customFormat="false" ht="15" hidden="false" customHeight="false" outlineLevel="0" collapsed="false">
      <c r="A243" s="14" t="s">
        <v>248</v>
      </c>
      <c r="B243" s="15" t="n">
        <v>703125</v>
      </c>
    </row>
    <row r="244" customFormat="false" ht="15" hidden="false" customHeight="false" outlineLevel="0" collapsed="false">
      <c r="A244" s="14" t="s">
        <v>249</v>
      </c>
      <c r="B244" s="15" t="n">
        <v>1781004.54</v>
      </c>
    </row>
    <row r="245" customFormat="false" ht="15" hidden="false" customHeight="false" outlineLevel="0" collapsed="false">
      <c r="A245" s="14" t="s">
        <v>250</v>
      </c>
      <c r="B245" s="15" t="n">
        <v>162958.8</v>
      </c>
    </row>
    <row r="246" customFormat="false" ht="15" hidden="false" customHeight="false" outlineLevel="0" collapsed="false">
      <c r="A246" s="14" t="s">
        <v>251</v>
      </c>
      <c r="B246" s="15" t="n">
        <v>2095503.9</v>
      </c>
    </row>
    <row r="247" customFormat="false" ht="15" hidden="false" customHeight="false" outlineLevel="0" collapsed="false">
      <c r="A247" s="14" t="s">
        <v>252</v>
      </c>
      <c r="B247" s="15" t="n">
        <v>5012.09</v>
      </c>
    </row>
    <row r="248" customFormat="false" ht="15" hidden="false" customHeight="false" outlineLevel="0" collapsed="false">
      <c r="A248" s="11" t="s">
        <v>254</v>
      </c>
      <c r="B248" s="12" t="n">
        <v>4307409.95</v>
      </c>
    </row>
    <row r="249" customFormat="false" ht="15" hidden="false" customHeight="false" outlineLevel="0" collapsed="false">
      <c r="A249" s="13" t="s">
        <v>255</v>
      </c>
      <c r="B249" s="12" t="n">
        <v>4307409.95</v>
      </c>
    </row>
    <row r="250" customFormat="false" ht="15" hidden="false" customHeight="false" outlineLevel="0" collapsed="false">
      <c r="A250" s="14" t="s">
        <v>256</v>
      </c>
      <c r="B250" s="15" t="n">
        <v>3880794.99</v>
      </c>
    </row>
    <row r="251" customFormat="false" ht="15" hidden="false" customHeight="false" outlineLevel="0" collapsed="false">
      <c r="A251" s="14" t="s">
        <v>257</v>
      </c>
      <c r="B251" s="15" t="n">
        <v>426614.96</v>
      </c>
    </row>
    <row r="252" customFormat="false" ht="15" hidden="false" customHeight="false" outlineLevel="0" collapsed="false">
      <c r="A252" s="11" t="s">
        <v>258</v>
      </c>
      <c r="B252" s="12" t="n">
        <v>4916419.84</v>
      </c>
    </row>
    <row r="253" customFormat="false" ht="15" hidden="false" customHeight="false" outlineLevel="0" collapsed="false">
      <c r="A253" s="13" t="s">
        <v>259</v>
      </c>
      <c r="B253" s="12" t="n">
        <v>4916419.84</v>
      </c>
    </row>
    <row r="254" customFormat="false" ht="15" hidden="false" customHeight="false" outlineLevel="0" collapsed="false">
      <c r="A254" s="14" t="s">
        <v>260</v>
      </c>
      <c r="B254" s="15" t="n">
        <v>4469622.39</v>
      </c>
    </row>
    <row r="255" customFormat="false" ht="15" hidden="false" customHeight="false" outlineLevel="0" collapsed="false">
      <c r="A255" s="14" t="s">
        <v>261</v>
      </c>
      <c r="B255" s="15" t="n">
        <v>76482.3</v>
      </c>
    </row>
    <row r="256" customFormat="false" ht="15" hidden="false" customHeight="false" outlineLevel="0" collapsed="false">
      <c r="A256" s="14" t="s">
        <v>262</v>
      </c>
      <c r="B256" s="15" t="n">
        <v>370315.15</v>
      </c>
    </row>
    <row r="257" customFormat="false" ht="15" hidden="false" customHeight="false" outlineLevel="0" collapsed="false">
      <c r="A257" s="11" t="s">
        <v>263</v>
      </c>
      <c r="B257" s="12" t="n">
        <v>20370562.16</v>
      </c>
    </row>
    <row r="258" customFormat="false" ht="15" hidden="false" customHeight="false" outlineLevel="0" collapsed="false">
      <c r="A258" s="13" t="s">
        <v>263</v>
      </c>
      <c r="B258" s="12" t="n">
        <v>20370562.16</v>
      </c>
    </row>
    <row r="259" customFormat="false" ht="15" hidden="false" customHeight="false" outlineLevel="0" collapsed="false">
      <c r="A259" s="14" t="s">
        <v>264</v>
      </c>
      <c r="B259" s="15" t="n">
        <v>8511069.63</v>
      </c>
    </row>
    <row r="260" customFormat="false" ht="15" hidden="false" customHeight="false" outlineLevel="0" collapsed="false">
      <c r="A260" s="14" t="s">
        <v>265</v>
      </c>
      <c r="B260" s="15" t="n">
        <v>8384137.46</v>
      </c>
    </row>
    <row r="261" customFormat="false" ht="15" hidden="false" customHeight="false" outlineLevel="0" collapsed="false">
      <c r="A261" s="14" t="s">
        <v>266</v>
      </c>
      <c r="B261" s="15" t="n">
        <v>986346.19</v>
      </c>
    </row>
    <row r="262" customFormat="false" ht="15" hidden="false" customHeight="false" outlineLevel="0" collapsed="false">
      <c r="A262" s="14" t="s">
        <v>267</v>
      </c>
      <c r="B262" s="15" t="n">
        <v>2489008.88</v>
      </c>
    </row>
    <row r="263" customFormat="false" ht="15" hidden="false" customHeight="false" outlineLevel="0" collapsed="false">
      <c r="A263" s="9" t="s">
        <v>268</v>
      </c>
      <c r="B263" s="10" t="n">
        <v>24838646.39</v>
      </c>
    </row>
    <row r="264" customFormat="false" ht="15" hidden="false" customHeight="false" outlineLevel="0" collapsed="false">
      <c r="A264" s="11" t="s">
        <v>269</v>
      </c>
      <c r="B264" s="12" t="n">
        <v>6000000</v>
      </c>
    </row>
    <row r="265" customFormat="false" ht="15" hidden="false" customHeight="false" outlineLevel="0" collapsed="false">
      <c r="A265" s="13" t="s">
        <v>269</v>
      </c>
      <c r="B265" s="12" t="n">
        <v>6000000</v>
      </c>
    </row>
    <row r="266" customFormat="false" ht="15" hidden="false" customHeight="false" outlineLevel="0" collapsed="false">
      <c r="A266" s="14" t="s">
        <v>270</v>
      </c>
      <c r="B266" s="15" t="n">
        <v>6000000</v>
      </c>
    </row>
    <row r="267" customFormat="false" ht="15" hidden="false" customHeight="false" outlineLevel="0" collapsed="false">
      <c r="A267" s="11" t="s">
        <v>271</v>
      </c>
      <c r="B267" s="12" t="n">
        <v>466704.13</v>
      </c>
    </row>
    <row r="268" customFormat="false" ht="15" hidden="false" customHeight="false" outlineLevel="0" collapsed="false">
      <c r="A268" s="13" t="s">
        <v>272</v>
      </c>
      <c r="B268" s="12" t="n">
        <v>466704.13</v>
      </c>
    </row>
    <row r="269" customFormat="false" ht="15" hidden="false" customHeight="false" outlineLevel="0" collapsed="false">
      <c r="A269" s="14" t="s">
        <v>272</v>
      </c>
      <c r="B269" s="15" t="n">
        <v>466704.13</v>
      </c>
    </row>
    <row r="270" customFormat="false" ht="15" hidden="false" customHeight="false" outlineLevel="0" collapsed="false">
      <c r="A270" s="11" t="s">
        <v>273</v>
      </c>
      <c r="B270" s="12" t="n">
        <v>11610234.94</v>
      </c>
    </row>
    <row r="271" customFormat="false" ht="15" hidden="false" customHeight="false" outlineLevel="0" collapsed="false">
      <c r="A271" s="13" t="s">
        <v>274</v>
      </c>
      <c r="B271" s="12" t="n">
        <v>11610234.94</v>
      </c>
    </row>
    <row r="272" customFormat="false" ht="15" hidden="false" customHeight="false" outlineLevel="0" collapsed="false">
      <c r="A272" s="14" t="s">
        <v>274</v>
      </c>
      <c r="B272" s="15" t="n">
        <v>11609790.57</v>
      </c>
    </row>
    <row r="273" customFormat="false" ht="15" hidden="false" customHeight="false" outlineLevel="0" collapsed="false">
      <c r="A273" s="14" t="s">
        <v>275</v>
      </c>
      <c r="B273" s="15" t="n">
        <v>444.37</v>
      </c>
    </row>
    <row r="274" customFormat="false" ht="15" hidden="false" customHeight="false" outlineLevel="0" collapsed="false">
      <c r="A274" s="11" t="s">
        <v>276</v>
      </c>
      <c r="B274" s="12" t="n">
        <v>6761707.32</v>
      </c>
    </row>
    <row r="275" customFormat="false" ht="15" hidden="false" customHeight="false" outlineLevel="0" collapsed="false">
      <c r="A275" s="13" t="s">
        <v>276</v>
      </c>
      <c r="B275" s="12" t="n">
        <v>6761707.32</v>
      </c>
    </row>
    <row r="276" customFormat="false" ht="15" hidden="false" customHeight="false" outlineLevel="0" collapsed="false">
      <c r="A276" s="14" t="s">
        <v>277</v>
      </c>
      <c r="B276" s="15" t="n">
        <v>1533460.17</v>
      </c>
    </row>
    <row r="277" customFormat="false" ht="15" hidden="false" customHeight="false" outlineLevel="0" collapsed="false">
      <c r="A277" s="14" t="s">
        <v>278</v>
      </c>
      <c r="B277" s="15" t="n">
        <v>803053.23</v>
      </c>
    </row>
    <row r="278" customFormat="false" ht="15" hidden="false" customHeight="false" outlineLevel="0" collapsed="false">
      <c r="A278" s="14" t="s">
        <v>279</v>
      </c>
      <c r="B278" s="15" t="n">
        <v>4425193.92</v>
      </c>
    </row>
    <row r="280" customFormat="false" ht="39.75" hidden="false" customHeight="true" outlineLevel="0" collapsed="false">
      <c r="A280" s="18" t="s">
        <v>296</v>
      </c>
      <c r="B280" s="18"/>
    </row>
    <row r="282" customFormat="false" ht="15" hidden="false" customHeight="false" outlineLevel="0" collapsed="false">
      <c r="A282" s="19" t="s">
        <v>285</v>
      </c>
      <c r="B282" s="19" t="s">
        <v>286</v>
      </c>
    </row>
    <row r="283" customFormat="false" ht="15" hidden="false" customHeight="false" outlineLevel="0" collapsed="false">
      <c r="A283" s="20" t="s">
        <v>287</v>
      </c>
      <c r="B283" s="20" t="s">
        <v>288</v>
      </c>
    </row>
    <row r="284" customFormat="false" ht="15" hidden="false" customHeight="false" outlineLevel="0" collapsed="false">
      <c r="A284" s="20" t="s">
        <v>289</v>
      </c>
      <c r="B284" s="20" t="s">
        <v>290</v>
      </c>
    </row>
  </sheetData>
  <mergeCells count="1">
    <mergeCell ref="A280:B280"/>
  </mergeCells>
  <printOptions headings="false" gridLines="false" gridLinesSet="true" horizontalCentered="false" verticalCentered="false"/>
  <pageMargins left="0.5" right="0.5" top="1" bottom="1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Folha &amp;P de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8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8"/>
    <col collapsed="false" customWidth="true" hidden="false" outlineLevel="0" max="2" min="2" style="0" width="2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281</v>
      </c>
    </row>
    <row r="3" customFormat="false" ht="15" hidden="false" customHeight="false" outlineLevel="0" collapsed="false">
      <c r="A3" s="3" t="s">
        <v>297</v>
      </c>
    </row>
    <row r="4" customFormat="false" ht="15" hidden="false" customHeight="false" outlineLevel="0" collapsed="false">
      <c r="A4" s="3" t="s">
        <v>3</v>
      </c>
    </row>
    <row r="5" customFormat="false" ht="15" hidden="false" customHeight="false" outlineLevel="0" collapsed="false">
      <c r="A5" s="4" t="s">
        <v>4</v>
      </c>
    </row>
    <row r="7" customFormat="false" ht="21.75" hidden="false" customHeight="true" outlineLevel="0" collapsed="false">
      <c r="A7" s="5" t="s">
        <v>5</v>
      </c>
      <c r="B7" s="6" t="s">
        <v>283</v>
      </c>
    </row>
    <row r="8" customFormat="false" ht="15" hidden="false" customHeight="false" outlineLevel="0" collapsed="false">
      <c r="A8" s="7" t="s">
        <v>14</v>
      </c>
      <c r="B8" s="8" t="n">
        <v>77095423.71</v>
      </c>
    </row>
    <row r="9" customFormat="false" ht="15" hidden="false" customHeight="false" outlineLevel="0" collapsed="false">
      <c r="A9" s="9" t="s">
        <v>15</v>
      </c>
      <c r="B9" s="10" t="n">
        <v>24982259.08</v>
      </c>
    </row>
    <row r="10" customFormat="false" ht="15" hidden="false" customHeight="false" outlineLevel="0" collapsed="false">
      <c r="A10" s="11" t="s">
        <v>16</v>
      </c>
      <c r="B10" s="12" t="n">
        <v>7570566.76</v>
      </c>
    </row>
    <row r="11" customFormat="false" ht="15" hidden="false" customHeight="false" outlineLevel="0" collapsed="false">
      <c r="A11" s="13" t="s">
        <v>17</v>
      </c>
      <c r="B11" s="12" t="n">
        <v>323189.12</v>
      </c>
    </row>
    <row r="12" customFormat="false" ht="15" hidden="false" customHeight="false" outlineLevel="0" collapsed="false">
      <c r="A12" s="14" t="s">
        <v>18</v>
      </c>
      <c r="B12" s="15" t="n">
        <v>323189.12</v>
      </c>
    </row>
    <row r="13" customFormat="false" ht="15" hidden="false" customHeight="false" outlineLevel="0" collapsed="false">
      <c r="A13" s="13" t="s">
        <v>19</v>
      </c>
      <c r="B13" s="12" t="n">
        <v>802318.36</v>
      </c>
    </row>
    <row r="14" customFormat="false" ht="15" hidden="false" customHeight="false" outlineLevel="0" collapsed="false">
      <c r="A14" s="14" t="s">
        <v>20</v>
      </c>
      <c r="B14" s="15" t="n">
        <v>457385.68</v>
      </c>
    </row>
    <row r="15" customFormat="false" ht="15" hidden="false" customHeight="false" outlineLevel="0" collapsed="false">
      <c r="A15" s="14" t="s">
        <v>21</v>
      </c>
      <c r="B15" s="15" t="n">
        <v>109945.57</v>
      </c>
    </row>
    <row r="16" customFormat="false" ht="15" hidden="false" customHeight="false" outlineLevel="0" collapsed="false">
      <c r="A16" s="14" t="s">
        <v>22</v>
      </c>
      <c r="B16" s="15" t="n">
        <v>89023.77</v>
      </c>
    </row>
    <row r="17" customFormat="false" ht="15" hidden="false" customHeight="false" outlineLevel="0" collapsed="false">
      <c r="A17" s="14" t="s">
        <v>23</v>
      </c>
      <c r="B17" s="15" t="n">
        <v>23131.36</v>
      </c>
    </row>
    <row r="18" customFormat="false" ht="15" hidden="false" customHeight="false" outlineLevel="0" collapsed="false">
      <c r="A18" s="14" t="s">
        <v>24</v>
      </c>
      <c r="B18" s="15" t="n">
        <v>99455.26</v>
      </c>
    </row>
    <row r="19" customFormat="false" ht="15" hidden="false" customHeight="false" outlineLevel="0" collapsed="false">
      <c r="A19" s="14" t="s">
        <v>25</v>
      </c>
      <c r="B19" s="15" t="n">
        <v>10344.81</v>
      </c>
    </row>
    <row r="20" customFormat="false" ht="15" hidden="false" customHeight="false" outlineLevel="0" collapsed="false">
      <c r="A20" s="14" t="s">
        <v>26</v>
      </c>
      <c r="B20" s="15" t="n">
        <v>13031.91</v>
      </c>
    </row>
    <row r="21" customFormat="false" ht="15" hidden="false" customHeight="false" outlineLevel="0" collapsed="false">
      <c r="A21" s="13" t="s">
        <v>27</v>
      </c>
      <c r="B21" s="12" t="n">
        <v>6445059.28</v>
      </c>
    </row>
    <row r="22" customFormat="false" ht="15" hidden="false" customHeight="false" outlineLevel="0" collapsed="false">
      <c r="A22" s="14" t="s">
        <v>28</v>
      </c>
      <c r="B22" s="15" t="n">
        <v>2206838.03</v>
      </c>
    </row>
    <row r="23" customFormat="false" ht="15" hidden="false" customHeight="false" outlineLevel="0" collapsed="false">
      <c r="A23" s="14" t="s">
        <v>29</v>
      </c>
      <c r="B23" s="15" t="n">
        <v>3628905.49</v>
      </c>
    </row>
    <row r="24" customFormat="false" ht="15" hidden="false" customHeight="false" outlineLevel="0" collapsed="false">
      <c r="A24" s="14" t="s">
        <v>31</v>
      </c>
      <c r="B24" s="15" t="n">
        <v>559315.76</v>
      </c>
    </row>
    <row r="25" customFormat="false" ht="15" hidden="false" customHeight="false" outlineLevel="0" collapsed="false">
      <c r="A25" s="14" t="s">
        <v>32</v>
      </c>
      <c r="B25" s="15" t="n">
        <v>50000</v>
      </c>
    </row>
    <row r="26" customFormat="false" ht="15" hidden="false" customHeight="false" outlineLevel="0" collapsed="false">
      <c r="A26" s="11" t="s">
        <v>33</v>
      </c>
      <c r="B26" s="12" t="n">
        <v>25706093.32</v>
      </c>
    </row>
    <row r="27" customFormat="false" ht="15" hidden="false" customHeight="false" outlineLevel="0" collapsed="false">
      <c r="A27" s="13" t="s">
        <v>34</v>
      </c>
      <c r="B27" s="12" t="n">
        <v>16658785.94</v>
      </c>
    </row>
    <row r="28" customFormat="false" ht="15" hidden="false" customHeight="false" outlineLevel="0" collapsed="false">
      <c r="A28" s="14" t="s">
        <v>35</v>
      </c>
      <c r="B28" s="15" t="n">
        <v>10180451.84</v>
      </c>
    </row>
    <row r="29" customFormat="false" ht="15" hidden="false" customHeight="false" outlineLevel="0" collapsed="false">
      <c r="A29" s="14" t="s">
        <v>36</v>
      </c>
      <c r="B29" s="15" t="n">
        <v>5003432.94</v>
      </c>
    </row>
    <row r="30" customFormat="false" ht="15" hidden="false" customHeight="false" outlineLevel="0" collapsed="false">
      <c r="A30" s="14" t="s">
        <v>37</v>
      </c>
      <c r="B30" s="15" t="n">
        <v>12621.16</v>
      </c>
    </row>
    <row r="31" customFormat="false" ht="15" hidden="false" customHeight="false" outlineLevel="0" collapsed="false">
      <c r="A31" s="14" t="s">
        <v>38</v>
      </c>
      <c r="B31" s="15" t="n">
        <v>11280</v>
      </c>
    </row>
    <row r="32" customFormat="false" ht="15" hidden="false" customHeight="false" outlineLevel="0" collapsed="false">
      <c r="A32" s="14" t="s">
        <v>39</v>
      </c>
      <c r="B32" s="15" t="n">
        <v>1451000</v>
      </c>
    </row>
    <row r="33" customFormat="false" ht="15" hidden="false" customHeight="false" outlineLevel="0" collapsed="false">
      <c r="A33" s="13" t="s">
        <v>40</v>
      </c>
      <c r="B33" s="12" t="n">
        <v>9047307.38</v>
      </c>
    </row>
    <row r="34" customFormat="false" ht="15" hidden="false" customHeight="false" outlineLevel="0" collapsed="false">
      <c r="A34" s="14" t="s">
        <v>41</v>
      </c>
      <c r="B34" s="15" t="n">
        <v>21928.56</v>
      </c>
    </row>
    <row r="35" customFormat="false" ht="15" hidden="false" customHeight="false" outlineLevel="0" collapsed="false">
      <c r="A35" s="14" t="s">
        <v>42</v>
      </c>
      <c r="B35" s="15" t="n">
        <v>9020292.47</v>
      </c>
    </row>
    <row r="36" customFormat="false" ht="15" hidden="false" customHeight="false" outlineLevel="0" collapsed="false">
      <c r="A36" s="14" t="s">
        <v>43</v>
      </c>
      <c r="B36" s="15" t="n">
        <v>5086.35</v>
      </c>
    </row>
    <row r="37" customFormat="false" ht="15" hidden="false" customHeight="false" outlineLevel="0" collapsed="false">
      <c r="A37" s="11" t="s">
        <v>44</v>
      </c>
      <c r="B37" s="12" t="n">
        <v>403418.71</v>
      </c>
    </row>
    <row r="38" customFormat="false" ht="15" hidden="false" customHeight="false" outlineLevel="0" collapsed="false">
      <c r="A38" s="13" t="s">
        <v>45</v>
      </c>
      <c r="B38" s="12" t="n">
        <v>206490.51</v>
      </c>
    </row>
    <row r="39" customFormat="false" ht="15" hidden="false" customHeight="false" outlineLevel="0" collapsed="false">
      <c r="A39" s="14" t="s">
        <v>46</v>
      </c>
      <c r="B39" s="15" t="n">
        <v>206490.51</v>
      </c>
    </row>
    <row r="40" customFormat="false" ht="15" hidden="false" customHeight="false" outlineLevel="0" collapsed="false">
      <c r="A40" s="13" t="s">
        <v>48</v>
      </c>
      <c r="B40" s="12" t="n">
        <v>196928.2</v>
      </c>
    </row>
    <row r="41" customFormat="false" ht="15" hidden="false" customHeight="false" outlineLevel="0" collapsed="false">
      <c r="A41" s="14" t="s">
        <v>49</v>
      </c>
      <c r="B41" s="15" t="n">
        <v>121115.47</v>
      </c>
    </row>
    <row r="42" customFormat="false" ht="15" hidden="false" customHeight="false" outlineLevel="0" collapsed="false">
      <c r="A42" s="14" t="s">
        <v>50</v>
      </c>
      <c r="B42" s="15" t="n">
        <v>75812.73</v>
      </c>
    </row>
    <row r="43" customFormat="false" ht="15" hidden="false" customHeight="false" outlineLevel="0" collapsed="false">
      <c r="A43" s="11" t="s">
        <v>51</v>
      </c>
      <c r="B43" s="12" t="n">
        <v>-10385137.12</v>
      </c>
    </row>
    <row r="44" customFormat="false" ht="15" hidden="false" customHeight="false" outlineLevel="0" collapsed="false">
      <c r="A44" s="13" t="s">
        <v>52</v>
      </c>
      <c r="B44" s="12" t="n">
        <v>-14378558.15</v>
      </c>
    </row>
    <row r="45" customFormat="false" ht="15" hidden="false" customHeight="false" outlineLevel="0" collapsed="false">
      <c r="A45" s="14" t="s">
        <v>53</v>
      </c>
      <c r="B45" s="15" t="n">
        <v>-47648022.5</v>
      </c>
    </row>
    <row r="46" customFormat="false" ht="15" hidden="false" customHeight="false" outlineLevel="0" collapsed="false">
      <c r="A46" s="14" t="s">
        <v>54</v>
      </c>
      <c r="B46" s="15" t="n">
        <v>3130639.81</v>
      </c>
    </row>
    <row r="47" customFormat="false" ht="15" hidden="false" customHeight="false" outlineLevel="0" collapsed="false">
      <c r="A47" s="14" t="s">
        <v>55</v>
      </c>
      <c r="B47" s="15" t="n">
        <v>30106705.52</v>
      </c>
    </row>
    <row r="48" customFormat="false" ht="15" hidden="false" customHeight="false" outlineLevel="0" collapsed="false">
      <c r="A48" s="14" t="s">
        <v>56</v>
      </c>
      <c r="B48" s="15" t="n">
        <v>32119.02</v>
      </c>
    </row>
    <row r="49" customFormat="false" ht="15" hidden="false" customHeight="false" outlineLevel="0" collapsed="false">
      <c r="A49" s="13" t="s">
        <v>57</v>
      </c>
      <c r="B49" s="12" t="n">
        <v>-374758.9</v>
      </c>
    </row>
    <row r="50" customFormat="false" ht="15" hidden="false" customHeight="false" outlineLevel="0" collapsed="false">
      <c r="A50" s="14" t="s">
        <v>58</v>
      </c>
      <c r="B50" s="15" t="n">
        <v>-332958.9</v>
      </c>
    </row>
    <row r="51" customFormat="false" ht="15" hidden="false" customHeight="false" outlineLevel="0" collapsed="false">
      <c r="A51" s="14" t="s">
        <v>59</v>
      </c>
      <c r="B51" s="15" t="n">
        <v>-41800</v>
      </c>
    </row>
    <row r="52" customFormat="false" ht="15" hidden="false" customHeight="false" outlineLevel="0" collapsed="false">
      <c r="A52" s="13" t="s">
        <v>60</v>
      </c>
      <c r="B52" s="12" t="n">
        <v>851731.99</v>
      </c>
    </row>
    <row r="53" customFormat="false" ht="15" hidden="false" customHeight="false" outlineLevel="0" collapsed="false">
      <c r="A53" s="14" t="s">
        <v>61</v>
      </c>
      <c r="B53" s="15" t="n">
        <v>266600.35</v>
      </c>
    </row>
    <row r="54" customFormat="false" ht="15" hidden="false" customHeight="false" outlineLevel="0" collapsed="false">
      <c r="A54" s="14" t="s">
        <v>63</v>
      </c>
      <c r="B54" s="15" t="n">
        <v>125288.82</v>
      </c>
    </row>
    <row r="55" customFormat="false" ht="15" hidden="false" customHeight="false" outlineLevel="0" collapsed="false">
      <c r="A55" s="14" t="s">
        <v>64</v>
      </c>
      <c r="B55" s="15" t="n">
        <v>25943.18</v>
      </c>
    </row>
    <row r="56" customFormat="false" ht="15" hidden="false" customHeight="false" outlineLevel="0" collapsed="false">
      <c r="A56" s="14" t="s">
        <v>65</v>
      </c>
      <c r="B56" s="15" t="n">
        <v>343730.9</v>
      </c>
    </row>
    <row r="57" customFormat="false" ht="15" hidden="false" customHeight="false" outlineLevel="0" collapsed="false">
      <c r="A57" s="14" t="s">
        <v>66</v>
      </c>
      <c r="B57" s="15" t="n">
        <v>44513.84</v>
      </c>
    </row>
    <row r="58" customFormat="false" ht="15" hidden="false" customHeight="false" outlineLevel="0" collapsed="false">
      <c r="A58" s="14" t="s">
        <v>67</v>
      </c>
      <c r="B58" s="15" t="n">
        <v>86116.2</v>
      </c>
    </row>
    <row r="59" customFormat="false" ht="15" hidden="false" customHeight="false" outlineLevel="0" collapsed="false">
      <c r="A59" s="14" t="s">
        <v>68</v>
      </c>
      <c r="B59" s="15" t="n">
        <v>128400</v>
      </c>
    </row>
    <row r="60" customFormat="false" ht="15" hidden="false" customHeight="false" outlineLevel="0" collapsed="false">
      <c r="A60" s="14" t="s">
        <v>69</v>
      </c>
      <c r="B60" s="15" t="n">
        <v>2478.6</v>
      </c>
    </row>
    <row r="61" customFormat="false" ht="15" hidden="false" customHeight="false" outlineLevel="0" collapsed="false">
      <c r="A61" s="14" t="s">
        <v>70</v>
      </c>
      <c r="B61" s="15" t="n">
        <v>-171339.9</v>
      </c>
    </row>
    <row r="62" customFormat="false" ht="15" hidden="false" customHeight="false" outlineLevel="0" collapsed="false">
      <c r="A62" s="13" t="s">
        <v>72</v>
      </c>
      <c r="B62" s="12" t="n">
        <v>3516447.94</v>
      </c>
    </row>
    <row r="63" customFormat="false" ht="15" hidden="false" customHeight="false" outlineLevel="0" collapsed="false">
      <c r="A63" s="14" t="s">
        <v>73</v>
      </c>
      <c r="B63" s="15" t="n">
        <v>81935.33</v>
      </c>
    </row>
    <row r="64" customFormat="false" ht="15" hidden="false" customHeight="false" outlineLevel="0" collapsed="false">
      <c r="A64" s="14" t="s">
        <v>74</v>
      </c>
      <c r="B64" s="15" t="n">
        <v>1306565.08</v>
      </c>
    </row>
    <row r="65" customFormat="false" ht="15" hidden="false" customHeight="false" outlineLevel="0" collapsed="false">
      <c r="A65" s="14" t="s">
        <v>75</v>
      </c>
      <c r="B65" s="15" t="n">
        <v>190630.94</v>
      </c>
    </row>
    <row r="66" customFormat="false" ht="15" hidden="false" customHeight="false" outlineLevel="0" collapsed="false">
      <c r="A66" s="14" t="s">
        <v>76</v>
      </c>
      <c r="B66" s="15" t="n">
        <v>1915961.72</v>
      </c>
    </row>
    <row r="67" customFormat="false" ht="15" hidden="false" customHeight="false" outlineLevel="0" collapsed="false">
      <c r="A67" s="14" t="s">
        <v>77</v>
      </c>
      <c r="B67" s="15" t="n">
        <v>13274.87</v>
      </c>
    </row>
    <row r="68" customFormat="false" ht="15" hidden="false" customHeight="false" outlineLevel="0" collapsed="false">
      <c r="A68" s="14" t="s">
        <v>78</v>
      </c>
      <c r="B68" s="15" t="n">
        <v>8080</v>
      </c>
    </row>
    <row r="69" customFormat="false" ht="15" hidden="false" customHeight="false" outlineLevel="0" collapsed="false">
      <c r="A69" s="11" t="s">
        <v>79</v>
      </c>
      <c r="B69" s="12" t="n">
        <v>1515589.73</v>
      </c>
    </row>
    <row r="70" customFormat="false" ht="15" hidden="false" customHeight="false" outlineLevel="0" collapsed="false">
      <c r="A70" s="13" t="s">
        <v>80</v>
      </c>
      <c r="B70" s="12" t="n">
        <v>-21048.68</v>
      </c>
    </row>
    <row r="71" customFormat="false" ht="15" hidden="false" customHeight="false" outlineLevel="0" collapsed="false">
      <c r="A71" s="14" t="s">
        <v>81</v>
      </c>
      <c r="B71" s="15" t="n">
        <v>-21048.68</v>
      </c>
    </row>
    <row r="72" customFormat="false" ht="15" hidden="false" customHeight="false" outlineLevel="0" collapsed="false">
      <c r="A72" s="13" t="s">
        <v>82</v>
      </c>
      <c r="B72" s="12" t="n">
        <v>1536638.41</v>
      </c>
    </row>
    <row r="73" customFormat="false" ht="15" hidden="false" customHeight="false" outlineLevel="0" collapsed="false">
      <c r="A73" s="14" t="s">
        <v>83</v>
      </c>
      <c r="B73" s="15" t="n">
        <v>289523.85</v>
      </c>
    </row>
    <row r="74" customFormat="false" ht="15" hidden="false" customHeight="false" outlineLevel="0" collapsed="false">
      <c r="A74" s="14" t="s">
        <v>84</v>
      </c>
      <c r="B74" s="15" t="n">
        <v>54595.56</v>
      </c>
    </row>
    <row r="75" customFormat="false" ht="15" hidden="false" customHeight="false" outlineLevel="0" collapsed="false">
      <c r="A75" s="14" t="s">
        <v>86</v>
      </c>
      <c r="B75" s="15" t="n">
        <v>7500</v>
      </c>
    </row>
    <row r="76" customFormat="false" ht="15" hidden="false" customHeight="false" outlineLevel="0" collapsed="false">
      <c r="A76" s="14" t="s">
        <v>87</v>
      </c>
      <c r="B76" s="15" t="n">
        <v>-18198</v>
      </c>
    </row>
    <row r="77" customFormat="false" ht="15" hidden="false" customHeight="false" outlineLevel="0" collapsed="false">
      <c r="A77" s="14" t="s">
        <v>88</v>
      </c>
      <c r="B77" s="15" t="n">
        <v>1203217</v>
      </c>
    </row>
    <row r="78" customFormat="false" ht="15" hidden="false" customHeight="false" outlineLevel="0" collapsed="false">
      <c r="A78" s="11" t="s">
        <v>89</v>
      </c>
      <c r="B78" s="12" t="n">
        <v>171727.68</v>
      </c>
    </row>
    <row r="79" customFormat="false" ht="15" hidden="false" customHeight="false" outlineLevel="0" collapsed="false">
      <c r="A79" s="13" t="s">
        <v>89</v>
      </c>
      <c r="B79" s="12" t="n">
        <v>171727.68</v>
      </c>
    </row>
    <row r="80" customFormat="false" ht="15" hidden="false" customHeight="false" outlineLevel="0" collapsed="false">
      <c r="A80" s="14" t="s">
        <v>90</v>
      </c>
      <c r="B80" s="15" t="n">
        <v>162579.68</v>
      </c>
    </row>
    <row r="81" customFormat="false" ht="15" hidden="false" customHeight="false" outlineLevel="0" collapsed="false">
      <c r="A81" s="14" t="s">
        <v>91</v>
      </c>
      <c r="B81" s="15" t="n">
        <v>9148</v>
      </c>
    </row>
    <row r="82" customFormat="false" ht="15" hidden="false" customHeight="false" outlineLevel="0" collapsed="false">
      <c r="A82" s="9" t="s">
        <v>92</v>
      </c>
      <c r="B82" s="10" t="n">
        <v>52113164.63</v>
      </c>
    </row>
    <row r="83" customFormat="false" ht="15" hidden="false" customHeight="false" outlineLevel="0" collapsed="false">
      <c r="A83" s="11" t="s">
        <v>93</v>
      </c>
      <c r="B83" s="12" t="n">
        <v>21825378.29</v>
      </c>
    </row>
    <row r="84" customFormat="false" ht="15" hidden="false" customHeight="false" outlineLevel="0" collapsed="false">
      <c r="A84" s="13" t="s">
        <v>94</v>
      </c>
      <c r="B84" s="12" t="n">
        <v>482985.6</v>
      </c>
    </row>
    <row r="85" customFormat="false" ht="15" hidden="false" customHeight="false" outlineLevel="0" collapsed="false">
      <c r="A85" s="14" t="s">
        <v>95</v>
      </c>
      <c r="B85" s="15" t="n">
        <v>482985.6</v>
      </c>
    </row>
    <row r="86" customFormat="false" ht="15" hidden="false" customHeight="false" outlineLevel="0" collapsed="false">
      <c r="A86" s="13" t="s">
        <v>96</v>
      </c>
      <c r="B86" s="12" t="n">
        <v>21342392.69</v>
      </c>
    </row>
    <row r="87" customFormat="false" ht="15" hidden="false" customHeight="false" outlineLevel="0" collapsed="false">
      <c r="A87" s="14" t="s">
        <v>97</v>
      </c>
      <c r="B87" s="15" t="n">
        <v>10728710.65</v>
      </c>
    </row>
    <row r="88" customFormat="false" ht="15" hidden="false" customHeight="false" outlineLevel="0" collapsed="false">
      <c r="A88" s="14" t="s">
        <v>98</v>
      </c>
      <c r="B88" s="15" t="n">
        <v>2182361.9</v>
      </c>
    </row>
    <row r="89" customFormat="false" ht="15" hidden="false" customHeight="false" outlineLevel="0" collapsed="false">
      <c r="A89" s="14" t="s">
        <v>99</v>
      </c>
      <c r="B89" s="15" t="n">
        <v>47182.68</v>
      </c>
    </row>
    <row r="90" customFormat="false" ht="15" hidden="false" customHeight="false" outlineLevel="0" collapsed="false">
      <c r="A90" s="14" t="s">
        <v>100</v>
      </c>
      <c r="B90" s="15" t="n">
        <v>8384137.46</v>
      </c>
    </row>
    <row r="91" customFormat="false" ht="15" hidden="false" customHeight="false" outlineLevel="0" collapsed="false">
      <c r="A91" s="11" t="s">
        <v>101</v>
      </c>
      <c r="B91" s="12" t="n">
        <v>4030657.61</v>
      </c>
    </row>
    <row r="92" customFormat="false" ht="15" hidden="false" customHeight="false" outlineLevel="0" collapsed="false">
      <c r="A92" s="13" t="s">
        <v>102</v>
      </c>
      <c r="B92" s="12" t="n">
        <v>1632864.31</v>
      </c>
    </row>
    <row r="93" customFormat="false" ht="15" hidden="false" customHeight="false" outlineLevel="0" collapsed="false">
      <c r="A93" s="14" t="s">
        <v>103</v>
      </c>
      <c r="B93" s="15" t="n">
        <v>1632864.31</v>
      </c>
    </row>
    <row r="94" customFormat="false" ht="15" hidden="false" customHeight="false" outlineLevel="0" collapsed="false">
      <c r="A94" s="13" t="s">
        <v>104</v>
      </c>
      <c r="B94" s="12" t="n">
        <v>1740940.58</v>
      </c>
    </row>
    <row r="95" customFormat="false" ht="15" hidden="false" customHeight="false" outlineLevel="0" collapsed="false">
      <c r="A95" s="14" t="s">
        <v>105</v>
      </c>
      <c r="B95" s="15" t="n">
        <v>1203490</v>
      </c>
    </row>
    <row r="96" customFormat="false" ht="15" hidden="false" customHeight="false" outlineLevel="0" collapsed="false">
      <c r="A96" s="14" t="s">
        <v>106</v>
      </c>
      <c r="B96" s="15" t="n">
        <v>509609.43</v>
      </c>
    </row>
    <row r="97" customFormat="false" ht="15" hidden="false" customHeight="false" outlineLevel="0" collapsed="false">
      <c r="A97" s="14" t="s">
        <v>107</v>
      </c>
      <c r="B97" s="15" t="n">
        <v>27841.15</v>
      </c>
    </row>
    <row r="98" customFormat="false" ht="15" hidden="false" customHeight="false" outlineLevel="0" collapsed="false">
      <c r="A98" s="13" t="s">
        <v>108</v>
      </c>
      <c r="B98" s="12" t="n">
        <v>395328.4</v>
      </c>
    </row>
    <row r="99" customFormat="false" ht="15" hidden="false" customHeight="false" outlineLevel="0" collapsed="false">
      <c r="A99" s="14" t="s">
        <v>109</v>
      </c>
      <c r="B99" s="15" t="n">
        <v>53980.76</v>
      </c>
    </row>
    <row r="100" customFormat="false" ht="15" hidden="false" customHeight="false" outlineLevel="0" collapsed="false">
      <c r="A100" s="14" t="s">
        <v>110</v>
      </c>
      <c r="B100" s="15" t="n">
        <v>70159.04</v>
      </c>
    </row>
    <row r="101" customFormat="false" ht="15" hidden="false" customHeight="false" outlineLevel="0" collapsed="false">
      <c r="A101" s="14" t="s">
        <v>111</v>
      </c>
      <c r="B101" s="15" t="n">
        <v>70159.04</v>
      </c>
    </row>
    <row r="102" customFormat="false" ht="15" hidden="false" customHeight="false" outlineLevel="0" collapsed="false">
      <c r="A102" s="14" t="s">
        <v>112</v>
      </c>
      <c r="B102" s="15" t="n">
        <v>64691.35</v>
      </c>
    </row>
    <row r="103" customFormat="false" ht="15" hidden="false" customHeight="false" outlineLevel="0" collapsed="false">
      <c r="A103" s="14" t="s">
        <v>113</v>
      </c>
      <c r="B103" s="15" t="n">
        <v>47653.1</v>
      </c>
    </row>
    <row r="104" customFormat="false" ht="15" hidden="false" customHeight="false" outlineLevel="0" collapsed="false">
      <c r="A104" s="14" t="s">
        <v>114</v>
      </c>
      <c r="B104" s="15" t="n">
        <v>42079.26</v>
      </c>
    </row>
    <row r="105" customFormat="false" ht="15" hidden="false" customHeight="false" outlineLevel="0" collapsed="false">
      <c r="A105" s="14" t="s">
        <v>115</v>
      </c>
      <c r="B105" s="15" t="n">
        <v>19589.5</v>
      </c>
    </row>
    <row r="106" customFormat="false" ht="15" hidden="false" customHeight="false" outlineLevel="0" collapsed="false">
      <c r="A106" s="14" t="s">
        <v>116</v>
      </c>
      <c r="B106" s="15" t="n">
        <v>24776.4</v>
      </c>
    </row>
    <row r="107" customFormat="false" ht="15" hidden="false" customHeight="false" outlineLevel="0" collapsed="false">
      <c r="A107" s="14" t="s">
        <v>117</v>
      </c>
      <c r="B107" s="15" t="n">
        <v>2239.95</v>
      </c>
    </row>
    <row r="108" customFormat="false" ht="15" hidden="false" customHeight="false" outlineLevel="0" collapsed="false">
      <c r="A108" s="13" t="s">
        <v>118</v>
      </c>
      <c r="B108" s="12" t="n">
        <v>261524.32</v>
      </c>
    </row>
    <row r="109" customFormat="false" ht="15" hidden="false" customHeight="false" outlineLevel="0" collapsed="false">
      <c r="A109" s="14" t="s">
        <v>119</v>
      </c>
      <c r="B109" s="15" t="n">
        <v>124705.76</v>
      </c>
    </row>
    <row r="110" customFormat="false" ht="15" hidden="false" customHeight="false" outlineLevel="0" collapsed="false">
      <c r="A110" s="14" t="s">
        <v>120</v>
      </c>
      <c r="B110" s="15" t="n">
        <v>32250.86</v>
      </c>
    </row>
    <row r="111" customFormat="false" ht="15" hidden="false" customHeight="false" outlineLevel="0" collapsed="false">
      <c r="A111" s="14" t="s">
        <v>121</v>
      </c>
      <c r="B111" s="15" t="n">
        <v>22415.7</v>
      </c>
    </row>
    <row r="112" customFormat="false" ht="15" hidden="false" customHeight="false" outlineLevel="0" collapsed="false">
      <c r="A112" s="14" t="s">
        <v>122</v>
      </c>
      <c r="B112" s="15" t="n">
        <v>82152</v>
      </c>
    </row>
    <row r="113" customFormat="false" ht="15" hidden="false" customHeight="false" outlineLevel="0" collapsed="false">
      <c r="A113" s="11" t="s">
        <v>123</v>
      </c>
      <c r="B113" s="12" t="n">
        <v>23937656.74</v>
      </c>
    </row>
    <row r="114" customFormat="false" ht="15" hidden="false" customHeight="false" outlineLevel="0" collapsed="false">
      <c r="A114" s="13" t="s">
        <v>105</v>
      </c>
      <c r="B114" s="12" t="n">
        <v>6711830</v>
      </c>
    </row>
    <row r="115" customFormat="false" ht="15" hidden="false" customHeight="false" outlineLevel="0" collapsed="false">
      <c r="A115" s="14" t="s">
        <v>105</v>
      </c>
      <c r="B115" s="15" t="n">
        <v>6711830</v>
      </c>
    </row>
    <row r="116" customFormat="false" ht="15" hidden="false" customHeight="false" outlineLevel="0" collapsed="false">
      <c r="A116" s="13" t="s">
        <v>124</v>
      </c>
      <c r="B116" s="12" t="n">
        <v>2151462.87</v>
      </c>
    </row>
    <row r="117" customFormat="false" ht="15" hidden="false" customHeight="false" outlineLevel="0" collapsed="false">
      <c r="A117" s="14" t="s">
        <v>125</v>
      </c>
      <c r="B117" s="15" t="n">
        <v>2151462.87</v>
      </c>
    </row>
    <row r="118" customFormat="false" ht="15" hidden="false" customHeight="false" outlineLevel="0" collapsed="false">
      <c r="A118" s="13" t="s">
        <v>126</v>
      </c>
      <c r="B118" s="12" t="n">
        <v>19344996.28</v>
      </c>
    </row>
    <row r="119" customFormat="false" ht="15" hidden="false" customHeight="false" outlineLevel="0" collapsed="false">
      <c r="A119" s="14" t="s">
        <v>127</v>
      </c>
      <c r="B119" s="15" t="n">
        <v>19344996.28</v>
      </c>
    </row>
    <row r="120" customFormat="false" ht="15" hidden="false" customHeight="false" outlineLevel="0" collapsed="false">
      <c r="A120" s="13" t="s">
        <v>128</v>
      </c>
      <c r="B120" s="12" t="n">
        <v>690273.91</v>
      </c>
    </row>
    <row r="121" customFormat="false" ht="15" hidden="false" customHeight="false" outlineLevel="0" collapsed="false">
      <c r="A121" s="14" t="s">
        <v>129</v>
      </c>
      <c r="B121" s="15" t="n">
        <v>92262.56</v>
      </c>
    </row>
    <row r="122" customFormat="false" ht="15" hidden="false" customHeight="false" outlineLevel="0" collapsed="false">
      <c r="A122" s="14" t="s">
        <v>130</v>
      </c>
      <c r="B122" s="15" t="n">
        <v>598011.35</v>
      </c>
    </row>
    <row r="123" customFormat="false" ht="15" hidden="false" customHeight="false" outlineLevel="0" collapsed="false">
      <c r="A123" s="13" t="s">
        <v>131</v>
      </c>
      <c r="B123" s="12" t="n">
        <v>1288335.42</v>
      </c>
    </row>
    <row r="124" customFormat="false" ht="15" hidden="false" customHeight="false" outlineLevel="0" collapsed="false">
      <c r="A124" s="14" t="s">
        <v>132</v>
      </c>
      <c r="B124" s="15" t="n">
        <v>32525.91</v>
      </c>
    </row>
    <row r="125" customFormat="false" ht="15" hidden="false" customHeight="false" outlineLevel="0" collapsed="false">
      <c r="A125" s="14" t="s">
        <v>133</v>
      </c>
      <c r="B125" s="15" t="n">
        <v>173722.04</v>
      </c>
    </row>
    <row r="126" customFormat="false" ht="15" hidden="false" customHeight="false" outlineLevel="0" collapsed="false">
      <c r="A126" s="14" t="s">
        <v>131</v>
      </c>
      <c r="B126" s="15" t="n">
        <v>1082087.47</v>
      </c>
    </row>
    <row r="127" customFormat="false" ht="15" hidden="false" customHeight="false" outlineLevel="0" collapsed="false">
      <c r="A127" s="13" t="s">
        <v>134</v>
      </c>
      <c r="B127" s="12" t="n">
        <v>2671903.95</v>
      </c>
    </row>
    <row r="128" customFormat="false" ht="15" hidden="false" customHeight="false" outlineLevel="0" collapsed="false">
      <c r="A128" s="14" t="s">
        <v>135</v>
      </c>
      <c r="B128" s="15" t="n">
        <v>828900</v>
      </c>
    </row>
    <row r="129" customFormat="false" ht="15" hidden="false" customHeight="false" outlineLevel="0" collapsed="false">
      <c r="A129" s="14" t="s">
        <v>136</v>
      </c>
      <c r="B129" s="15" t="n">
        <v>793063.04</v>
      </c>
    </row>
    <row r="130" customFormat="false" ht="15" hidden="false" customHeight="false" outlineLevel="0" collapsed="false">
      <c r="A130" s="14" t="s">
        <v>137</v>
      </c>
      <c r="B130" s="15" t="n">
        <v>1049940.91</v>
      </c>
    </row>
    <row r="131" customFormat="false" ht="15" hidden="false" customHeight="false" outlineLevel="0" collapsed="false">
      <c r="A131" s="13" t="s">
        <v>138</v>
      </c>
      <c r="B131" s="12" t="n">
        <v>639675.3</v>
      </c>
    </row>
    <row r="132" customFormat="false" ht="15" hidden="false" customHeight="false" outlineLevel="0" collapsed="false">
      <c r="A132" s="14" t="s">
        <v>139</v>
      </c>
      <c r="B132" s="15" t="n">
        <v>330112.46</v>
      </c>
    </row>
    <row r="133" customFormat="false" ht="15" hidden="false" customHeight="false" outlineLevel="0" collapsed="false">
      <c r="A133" s="14" t="s">
        <v>140</v>
      </c>
      <c r="B133" s="15" t="n">
        <v>278109.6</v>
      </c>
    </row>
    <row r="134" customFormat="false" ht="15" hidden="false" customHeight="false" outlineLevel="0" collapsed="false">
      <c r="A134" s="14" t="s">
        <v>141</v>
      </c>
      <c r="B134" s="15" t="n">
        <v>31453.24</v>
      </c>
    </row>
    <row r="135" customFormat="false" ht="15" hidden="false" customHeight="false" outlineLevel="0" collapsed="false">
      <c r="A135" s="13" t="s">
        <v>142</v>
      </c>
      <c r="B135" s="12" t="n">
        <v>4520072.82</v>
      </c>
    </row>
    <row r="136" customFormat="false" ht="15" hidden="false" customHeight="false" outlineLevel="0" collapsed="false">
      <c r="A136" s="14" t="s">
        <v>143</v>
      </c>
      <c r="B136" s="15" t="n">
        <v>4520072.82</v>
      </c>
    </row>
    <row r="137" customFormat="false" ht="15" hidden="false" customHeight="false" outlineLevel="0" collapsed="false">
      <c r="A137" s="13" t="s">
        <v>144</v>
      </c>
      <c r="B137" s="12" t="n">
        <v>4328140.3</v>
      </c>
    </row>
    <row r="138" customFormat="false" ht="15" hidden="false" customHeight="false" outlineLevel="0" collapsed="false">
      <c r="A138" s="14" t="s">
        <v>145</v>
      </c>
      <c r="B138" s="15" t="n">
        <v>4328140.3</v>
      </c>
    </row>
    <row r="139" customFormat="false" ht="15" hidden="false" customHeight="false" outlineLevel="0" collapsed="false">
      <c r="A139" s="13" t="s">
        <v>146</v>
      </c>
      <c r="B139" s="12" t="n">
        <v>266738.29</v>
      </c>
    </row>
    <row r="140" customFormat="false" ht="15" hidden="false" customHeight="false" outlineLevel="0" collapsed="false">
      <c r="A140" s="14" t="s">
        <v>147</v>
      </c>
      <c r="B140" s="15" t="n">
        <v>266738.29</v>
      </c>
    </row>
    <row r="141" customFormat="false" ht="15" hidden="false" customHeight="false" outlineLevel="0" collapsed="false">
      <c r="A141" s="13" t="s">
        <v>148</v>
      </c>
      <c r="B141" s="12" t="n">
        <v>-18675772.4</v>
      </c>
    </row>
    <row r="142" customFormat="false" ht="15" hidden="false" customHeight="false" outlineLevel="0" collapsed="false">
      <c r="A142" s="14" t="s">
        <v>149</v>
      </c>
      <c r="B142" s="15" t="n">
        <v>-18675772.4</v>
      </c>
    </row>
    <row r="143" customFormat="false" ht="15" hidden="false" customHeight="false" outlineLevel="0" collapsed="false">
      <c r="A143" s="11" t="s">
        <v>150</v>
      </c>
      <c r="B143" s="12" t="n">
        <v>2319471.99</v>
      </c>
    </row>
    <row r="144" customFormat="false" ht="15" hidden="false" customHeight="false" outlineLevel="0" collapsed="false">
      <c r="A144" s="13" t="s">
        <v>151</v>
      </c>
      <c r="B144" s="12" t="n">
        <v>2094086.47</v>
      </c>
    </row>
    <row r="145" customFormat="false" ht="15" hidden="false" customHeight="false" outlineLevel="0" collapsed="false">
      <c r="A145" s="14" t="s">
        <v>152</v>
      </c>
      <c r="B145" s="15" t="n">
        <v>46948</v>
      </c>
    </row>
    <row r="146" customFormat="false" ht="15" hidden="false" customHeight="false" outlineLevel="0" collapsed="false">
      <c r="A146" s="14" t="s">
        <v>153</v>
      </c>
      <c r="B146" s="15" t="n">
        <v>1887138.47</v>
      </c>
    </row>
    <row r="147" customFormat="false" ht="15" hidden="false" customHeight="false" outlineLevel="0" collapsed="false">
      <c r="A147" s="14" t="s">
        <v>154</v>
      </c>
      <c r="B147" s="15" t="n">
        <v>160000</v>
      </c>
    </row>
    <row r="148" customFormat="false" ht="15" hidden="false" customHeight="false" outlineLevel="0" collapsed="false">
      <c r="A148" s="13" t="s">
        <v>155</v>
      </c>
      <c r="B148" s="12" t="n">
        <v>225385.52</v>
      </c>
    </row>
    <row r="149" customFormat="false" ht="15" hidden="false" customHeight="false" outlineLevel="0" collapsed="false">
      <c r="A149" s="14" t="s">
        <v>156</v>
      </c>
      <c r="B149" s="15" t="n">
        <v>831708.71</v>
      </c>
    </row>
    <row r="150" customFormat="false" ht="15" hidden="false" customHeight="false" outlineLevel="0" collapsed="false">
      <c r="A150" s="14" t="s">
        <v>157</v>
      </c>
      <c r="B150" s="15" t="n">
        <v>-606323.19</v>
      </c>
    </row>
    <row r="151" customFormat="false" ht="15" hidden="false" customHeight="false" outlineLevel="0" collapsed="false">
      <c r="A151" s="7" t="s">
        <v>158</v>
      </c>
      <c r="B151" s="8" t="n">
        <v>80162138.2</v>
      </c>
    </row>
    <row r="152" customFormat="false" ht="15" hidden="false" customHeight="false" outlineLevel="0" collapsed="false">
      <c r="A152" s="9" t="s">
        <v>159</v>
      </c>
      <c r="B152" s="10" t="n">
        <v>17414784.63</v>
      </c>
    </row>
    <row r="153" customFormat="false" ht="15" hidden="false" customHeight="false" outlineLevel="0" collapsed="false">
      <c r="A153" s="11" t="s">
        <v>160</v>
      </c>
      <c r="B153" s="12" t="n">
        <v>6080576.89</v>
      </c>
    </row>
    <row r="154" customFormat="false" ht="15" hidden="false" customHeight="false" outlineLevel="0" collapsed="false">
      <c r="A154" s="13" t="s">
        <v>161</v>
      </c>
      <c r="B154" s="12" t="n">
        <v>6016133.39</v>
      </c>
    </row>
    <row r="155" customFormat="false" ht="15" hidden="false" customHeight="false" outlineLevel="0" collapsed="false">
      <c r="A155" s="14" t="s">
        <v>161</v>
      </c>
      <c r="B155" s="15" t="n">
        <v>6016133.39</v>
      </c>
    </row>
    <row r="156" customFormat="false" ht="15" hidden="false" customHeight="false" outlineLevel="0" collapsed="false">
      <c r="A156" s="13" t="s">
        <v>162</v>
      </c>
      <c r="B156" s="12" t="n">
        <v>64443.5</v>
      </c>
    </row>
    <row r="157" customFormat="false" ht="15" hidden="false" customHeight="false" outlineLevel="0" collapsed="false">
      <c r="A157" s="14" t="s">
        <v>162</v>
      </c>
      <c r="B157" s="15" t="n">
        <v>64443.5</v>
      </c>
    </row>
    <row r="158" customFormat="false" ht="15" hidden="false" customHeight="false" outlineLevel="0" collapsed="false">
      <c r="A158" s="11" t="s">
        <v>163</v>
      </c>
      <c r="B158" s="12" t="n">
        <v>1270997.09</v>
      </c>
    </row>
    <row r="159" customFormat="false" ht="15" hidden="false" customHeight="false" outlineLevel="0" collapsed="false">
      <c r="A159" s="13" t="s">
        <v>164</v>
      </c>
      <c r="B159" s="12" t="n">
        <v>847863.07</v>
      </c>
    </row>
    <row r="160" customFormat="false" ht="15" hidden="false" customHeight="false" outlineLevel="0" collapsed="false">
      <c r="A160" s="14" t="s">
        <v>165</v>
      </c>
      <c r="B160" s="15" t="n">
        <v>126115.39</v>
      </c>
    </row>
    <row r="161" customFormat="false" ht="15" hidden="false" customHeight="false" outlineLevel="0" collapsed="false">
      <c r="A161" s="14" t="s">
        <v>166</v>
      </c>
      <c r="B161" s="15" t="n">
        <v>574797.6</v>
      </c>
    </row>
    <row r="162" customFormat="false" ht="15" hidden="false" customHeight="false" outlineLevel="0" collapsed="false">
      <c r="A162" s="14" t="s">
        <v>167</v>
      </c>
      <c r="B162" s="15" t="n">
        <v>67673.08</v>
      </c>
    </row>
    <row r="163" customFormat="false" ht="15" hidden="false" customHeight="false" outlineLevel="0" collapsed="false">
      <c r="A163" s="14" t="s">
        <v>168</v>
      </c>
      <c r="B163" s="15" t="n">
        <v>38271.55</v>
      </c>
    </row>
    <row r="164" customFormat="false" ht="15" hidden="false" customHeight="false" outlineLevel="0" collapsed="false">
      <c r="A164" s="14" t="s">
        <v>169</v>
      </c>
      <c r="B164" s="15" t="n">
        <v>13531.55</v>
      </c>
    </row>
    <row r="165" customFormat="false" ht="15" hidden="false" customHeight="false" outlineLevel="0" collapsed="false">
      <c r="A165" s="14" t="s">
        <v>170</v>
      </c>
      <c r="B165" s="15" t="n">
        <v>390</v>
      </c>
    </row>
    <row r="166" customFormat="false" ht="15" hidden="false" customHeight="false" outlineLevel="0" collapsed="false">
      <c r="A166" s="14" t="s">
        <v>171</v>
      </c>
      <c r="B166" s="15" t="n">
        <v>13.48</v>
      </c>
    </row>
    <row r="167" customFormat="false" ht="15" hidden="false" customHeight="false" outlineLevel="0" collapsed="false">
      <c r="A167" s="14" t="s">
        <v>172</v>
      </c>
      <c r="B167" s="15" t="n">
        <v>25503.58</v>
      </c>
    </row>
    <row r="168" customFormat="false" ht="15" hidden="false" customHeight="false" outlineLevel="0" collapsed="false">
      <c r="A168" s="14" t="s">
        <v>173</v>
      </c>
      <c r="B168" s="15" t="n">
        <v>1566.84</v>
      </c>
    </row>
    <row r="169" customFormat="false" ht="15" hidden="false" customHeight="false" outlineLevel="0" collapsed="false">
      <c r="A169" s="13" t="s">
        <v>174</v>
      </c>
      <c r="B169" s="12" t="n">
        <v>418677.09</v>
      </c>
    </row>
    <row r="170" customFormat="false" ht="15" hidden="false" customHeight="false" outlineLevel="0" collapsed="false">
      <c r="A170" s="14" t="s">
        <v>175</v>
      </c>
      <c r="B170" s="15" t="n">
        <v>418349.64</v>
      </c>
    </row>
    <row r="171" customFormat="false" ht="15" hidden="false" customHeight="false" outlineLevel="0" collapsed="false">
      <c r="A171" s="14" t="s">
        <v>176</v>
      </c>
      <c r="B171" s="15" t="n">
        <v>327.45</v>
      </c>
    </row>
    <row r="172" customFormat="false" ht="15" hidden="false" customHeight="false" outlineLevel="0" collapsed="false">
      <c r="A172" s="13" t="s">
        <v>178</v>
      </c>
      <c r="B172" s="12" t="n">
        <v>4092.5</v>
      </c>
    </row>
    <row r="173" customFormat="false" ht="15" hidden="false" customHeight="false" outlineLevel="0" collapsed="false">
      <c r="A173" s="14" t="s">
        <v>179</v>
      </c>
      <c r="B173" s="15" t="n">
        <v>3862.14</v>
      </c>
    </row>
    <row r="174" customFormat="false" ht="15" hidden="false" customHeight="false" outlineLevel="0" collapsed="false">
      <c r="A174" s="14" t="s">
        <v>181</v>
      </c>
      <c r="B174" s="15" t="n">
        <v>230.36</v>
      </c>
    </row>
    <row r="175" customFormat="false" ht="15" hidden="false" customHeight="false" outlineLevel="0" collapsed="false">
      <c r="A175" s="13" t="s">
        <v>182</v>
      </c>
      <c r="B175" s="12" t="n">
        <v>364.43</v>
      </c>
    </row>
    <row r="176" customFormat="false" ht="15" hidden="false" customHeight="false" outlineLevel="0" collapsed="false">
      <c r="A176" s="14" t="s">
        <v>183</v>
      </c>
      <c r="B176" s="15" t="n">
        <v>364.43</v>
      </c>
    </row>
    <row r="177" customFormat="false" ht="15" hidden="false" customHeight="false" outlineLevel="0" collapsed="false">
      <c r="A177" s="11" t="s">
        <v>184</v>
      </c>
      <c r="B177" s="12" t="n">
        <v>4061963.29</v>
      </c>
    </row>
    <row r="178" customFormat="false" ht="15" hidden="false" customHeight="false" outlineLevel="0" collapsed="false">
      <c r="A178" s="13" t="s">
        <v>185</v>
      </c>
      <c r="B178" s="12" t="n">
        <v>326835.24</v>
      </c>
    </row>
    <row r="179" customFormat="false" ht="15" hidden="false" customHeight="false" outlineLevel="0" collapsed="false">
      <c r="A179" s="14" t="s">
        <v>186</v>
      </c>
      <c r="B179" s="15" t="n">
        <v>321583.86</v>
      </c>
    </row>
    <row r="180" customFormat="false" ht="15" hidden="false" customHeight="false" outlineLevel="0" collapsed="false">
      <c r="A180" s="14" t="s">
        <v>188</v>
      </c>
      <c r="B180" s="15" t="n">
        <v>5251.38</v>
      </c>
    </row>
    <row r="181" customFormat="false" ht="15" hidden="false" customHeight="false" outlineLevel="0" collapsed="false">
      <c r="A181" s="13" t="s">
        <v>189</v>
      </c>
      <c r="B181" s="12" t="n">
        <v>48531.4</v>
      </c>
    </row>
    <row r="182" customFormat="false" ht="15" hidden="false" customHeight="false" outlineLevel="0" collapsed="false">
      <c r="A182" s="14" t="s">
        <v>190</v>
      </c>
      <c r="B182" s="15" t="n">
        <v>11140.23</v>
      </c>
    </row>
    <row r="183" customFormat="false" ht="15" hidden="false" customHeight="false" outlineLevel="0" collapsed="false">
      <c r="A183" s="14" t="s">
        <v>191</v>
      </c>
      <c r="B183" s="15" t="n">
        <v>1215.75</v>
      </c>
    </row>
    <row r="184" customFormat="false" ht="15" hidden="false" customHeight="false" outlineLevel="0" collapsed="false">
      <c r="A184" s="14" t="s">
        <v>192</v>
      </c>
      <c r="B184" s="15" t="n">
        <v>36175.42</v>
      </c>
    </row>
    <row r="185" customFormat="false" ht="15" hidden="false" customHeight="false" outlineLevel="0" collapsed="false">
      <c r="A185" s="13" t="s">
        <v>193</v>
      </c>
      <c r="B185" s="12" t="n">
        <v>2683496.96</v>
      </c>
    </row>
    <row r="186" customFormat="false" ht="15" hidden="false" customHeight="false" outlineLevel="0" collapsed="false">
      <c r="A186" s="14" t="s">
        <v>194</v>
      </c>
      <c r="B186" s="15" t="n">
        <v>2592106.85</v>
      </c>
    </row>
    <row r="187" customFormat="false" ht="15" hidden="false" customHeight="false" outlineLevel="0" collapsed="false">
      <c r="A187" s="14" t="s">
        <v>195</v>
      </c>
      <c r="B187" s="15" t="n">
        <v>62920.08</v>
      </c>
    </row>
    <row r="188" customFormat="false" ht="15" hidden="false" customHeight="false" outlineLevel="0" collapsed="false">
      <c r="A188" s="14" t="s">
        <v>196</v>
      </c>
      <c r="B188" s="15" t="n">
        <v>3818</v>
      </c>
    </row>
    <row r="189" customFormat="false" ht="15" hidden="false" customHeight="false" outlineLevel="0" collapsed="false">
      <c r="A189" s="14" t="s">
        <v>197</v>
      </c>
      <c r="B189" s="15" t="n">
        <v>24652.03</v>
      </c>
    </row>
    <row r="190" customFormat="false" ht="15" hidden="false" customHeight="false" outlineLevel="0" collapsed="false">
      <c r="A190" s="13" t="s">
        <v>199</v>
      </c>
      <c r="B190" s="12" t="n">
        <v>1003099.69</v>
      </c>
    </row>
    <row r="191" customFormat="false" ht="15" hidden="false" customHeight="false" outlineLevel="0" collapsed="false">
      <c r="A191" s="14" t="s">
        <v>201</v>
      </c>
      <c r="B191" s="15" t="n">
        <v>-2013.9</v>
      </c>
    </row>
    <row r="192" customFormat="false" ht="15" hidden="false" customHeight="false" outlineLevel="0" collapsed="false">
      <c r="A192" s="14" t="s">
        <v>200</v>
      </c>
      <c r="B192" s="15" t="n">
        <v>87228.83</v>
      </c>
    </row>
    <row r="193" customFormat="false" ht="15" hidden="false" customHeight="false" outlineLevel="0" collapsed="false">
      <c r="A193" s="14" t="s">
        <v>202</v>
      </c>
      <c r="B193" s="15" t="n">
        <v>162756.05</v>
      </c>
    </row>
    <row r="194" customFormat="false" ht="15" hidden="false" customHeight="false" outlineLevel="0" collapsed="false">
      <c r="A194" s="14" t="s">
        <v>203</v>
      </c>
      <c r="B194" s="15" t="n">
        <v>94643.69</v>
      </c>
    </row>
    <row r="195" customFormat="false" ht="15" hidden="false" customHeight="false" outlineLevel="0" collapsed="false">
      <c r="A195" s="14" t="s">
        <v>204</v>
      </c>
      <c r="B195" s="15" t="n">
        <v>17973.93</v>
      </c>
    </row>
    <row r="196" customFormat="false" ht="15" hidden="false" customHeight="false" outlineLevel="0" collapsed="false">
      <c r="A196" s="14" t="s">
        <v>205</v>
      </c>
      <c r="B196" s="15" t="n">
        <v>334781.79</v>
      </c>
    </row>
    <row r="197" customFormat="false" ht="15" hidden="false" customHeight="false" outlineLevel="0" collapsed="false">
      <c r="A197" s="14" t="s">
        <v>206</v>
      </c>
      <c r="B197" s="15" t="n">
        <v>307729.3</v>
      </c>
    </row>
    <row r="198" customFormat="false" ht="15" hidden="false" customHeight="false" outlineLevel="0" collapsed="false">
      <c r="A198" s="11" t="s">
        <v>207</v>
      </c>
      <c r="B198" s="12" t="n">
        <v>-572346.59</v>
      </c>
    </row>
    <row r="199" customFormat="false" ht="15" hidden="false" customHeight="false" outlineLevel="0" collapsed="false">
      <c r="A199" s="13" t="s">
        <v>207</v>
      </c>
      <c r="B199" s="12" t="n">
        <v>1415521.93</v>
      </c>
    </row>
    <row r="200" customFormat="false" ht="15" hidden="false" customHeight="false" outlineLevel="0" collapsed="false">
      <c r="A200" s="14" t="s">
        <v>209</v>
      </c>
      <c r="B200" s="15" t="n">
        <v>39285.89</v>
      </c>
    </row>
    <row r="201" customFormat="false" ht="15" hidden="false" customHeight="false" outlineLevel="0" collapsed="false">
      <c r="A201" s="14" t="s">
        <v>210</v>
      </c>
      <c r="B201" s="15" t="n">
        <v>17171.71</v>
      </c>
    </row>
    <row r="202" customFormat="false" ht="15" hidden="false" customHeight="false" outlineLevel="0" collapsed="false">
      <c r="A202" s="14" t="s">
        <v>211</v>
      </c>
      <c r="B202" s="15" t="n">
        <v>328125</v>
      </c>
    </row>
    <row r="203" customFormat="false" ht="15" hidden="false" customHeight="false" outlineLevel="0" collapsed="false">
      <c r="A203" s="14" t="s">
        <v>213</v>
      </c>
      <c r="B203" s="15" t="n">
        <v>26783.13</v>
      </c>
    </row>
    <row r="204" customFormat="false" ht="15" hidden="false" customHeight="false" outlineLevel="0" collapsed="false">
      <c r="A204" s="14" t="s">
        <v>214</v>
      </c>
      <c r="B204" s="15" t="n">
        <v>419100.78</v>
      </c>
    </row>
    <row r="205" customFormat="false" ht="15" hidden="false" customHeight="false" outlineLevel="0" collapsed="false">
      <c r="A205" s="14" t="s">
        <v>215</v>
      </c>
      <c r="B205" s="15" t="n">
        <v>40096.72</v>
      </c>
    </row>
    <row r="206" customFormat="false" ht="15" hidden="false" customHeight="false" outlineLevel="0" collapsed="false">
      <c r="A206" s="14" t="s">
        <v>216</v>
      </c>
      <c r="B206" s="15" t="n">
        <v>544958.7</v>
      </c>
    </row>
    <row r="207" customFormat="false" ht="15" hidden="false" customHeight="false" outlineLevel="0" collapsed="false">
      <c r="A207" s="13" t="s">
        <v>217</v>
      </c>
      <c r="B207" s="12" t="n">
        <v>-1987868.52</v>
      </c>
    </row>
    <row r="208" customFormat="false" ht="15" hidden="false" customHeight="false" outlineLevel="0" collapsed="false">
      <c r="A208" s="14" t="s">
        <v>218</v>
      </c>
      <c r="B208" s="15" t="n">
        <v>-1987868.52</v>
      </c>
    </row>
    <row r="209" customFormat="false" ht="15" hidden="false" customHeight="false" outlineLevel="0" collapsed="false">
      <c r="A209" s="11" t="s">
        <v>219</v>
      </c>
      <c r="B209" s="12" t="n">
        <v>-1232808.4</v>
      </c>
    </row>
    <row r="210" customFormat="false" ht="15" hidden="false" customHeight="false" outlineLevel="0" collapsed="false">
      <c r="A210" s="13" t="s">
        <v>220</v>
      </c>
      <c r="B210" s="12" t="n">
        <v>-1232808.4</v>
      </c>
    </row>
    <row r="211" customFormat="false" ht="15" hidden="false" customHeight="false" outlineLevel="0" collapsed="false">
      <c r="A211" s="14" t="s">
        <v>221</v>
      </c>
      <c r="B211" s="15" t="n">
        <v>31019.08</v>
      </c>
    </row>
    <row r="212" customFormat="false" ht="15" hidden="false" customHeight="false" outlineLevel="0" collapsed="false">
      <c r="A212" s="14" t="s">
        <v>222</v>
      </c>
      <c r="B212" s="15" t="n">
        <v>106653.74</v>
      </c>
    </row>
    <row r="213" customFormat="false" ht="15" hidden="false" customHeight="false" outlineLevel="0" collapsed="false">
      <c r="A213" s="14" t="s">
        <v>223</v>
      </c>
      <c r="B213" s="15" t="n">
        <v>-302421.57</v>
      </c>
    </row>
    <row r="214" customFormat="false" ht="15" hidden="false" customHeight="false" outlineLevel="0" collapsed="false">
      <c r="A214" s="14" t="s">
        <v>224</v>
      </c>
      <c r="B214" s="15" t="n">
        <v>-1068059.65</v>
      </c>
    </row>
    <row r="215" customFormat="false" ht="15" hidden="false" customHeight="false" outlineLevel="0" collapsed="false">
      <c r="A215" s="11" t="s">
        <v>225</v>
      </c>
      <c r="B215" s="12" t="n">
        <v>3790513.71</v>
      </c>
    </row>
    <row r="216" customFormat="false" ht="15" hidden="false" customHeight="false" outlineLevel="0" collapsed="false">
      <c r="A216" s="13" t="s">
        <v>226</v>
      </c>
      <c r="B216" s="12" t="n">
        <v>3790513.71</v>
      </c>
    </row>
    <row r="217" customFormat="false" ht="15" hidden="false" customHeight="false" outlineLevel="0" collapsed="false">
      <c r="A217" s="14" t="s">
        <v>227</v>
      </c>
      <c r="B217" s="15" t="n">
        <v>80879.78</v>
      </c>
    </row>
    <row r="218" customFormat="false" ht="15" hidden="false" customHeight="false" outlineLevel="0" collapsed="false">
      <c r="A218" s="14" t="s">
        <v>228</v>
      </c>
      <c r="B218" s="15" t="n">
        <v>1494495.68</v>
      </c>
    </row>
    <row r="219" customFormat="false" ht="15" hidden="false" customHeight="false" outlineLevel="0" collapsed="false">
      <c r="A219" s="14" t="s">
        <v>229</v>
      </c>
      <c r="B219" s="15" t="n">
        <v>204930.87</v>
      </c>
    </row>
    <row r="220" customFormat="false" ht="15" hidden="false" customHeight="false" outlineLevel="0" collapsed="false">
      <c r="A220" s="14" t="s">
        <v>230</v>
      </c>
      <c r="B220" s="15" t="n">
        <v>1915961.72</v>
      </c>
    </row>
    <row r="221" customFormat="false" ht="15" hidden="false" customHeight="false" outlineLevel="0" collapsed="false">
      <c r="A221" s="14" t="s">
        <v>231</v>
      </c>
      <c r="B221" s="15" t="n">
        <v>19576.15</v>
      </c>
    </row>
    <row r="222" customFormat="false" ht="15" hidden="false" customHeight="false" outlineLevel="0" collapsed="false">
      <c r="A222" s="14" t="s">
        <v>232</v>
      </c>
      <c r="B222" s="15" t="n">
        <v>94680</v>
      </c>
    </row>
    <row r="223" customFormat="false" ht="15" hidden="false" customHeight="false" outlineLevel="0" collapsed="false">
      <c r="A223" s="14" t="s">
        <v>233</v>
      </c>
      <c r="B223" s="15" t="n">
        <v>-20010.49</v>
      </c>
    </row>
    <row r="224" customFormat="false" ht="15" hidden="false" customHeight="false" outlineLevel="0" collapsed="false">
      <c r="A224" s="11" t="s">
        <v>234</v>
      </c>
      <c r="B224" s="12" t="n">
        <v>3325767.26</v>
      </c>
    </row>
    <row r="225" customFormat="false" ht="15" hidden="false" customHeight="false" outlineLevel="0" collapsed="false">
      <c r="A225" s="13" t="s">
        <v>234</v>
      </c>
      <c r="B225" s="12" t="n">
        <v>3325767.26</v>
      </c>
    </row>
    <row r="226" customFormat="false" ht="15" hidden="false" customHeight="false" outlineLevel="0" collapsed="false">
      <c r="A226" s="14" t="s">
        <v>235</v>
      </c>
      <c r="B226" s="15" t="n">
        <v>3227945.57</v>
      </c>
    </row>
    <row r="227" customFormat="false" ht="15" hidden="false" customHeight="false" outlineLevel="0" collapsed="false">
      <c r="A227" s="14" t="s">
        <v>236</v>
      </c>
      <c r="B227" s="15" t="n">
        <v>97821.69</v>
      </c>
    </row>
    <row r="228" customFormat="false" ht="15" hidden="false" customHeight="false" outlineLevel="0" collapsed="false">
      <c r="A228" s="11" t="s">
        <v>237</v>
      </c>
      <c r="B228" s="12" t="n">
        <v>690121.38</v>
      </c>
    </row>
    <row r="229" customFormat="false" ht="15" hidden="false" customHeight="false" outlineLevel="0" collapsed="false">
      <c r="A229" s="13" t="s">
        <v>238</v>
      </c>
      <c r="B229" s="12" t="n">
        <v>39515.04</v>
      </c>
    </row>
    <row r="230" customFormat="false" ht="15" hidden="false" customHeight="false" outlineLevel="0" collapsed="false">
      <c r="A230" s="14" t="s">
        <v>239</v>
      </c>
      <c r="B230" s="15" t="n">
        <v>36571.92</v>
      </c>
    </row>
    <row r="231" customFormat="false" ht="15" hidden="false" customHeight="false" outlineLevel="0" collapsed="false">
      <c r="A231" s="14" t="s">
        <v>240</v>
      </c>
      <c r="B231" s="15" t="n">
        <v>2943.12</v>
      </c>
    </row>
    <row r="232" customFormat="false" ht="15" hidden="false" customHeight="false" outlineLevel="0" collapsed="false">
      <c r="A232" s="13" t="s">
        <v>241</v>
      </c>
      <c r="B232" s="12" t="n">
        <v>181133.47</v>
      </c>
    </row>
    <row r="233" customFormat="false" ht="15" hidden="false" customHeight="false" outlineLevel="0" collapsed="false">
      <c r="A233" s="14" t="s">
        <v>242</v>
      </c>
      <c r="B233" s="15" t="n">
        <v>181133.47</v>
      </c>
    </row>
    <row r="234" customFormat="false" ht="15" hidden="false" customHeight="false" outlineLevel="0" collapsed="false">
      <c r="A234" s="13" t="s">
        <v>243</v>
      </c>
      <c r="B234" s="12" t="n">
        <v>9148</v>
      </c>
    </row>
    <row r="235" customFormat="false" ht="15" hidden="false" customHeight="false" outlineLevel="0" collapsed="false">
      <c r="A235" s="14" t="s">
        <v>243</v>
      </c>
      <c r="B235" s="15" t="n">
        <v>9148</v>
      </c>
    </row>
    <row r="236" customFormat="false" ht="15" hidden="false" customHeight="false" outlineLevel="0" collapsed="false">
      <c r="A236" s="13" t="s">
        <v>244</v>
      </c>
      <c r="B236" s="12" t="n">
        <v>460324.87</v>
      </c>
    </row>
    <row r="237" customFormat="false" ht="15" hidden="false" customHeight="false" outlineLevel="0" collapsed="false">
      <c r="A237" s="14" t="s">
        <v>244</v>
      </c>
      <c r="B237" s="15" t="n">
        <v>443473.87</v>
      </c>
    </row>
    <row r="238" customFormat="false" ht="15" hidden="false" customHeight="false" outlineLevel="0" collapsed="false">
      <c r="A238" s="14" t="s">
        <v>245</v>
      </c>
      <c r="B238" s="15" t="n">
        <v>16851</v>
      </c>
    </row>
    <row r="239" customFormat="false" ht="15" hidden="false" customHeight="false" outlineLevel="0" collapsed="false">
      <c r="A239" s="9" t="s">
        <v>246</v>
      </c>
      <c r="B239" s="10" t="n">
        <v>38156707.18</v>
      </c>
    </row>
    <row r="240" customFormat="false" ht="15" hidden="false" customHeight="false" outlineLevel="0" collapsed="false">
      <c r="A240" s="11" t="s">
        <v>207</v>
      </c>
      <c r="B240" s="12" t="n">
        <v>8562315.23</v>
      </c>
    </row>
    <row r="241" customFormat="false" ht="15" hidden="false" customHeight="false" outlineLevel="0" collapsed="false">
      <c r="A241" s="13" t="s">
        <v>247</v>
      </c>
      <c r="B241" s="12" t="n">
        <v>8562315.23</v>
      </c>
    </row>
    <row r="242" customFormat="false" ht="15" hidden="false" customHeight="false" outlineLevel="0" collapsed="false">
      <c r="A242" s="14" t="s">
        <v>248</v>
      </c>
      <c r="B242" s="15" t="n">
        <v>703125</v>
      </c>
    </row>
    <row r="243" customFormat="false" ht="15" hidden="false" customHeight="false" outlineLevel="0" collapsed="false">
      <c r="A243" s="14" t="s">
        <v>249</v>
      </c>
      <c r="B243" s="15" t="n">
        <v>1781004.54</v>
      </c>
    </row>
    <row r="244" customFormat="false" ht="15" hidden="false" customHeight="false" outlineLevel="0" collapsed="false">
      <c r="A244" s="14" t="s">
        <v>250</v>
      </c>
      <c r="B244" s="15" t="n">
        <v>162958.8</v>
      </c>
    </row>
    <row r="245" customFormat="false" ht="15" hidden="false" customHeight="false" outlineLevel="0" collapsed="false">
      <c r="A245" s="14" t="s">
        <v>251</v>
      </c>
      <c r="B245" s="15" t="n">
        <v>2095503.9</v>
      </c>
    </row>
    <row r="246" customFormat="false" ht="15" hidden="false" customHeight="false" outlineLevel="0" collapsed="false">
      <c r="A246" s="14" t="s">
        <v>252</v>
      </c>
      <c r="B246" s="15" t="n">
        <v>5012.09</v>
      </c>
    </row>
    <row r="247" customFormat="false" ht="15" hidden="false" customHeight="false" outlineLevel="0" collapsed="false">
      <c r="A247" s="14" t="s">
        <v>253</v>
      </c>
      <c r="B247" s="15" t="n">
        <v>3814710.9</v>
      </c>
    </row>
    <row r="248" customFormat="false" ht="15" hidden="false" customHeight="false" outlineLevel="0" collapsed="false">
      <c r="A248" s="11" t="s">
        <v>254</v>
      </c>
      <c r="B248" s="12" t="n">
        <v>4307409.95</v>
      </c>
    </row>
    <row r="249" customFormat="false" ht="15" hidden="false" customHeight="false" outlineLevel="0" collapsed="false">
      <c r="A249" s="13" t="s">
        <v>255</v>
      </c>
      <c r="B249" s="12" t="n">
        <v>4307409.95</v>
      </c>
    </row>
    <row r="250" customFormat="false" ht="15" hidden="false" customHeight="false" outlineLevel="0" collapsed="false">
      <c r="A250" s="14" t="s">
        <v>256</v>
      </c>
      <c r="B250" s="15" t="n">
        <v>3880794.99</v>
      </c>
    </row>
    <row r="251" customFormat="false" ht="15" hidden="false" customHeight="false" outlineLevel="0" collapsed="false">
      <c r="A251" s="14" t="s">
        <v>257</v>
      </c>
      <c r="B251" s="15" t="n">
        <v>426614.96</v>
      </c>
    </row>
    <row r="252" customFormat="false" ht="15" hidden="false" customHeight="false" outlineLevel="0" collapsed="false">
      <c r="A252" s="11" t="s">
        <v>258</v>
      </c>
      <c r="B252" s="12" t="n">
        <v>4916419.84</v>
      </c>
    </row>
    <row r="253" customFormat="false" ht="15" hidden="false" customHeight="false" outlineLevel="0" collapsed="false">
      <c r="A253" s="13" t="s">
        <v>259</v>
      </c>
      <c r="B253" s="12" t="n">
        <v>4916419.84</v>
      </c>
    </row>
    <row r="254" customFormat="false" ht="15" hidden="false" customHeight="false" outlineLevel="0" collapsed="false">
      <c r="A254" s="14" t="s">
        <v>260</v>
      </c>
      <c r="B254" s="15" t="n">
        <v>4469622.39</v>
      </c>
    </row>
    <row r="255" customFormat="false" ht="15" hidden="false" customHeight="false" outlineLevel="0" collapsed="false">
      <c r="A255" s="14" t="s">
        <v>261</v>
      </c>
      <c r="B255" s="15" t="n">
        <v>76482.3</v>
      </c>
    </row>
    <row r="256" customFormat="false" ht="15" hidden="false" customHeight="false" outlineLevel="0" collapsed="false">
      <c r="A256" s="14" t="s">
        <v>262</v>
      </c>
      <c r="B256" s="15" t="n">
        <v>370315.15</v>
      </c>
    </row>
    <row r="257" customFormat="false" ht="15" hidden="false" customHeight="false" outlineLevel="0" collapsed="false">
      <c r="A257" s="11" t="s">
        <v>263</v>
      </c>
      <c r="B257" s="12" t="n">
        <v>20370562.16</v>
      </c>
    </row>
    <row r="258" customFormat="false" ht="15" hidden="false" customHeight="false" outlineLevel="0" collapsed="false">
      <c r="A258" s="13" t="s">
        <v>263</v>
      </c>
      <c r="B258" s="12" t="n">
        <v>20370562.16</v>
      </c>
    </row>
    <row r="259" customFormat="false" ht="15" hidden="false" customHeight="false" outlineLevel="0" collapsed="false">
      <c r="A259" s="14" t="s">
        <v>264</v>
      </c>
      <c r="B259" s="15" t="n">
        <v>8511069.63</v>
      </c>
    </row>
    <row r="260" customFormat="false" ht="15" hidden="false" customHeight="false" outlineLevel="0" collapsed="false">
      <c r="A260" s="14" t="s">
        <v>265</v>
      </c>
      <c r="B260" s="15" t="n">
        <v>8384137.46</v>
      </c>
    </row>
    <row r="261" customFormat="false" ht="15" hidden="false" customHeight="false" outlineLevel="0" collapsed="false">
      <c r="A261" s="14" t="s">
        <v>266</v>
      </c>
      <c r="B261" s="15" t="n">
        <v>986346.19</v>
      </c>
    </row>
    <row r="262" customFormat="false" ht="15" hidden="false" customHeight="false" outlineLevel="0" collapsed="false">
      <c r="A262" s="14" t="s">
        <v>267</v>
      </c>
      <c r="B262" s="15" t="n">
        <v>2489008.88</v>
      </c>
    </row>
    <row r="263" customFormat="false" ht="15" hidden="false" customHeight="false" outlineLevel="0" collapsed="false">
      <c r="A263" s="9" t="s">
        <v>268</v>
      </c>
      <c r="B263" s="10" t="n">
        <v>24590646.39</v>
      </c>
    </row>
    <row r="264" customFormat="false" ht="15" hidden="false" customHeight="false" outlineLevel="0" collapsed="false">
      <c r="A264" s="11" t="s">
        <v>269</v>
      </c>
      <c r="B264" s="12" t="n">
        <v>6000000</v>
      </c>
    </row>
    <row r="265" customFormat="false" ht="15" hidden="false" customHeight="false" outlineLevel="0" collapsed="false">
      <c r="A265" s="13" t="s">
        <v>269</v>
      </c>
      <c r="B265" s="12" t="n">
        <v>6000000</v>
      </c>
    </row>
    <row r="266" customFormat="false" ht="15" hidden="false" customHeight="false" outlineLevel="0" collapsed="false">
      <c r="A266" s="14" t="s">
        <v>270</v>
      </c>
      <c r="B266" s="15" t="n">
        <v>6000000</v>
      </c>
    </row>
    <row r="267" customFormat="false" ht="15" hidden="false" customHeight="false" outlineLevel="0" collapsed="false">
      <c r="A267" s="11" t="s">
        <v>271</v>
      </c>
      <c r="B267" s="12" t="n">
        <v>466704.13</v>
      </c>
    </row>
    <row r="268" customFormat="false" ht="15" hidden="false" customHeight="false" outlineLevel="0" collapsed="false">
      <c r="A268" s="13" t="s">
        <v>272</v>
      </c>
      <c r="B268" s="12" t="n">
        <v>466704.13</v>
      </c>
    </row>
    <row r="269" customFormat="false" ht="15" hidden="false" customHeight="false" outlineLevel="0" collapsed="false">
      <c r="A269" s="14" t="s">
        <v>272</v>
      </c>
      <c r="B269" s="15" t="n">
        <v>466704.13</v>
      </c>
    </row>
    <row r="270" customFormat="false" ht="15" hidden="false" customHeight="false" outlineLevel="0" collapsed="false">
      <c r="A270" s="11" t="s">
        <v>273</v>
      </c>
      <c r="B270" s="12" t="n">
        <v>11362234.94</v>
      </c>
    </row>
    <row r="271" customFormat="false" ht="15" hidden="false" customHeight="false" outlineLevel="0" collapsed="false">
      <c r="A271" s="13" t="s">
        <v>274</v>
      </c>
      <c r="B271" s="12" t="n">
        <v>11362234.94</v>
      </c>
    </row>
    <row r="272" customFormat="false" ht="15" hidden="false" customHeight="false" outlineLevel="0" collapsed="false">
      <c r="A272" s="14" t="s">
        <v>274</v>
      </c>
      <c r="B272" s="15" t="n">
        <v>11361790.57</v>
      </c>
    </row>
    <row r="273" customFormat="false" ht="15" hidden="false" customHeight="false" outlineLevel="0" collapsed="false">
      <c r="A273" s="14" t="s">
        <v>275</v>
      </c>
      <c r="B273" s="15" t="n">
        <v>444.37</v>
      </c>
    </row>
    <row r="274" customFormat="false" ht="15" hidden="false" customHeight="false" outlineLevel="0" collapsed="false">
      <c r="A274" s="11" t="s">
        <v>276</v>
      </c>
      <c r="B274" s="12" t="n">
        <v>6761707.32</v>
      </c>
    </row>
    <row r="275" customFormat="false" ht="15" hidden="false" customHeight="false" outlineLevel="0" collapsed="false">
      <c r="A275" s="13" t="s">
        <v>276</v>
      </c>
      <c r="B275" s="12" t="n">
        <v>6761707.32</v>
      </c>
    </row>
    <row r="276" customFormat="false" ht="15" hidden="false" customHeight="false" outlineLevel="0" collapsed="false">
      <c r="A276" s="14" t="s">
        <v>277</v>
      </c>
      <c r="B276" s="15" t="n">
        <v>1533460.17</v>
      </c>
    </row>
    <row r="277" customFormat="false" ht="15" hidden="false" customHeight="false" outlineLevel="0" collapsed="false">
      <c r="A277" s="14" t="s">
        <v>278</v>
      </c>
      <c r="B277" s="15" t="n">
        <v>803053.23</v>
      </c>
    </row>
    <row r="278" customFormat="false" ht="15" hidden="false" customHeight="false" outlineLevel="0" collapsed="false">
      <c r="A278" s="14" t="s">
        <v>279</v>
      </c>
      <c r="B278" s="15" t="n">
        <v>4425193.92</v>
      </c>
    </row>
    <row r="280" customFormat="false" ht="39.75" hidden="false" customHeight="true" outlineLevel="0" collapsed="false">
      <c r="A280" s="18" t="s">
        <v>298</v>
      </c>
      <c r="B280" s="18"/>
    </row>
    <row r="282" customFormat="false" ht="15" hidden="false" customHeight="false" outlineLevel="0" collapsed="false">
      <c r="A282" s="19" t="s">
        <v>285</v>
      </c>
      <c r="B282" s="19" t="s">
        <v>286</v>
      </c>
    </row>
    <row r="283" customFormat="false" ht="15" hidden="false" customHeight="false" outlineLevel="0" collapsed="false">
      <c r="A283" s="20" t="s">
        <v>287</v>
      </c>
      <c r="B283" s="20" t="s">
        <v>288</v>
      </c>
    </row>
    <row r="284" customFormat="false" ht="15" hidden="false" customHeight="false" outlineLevel="0" collapsed="false">
      <c r="A284" s="20" t="s">
        <v>289</v>
      </c>
      <c r="B284" s="20" t="s">
        <v>290</v>
      </c>
    </row>
  </sheetData>
  <mergeCells count="1">
    <mergeCell ref="A280:B280"/>
  </mergeCells>
  <printOptions headings="false" gridLines="false" gridLinesSet="true" horizontalCentered="false" verticalCentered="false"/>
  <pageMargins left="0.5" right="0.5" top="1" bottom="1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Folha &amp;P de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8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8"/>
    <col collapsed="false" customWidth="true" hidden="false" outlineLevel="0" max="2" min="2" style="0" width="2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281</v>
      </c>
    </row>
    <row r="3" customFormat="false" ht="15" hidden="false" customHeight="false" outlineLevel="0" collapsed="false">
      <c r="A3" s="3" t="s">
        <v>299</v>
      </c>
    </row>
    <row r="4" customFormat="false" ht="15" hidden="false" customHeight="false" outlineLevel="0" collapsed="false">
      <c r="A4" s="3" t="s">
        <v>3</v>
      </c>
    </row>
    <row r="5" customFormat="false" ht="15" hidden="false" customHeight="false" outlineLevel="0" collapsed="false">
      <c r="A5" s="4" t="s">
        <v>4</v>
      </c>
    </row>
    <row r="7" customFormat="false" ht="21.75" hidden="false" customHeight="true" outlineLevel="0" collapsed="false">
      <c r="A7" s="5" t="s">
        <v>5</v>
      </c>
      <c r="B7" s="6" t="s">
        <v>283</v>
      </c>
    </row>
    <row r="8" customFormat="false" ht="15" hidden="false" customHeight="false" outlineLevel="0" collapsed="false">
      <c r="A8" s="7" t="s">
        <v>14</v>
      </c>
      <c r="B8" s="8" t="n">
        <v>76359202.71</v>
      </c>
    </row>
    <row r="9" customFormat="false" ht="15" hidden="false" customHeight="false" outlineLevel="0" collapsed="false">
      <c r="A9" s="9" t="s">
        <v>15</v>
      </c>
      <c r="B9" s="10" t="n">
        <v>24433559.44</v>
      </c>
    </row>
    <row r="10" customFormat="false" ht="15" hidden="false" customHeight="false" outlineLevel="0" collapsed="false">
      <c r="A10" s="11" t="s">
        <v>16</v>
      </c>
      <c r="B10" s="12" t="n">
        <v>6516859.42</v>
      </c>
    </row>
    <row r="11" customFormat="false" ht="15" hidden="false" customHeight="false" outlineLevel="0" collapsed="false">
      <c r="A11" s="13" t="s">
        <v>17</v>
      </c>
      <c r="B11" s="12" t="n">
        <v>217765.16</v>
      </c>
    </row>
    <row r="12" customFormat="false" ht="15" hidden="false" customHeight="false" outlineLevel="0" collapsed="false">
      <c r="A12" s="14" t="s">
        <v>18</v>
      </c>
      <c r="B12" s="15" t="n">
        <v>217765.16</v>
      </c>
    </row>
    <row r="13" customFormat="false" ht="15" hidden="false" customHeight="false" outlineLevel="0" collapsed="false">
      <c r="A13" s="13" t="s">
        <v>19</v>
      </c>
      <c r="B13" s="12" t="n">
        <v>576364.64</v>
      </c>
    </row>
    <row r="14" customFormat="false" ht="15" hidden="false" customHeight="false" outlineLevel="0" collapsed="false">
      <c r="A14" s="14" t="s">
        <v>20</v>
      </c>
      <c r="B14" s="15" t="n">
        <v>401060.36</v>
      </c>
    </row>
    <row r="15" customFormat="false" ht="15" hidden="false" customHeight="false" outlineLevel="0" collapsed="false">
      <c r="A15" s="14" t="s">
        <v>21</v>
      </c>
      <c r="B15" s="15" t="n">
        <v>47249.11</v>
      </c>
    </row>
    <row r="16" customFormat="false" ht="15" hidden="false" customHeight="false" outlineLevel="0" collapsed="false">
      <c r="A16" s="14" t="s">
        <v>22</v>
      </c>
      <c r="B16" s="15" t="n">
        <v>22670.12</v>
      </c>
    </row>
    <row r="17" customFormat="false" ht="15" hidden="false" customHeight="false" outlineLevel="0" collapsed="false">
      <c r="A17" s="14" t="s">
        <v>23</v>
      </c>
      <c r="B17" s="15" t="n">
        <v>6078.69</v>
      </c>
    </row>
    <row r="18" customFormat="false" ht="15" hidden="false" customHeight="false" outlineLevel="0" collapsed="false">
      <c r="A18" s="14" t="s">
        <v>24</v>
      </c>
      <c r="B18" s="15" t="n">
        <v>58117.61</v>
      </c>
    </row>
    <row r="19" customFormat="false" ht="15" hidden="false" customHeight="false" outlineLevel="0" collapsed="false">
      <c r="A19" s="14" t="s">
        <v>25</v>
      </c>
      <c r="B19" s="15" t="n">
        <v>31097.07</v>
      </c>
    </row>
    <row r="20" customFormat="false" ht="15" hidden="false" customHeight="false" outlineLevel="0" collapsed="false">
      <c r="A20" s="14" t="s">
        <v>26</v>
      </c>
      <c r="B20" s="15" t="n">
        <v>10091.68</v>
      </c>
    </row>
    <row r="21" customFormat="false" ht="15" hidden="false" customHeight="false" outlineLevel="0" collapsed="false">
      <c r="A21" s="13" t="s">
        <v>27</v>
      </c>
      <c r="B21" s="12" t="n">
        <v>5722729.62</v>
      </c>
    </row>
    <row r="22" customFormat="false" ht="15" hidden="false" customHeight="false" outlineLevel="0" collapsed="false">
      <c r="A22" s="14" t="s">
        <v>28</v>
      </c>
      <c r="B22" s="15" t="n">
        <v>1995807.88</v>
      </c>
    </row>
    <row r="23" customFormat="false" ht="15" hidden="false" customHeight="false" outlineLevel="0" collapsed="false">
      <c r="A23" s="14" t="s">
        <v>29</v>
      </c>
      <c r="B23" s="15" t="n">
        <v>3111821.71</v>
      </c>
    </row>
    <row r="24" customFormat="false" ht="15" hidden="false" customHeight="false" outlineLevel="0" collapsed="false">
      <c r="A24" s="14" t="s">
        <v>31</v>
      </c>
      <c r="B24" s="15" t="n">
        <v>565100.03</v>
      </c>
    </row>
    <row r="25" customFormat="false" ht="15" hidden="false" customHeight="false" outlineLevel="0" collapsed="false">
      <c r="A25" s="14" t="s">
        <v>32</v>
      </c>
      <c r="B25" s="15" t="n">
        <v>50000</v>
      </c>
    </row>
    <row r="26" customFormat="false" ht="15" hidden="false" customHeight="false" outlineLevel="0" collapsed="false">
      <c r="A26" s="11" t="s">
        <v>33</v>
      </c>
      <c r="B26" s="12" t="n">
        <v>28361961.35</v>
      </c>
    </row>
    <row r="27" customFormat="false" ht="15" hidden="false" customHeight="false" outlineLevel="0" collapsed="false">
      <c r="A27" s="13" t="s">
        <v>34</v>
      </c>
      <c r="B27" s="12" t="n">
        <v>17820115.94</v>
      </c>
    </row>
    <row r="28" customFormat="false" ht="15" hidden="false" customHeight="false" outlineLevel="0" collapsed="false">
      <c r="A28" s="14" t="s">
        <v>35</v>
      </c>
      <c r="B28" s="15" t="n">
        <v>11739368.35</v>
      </c>
    </row>
    <row r="29" customFormat="false" ht="15" hidden="false" customHeight="false" outlineLevel="0" collapsed="false">
      <c r="A29" s="14" t="s">
        <v>36</v>
      </c>
      <c r="B29" s="15" t="n">
        <v>4606614.22</v>
      </c>
    </row>
    <row r="30" customFormat="false" ht="15" hidden="false" customHeight="false" outlineLevel="0" collapsed="false">
      <c r="A30" s="14" t="s">
        <v>37</v>
      </c>
      <c r="B30" s="15" t="n">
        <v>13083.89</v>
      </c>
    </row>
    <row r="31" customFormat="false" ht="15" hidden="false" customHeight="false" outlineLevel="0" collapsed="false">
      <c r="A31" s="14" t="s">
        <v>38</v>
      </c>
      <c r="B31" s="15" t="n">
        <v>9870</v>
      </c>
    </row>
    <row r="32" customFormat="false" ht="15" hidden="false" customHeight="false" outlineLevel="0" collapsed="false">
      <c r="A32" s="14" t="s">
        <v>39</v>
      </c>
      <c r="B32" s="15" t="n">
        <v>1451179.48</v>
      </c>
    </row>
    <row r="33" customFormat="false" ht="15" hidden="false" customHeight="false" outlineLevel="0" collapsed="false">
      <c r="A33" s="13" t="s">
        <v>40</v>
      </c>
      <c r="B33" s="12" t="n">
        <v>10541845.41</v>
      </c>
    </row>
    <row r="34" customFormat="false" ht="15" hidden="false" customHeight="false" outlineLevel="0" collapsed="false">
      <c r="A34" s="14" t="s">
        <v>41</v>
      </c>
      <c r="B34" s="15" t="n">
        <v>7394.21</v>
      </c>
    </row>
    <row r="35" customFormat="false" ht="15" hidden="false" customHeight="false" outlineLevel="0" collapsed="false">
      <c r="A35" s="14" t="s">
        <v>42</v>
      </c>
      <c r="B35" s="15" t="n">
        <v>10529364.85</v>
      </c>
    </row>
    <row r="36" customFormat="false" ht="15" hidden="false" customHeight="false" outlineLevel="0" collapsed="false">
      <c r="A36" s="14" t="s">
        <v>43</v>
      </c>
      <c r="B36" s="15" t="n">
        <v>5086.35</v>
      </c>
    </row>
    <row r="37" customFormat="false" ht="15" hidden="false" customHeight="false" outlineLevel="0" collapsed="false">
      <c r="A37" s="11" t="s">
        <v>44</v>
      </c>
      <c r="B37" s="12" t="n">
        <v>481744.26</v>
      </c>
    </row>
    <row r="38" customFormat="false" ht="15" hidden="false" customHeight="false" outlineLevel="0" collapsed="false">
      <c r="A38" s="13" t="s">
        <v>45</v>
      </c>
      <c r="B38" s="12" t="n">
        <v>221399.3</v>
      </c>
    </row>
    <row r="39" customFormat="false" ht="15" hidden="false" customHeight="false" outlineLevel="0" collapsed="false">
      <c r="A39" s="14" t="s">
        <v>46</v>
      </c>
      <c r="B39" s="15" t="n">
        <v>221399.3</v>
      </c>
    </row>
    <row r="40" customFormat="false" ht="15" hidden="false" customHeight="false" outlineLevel="0" collapsed="false">
      <c r="A40" s="13" t="s">
        <v>48</v>
      </c>
      <c r="B40" s="12" t="n">
        <v>260344.96</v>
      </c>
    </row>
    <row r="41" customFormat="false" ht="15" hidden="false" customHeight="false" outlineLevel="0" collapsed="false">
      <c r="A41" s="14" t="s">
        <v>49</v>
      </c>
      <c r="B41" s="15" t="n">
        <v>199641.46</v>
      </c>
    </row>
    <row r="42" customFormat="false" ht="15" hidden="false" customHeight="false" outlineLevel="0" collapsed="false">
      <c r="A42" s="14" t="s">
        <v>50</v>
      </c>
      <c r="B42" s="15" t="n">
        <v>60703.5</v>
      </c>
    </row>
    <row r="43" customFormat="false" ht="15" hidden="false" customHeight="false" outlineLevel="0" collapsed="false">
      <c r="A43" s="11" t="s">
        <v>51</v>
      </c>
      <c r="B43" s="12" t="n">
        <v>-12609357.42</v>
      </c>
    </row>
    <row r="44" customFormat="false" ht="15" hidden="false" customHeight="false" outlineLevel="0" collapsed="false">
      <c r="A44" s="13" t="s">
        <v>52</v>
      </c>
      <c r="B44" s="12" t="n">
        <v>-16615970.94</v>
      </c>
    </row>
    <row r="45" customFormat="false" ht="15" hidden="false" customHeight="false" outlineLevel="0" collapsed="false">
      <c r="A45" s="14" t="s">
        <v>53</v>
      </c>
      <c r="B45" s="15" t="n">
        <v>-51485735.89</v>
      </c>
    </row>
    <row r="46" customFormat="false" ht="15" hidden="false" customHeight="false" outlineLevel="0" collapsed="false">
      <c r="A46" s="14" t="s">
        <v>54</v>
      </c>
      <c r="B46" s="15" t="n">
        <v>3231002.16</v>
      </c>
    </row>
    <row r="47" customFormat="false" ht="15" hidden="false" customHeight="false" outlineLevel="0" collapsed="false">
      <c r="A47" s="14" t="s">
        <v>55</v>
      </c>
      <c r="B47" s="15" t="n">
        <v>31622239.37</v>
      </c>
    </row>
    <row r="48" customFormat="false" ht="15" hidden="false" customHeight="false" outlineLevel="0" collapsed="false">
      <c r="A48" s="14" t="s">
        <v>56</v>
      </c>
      <c r="B48" s="15" t="n">
        <v>16523.42</v>
      </c>
    </row>
    <row r="49" customFormat="false" ht="15" hidden="false" customHeight="false" outlineLevel="0" collapsed="false">
      <c r="A49" s="13" t="s">
        <v>57</v>
      </c>
      <c r="B49" s="12" t="n">
        <v>-544660.34</v>
      </c>
    </row>
    <row r="50" customFormat="false" ht="15" hidden="false" customHeight="false" outlineLevel="0" collapsed="false">
      <c r="A50" s="14" t="s">
        <v>58</v>
      </c>
      <c r="B50" s="15" t="n">
        <v>-489460.34</v>
      </c>
    </row>
    <row r="51" customFormat="false" ht="15" hidden="false" customHeight="false" outlineLevel="0" collapsed="false">
      <c r="A51" s="14" t="s">
        <v>59</v>
      </c>
      <c r="B51" s="15" t="n">
        <v>-55200</v>
      </c>
    </row>
    <row r="52" customFormat="false" ht="15" hidden="false" customHeight="false" outlineLevel="0" collapsed="false">
      <c r="A52" s="13" t="s">
        <v>60</v>
      </c>
      <c r="B52" s="12" t="n">
        <v>864505.41</v>
      </c>
    </row>
    <row r="53" customFormat="false" ht="15" hidden="false" customHeight="false" outlineLevel="0" collapsed="false">
      <c r="A53" s="14" t="s">
        <v>61</v>
      </c>
      <c r="B53" s="15" t="n">
        <v>267126.53</v>
      </c>
    </row>
    <row r="54" customFormat="false" ht="15" hidden="false" customHeight="false" outlineLevel="0" collapsed="false">
      <c r="A54" s="14" t="s">
        <v>63</v>
      </c>
      <c r="B54" s="15" t="n">
        <v>117005.55</v>
      </c>
    </row>
    <row r="55" customFormat="false" ht="15" hidden="false" customHeight="false" outlineLevel="0" collapsed="false">
      <c r="A55" s="14" t="s">
        <v>64</v>
      </c>
      <c r="B55" s="15" t="n">
        <v>25943.18</v>
      </c>
    </row>
    <row r="56" customFormat="false" ht="15" hidden="false" customHeight="false" outlineLevel="0" collapsed="false">
      <c r="A56" s="14" t="s">
        <v>65</v>
      </c>
      <c r="B56" s="15" t="n">
        <v>348450.31</v>
      </c>
    </row>
    <row r="57" customFormat="false" ht="15" hidden="false" customHeight="false" outlineLevel="0" collapsed="false">
      <c r="A57" s="14" t="s">
        <v>66</v>
      </c>
      <c r="B57" s="15" t="n">
        <v>44513.84</v>
      </c>
    </row>
    <row r="58" customFormat="false" ht="15" hidden="false" customHeight="false" outlineLevel="0" collapsed="false">
      <c r="A58" s="14" t="s">
        <v>67</v>
      </c>
      <c r="B58" s="15" t="n">
        <v>86116.2</v>
      </c>
    </row>
    <row r="59" customFormat="false" ht="15" hidden="false" customHeight="false" outlineLevel="0" collapsed="false">
      <c r="A59" s="14" t="s">
        <v>68</v>
      </c>
      <c r="B59" s="15" t="n">
        <v>141800</v>
      </c>
    </row>
    <row r="60" customFormat="false" ht="15" hidden="false" customHeight="false" outlineLevel="0" collapsed="false">
      <c r="A60" s="14" t="s">
        <v>69</v>
      </c>
      <c r="B60" s="15" t="n">
        <v>2478.6</v>
      </c>
    </row>
    <row r="61" customFormat="false" ht="15" hidden="false" customHeight="false" outlineLevel="0" collapsed="false">
      <c r="A61" s="14" t="s">
        <v>70</v>
      </c>
      <c r="B61" s="15" t="n">
        <v>-171399.9</v>
      </c>
    </row>
    <row r="62" customFormat="false" ht="15" hidden="false" customHeight="false" outlineLevel="0" collapsed="false">
      <c r="A62" s="14" t="s">
        <v>71</v>
      </c>
      <c r="B62" s="15" t="n">
        <v>2471.1</v>
      </c>
    </row>
    <row r="63" customFormat="false" ht="15" hidden="false" customHeight="false" outlineLevel="0" collapsed="false">
      <c r="A63" s="13" t="s">
        <v>72</v>
      </c>
      <c r="B63" s="12" t="n">
        <v>3686768.45</v>
      </c>
    </row>
    <row r="64" customFormat="false" ht="15" hidden="false" customHeight="false" outlineLevel="0" collapsed="false">
      <c r="A64" s="14" t="s">
        <v>73</v>
      </c>
      <c r="B64" s="15" t="n">
        <v>156085.49</v>
      </c>
    </row>
    <row r="65" customFormat="false" ht="15" hidden="false" customHeight="false" outlineLevel="0" collapsed="false">
      <c r="A65" s="14" t="s">
        <v>74</v>
      </c>
      <c r="B65" s="15" t="n">
        <v>1357702.05</v>
      </c>
    </row>
    <row r="66" customFormat="false" ht="15" hidden="false" customHeight="false" outlineLevel="0" collapsed="false">
      <c r="A66" s="14" t="s">
        <v>75</v>
      </c>
      <c r="B66" s="15" t="n">
        <v>190630.94</v>
      </c>
    </row>
    <row r="67" customFormat="false" ht="15" hidden="false" customHeight="false" outlineLevel="0" collapsed="false">
      <c r="A67" s="14" t="s">
        <v>76</v>
      </c>
      <c r="B67" s="15" t="n">
        <v>1922961.72</v>
      </c>
    </row>
    <row r="68" customFormat="false" ht="15" hidden="false" customHeight="false" outlineLevel="0" collapsed="false">
      <c r="A68" s="14" t="s">
        <v>77</v>
      </c>
      <c r="B68" s="15" t="n">
        <v>51908.25</v>
      </c>
    </row>
    <row r="69" customFormat="false" ht="15" hidden="false" customHeight="false" outlineLevel="0" collapsed="false">
      <c r="A69" s="14" t="s">
        <v>78</v>
      </c>
      <c r="B69" s="15" t="n">
        <v>7480</v>
      </c>
    </row>
    <row r="70" customFormat="false" ht="15" hidden="false" customHeight="false" outlineLevel="0" collapsed="false">
      <c r="A70" s="11" t="s">
        <v>79</v>
      </c>
      <c r="B70" s="12" t="n">
        <v>1509517.16</v>
      </c>
    </row>
    <row r="71" customFormat="false" ht="15" hidden="false" customHeight="false" outlineLevel="0" collapsed="false">
      <c r="A71" s="13" t="s">
        <v>80</v>
      </c>
      <c r="B71" s="12" t="n">
        <v>-26400.87</v>
      </c>
    </row>
    <row r="72" customFormat="false" ht="15" hidden="false" customHeight="false" outlineLevel="0" collapsed="false">
      <c r="A72" s="14" t="s">
        <v>81</v>
      </c>
      <c r="B72" s="15" t="n">
        <v>-26400.87</v>
      </c>
    </row>
    <row r="73" customFormat="false" ht="15" hidden="false" customHeight="false" outlineLevel="0" collapsed="false">
      <c r="A73" s="13" t="s">
        <v>82</v>
      </c>
      <c r="B73" s="12" t="n">
        <v>1535918.03</v>
      </c>
    </row>
    <row r="74" customFormat="false" ht="15" hidden="false" customHeight="false" outlineLevel="0" collapsed="false">
      <c r="A74" s="14" t="s">
        <v>83</v>
      </c>
      <c r="B74" s="15" t="n">
        <v>289523.85</v>
      </c>
    </row>
    <row r="75" customFormat="false" ht="15" hidden="false" customHeight="false" outlineLevel="0" collapsed="false">
      <c r="A75" s="14" t="s">
        <v>84</v>
      </c>
      <c r="B75" s="15" t="n">
        <v>54595.56</v>
      </c>
    </row>
    <row r="76" customFormat="false" ht="15" hidden="false" customHeight="false" outlineLevel="0" collapsed="false">
      <c r="A76" s="14" t="s">
        <v>86</v>
      </c>
      <c r="B76" s="15" t="n">
        <v>7500</v>
      </c>
    </row>
    <row r="77" customFormat="false" ht="15" hidden="false" customHeight="false" outlineLevel="0" collapsed="false">
      <c r="A77" s="14" t="s">
        <v>87</v>
      </c>
      <c r="B77" s="15" t="n">
        <v>-18918.38</v>
      </c>
    </row>
    <row r="78" customFormat="false" ht="15" hidden="false" customHeight="false" outlineLevel="0" collapsed="false">
      <c r="A78" s="14" t="s">
        <v>88</v>
      </c>
      <c r="B78" s="15" t="n">
        <v>1203217</v>
      </c>
    </row>
    <row r="79" customFormat="false" ht="15" hidden="false" customHeight="false" outlineLevel="0" collapsed="false">
      <c r="A79" s="11" t="s">
        <v>89</v>
      </c>
      <c r="B79" s="12" t="n">
        <v>172834.67</v>
      </c>
    </row>
    <row r="80" customFormat="false" ht="15" hidden="false" customHeight="false" outlineLevel="0" collapsed="false">
      <c r="A80" s="13" t="s">
        <v>89</v>
      </c>
      <c r="B80" s="12" t="n">
        <v>172834.67</v>
      </c>
    </row>
    <row r="81" customFormat="false" ht="15" hidden="false" customHeight="false" outlineLevel="0" collapsed="false">
      <c r="A81" s="14" t="s">
        <v>90</v>
      </c>
      <c r="B81" s="15" t="n">
        <v>165973.67</v>
      </c>
    </row>
    <row r="82" customFormat="false" ht="15" hidden="false" customHeight="false" outlineLevel="0" collapsed="false">
      <c r="A82" s="14" t="s">
        <v>91</v>
      </c>
      <c r="B82" s="15" t="n">
        <v>6861</v>
      </c>
    </row>
    <row r="83" customFormat="false" ht="15" hidden="false" customHeight="false" outlineLevel="0" collapsed="false">
      <c r="A83" s="9" t="s">
        <v>92</v>
      </c>
      <c r="B83" s="10" t="n">
        <v>51925643.27</v>
      </c>
    </row>
    <row r="84" customFormat="false" ht="15" hidden="false" customHeight="false" outlineLevel="0" collapsed="false">
      <c r="A84" s="11" t="s">
        <v>93</v>
      </c>
      <c r="B84" s="12" t="n">
        <v>21827138.69</v>
      </c>
    </row>
    <row r="85" customFormat="false" ht="15" hidden="false" customHeight="false" outlineLevel="0" collapsed="false">
      <c r="A85" s="13" t="s">
        <v>94</v>
      </c>
      <c r="B85" s="12" t="n">
        <v>484746</v>
      </c>
    </row>
    <row r="86" customFormat="false" ht="15" hidden="false" customHeight="false" outlineLevel="0" collapsed="false">
      <c r="A86" s="14" t="s">
        <v>95</v>
      </c>
      <c r="B86" s="15" t="n">
        <v>484746</v>
      </c>
    </row>
    <row r="87" customFormat="false" ht="15" hidden="false" customHeight="false" outlineLevel="0" collapsed="false">
      <c r="A87" s="13" t="s">
        <v>96</v>
      </c>
      <c r="B87" s="12" t="n">
        <v>21342392.69</v>
      </c>
    </row>
    <row r="88" customFormat="false" ht="15" hidden="false" customHeight="false" outlineLevel="0" collapsed="false">
      <c r="A88" s="14" t="s">
        <v>97</v>
      </c>
      <c r="B88" s="15" t="n">
        <v>10728710.65</v>
      </c>
    </row>
    <row r="89" customFormat="false" ht="15" hidden="false" customHeight="false" outlineLevel="0" collapsed="false">
      <c r="A89" s="14" t="s">
        <v>98</v>
      </c>
      <c r="B89" s="15" t="n">
        <v>2182361.9</v>
      </c>
    </row>
    <row r="90" customFormat="false" ht="15" hidden="false" customHeight="false" outlineLevel="0" collapsed="false">
      <c r="A90" s="14" t="s">
        <v>99</v>
      </c>
      <c r="B90" s="15" t="n">
        <v>47182.68</v>
      </c>
    </row>
    <row r="91" customFormat="false" ht="15" hidden="false" customHeight="false" outlineLevel="0" collapsed="false">
      <c r="A91" s="14" t="s">
        <v>100</v>
      </c>
      <c r="B91" s="15" t="n">
        <v>8384137.46</v>
      </c>
    </row>
    <row r="92" customFormat="false" ht="15" hidden="false" customHeight="false" outlineLevel="0" collapsed="false">
      <c r="A92" s="11" t="s">
        <v>101</v>
      </c>
      <c r="B92" s="12" t="n">
        <v>4043695.45</v>
      </c>
    </row>
    <row r="93" customFormat="false" ht="15" hidden="false" customHeight="false" outlineLevel="0" collapsed="false">
      <c r="A93" s="13" t="s">
        <v>102</v>
      </c>
      <c r="B93" s="12" t="n">
        <v>1632864.31</v>
      </c>
    </row>
    <row r="94" customFormat="false" ht="15" hidden="false" customHeight="false" outlineLevel="0" collapsed="false">
      <c r="A94" s="14" t="s">
        <v>103</v>
      </c>
      <c r="B94" s="15" t="n">
        <v>1632864.31</v>
      </c>
    </row>
    <row r="95" customFormat="false" ht="15" hidden="false" customHeight="false" outlineLevel="0" collapsed="false">
      <c r="A95" s="13" t="s">
        <v>104</v>
      </c>
      <c r="B95" s="12" t="n">
        <v>1743212.53</v>
      </c>
    </row>
    <row r="96" customFormat="false" ht="15" hidden="false" customHeight="false" outlineLevel="0" collapsed="false">
      <c r="A96" s="14" t="s">
        <v>105</v>
      </c>
      <c r="B96" s="15" t="n">
        <v>1203490</v>
      </c>
    </row>
    <row r="97" customFormat="false" ht="15" hidden="false" customHeight="false" outlineLevel="0" collapsed="false">
      <c r="A97" s="14" t="s">
        <v>106</v>
      </c>
      <c r="B97" s="15" t="n">
        <v>511881.38</v>
      </c>
    </row>
    <row r="98" customFormat="false" ht="15" hidden="false" customHeight="false" outlineLevel="0" collapsed="false">
      <c r="A98" s="14" t="s">
        <v>107</v>
      </c>
      <c r="B98" s="15" t="n">
        <v>27841.15</v>
      </c>
    </row>
    <row r="99" customFormat="false" ht="15" hidden="false" customHeight="false" outlineLevel="0" collapsed="false">
      <c r="A99" s="13" t="s">
        <v>108</v>
      </c>
      <c r="B99" s="12" t="n">
        <v>406094.29</v>
      </c>
    </row>
    <row r="100" customFormat="false" ht="15" hidden="false" customHeight="false" outlineLevel="0" collapsed="false">
      <c r="A100" s="14" t="s">
        <v>109</v>
      </c>
      <c r="B100" s="15" t="n">
        <v>54861.86</v>
      </c>
    </row>
    <row r="101" customFormat="false" ht="15" hidden="false" customHeight="false" outlineLevel="0" collapsed="false">
      <c r="A101" s="14" t="s">
        <v>110</v>
      </c>
      <c r="B101" s="15" t="n">
        <v>71482.12</v>
      </c>
    </row>
    <row r="102" customFormat="false" ht="15" hidden="false" customHeight="false" outlineLevel="0" collapsed="false">
      <c r="A102" s="14" t="s">
        <v>111</v>
      </c>
      <c r="B102" s="15" t="n">
        <v>71482.12</v>
      </c>
    </row>
    <row r="103" customFormat="false" ht="15" hidden="false" customHeight="false" outlineLevel="0" collapsed="false">
      <c r="A103" s="14" t="s">
        <v>112</v>
      </c>
      <c r="B103" s="15" t="n">
        <v>65940.92</v>
      </c>
    </row>
    <row r="104" customFormat="false" ht="15" hidden="false" customHeight="false" outlineLevel="0" collapsed="false">
      <c r="A104" s="14" t="s">
        <v>113</v>
      </c>
      <c r="B104" s="15" t="n">
        <v>48738.48</v>
      </c>
    </row>
    <row r="105" customFormat="false" ht="15" hidden="false" customHeight="false" outlineLevel="0" collapsed="false">
      <c r="A105" s="14" t="s">
        <v>114</v>
      </c>
      <c r="B105" s="15" t="n">
        <v>43667.22</v>
      </c>
    </row>
    <row r="106" customFormat="false" ht="15" hidden="false" customHeight="false" outlineLevel="0" collapsed="false">
      <c r="A106" s="14" t="s">
        <v>115</v>
      </c>
      <c r="B106" s="15" t="n">
        <v>20553.94</v>
      </c>
    </row>
    <row r="107" customFormat="false" ht="15" hidden="false" customHeight="false" outlineLevel="0" collapsed="false">
      <c r="A107" s="14" t="s">
        <v>116</v>
      </c>
      <c r="B107" s="15" t="n">
        <v>27127.68</v>
      </c>
    </row>
    <row r="108" customFormat="false" ht="15" hidden="false" customHeight="false" outlineLevel="0" collapsed="false">
      <c r="A108" s="14" t="s">
        <v>117</v>
      </c>
      <c r="B108" s="15" t="n">
        <v>2239.95</v>
      </c>
    </row>
    <row r="109" customFormat="false" ht="15" hidden="false" customHeight="false" outlineLevel="0" collapsed="false">
      <c r="A109" s="13" t="s">
        <v>118</v>
      </c>
      <c r="B109" s="12" t="n">
        <v>261524.32</v>
      </c>
    </row>
    <row r="110" customFormat="false" ht="15" hidden="false" customHeight="false" outlineLevel="0" collapsed="false">
      <c r="A110" s="14" t="s">
        <v>119</v>
      </c>
      <c r="B110" s="15" t="n">
        <v>124705.76</v>
      </c>
    </row>
    <row r="111" customFormat="false" ht="15" hidden="false" customHeight="false" outlineLevel="0" collapsed="false">
      <c r="A111" s="14" t="s">
        <v>120</v>
      </c>
      <c r="B111" s="15" t="n">
        <v>32250.86</v>
      </c>
    </row>
    <row r="112" customFormat="false" ht="15" hidden="false" customHeight="false" outlineLevel="0" collapsed="false">
      <c r="A112" s="14" t="s">
        <v>121</v>
      </c>
      <c r="B112" s="15" t="n">
        <v>22415.7</v>
      </c>
    </row>
    <row r="113" customFormat="false" ht="15" hidden="false" customHeight="false" outlineLevel="0" collapsed="false">
      <c r="A113" s="14" t="s">
        <v>122</v>
      </c>
      <c r="B113" s="15" t="n">
        <v>82152</v>
      </c>
    </row>
    <row r="114" customFormat="false" ht="15" hidden="false" customHeight="false" outlineLevel="0" collapsed="false">
      <c r="A114" s="11" t="s">
        <v>123</v>
      </c>
      <c r="B114" s="12" t="n">
        <v>23696458.28</v>
      </c>
    </row>
    <row r="115" customFormat="false" ht="15" hidden="false" customHeight="false" outlineLevel="0" collapsed="false">
      <c r="A115" s="13" t="s">
        <v>105</v>
      </c>
      <c r="B115" s="12" t="n">
        <v>6711830</v>
      </c>
    </row>
    <row r="116" customFormat="false" ht="15" hidden="false" customHeight="false" outlineLevel="0" collapsed="false">
      <c r="A116" s="14" t="s">
        <v>105</v>
      </c>
      <c r="B116" s="15" t="n">
        <v>6711830</v>
      </c>
    </row>
    <row r="117" customFormat="false" ht="15" hidden="false" customHeight="false" outlineLevel="0" collapsed="false">
      <c r="A117" s="13" t="s">
        <v>124</v>
      </c>
      <c r="B117" s="12" t="n">
        <v>2151462.87</v>
      </c>
    </row>
    <row r="118" customFormat="false" ht="15" hidden="false" customHeight="false" outlineLevel="0" collapsed="false">
      <c r="A118" s="14" t="s">
        <v>125</v>
      </c>
      <c r="B118" s="15" t="n">
        <v>2151462.87</v>
      </c>
    </row>
    <row r="119" customFormat="false" ht="15" hidden="false" customHeight="false" outlineLevel="0" collapsed="false">
      <c r="A119" s="13" t="s">
        <v>126</v>
      </c>
      <c r="B119" s="12" t="n">
        <v>19443695.48</v>
      </c>
    </row>
    <row r="120" customFormat="false" ht="15" hidden="false" customHeight="false" outlineLevel="0" collapsed="false">
      <c r="A120" s="14" t="s">
        <v>127</v>
      </c>
      <c r="B120" s="15" t="n">
        <v>19443695.48</v>
      </c>
    </row>
    <row r="121" customFormat="false" ht="15" hidden="false" customHeight="false" outlineLevel="0" collapsed="false">
      <c r="A121" s="13" t="s">
        <v>128</v>
      </c>
      <c r="B121" s="12" t="n">
        <v>700554.56</v>
      </c>
    </row>
    <row r="122" customFormat="false" ht="15" hidden="false" customHeight="false" outlineLevel="0" collapsed="false">
      <c r="A122" s="14" t="s">
        <v>129</v>
      </c>
      <c r="B122" s="15" t="n">
        <v>92262.56</v>
      </c>
    </row>
    <row r="123" customFormat="false" ht="15" hidden="false" customHeight="false" outlineLevel="0" collapsed="false">
      <c r="A123" s="14" t="s">
        <v>130</v>
      </c>
      <c r="B123" s="15" t="n">
        <v>608292</v>
      </c>
    </row>
    <row r="124" customFormat="false" ht="15" hidden="false" customHeight="false" outlineLevel="0" collapsed="false">
      <c r="A124" s="13" t="s">
        <v>131</v>
      </c>
      <c r="B124" s="12" t="n">
        <v>1288335.42</v>
      </c>
    </row>
    <row r="125" customFormat="false" ht="15" hidden="false" customHeight="false" outlineLevel="0" collapsed="false">
      <c r="A125" s="14" t="s">
        <v>132</v>
      </c>
      <c r="B125" s="15" t="n">
        <v>32525.91</v>
      </c>
    </row>
    <row r="126" customFormat="false" ht="15" hidden="false" customHeight="false" outlineLevel="0" collapsed="false">
      <c r="A126" s="14" t="s">
        <v>133</v>
      </c>
      <c r="B126" s="15" t="n">
        <v>173722.04</v>
      </c>
    </row>
    <row r="127" customFormat="false" ht="15" hidden="false" customHeight="false" outlineLevel="0" collapsed="false">
      <c r="A127" s="14" t="s">
        <v>131</v>
      </c>
      <c r="B127" s="15" t="n">
        <v>1082087.47</v>
      </c>
    </row>
    <row r="128" customFormat="false" ht="15" hidden="false" customHeight="false" outlineLevel="0" collapsed="false">
      <c r="A128" s="13" t="s">
        <v>134</v>
      </c>
      <c r="B128" s="12" t="n">
        <v>2671903.95</v>
      </c>
    </row>
    <row r="129" customFormat="false" ht="15" hidden="false" customHeight="false" outlineLevel="0" collapsed="false">
      <c r="A129" s="14" t="s">
        <v>135</v>
      </c>
      <c r="B129" s="15" t="n">
        <v>828900</v>
      </c>
    </row>
    <row r="130" customFormat="false" ht="15" hidden="false" customHeight="false" outlineLevel="0" collapsed="false">
      <c r="A130" s="14" t="s">
        <v>136</v>
      </c>
      <c r="B130" s="15" t="n">
        <v>793063.04</v>
      </c>
    </row>
    <row r="131" customFormat="false" ht="15" hidden="false" customHeight="false" outlineLevel="0" collapsed="false">
      <c r="A131" s="14" t="s">
        <v>137</v>
      </c>
      <c r="B131" s="15" t="n">
        <v>1049940.91</v>
      </c>
    </row>
    <row r="132" customFormat="false" ht="15" hidden="false" customHeight="false" outlineLevel="0" collapsed="false">
      <c r="A132" s="13" t="s">
        <v>138</v>
      </c>
      <c r="B132" s="12" t="n">
        <v>644892.69</v>
      </c>
    </row>
    <row r="133" customFormat="false" ht="15" hidden="false" customHeight="false" outlineLevel="0" collapsed="false">
      <c r="A133" s="14" t="s">
        <v>139</v>
      </c>
      <c r="B133" s="15" t="n">
        <v>330621.98</v>
      </c>
    </row>
    <row r="134" customFormat="false" ht="15" hidden="false" customHeight="false" outlineLevel="0" collapsed="false">
      <c r="A134" s="14" t="s">
        <v>140</v>
      </c>
      <c r="B134" s="15" t="n">
        <v>282817.47</v>
      </c>
    </row>
    <row r="135" customFormat="false" ht="15" hidden="false" customHeight="false" outlineLevel="0" collapsed="false">
      <c r="A135" s="14" t="s">
        <v>141</v>
      </c>
      <c r="B135" s="15" t="n">
        <v>31453.24</v>
      </c>
    </row>
    <row r="136" customFormat="false" ht="15" hidden="false" customHeight="false" outlineLevel="0" collapsed="false">
      <c r="A136" s="13" t="s">
        <v>142</v>
      </c>
      <c r="B136" s="12" t="n">
        <v>4520072.82</v>
      </c>
    </row>
    <row r="137" customFormat="false" ht="15" hidden="false" customHeight="false" outlineLevel="0" collapsed="false">
      <c r="A137" s="14" t="s">
        <v>143</v>
      </c>
      <c r="B137" s="15" t="n">
        <v>4520072.82</v>
      </c>
    </row>
    <row r="138" customFormat="false" ht="15" hidden="false" customHeight="false" outlineLevel="0" collapsed="false">
      <c r="A138" s="13" t="s">
        <v>144</v>
      </c>
      <c r="B138" s="12" t="n">
        <v>4361812.19</v>
      </c>
    </row>
    <row r="139" customFormat="false" ht="15" hidden="false" customHeight="false" outlineLevel="0" collapsed="false">
      <c r="A139" s="14" t="s">
        <v>145</v>
      </c>
      <c r="B139" s="15" t="n">
        <v>4361812.19</v>
      </c>
    </row>
    <row r="140" customFormat="false" ht="15" hidden="false" customHeight="false" outlineLevel="0" collapsed="false">
      <c r="A140" s="13" t="s">
        <v>146</v>
      </c>
      <c r="B140" s="12" t="n">
        <v>278519.93</v>
      </c>
    </row>
    <row r="141" customFormat="false" ht="15" hidden="false" customHeight="false" outlineLevel="0" collapsed="false">
      <c r="A141" s="14" t="s">
        <v>147</v>
      </c>
      <c r="B141" s="15" t="n">
        <v>278519.93</v>
      </c>
    </row>
    <row r="142" customFormat="false" ht="15" hidden="false" customHeight="false" outlineLevel="0" collapsed="false">
      <c r="A142" s="13" t="s">
        <v>148</v>
      </c>
      <c r="B142" s="12" t="n">
        <v>-19076621.63</v>
      </c>
    </row>
    <row r="143" customFormat="false" ht="15" hidden="false" customHeight="false" outlineLevel="0" collapsed="false">
      <c r="A143" s="14" t="s">
        <v>149</v>
      </c>
      <c r="B143" s="15" t="n">
        <v>-19076621.63</v>
      </c>
    </row>
    <row r="144" customFormat="false" ht="15" hidden="false" customHeight="false" outlineLevel="0" collapsed="false">
      <c r="A144" s="11" t="s">
        <v>150</v>
      </c>
      <c r="B144" s="12" t="n">
        <v>2358350.85</v>
      </c>
    </row>
    <row r="145" customFormat="false" ht="15" hidden="false" customHeight="false" outlineLevel="0" collapsed="false">
      <c r="A145" s="13" t="s">
        <v>151</v>
      </c>
      <c r="B145" s="12" t="n">
        <v>2094086.47</v>
      </c>
    </row>
    <row r="146" customFormat="false" ht="15" hidden="false" customHeight="false" outlineLevel="0" collapsed="false">
      <c r="A146" s="14" t="s">
        <v>152</v>
      </c>
      <c r="B146" s="15" t="n">
        <v>46948</v>
      </c>
    </row>
    <row r="147" customFormat="false" ht="15" hidden="false" customHeight="false" outlineLevel="0" collapsed="false">
      <c r="A147" s="14" t="s">
        <v>153</v>
      </c>
      <c r="B147" s="15" t="n">
        <v>1887138.47</v>
      </c>
    </row>
    <row r="148" customFormat="false" ht="15" hidden="false" customHeight="false" outlineLevel="0" collapsed="false">
      <c r="A148" s="14" t="s">
        <v>154</v>
      </c>
      <c r="B148" s="15" t="n">
        <v>160000</v>
      </c>
    </row>
    <row r="149" customFormat="false" ht="15" hidden="false" customHeight="false" outlineLevel="0" collapsed="false">
      <c r="A149" s="13" t="s">
        <v>155</v>
      </c>
      <c r="B149" s="12" t="n">
        <v>264264.38</v>
      </c>
    </row>
    <row r="150" customFormat="false" ht="15" hidden="false" customHeight="false" outlineLevel="0" collapsed="false">
      <c r="A150" s="14" t="s">
        <v>156</v>
      </c>
      <c r="B150" s="15" t="n">
        <v>870587.57</v>
      </c>
    </row>
    <row r="151" customFormat="false" ht="15" hidden="false" customHeight="false" outlineLevel="0" collapsed="false">
      <c r="A151" s="14" t="s">
        <v>157</v>
      </c>
      <c r="B151" s="15" t="n">
        <v>-606323.19</v>
      </c>
    </row>
    <row r="152" customFormat="false" ht="15" hidden="false" customHeight="false" outlineLevel="0" collapsed="false">
      <c r="A152" s="7" t="s">
        <v>158</v>
      </c>
      <c r="B152" s="8" t="n">
        <v>80557728.15</v>
      </c>
    </row>
    <row r="153" customFormat="false" ht="15" hidden="false" customHeight="false" outlineLevel="0" collapsed="false">
      <c r="A153" s="9" t="s">
        <v>159</v>
      </c>
      <c r="B153" s="10" t="n">
        <v>18018174.58</v>
      </c>
    </row>
    <row r="154" customFormat="false" ht="15" hidden="false" customHeight="false" outlineLevel="0" collapsed="false">
      <c r="A154" s="11" t="s">
        <v>160</v>
      </c>
      <c r="B154" s="12" t="n">
        <v>5711052.87</v>
      </c>
    </row>
    <row r="155" customFormat="false" ht="15" hidden="false" customHeight="false" outlineLevel="0" collapsed="false">
      <c r="A155" s="13" t="s">
        <v>161</v>
      </c>
      <c r="B155" s="12" t="n">
        <v>5711052.87</v>
      </c>
    </row>
    <row r="156" customFormat="false" ht="15" hidden="false" customHeight="false" outlineLevel="0" collapsed="false">
      <c r="A156" s="14" t="s">
        <v>161</v>
      </c>
      <c r="B156" s="15" t="n">
        <v>5711052.87</v>
      </c>
    </row>
    <row r="157" customFormat="false" ht="15" hidden="false" customHeight="false" outlineLevel="0" collapsed="false">
      <c r="A157" s="11" t="s">
        <v>163</v>
      </c>
      <c r="B157" s="12" t="n">
        <v>2201132.77</v>
      </c>
    </row>
    <row r="158" customFormat="false" ht="15" hidden="false" customHeight="false" outlineLevel="0" collapsed="false">
      <c r="A158" s="13" t="s">
        <v>164</v>
      </c>
      <c r="B158" s="12" t="n">
        <v>1456231.37</v>
      </c>
    </row>
    <row r="159" customFormat="false" ht="15" hidden="false" customHeight="false" outlineLevel="0" collapsed="false">
      <c r="A159" s="14" t="s">
        <v>165</v>
      </c>
      <c r="B159" s="15" t="n">
        <v>132957.49</v>
      </c>
    </row>
    <row r="160" customFormat="false" ht="15" hidden="false" customHeight="false" outlineLevel="0" collapsed="false">
      <c r="A160" s="14" t="s">
        <v>166</v>
      </c>
      <c r="B160" s="15" t="n">
        <v>606373.63</v>
      </c>
    </row>
    <row r="161" customFormat="false" ht="15" hidden="false" customHeight="false" outlineLevel="0" collapsed="false">
      <c r="A161" s="14" t="s">
        <v>167</v>
      </c>
      <c r="B161" s="15" t="n">
        <v>394848.56</v>
      </c>
    </row>
    <row r="162" customFormat="false" ht="15" hidden="false" customHeight="false" outlineLevel="0" collapsed="false">
      <c r="A162" s="14" t="s">
        <v>168</v>
      </c>
      <c r="B162" s="15" t="n">
        <v>261641.54</v>
      </c>
    </row>
    <row r="163" customFormat="false" ht="15" hidden="false" customHeight="false" outlineLevel="0" collapsed="false">
      <c r="A163" s="14" t="s">
        <v>169</v>
      </c>
      <c r="B163" s="15" t="n">
        <v>31481.07</v>
      </c>
    </row>
    <row r="164" customFormat="false" ht="15" hidden="false" customHeight="false" outlineLevel="0" collapsed="false">
      <c r="A164" s="14" t="s">
        <v>170</v>
      </c>
      <c r="B164" s="15" t="n">
        <v>610.98</v>
      </c>
    </row>
    <row r="165" customFormat="false" ht="15" hidden="false" customHeight="false" outlineLevel="0" collapsed="false">
      <c r="A165" s="14" t="s">
        <v>171</v>
      </c>
      <c r="B165" s="15" t="n">
        <v>19.22</v>
      </c>
    </row>
    <row r="166" customFormat="false" ht="15" hidden="false" customHeight="false" outlineLevel="0" collapsed="false">
      <c r="A166" s="14" t="s">
        <v>172</v>
      </c>
      <c r="B166" s="15" t="n">
        <v>26469.14</v>
      </c>
    </row>
    <row r="167" customFormat="false" ht="15" hidden="false" customHeight="false" outlineLevel="0" collapsed="false">
      <c r="A167" s="14" t="s">
        <v>173</v>
      </c>
      <c r="B167" s="15" t="n">
        <v>1829.74</v>
      </c>
    </row>
    <row r="168" customFormat="false" ht="15" hidden="false" customHeight="false" outlineLevel="0" collapsed="false">
      <c r="A168" s="13" t="s">
        <v>174</v>
      </c>
      <c r="B168" s="12" t="n">
        <v>739518.12</v>
      </c>
    </row>
    <row r="169" customFormat="false" ht="15" hidden="false" customHeight="false" outlineLevel="0" collapsed="false">
      <c r="A169" s="14" t="s">
        <v>175</v>
      </c>
      <c r="B169" s="15" t="n">
        <v>738608.09</v>
      </c>
    </row>
    <row r="170" customFormat="false" ht="15" hidden="false" customHeight="false" outlineLevel="0" collapsed="false">
      <c r="A170" s="14" t="s">
        <v>176</v>
      </c>
      <c r="B170" s="15" t="n">
        <v>910.03</v>
      </c>
    </row>
    <row r="171" customFormat="false" ht="15" hidden="false" customHeight="false" outlineLevel="0" collapsed="false">
      <c r="A171" s="13" t="s">
        <v>178</v>
      </c>
      <c r="B171" s="12" t="n">
        <v>5006.66</v>
      </c>
    </row>
    <row r="172" customFormat="false" ht="15" hidden="false" customHeight="false" outlineLevel="0" collapsed="false">
      <c r="A172" s="14" t="s">
        <v>179</v>
      </c>
      <c r="B172" s="15" t="n">
        <v>4644.74</v>
      </c>
    </row>
    <row r="173" customFormat="false" ht="15" hidden="false" customHeight="false" outlineLevel="0" collapsed="false">
      <c r="A173" s="14" t="s">
        <v>180</v>
      </c>
      <c r="B173" s="15" t="n">
        <v>179.47</v>
      </c>
    </row>
    <row r="174" customFormat="false" ht="15" hidden="false" customHeight="false" outlineLevel="0" collapsed="false">
      <c r="A174" s="14" t="s">
        <v>181</v>
      </c>
      <c r="B174" s="15" t="n">
        <v>182.45</v>
      </c>
    </row>
    <row r="175" customFormat="false" ht="15" hidden="false" customHeight="false" outlineLevel="0" collapsed="false">
      <c r="A175" s="13" t="s">
        <v>182</v>
      </c>
      <c r="B175" s="12" t="n">
        <v>376.62</v>
      </c>
    </row>
    <row r="176" customFormat="false" ht="15" hidden="false" customHeight="false" outlineLevel="0" collapsed="false">
      <c r="A176" s="14" t="s">
        <v>183</v>
      </c>
      <c r="B176" s="15" t="n">
        <v>376.62</v>
      </c>
    </row>
    <row r="177" customFormat="false" ht="15" hidden="false" customHeight="false" outlineLevel="0" collapsed="false">
      <c r="A177" s="11" t="s">
        <v>184</v>
      </c>
      <c r="B177" s="12" t="n">
        <v>4192767.75</v>
      </c>
    </row>
    <row r="178" customFormat="false" ht="15" hidden="false" customHeight="false" outlineLevel="0" collapsed="false">
      <c r="A178" s="13" t="s">
        <v>185</v>
      </c>
      <c r="B178" s="12" t="n">
        <v>328275.37</v>
      </c>
    </row>
    <row r="179" customFormat="false" ht="15" hidden="false" customHeight="false" outlineLevel="0" collapsed="false">
      <c r="A179" s="14" t="s">
        <v>186</v>
      </c>
      <c r="B179" s="15" t="n">
        <v>320481.99</v>
      </c>
    </row>
    <row r="180" customFormat="false" ht="15" hidden="false" customHeight="false" outlineLevel="0" collapsed="false">
      <c r="A180" s="14" t="s">
        <v>187</v>
      </c>
      <c r="B180" s="15" t="n">
        <v>1687.8</v>
      </c>
    </row>
    <row r="181" customFormat="false" ht="15" hidden="false" customHeight="false" outlineLevel="0" collapsed="false">
      <c r="A181" s="14" t="s">
        <v>188</v>
      </c>
      <c r="B181" s="15" t="n">
        <v>6105.58</v>
      </c>
    </row>
    <row r="182" customFormat="false" ht="15" hidden="false" customHeight="false" outlineLevel="0" collapsed="false">
      <c r="A182" s="13" t="s">
        <v>189</v>
      </c>
      <c r="B182" s="12" t="n">
        <v>50927.17</v>
      </c>
    </row>
    <row r="183" customFormat="false" ht="15" hidden="false" customHeight="false" outlineLevel="0" collapsed="false">
      <c r="A183" s="14" t="s">
        <v>190</v>
      </c>
      <c r="B183" s="15" t="n">
        <v>10510.41</v>
      </c>
    </row>
    <row r="184" customFormat="false" ht="15" hidden="false" customHeight="false" outlineLevel="0" collapsed="false">
      <c r="A184" s="14" t="s">
        <v>191</v>
      </c>
      <c r="B184" s="15" t="n">
        <v>1215.75</v>
      </c>
    </row>
    <row r="185" customFormat="false" ht="15" hidden="false" customHeight="false" outlineLevel="0" collapsed="false">
      <c r="A185" s="14" t="s">
        <v>192</v>
      </c>
      <c r="B185" s="15" t="n">
        <v>39201.01</v>
      </c>
    </row>
    <row r="186" customFormat="false" ht="15" hidden="false" customHeight="false" outlineLevel="0" collapsed="false">
      <c r="A186" s="13" t="s">
        <v>193</v>
      </c>
      <c r="B186" s="12" t="n">
        <v>2681068.15</v>
      </c>
    </row>
    <row r="187" customFormat="false" ht="15" hidden="false" customHeight="false" outlineLevel="0" collapsed="false">
      <c r="A187" s="14" t="s">
        <v>194</v>
      </c>
      <c r="B187" s="15" t="n">
        <v>2591727.18</v>
      </c>
    </row>
    <row r="188" customFormat="false" ht="15" hidden="false" customHeight="false" outlineLevel="0" collapsed="false">
      <c r="A188" s="14" t="s">
        <v>195</v>
      </c>
      <c r="B188" s="15" t="n">
        <v>61946.76</v>
      </c>
    </row>
    <row r="189" customFormat="false" ht="15" hidden="false" customHeight="false" outlineLevel="0" collapsed="false">
      <c r="A189" s="14" t="s">
        <v>196</v>
      </c>
      <c r="B189" s="15" t="n">
        <v>3818</v>
      </c>
    </row>
    <row r="190" customFormat="false" ht="15" hidden="false" customHeight="false" outlineLevel="0" collapsed="false">
      <c r="A190" s="14" t="s">
        <v>197</v>
      </c>
      <c r="B190" s="15" t="n">
        <v>23576.21</v>
      </c>
    </row>
    <row r="191" customFormat="false" ht="15" hidden="false" customHeight="false" outlineLevel="0" collapsed="false">
      <c r="A191" s="13" t="s">
        <v>199</v>
      </c>
      <c r="B191" s="12" t="n">
        <v>1132497.06</v>
      </c>
    </row>
    <row r="192" customFormat="false" ht="15" hidden="false" customHeight="false" outlineLevel="0" collapsed="false">
      <c r="A192" s="14" t="s">
        <v>201</v>
      </c>
      <c r="B192" s="15" t="n">
        <v>-2834.31</v>
      </c>
    </row>
    <row r="193" customFormat="false" ht="15" hidden="false" customHeight="false" outlineLevel="0" collapsed="false">
      <c r="A193" s="14" t="s">
        <v>200</v>
      </c>
      <c r="B193" s="15" t="n">
        <v>100937.99</v>
      </c>
    </row>
    <row r="194" customFormat="false" ht="15" hidden="false" customHeight="false" outlineLevel="0" collapsed="false">
      <c r="A194" s="14" t="s">
        <v>202</v>
      </c>
      <c r="B194" s="15" t="n">
        <v>166193.85</v>
      </c>
    </row>
    <row r="195" customFormat="false" ht="15" hidden="false" customHeight="false" outlineLevel="0" collapsed="false">
      <c r="A195" s="14" t="s">
        <v>203</v>
      </c>
      <c r="B195" s="15" t="n">
        <v>112875.17</v>
      </c>
    </row>
    <row r="196" customFormat="false" ht="15" hidden="false" customHeight="false" outlineLevel="0" collapsed="false">
      <c r="A196" s="14" t="s">
        <v>204</v>
      </c>
      <c r="B196" s="15" t="n">
        <v>22858.81</v>
      </c>
    </row>
    <row r="197" customFormat="false" ht="15" hidden="false" customHeight="false" outlineLevel="0" collapsed="false">
      <c r="A197" s="14" t="s">
        <v>205</v>
      </c>
      <c r="B197" s="15" t="n">
        <v>369070.78</v>
      </c>
    </row>
    <row r="198" customFormat="false" ht="15" hidden="false" customHeight="false" outlineLevel="0" collapsed="false">
      <c r="A198" s="14" t="s">
        <v>206</v>
      </c>
      <c r="B198" s="15" t="n">
        <v>363394.77</v>
      </c>
    </row>
    <row r="199" customFormat="false" ht="15" hidden="false" customHeight="false" outlineLevel="0" collapsed="false">
      <c r="A199" s="11" t="s">
        <v>207</v>
      </c>
      <c r="B199" s="12" t="n">
        <v>-731826.11</v>
      </c>
    </row>
    <row r="200" customFormat="false" ht="15" hidden="false" customHeight="false" outlineLevel="0" collapsed="false">
      <c r="A200" s="13" t="s">
        <v>207</v>
      </c>
      <c r="B200" s="12" t="n">
        <v>1238608.55</v>
      </c>
    </row>
    <row r="201" customFormat="false" ht="15" hidden="false" customHeight="false" outlineLevel="0" collapsed="false">
      <c r="A201" s="14" t="s">
        <v>211</v>
      </c>
      <c r="B201" s="15" t="n">
        <v>281250</v>
      </c>
    </row>
    <row r="202" customFormat="false" ht="15" hidden="false" customHeight="false" outlineLevel="0" collapsed="false">
      <c r="A202" s="14" t="s">
        <v>213</v>
      </c>
      <c r="B202" s="15" t="n">
        <v>23098.07</v>
      </c>
    </row>
    <row r="203" customFormat="false" ht="15" hidden="false" customHeight="false" outlineLevel="0" collapsed="false">
      <c r="A203" s="14" t="s">
        <v>214</v>
      </c>
      <c r="B203" s="15" t="n">
        <v>359229.24</v>
      </c>
    </row>
    <row r="204" customFormat="false" ht="15" hidden="false" customHeight="false" outlineLevel="0" collapsed="false">
      <c r="A204" s="14" t="s">
        <v>215</v>
      </c>
      <c r="B204" s="15" t="n">
        <v>30072.54</v>
      </c>
    </row>
    <row r="205" customFormat="false" ht="15" hidden="false" customHeight="false" outlineLevel="0" collapsed="false">
      <c r="A205" s="14" t="s">
        <v>216</v>
      </c>
      <c r="B205" s="15" t="n">
        <v>544958.7</v>
      </c>
    </row>
    <row r="206" customFormat="false" ht="15" hidden="false" customHeight="false" outlineLevel="0" collapsed="false">
      <c r="A206" s="13" t="s">
        <v>217</v>
      </c>
      <c r="B206" s="12" t="n">
        <v>-1970434.66</v>
      </c>
    </row>
    <row r="207" customFormat="false" ht="15" hidden="false" customHeight="false" outlineLevel="0" collapsed="false">
      <c r="A207" s="14" t="s">
        <v>218</v>
      </c>
      <c r="B207" s="15" t="n">
        <v>-1970434.66</v>
      </c>
    </row>
    <row r="208" customFormat="false" ht="15" hidden="false" customHeight="false" outlineLevel="0" collapsed="false">
      <c r="A208" s="11" t="s">
        <v>219</v>
      </c>
      <c r="B208" s="12" t="n">
        <v>-1232808.4</v>
      </c>
    </row>
    <row r="209" customFormat="false" ht="15" hidden="false" customHeight="false" outlineLevel="0" collapsed="false">
      <c r="A209" s="13" t="s">
        <v>220</v>
      </c>
      <c r="B209" s="12" t="n">
        <v>-1232808.4</v>
      </c>
    </row>
    <row r="210" customFormat="false" ht="15" hidden="false" customHeight="false" outlineLevel="0" collapsed="false">
      <c r="A210" s="14" t="s">
        <v>221</v>
      </c>
      <c r="B210" s="15" t="n">
        <v>31019.08</v>
      </c>
    </row>
    <row r="211" customFormat="false" ht="15" hidden="false" customHeight="false" outlineLevel="0" collapsed="false">
      <c r="A211" s="14" t="s">
        <v>222</v>
      </c>
      <c r="B211" s="15" t="n">
        <v>106653.74</v>
      </c>
    </row>
    <row r="212" customFormat="false" ht="15" hidden="false" customHeight="false" outlineLevel="0" collapsed="false">
      <c r="A212" s="14" t="s">
        <v>223</v>
      </c>
      <c r="B212" s="15" t="n">
        <v>-302421.57</v>
      </c>
    </row>
    <row r="213" customFormat="false" ht="15" hidden="false" customHeight="false" outlineLevel="0" collapsed="false">
      <c r="A213" s="14" t="s">
        <v>224</v>
      </c>
      <c r="B213" s="15" t="n">
        <v>-1068059.65</v>
      </c>
    </row>
    <row r="214" customFormat="false" ht="15" hidden="false" customHeight="false" outlineLevel="0" collapsed="false">
      <c r="A214" s="11" t="s">
        <v>225</v>
      </c>
      <c r="B214" s="12" t="n">
        <v>3962382.22</v>
      </c>
    </row>
    <row r="215" customFormat="false" ht="15" hidden="false" customHeight="false" outlineLevel="0" collapsed="false">
      <c r="A215" s="13" t="s">
        <v>226</v>
      </c>
      <c r="B215" s="12" t="n">
        <v>3962382.22</v>
      </c>
    </row>
    <row r="216" customFormat="false" ht="15" hidden="false" customHeight="false" outlineLevel="0" collapsed="false">
      <c r="A216" s="14" t="s">
        <v>227</v>
      </c>
      <c r="B216" s="15" t="n">
        <v>155029.94</v>
      </c>
    </row>
    <row r="217" customFormat="false" ht="15" hidden="false" customHeight="false" outlineLevel="0" collapsed="false">
      <c r="A217" s="14" t="s">
        <v>228</v>
      </c>
      <c r="B217" s="15" t="n">
        <v>1545632.65</v>
      </c>
    </row>
    <row r="218" customFormat="false" ht="15" hidden="false" customHeight="false" outlineLevel="0" collapsed="false">
      <c r="A218" s="14" t="s">
        <v>229</v>
      </c>
      <c r="B218" s="15" t="n">
        <v>204930.87</v>
      </c>
    </row>
    <row r="219" customFormat="false" ht="15" hidden="false" customHeight="false" outlineLevel="0" collapsed="false">
      <c r="A219" s="14" t="s">
        <v>230</v>
      </c>
      <c r="B219" s="15" t="n">
        <v>1922961.72</v>
      </c>
    </row>
    <row r="220" customFormat="false" ht="15" hidden="false" customHeight="false" outlineLevel="0" collapsed="false">
      <c r="A220" s="14" t="s">
        <v>231</v>
      </c>
      <c r="B220" s="15" t="n">
        <v>59757.53</v>
      </c>
    </row>
    <row r="221" customFormat="false" ht="15" hidden="false" customHeight="false" outlineLevel="0" collapsed="false">
      <c r="A221" s="14" t="s">
        <v>232</v>
      </c>
      <c r="B221" s="15" t="n">
        <v>94080</v>
      </c>
    </row>
    <row r="222" customFormat="false" ht="15" hidden="false" customHeight="false" outlineLevel="0" collapsed="false">
      <c r="A222" s="14" t="s">
        <v>233</v>
      </c>
      <c r="B222" s="15" t="n">
        <v>-20010.49</v>
      </c>
    </row>
    <row r="223" customFormat="false" ht="15" hidden="false" customHeight="false" outlineLevel="0" collapsed="false">
      <c r="A223" s="11" t="s">
        <v>234</v>
      </c>
      <c r="B223" s="12" t="n">
        <v>3289947.7</v>
      </c>
    </row>
    <row r="224" customFormat="false" ht="15" hidden="false" customHeight="false" outlineLevel="0" collapsed="false">
      <c r="A224" s="13" t="s">
        <v>234</v>
      </c>
      <c r="B224" s="12" t="n">
        <v>3289947.7</v>
      </c>
    </row>
    <row r="225" customFormat="false" ht="15" hidden="false" customHeight="false" outlineLevel="0" collapsed="false">
      <c r="A225" s="14" t="s">
        <v>235</v>
      </c>
      <c r="B225" s="15" t="n">
        <v>3192307.33</v>
      </c>
    </row>
    <row r="226" customFormat="false" ht="15" hidden="false" customHeight="false" outlineLevel="0" collapsed="false">
      <c r="A226" s="14" t="s">
        <v>236</v>
      </c>
      <c r="B226" s="15" t="n">
        <v>97640.37</v>
      </c>
    </row>
    <row r="227" customFormat="false" ht="15" hidden="false" customHeight="false" outlineLevel="0" collapsed="false">
      <c r="A227" s="11" t="s">
        <v>237</v>
      </c>
      <c r="B227" s="12" t="n">
        <v>625525.78</v>
      </c>
    </row>
    <row r="228" customFormat="false" ht="15" hidden="false" customHeight="false" outlineLevel="0" collapsed="false">
      <c r="A228" s="13" t="s">
        <v>238</v>
      </c>
      <c r="B228" s="12" t="n">
        <v>41391.62</v>
      </c>
    </row>
    <row r="229" customFormat="false" ht="15" hidden="false" customHeight="false" outlineLevel="0" collapsed="false">
      <c r="A229" s="14" t="s">
        <v>239</v>
      </c>
      <c r="B229" s="15" t="n">
        <v>39242.94</v>
      </c>
    </row>
    <row r="230" customFormat="false" ht="15" hidden="false" customHeight="false" outlineLevel="0" collapsed="false">
      <c r="A230" s="14" t="s">
        <v>240</v>
      </c>
      <c r="B230" s="15" t="n">
        <v>2148.68</v>
      </c>
    </row>
    <row r="231" customFormat="false" ht="15" hidden="false" customHeight="false" outlineLevel="0" collapsed="false">
      <c r="A231" s="13" t="s">
        <v>241</v>
      </c>
      <c r="B231" s="12" t="n">
        <v>170054.78</v>
      </c>
    </row>
    <row r="232" customFormat="false" ht="15" hidden="false" customHeight="false" outlineLevel="0" collapsed="false">
      <c r="A232" s="14" t="s">
        <v>242</v>
      </c>
      <c r="B232" s="15" t="n">
        <v>170054.78</v>
      </c>
    </row>
    <row r="233" customFormat="false" ht="15" hidden="false" customHeight="false" outlineLevel="0" collapsed="false">
      <c r="A233" s="13" t="s">
        <v>243</v>
      </c>
      <c r="B233" s="12" t="n">
        <v>6861</v>
      </c>
    </row>
    <row r="234" customFormat="false" ht="15" hidden="false" customHeight="false" outlineLevel="0" collapsed="false">
      <c r="A234" s="14" t="s">
        <v>243</v>
      </c>
      <c r="B234" s="15" t="n">
        <v>6861</v>
      </c>
    </row>
    <row r="235" customFormat="false" ht="15" hidden="false" customHeight="false" outlineLevel="0" collapsed="false">
      <c r="A235" s="13" t="s">
        <v>244</v>
      </c>
      <c r="B235" s="12" t="n">
        <v>407218.38</v>
      </c>
    </row>
    <row r="236" customFormat="false" ht="15" hidden="false" customHeight="false" outlineLevel="0" collapsed="false">
      <c r="A236" s="14" t="s">
        <v>244</v>
      </c>
      <c r="B236" s="15" t="n">
        <v>390367.38</v>
      </c>
    </row>
    <row r="237" customFormat="false" ht="15" hidden="false" customHeight="false" outlineLevel="0" collapsed="false">
      <c r="A237" s="14" t="s">
        <v>245</v>
      </c>
      <c r="B237" s="15" t="n">
        <v>16851</v>
      </c>
    </row>
    <row r="238" customFormat="false" ht="15" hidden="false" customHeight="false" outlineLevel="0" collapsed="false">
      <c r="A238" s="9" t="s">
        <v>246</v>
      </c>
      <c r="B238" s="10" t="n">
        <v>38156707.18</v>
      </c>
    </row>
    <row r="239" customFormat="false" ht="15" hidden="false" customHeight="false" outlineLevel="0" collapsed="false">
      <c r="A239" s="11" t="s">
        <v>207</v>
      </c>
      <c r="B239" s="12" t="n">
        <v>8562315.23</v>
      </c>
    </row>
    <row r="240" customFormat="false" ht="15" hidden="false" customHeight="false" outlineLevel="0" collapsed="false">
      <c r="A240" s="13" t="s">
        <v>247</v>
      </c>
      <c r="B240" s="12" t="n">
        <v>8562315.23</v>
      </c>
    </row>
    <row r="241" customFormat="false" ht="15" hidden="false" customHeight="false" outlineLevel="0" collapsed="false">
      <c r="A241" s="14" t="s">
        <v>248</v>
      </c>
      <c r="B241" s="15" t="n">
        <v>703125</v>
      </c>
    </row>
    <row r="242" customFormat="false" ht="15" hidden="false" customHeight="false" outlineLevel="0" collapsed="false">
      <c r="A242" s="14" t="s">
        <v>249</v>
      </c>
      <c r="B242" s="15" t="n">
        <v>1781004.54</v>
      </c>
    </row>
    <row r="243" customFormat="false" ht="15" hidden="false" customHeight="false" outlineLevel="0" collapsed="false">
      <c r="A243" s="14" t="s">
        <v>250</v>
      </c>
      <c r="B243" s="15" t="n">
        <v>162958.8</v>
      </c>
    </row>
    <row r="244" customFormat="false" ht="15" hidden="false" customHeight="false" outlineLevel="0" collapsed="false">
      <c r="A244" s="14" t="s">
        <v>251</v>
      </c>
      <c r="B244" s="15" t="n">
        <v>2095503.9</v>
      </c>
    </row>
    <row r="245" customFormat="false" ht="15" hidden="false" customHeight="false" outlineLevel="0" collapsed="false">
      <c r="A245" s="14" t="s">
        <v>252</v>
      </c>
      <c r="B245" s="15" t="n">
        <v>5012.09</v>
      </c>
    </row>
    <row r="246" customFormat="false" ht="15" hidden="false" customHeight="false" outlineLevel="0" collapsed="false">
      <c r="A246" s="14" t="s">
        <v>253</v>
      </c>
      <c r="B246" s="15" t="n">
        <v>3814710.9</v>
      </c>
    </row>
    <row r="247" customFormat="false" ht="15" hidden="false" customHeight="false" outlineLevel="0" collapsed="false">
      <c r="A247" s="11" t="s">
        <v>254</v>
      </c>
      <c r="B247" s="12" t="n">
        <v>4307409.95</v>
      </c>
    </row>
    <row r="248" customFormat="false" ht="15" hidden="false" customHeight="false" outlineLevel="0" collapsed="false">
      <c r="A248" s="13" t="s">
        <v>255</v>
      </c>
      <c r="B248" s="12" t="n">
        <v>4307409.95</v>
      </c>
    </row>
    <row r="249" customFormat="false" ht="15" hidden="false" customHeight="false" outlineLevel="0" collapsed="false">
      <c r="A249" s="14" t="s">
        <v>256</v>
      </c>
      <c r="B249" s="15" t="n">
        <v>3880794.99</v>
      </c>
    </row>
    <row r="250" customFormat="false" ht="15" hidden="false" customHeight="false" outlineLevel="0" collapsed="false">
      <c r="A250" s="14" t="s">
        <v>257</v>
      </c>
      <c r="B250" s="15" t="n">
        <v>426614.96</v>
      </c>
    </row>
    <row r="251" customFormat="false" ht="15" hidden="false" customHeight="false" outlineLevel="0" collapsed="false">
      <c r="A251" s="11" t="s">
        <v>258</v>
      </c>
      <c r="B251" s="12" t="n">
        <v>4916419.84</v>
      </c>
    </row>
    <row r="252" customFormat="false" ht="15" hidden="false" customHeight="false" outlineLevel="0" collapsed="false">
      <c r="A252" s="13" t="s">
        <v>259</v>
      </c>
      <c r="B252" s="12" t="n">
        <v>4916419.84</v>
      </c>
    </row>
    <row r="253" customFormat="false" ht="15" hidden="false" customHeight="false" outlineLevel="0" collapsed="false">
      <c r="A253" s="14" t="s">
        <v>260</v>
      </c>
      <c r="B253" s="15" t="n">
        <v>4469622.39</v>
      </c>
    </row>
    <row r="254" customFormat="false" ht="15" hidden="false" customHeight="false" outlineLevel="0" collapsed="false">
      <c r="A254" s="14" t="s">
        <v>261</v>
      </c>
      <c r="B254" s="15" t="n">
        <v>76482.3</v>
      </c>
    </row>
    <row r="255" customFormat="false" ht="15" hidden="false" customHeight="false" outlineLevel="0" collapsed="false">
      <c r="A255" s="14" t="s">
        <v>262</v>
      </c>
      <c r="B255" s="15" t="n">
        <v>370315.15</v>
      </c>
    </row>
    <row r="256" customFormat="false" ht="15" hidden="false" customHeight="false" outlineLevel="0" collapsed="false">
      <c r="A256" s="11" t="s">
        <v>263</v>
      </c>
      <c r="B256" s="12" t="n">
        <v>20370562.16</v>
      </c>
    </row>
    <row r="257" customFormat="false" ht="15" hidden="false" customHeight="false" outlineLevel="0" collapsed="false">
      <c r="A257" s="13" t="s">
        <v>263</v>
      </c>
      <c r="B257" s="12" t="n">
        <v>20370562.16</v>
      </c>
    </row>
    <row r="258" customFormat="false" ht="15" hidden="false" customHeight="false" outlineLevel="0" collapsed="false">
      <c r="A258" s="14" t="s">
        <v>264</v>
      </c>
      <c r="B258" s="15" t="n">
        <v>8511069.63</v>
      </c>
    </row>
    <row r="259" customFormat="false" ht="15" hidden="false" customHeight="false" outlineLevel="0" collapsed="false">
      <c r="A259" s="14" t="s">
        <v>265</v>
      </c>
      <c r="B259" s="15" t="n">
        <v>8384137.46</v>
      </c>
    </row>
    <row r="260" customFormat="false" ht="15" hidden="false" customHeight="false" outlineLevel="0" collapsed="false">
      <c r="A260" s="14" t="s">
        <v>266</v>
      </c>
      <c r="B260" s="15" t="n">
        <v>986346.19</v>
      </c>
    </row>
    <row r="261" customFormat="false" ht="15" hidden="false" customHeight="false" outlineLevel="0" collapsed="false">
      <c r="A261" s="14" t="s">
        <v>267</v>
      </c>
      <c r="B261" s="15" t="n">
        <v>2489008.88</v>
      </c>
    </row>
    <row r="262" customFormat="false" ht="15" hidden="false" customHeight="false" outlineLevel="0" collapsed="false">
      <c r="A262" s="9" t="s">
        <v>268</v>
      </c>
      <c r="B262" s="10" t="n">
        <v>24382846.39</v>
      </c>
    </row>
    <row r="263" customFormat="false" ht="15" hidden="false" customHeight="false" outlineLevel="0" collapsed="false">
      <c r="A263" s="11" t="s">
        <v>269</v>
      </c>
      <c r="B263" s="12" t="n">
        <v>6000000</v>
      </c>
    </row>
    <row r="264" customFormat="false" ht="15" hidden="false" customHeight="false" outlineLevel="0" collapsed="false">
      <c r="A264" s="13" t="s">
        <v>269</v>
      </c>
      <c r="B264" s="12" t="n">
        <v>6000000</v>
      </c>
    </row>
    <row r="265" customFormat="false" ht="15" hidden="false" customHeight="false" outlineLevel="0" collapsed="false">
      <c r="A265" s="14" t="s">
        <v>270</v>
      </c>
      <c r="B265" s="15" t="n">
        <v>6000000</v>
      </c>
    </row>
    <row r="266" customFormat="false" ht="15" hidden="false" customHeight="false" outlineLevel="0" collapsed="false">
      <c r="A266" s="11" t="s">
        <v>271</v>
      </c>
      <c r="B266" s="12" t="n">
        <v>466704.13</v>
      </c>
    </row>
    <row r="267" customFormat="false" ht="15" hidden="false" customHeight="false" outlineLevel="0" collapsed="false">
      <c r="A267" s="13" t="s">
        <v>272</v>
      </c>
      <c r="B267" s="12" t="n">
        <v>466704.13</v>
      </c>
    </row>
    <row r="268" customFormat="false" ht="15" hidden="false" customHeight="false" outlineLevel="0" collapsed="false">
      <c r="A268" s="14" t="s">
        <v>272</v>
      </c>
      <c r="B268" s="15" t="n">
        <v>466704.13</v>
      </c>
    </row>
    <row r="269" customFormat="false" ht="15" hidden="false" customHeight="false" outlineLevel="0" collapsed="false">
      <c r="A269" s="11" t="s">
        <v>273</v>
      </c>
      <c r="B269" s="12" t="n">
        <v>11154434.94</v>
      </c>
    </row>
    <row r="270" customFormat="false" ht="15" hidden="false" customHeight="false" outlineLevel="0" collapsed="false">
      <c r="A270" s="13" t="s">
        <v>274</v>
      </c>
      <c r="B270" s="12" t="n">
        <v>11154434.94</v>
      </c>
    </row>
    <row r="271" customFormat="false" ht="15" hidden="false" customHeight="false" outlineLevel="0" collapsed="false">
      <c r="A271" s="14" t="s">
        <v>274</v>
      </c>
      <c r="B271" s="15" t="n">
        <v>11153990.57</v>
      </c>
    </row>
    <row r="272" customFormat="false" ht="15" hidden="false" customHeight="false" outlineLevel="0" collapsed="false">
      <c r="A272" s="14" t="s">
        <v>275</v>
      </c>
      <c r="B272" s="15" t="n">
        <v>444.37</v>
      </c>
    </row>
    <row r="273" customFormat="false" ht="15" hidden="false" customHeight="false" outlineLevel="0" collapsed="false">
      <c r="A273" s="11" t="s">
        <v>276</v>
      </c>
      <c r="B273" s="12" t="n">
        <v>6761707.32</v>
      </c>
    </row>
    <row r="274" customFormat="false" ht="15" hidden="false" customHeight="false" outlineLevel="0" collapsed="false">
      <c r="A274" s="13" t="s">
        <v>276</v>
      </c>
      <c r="B274" s="12" t="n">
        <v>6761707.32</v>
      </c>
    </row>
    <row r="275" customFormat="false" ht="15" hidden="false" customHeight="false" outlineLevel="0" collapsed="false">
      <c r="A275" s="14" t="s">
        <v>277</v>
      </c>
      <c r="B275" s="15" t="n">
        <v>1533460.17</v>
      </c>
    </row>
    <row r="276" customFormat="false" ht="15" hidden="false" customHeight="false" outlineLevel="0" collapsed="false">
      <c r="A276" s="14" t="s">
        <v>278</v>
      </c>
      <c r="B276" s="15" t="n">
        <v>803053.23</v>
      </c>
    </row>
    <row r="277" customFormat="false" ht="15" hidden="false" customHeight="false" outlineLevel="0" collapsed="false">
      <c r="A277" s="14" t="s">
        <v>279</v>
      </c>
      <c r="B277" s="15" t="n">
        <v>4425193.92</v>
      </c>
    </row>
    <row r="279" customFormat="false" ht="39.75" hidden="false" customHeight="true" outlineLevel="0" collapsed="false">
      <c r="A279" s="18" t="s">
        <v>300</v>
      </c>
      <c r="B279" s="18"/>
    </row>
    <row r="281" customFormat="false" ht="15" hidden="false" customHeight="false" outlineLevel="0" collapsed="false">
      <c r="A281" s="19" t="s">
        <v>285</v>
      </c>
      <c r="B281" s="19" t="s">
        <v>286</v>
      </c>
    </row>
    <row r="282" customFormat="false" ht="15" hidden="false" customHeight="false" outlineLevel="0" collapsed="false">
      <c r="A282" s="20" t="s">
        <v>287</v>
      </c>
      <c r="B282" s="20" t="s">
        <v>288</v>
      </c>
    </row>
    <row r="283" customFormat="false" ht="15" hidden="false" customHeight="false" outlineLevel="0" collapsed="false">
      <c r="A283" s="20" t="s">
        <v>289</v>
      </c>
      <c r="B283" s="20" t="s">
        <v>290</v>
      </c>
    </row>
  </sheetData>
  <mergeCells count="1">
    <mergeCell ref="A279:B279"/>
  </mergeCells>
  <printOptions headings="false" gridLines="false" gridLinesSet="true" horizontalCentered="false" verticalCentered="false"/>
  <pageMargins left="0.5" right="0.5" top="1" bottom="1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Folha &amp;P de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8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8"/>
    <col collapsed="false" customWidth="true" hidden="false" outlineLevel="0" max="2" min="2" style="0" width="2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281</v>
      </c>
    </row>
    <row r="3" customFormat="false" ht="15" hidden="false" customHeight="false" outlineLevel="0" collapsed="false">
      <c r="A3" s="3" t="s">
        <v>301</v>
      </c>
    </row>
    <row r="4" customFormat="false" ht="15" hidden="false" customHeight="false" outlineLevel="0" collapsed="false">
      <c r="A4" s="3" t="s">
        <v>3</v>
      </c>
    </row>
    <row r="5" customFormat="false" ht="15" hidden="false" customHeight="false" outlineLevel="0" collapsed="false">
      <c r="A5" s="4" t="s">
        <v>4</v>
      </c>
    </row>
    <row r="7" customFormat="false" ht="21.75" hidden="false" customHeight="true" outlineLevel="0" collapsed="false">
      <c r="A7" s="5" t="s">
        <v>5</v>
      </c>
      <c r="B7" s="6" t="s">
        <v>283</v>
      </c>
    </row>
    <row r="8" customFormat="false" ht="15" hidden="false" customHeight="false" outlineLevel="0" collapsed="false">
      <c r="A8" s="7" t="s">
        <v>14</v>
      </c>
      <c r="B8" s="8" t="n">
        <v>75546088.24</v>
      </c>
    </row>
    <row r="9" customFormat="false" ht="15" hidden="false" customHeight="false" outlineLevel="0" collapsed="false">
      <c r="A9" s="9" t="s">
        <v>15</v>
      </c>
      <c r="B9" s="10" t="n">
        <v>23991856.08</v>
      </c>
    </row>
    <row r="10" customFormat="false" ht="15" hidden="false" customHeight="false" outlineLevel="0" collapsed="false">
      <c r="A10" s="11" t="s">
        <v>16</v>
      </c>
      <c r="B10" s="12" t="n">
        <v>6158411.84</v>
      </c>
    </row>
    <row r="11" customFormat="false" ht="15" hidden="false" customHeight="false" outlineLevel="0" collapsed="false">
      <c r="A11" s="13" t="s">
        <v>17</v>
      </c>
      <c r="B11" s="12" t="n">
        <v>172942.29</v>
      </c>
    </row>
    <row r="12" customFormat="false" ht="15" hidden="false" customHeight="false" outlineLevel="0" collapsed="false">
      <c r="A12" s="14" t="s">
        <v>18</v>
      </c>
      <c r="B12" s="15" t="n">
        <v>172942.29</v>
      </c>
    </row>
    <row r="13" customFormat="false" ht="15" hidden="false" customHeight="false" outlineLevel="0" collapsed="false">
      <c r="A13" s="13" t="s">
        <v>19</v>
      </c>
      <c r="B13" s="12" t="n">
        <v>1191178.51</v>
      </c>
    </row>
    <row r="14" customFormat="false" ht="15" hidden="false" customHeight="false" outlineLevel="0" collapsed="false">
      <c r="A14" s="14" t="s">
        <v>20</v>
      </c>
      <c r="B14" s="15" t="n">
        <v>206117.49</v>
      </c>
    </row>
    <row r="15" customFormat="false" ht="15" hidden="false" customHeight="false" outlineLevel="0" collapsed="false">
      <c r="A15" s="14" t="s">
        <v>21</v>
      </c>
      <c r="B15" s="15" t="n">
        <v>10160.05</v>
      </c>
    </row>
    <row r="16" customFormat="false" ht="15" hidden="false" customHeight="false" outlineLevel="0" collapsed="false">
      <c r="A16" s="14" t="s">
        <v>22</v>
      </c>
      <c r="B16" s="15" t="n">
        <v>30517.1</v>
      </c>
    </row>
    <row r="17" customFormat="false" ht="15" hidden="false" customHeight="false" outlineLevel="0" collapsed="false">
      <c r="A17" s="14" t="s">
        <v>23</v>
      </c>
      <c r="B17" s="15" t="n">
        <v>726099.49</v>
      </c>
    </row>
    <row r="18" customFormat="false" ht="15" hidden="false" customHeight="false" outlineLevel="0" collapsed="false">
      <c r="A18" s="14" t="s">
        <v>24</v>
      </c>
      <c r="B18" s="15" t="n">
        <v>192948.32</v>
      </c>
    </row>
    <row r="19" customFormat="false" ht="15" hidden="false" customHeight="false" outlineLevel="0" collapsed="false">
      <c r="A19" s="14" t="s">
        <v>25</v>
      </c>
      <c r="B19" s="15" t="n">
        <v>17572.17</v>
      </c>
    </row>
    <row r="20" customFormat="false" ht="15" hidden="false" customHeight="false" outlineLevel="0" collapsed="false">
      <c r="A20" s="14" t="s">
        <v>26</v>
      </c>
      <c r="B20" s="15" t="n">
        <v>7763.89</v>
      </c>
    </row>
    <row r="21" customFormat="false" ht="15" hidden="false" customHeight="false" outlineLevel="0" collapsed="false">
      <c r="A21" s="13" t="s">
        <v>27</v>
      </c>
      <c r="B21" s="12" t="n">
        <v>4794291.04</v>
      </c>
    </row>
    <row r="22" customFormat="false" ht="15" hidden="false" customHeight="false" outlineLevel="0" collapsed="false">
      <c r="A22" s="14" t="s">
        <v>28</v>
      </c>
      <c r="B22" s="15" t="n">
        <v>1686808.47</v>
      </c>
    </row>
    <row r="23" customFormat="false" ht="15" hidden="false" customHeight="false" outlineLevel="0" collapsed="false">
      <c r="A23" s="14" t="s">
        <v>29</v>
      </c>
      <c r="B23" s="15" t="n">
        <v>1986039.01</v>
      </c>
    </row>
    <row r="24" customFormat="false" ht="15" hidden="false" customHeight="false" outlineLevel="0" collapsed="false">
      <c r="A24" s="14" t="s">
        <v>30</v>
      </c>
      <c r="B24" s="15" t="n">
        <v>500000</v>
      </c>
    </row>
    <row r="25" customFormat="false" ht="15" hidden="false" customHeight="false" outlineLevel="0" collapsed="false">
      <c r="A25" s="14" t="s">
        <v>31</v>
      </c>
      <c r="B25" s="15" t="n">
        <v>571443.56</v>
      </c>
    </row>
    <row r="26" customFormat="false" ht="15" hidden="false" customHeight="false" outlineLevel="0" collapsed="false">
      <c r="A26" s="14" t="s">
        <v>32</v>
      </c>
      <c r="B26" s="15" t="n">
        <v>50000</v>
      </c>
    </row>
    <row r="27" customFormat="false" ht="15" hidden="false" customHeight="false" outlineLevel="0" collapsed="false">
      <c r="A27" s="11" t="s">
        <v>33</v>
      </c>
      <c r="B27" s="12" t="n">
        <v>29897061.52</v>
      </c>
    </row>
    <row r="28" customFormat="false" ht="15" hidden="false" customHeight="false" outlineLevel="0" collapsed="false">
      <c r="A28" s="13" t="s">
        <v>34</v>
      </c>
      <c r="B28" s="12" t="n">
        <v>17828082.59</v>
      </c>
    </row>
    <row r="29" customFormat="false" ht="15" hidden="false" customHeight="false" outlineLevel="0" collapsed="false">
      <c r="A29" s="14" t="s">
        <v>35</v>
      </c>
      <c r="B29" s="15" t="n">
        <v>11646839.23</v>
      </c>
    </row>
    <row r="30" customFormat="false" ht="15" hidden="false" customHeight="false" outlineLevel="0" collapsed="false">
      <c r="A30" s="14" t="s">
        <v>36</v>
      </c>
      <c r="B30" s="15" t="n">
        <v>4701821.29</v>
      </c>
    </row>
    <row r="31" customFormat="false" ht="15" hidden="false" customHeight="false" outlineLevel="0" collapsed="false">
      <c r="A31" s="14" t="s">
        <v>37</v>
      </c>
      <c r="B31" s="15" t="n">
        <v>19782.59</v>
      </c>
    </row>
    <row r="32" customFormat="false" ht="15" hidden="false" customHeight="false" outlineLevel="0" collapsed="false">
      <c r="A32" s="14" t="s">
        <v>38</v>
      </c>
      <c r="B32" s="15" t="n">
        <v>8460</v>
      </c>
    </row>
    <row r="33" customFormat="false" ht="15" hidden="false" customHeight="false" outlineLevel="0" collapsed="false">
      <c r="A33" s="14" t="s">
        <v>39</v>
      </c>
      <c r="B33" s="15" t="n">
        <v>1451179.48</v>
      </c>
    </row>
    <row r="34" customFormat="false" ht="15" hidden="false" customHeight="false" outlineLevel="0" collapsed="false">
      <c r="A34" s="13" t="s">
        <v>40</v>
      </c>
      <c r="B34" s="12" t="n">
        <v>12068978.93</v>
      </c>
    </row>
    <row r="35" customFormat="false" ht="15" hidden="false" customHeight="false" outlineLevel="0" collapsed="false">
      <c r="A35" s="14" t="s">
        <v>41</v>
      </c>
      <c r="B35" s="15" t="n">
        <v>5888.71</v>
      </c>
    </row>
    <row r="36" customFormat="false" ht="15" hidden="false" customHeight="false" outlineLevel="0" collapsed="false">
      <c r="A36" s="14" t="s">
        <v>42</v>
      </c>
      <c r="B36" s="15" t="n">
        <v>12058003.87</v>
      </c>
    </row>
    <row r="37" customFormat="false" ht="15" hidden="false" customHeight="false" outlineLevel="0" collapsed="false">
      <c r="A37" s="14" t="s">
        <v>43</v>
      </c>
      <c r="B37" s="15" t="n">
        <v>5086.35</v>
      </c>
    </row>
    <row r="38" customFormat="false" ht="15" hidden="false" customHeight="false" outlineLevel="0" collapsed="false">
      <c r="A38" s="11" t="s">
        <v>44</v>
      </c>
      <c r="B38" s="12" t="n">
        <v>565747.4</v>
      </c>
    </row>
    <row r="39" customFormat="false" ht="15" hidden="false" customHeight="false" outlineLevel="0" collapsed="false">
      <c r="A39" s="13" t="s">
        <v>45</v>
      </c>
      <c r="B39" s="12" t="n">
        <v>242913.14</v>
      </c>
    </row>
    <row r="40" customFormat="false" ht="15" hidden="false" customHeight="false" outlineLevel="0" collapsed="false">
      <c r="A40" s="14" t="s">
        <v>46</v>
      </c>
      <c r="B40" s="15" t="n">
        <v>239236.4</v>
      </c>
    </row>
    <row r="41" customFormat="false" ht="15" hidden="false" customHeight="false" outlineLevel="0" collapsed="false">
      <c r="A41" s="14" t="s">
        <v>47</v>
      </c>
      <c r="B41" s="15" t="n">
        <v>3676.74</v>
      </c>
    </row>
    <row r="42" customFormat="false" ht="15" hidden="false" customHeight="false" outlineLevel="0" collapsed="false">
      <c r="A42" s="13" t="s">
        <v>48</v>
      </c>
      <c r="B42" s="12" t="n">
        <v>322834.26</v>
      </c>
    </row>
    <row r="43" customFormat="false" ht="15" hidden="false" customHeight="false" outlineLevel="0" collapsed="false">
      <c r="A43" s="14" t="s">
        <v>49</v>
      </c>
      <c r="B43" s="15" t="n">
        <v>277386.05</v>
      </c>
    </row>
    <row r="44" customFormat="false" ht="15" hidden="false" customHeight="false" outlineLevel="0" collapsed="false">
      <c r="A44" s="14" t="s">
        <v>50</v>
      </c>
      <c r="B44" s="15" t="n">
        <v>45448.21</v>
      </c>
    </row>
    <row r="45" customFormat="false" ht="15" hidden="false" customHeight="false" outlineLevel="0" collapsed="false">
      <c r="A45" s="11" t="s">
        <v>51</v>
      </c>
      <c r="B45" s="12" t="n">
        <v>-14324617.35</v>
      </c>
    </row>
    <row r="46" customFormat="false" ht="15" hidden="false" customHeight="false" outlineLevel="0" collapsed="false">
      <c r="A46" s="13" t="s">
        <v>52</v>
      </c>
      <c r="B46" s="12" t="n">
        <v>-18045554.12</v>
      </c>
    </row>
    <row r="47" customFormat="false" ht="15" hidden="false" customHeight="false" outlineLevel="0" collapsed="false">
      <c r="A47" s="14" t="s">
        <v>53</v>
      </c>
      <c r="B47" s="15" t="n">
        <v>-54501540.22</v>
      </c>
    </row>
    <row r="48" customFormat="false" ht="15" hidden="false" customHeight="false" outlineLevel="0" collapsed="false">
      <c r="A48" s="14" t="s">
        <v>54</v>
      </c>
      <c r="B48" s="15" t="n">
        <v>3185947.54</v>
      </c>
    </row>
    <row r="49" customFormat="false" ht="15" hidden="false" customHeight="false" outlineLevel="0" collapsed="false">
      <c r="A49" s="14" t="s">
        <v>55</v>
      </c>
      <c r="B49" s="15" t="n">
        <v>33534753.74</v>
      </c>
    </row>
    <row r="50" customFormat="false" ht="15" hidden="false" customHeight="false" outlineLevel="0" collapsed="false">
      <c r="A50" s="14" t="s">
        <v>56</v>
      </c>
      <c r="B50" s="15" t="n">
        <v>-264715.18</v>
      </c>
    </row>
    <row r="51" customFormat="false" ht="15" hidden="false" customHeight="false" outlineLevel="0" collapsed="false">
      <c r="A51" s="13" t="s">
        <v>57</v>
      </c>
      <c r="B51" s="12" t="n">
        <v>-615127.7</v>
      </c>
    </row>
    <row r="52" customFormat="false" ht="15" hidden="false" customHeight="false" outlineLevel="0" collapsed="false">
      <c r="A52" s="14" t="s">
        <v>58</v>
      </c>
      <c r="B52" s="15" t="n">
        <v>-568027.7</v>
      </c>
    </row>
    <row r="53" customFormat="false" ht="15" hidden="false" customHeight="false" outlineLevel="0" collapsed="false">
      <c r="A53" s="14" t="s">
        <v>59</v>
      </c>
      <c r="B53" s="15" t="n">
        <v>-47100</v>
      </c>
    </row>
    <row r="54" customFormat="false" ht="15" hidden="false" customHeight="false" outlineLevel="0" collapsed="false">
      <c r="A54" s="13" t="s">
        <v>60</v>
      </c>
      <c r="B54" s="12" t="n">
        <v>719694.05</v>
      </c>
    </row>
    <row r="55" customFormat="false" ht="15" hidden="false" customHeight="false" outlineLevel="0" collapsed="false">
      <c r="A55" s="14" t="s">
        <v>61</v>
      </c>
      <c r="B55" s="15" t="n">
        <v>157126.53</v>
      </c>
    </row>
    <row r="56" customFormat="false" ht="15" hidden="false" customHeight="false" outlineLevel="0" collapsed="false">
      <c r="A56" s="14" t="s">
        <v>63</v>
      </c>
      <c r="B56" s="15" t="n">
        <v>118139.58</v>
      </c>
    </row>
    <row r="57" customFormat="false" ht="15" hidden="false" customHeight="false" outlineLevel="0" collapsed="false">
      <c r="A57" s="14" t="s">
        <v>64</v>
      </c>
      <c r="B57" s="15" t="n">
        <v>25943.18</v>
      </c>
    </row>
    <row r="58" customFormat="false" ht="15" hidden="false" customHeight="false" outlineLevel="0" collapsed="false">
      <c r="A58" s="14" t="s">
        <v>65</v>
      </c>
      <c r="B58" s="15" t="n">
        <v>316070.53</v>
      </c>
    </row>
    <row r="59" customFormat="false" ht="15" hidden="false" customHeight="false" outlineLevel="0" collapsed="false">
      <c r="A59" s="14" t="s">
        <v>66</v>
      </c>
      <c r="B59" s="15" t="n">
        <v>49048.23</v>
      </c>
    </row>
    <row r="60" customFormat="false" ht="15" hidden="false" customHeight="false" outlineLevel="0" collapsed="false">
      <c r="A60" s="14" t="s">
        <v>67</v>
      </c>
      <c r="B60" s="15" t="n">
        <v>86116.2</v>
      </c>
    </row>
    <row r="61" customFormat="false" ht="15" hidden="false" customHeight="false" outlineLevel="0" collapsed="false">
      <c r="A61" s="14" t="s">
        <v>68</v>
      </c>
      <c r="B61" s="15" t="n">
        <v>133700</v>
      </c>
    </row>
    <row r="62" customFormat="false" ht="15" hidden="false" customHeight="false" outlineLevel="0" collapsed="false">
      <c r="A62" s="14" t="s">
        <v>69</v>
      </c>
      <c r="B62" s="15" t="n">
        <v>2478.6</v>
      </c>
    </row>
    <row r="63" customFormat="false" ht="15" hidden="false" customHeight="false" outlineLevel="0" collapsed="false">
      <c r="A63" s="14" t="s">
        <v>70</v>
      </c>
      <c r="B63" s="15" t="n">
        <v>-171399.9</v>
      </c>
    </row>
    <row r="64" customFormat="false" ht="15" hidden="false" customHeight="false" outlineLevel="0" collapsed="false">
      <c r="A64" s="14" t="s">
        <v>71</v>
      </c>
      <c r="B64" s="15" t="n">
        <v>2471.1</v>
      </c>
    </row>
    <row r="65" customFormat="false" ht="15" hidden="false" customHeight="false" outlineLevel="0" collapsed="false">
      <c r="A65" s="13" t="s">
        <v>72</v>
      </c>
      <c r="B65" s="12" t="n">
        <v>3616370.42</v>
      </c>
    </row>
    <row r="66" customFormat="false" ht="15" hidden="false" customHeight="false" outlineLevel="0" collapsed="false">
      <c r="A66" s="14" t="s">
        <v>73</v>
      </c>
      <c r="B66" s="15" t="n">
        <v>82435.49</v>
      </c>
    </row>
    <row r="67" customFormat="false" ht="15" hidden="false" customHeight="false" outlineLevel="0" collapsed="false">
      <c r="A67" s="14" t="s">
        <v>74</v>
      </c>
      <c r="B67" s="15" t="n">
        <v>1358006.66</v>
      </c>
    </row>
    <row r="68" customFormat="false" ht="15" hidden="false" customHeight="false" outlineLevel="0" collapsed="false">
      <c r="A68" s="14" t="s">
        <v>75</v>
      </c>
      <c r="B68" s="15" t="n">
        <v>190630.94</v>
      </c>
    </row>
    <row r="69" customFormat="false" ht="15" hidden="false" customHeight="false" outlineLevel="0" collapsed="false">
      <c r="A69" s="14" t="s">
        <v>76</v>
      </c>
      <c r="B69" s="15" t="n">
        <v>1922961.72</v>
      </c>
    </row>
    <row r="70" customFormat="false" ht="15" hidden="false" customHeight="false" outlineLevel="0" collapsed="false">
      <c r="A70" s="14" t="s">
        <v>77</v>
      </c>
      <c r="B70" s="15" t="n">
        <v>54055.61</v>
      </c>
    </row>
    <row r="71" customFormat="false" ht="15" hidden="false" customHeight="false" outlineLevel="0" collapsed="false">
      <c r="A71" s="14" t="s">
        <v>78</v>
      </c>
      <c r="B71" s="15" t="n">
        <v>8280</v>
      </c>
    </row>
    <row r="72" customFormat="false" ht="15" hidden="false" customHeight="false" outlineLevel="0" collapsed="false">
      <c r="A72" s="11" t="s">
        <v>79</v>
      </c>
      <c r="B72" s="12" t="n">
        <v>1502199.84</v>
      </c>
    </row>
    <row r="73" customFormat="false" ht="15" hidden="false" customHeight="false" outlineLevel="0" collapsed="false">
      <c r="A73" s="13" t="s">
        <v>80</v>
      </c>
      <c r="B73" s="12" t="n">
        <v>-33200.21</v>
      </c>
    </row>
    <row r="74" customFormat="false" ht="15" hidden="false" customHeight="false" outlineLevel="0" collapsed="false">
      <c r="A74" s="14" t="s">
        <v>81</v>
      </c>
      <c r="B74" s="15" t="n">
        <v>-33200.21</v>
      </c>
    </row>
    <row r="75" customFormat="false" ht="15" hidden="false" customHeight="false" outlineLevel="0" collapsed="false">
      <c r="A75" s="13" t="s">
        <v>82</v>
      </c>
      <c r="B75" s="12" t="n">
        <v>1535400.05</v>
      </c>
    </row>
    <row r="76" customFormat="false" ht="15" hidden="false" customHeight="false" outlineLevel="0" collapsed="false">
      <c r="A76" s="14" t="s">
        <v>83</v>
      </c>
      <c r="B76" s="15" t="n">
        <v>289523.85</v>
      </c>
    </row>
    <row r="77" customFormat="false" ht="15" hidden="false" customHeight="false" outlineLevel="0" collapsed="false">
      <c r="A77" s="14" t="s">
        <v>84</v>
      </c>
      <c r="B77" s="15" t="n">
        <v>54595.56</v>
      </c>
    </row>
    <row r="78" customFormat="false" ht="15" hidden="false" customHeight="false" outlineLevel="0" collapsed="false">
      <c r="A78" s="14" t="s">
        <v>86</v>
      </c>
      <c r="B78" s="15" t="n">
        <v>7500</v>
      </c>
    </row>
    <row r="79" customFormat="false" ht="15" hidden="false" customHeight="false" outlineLevel="0" collapsed="false">
      <c r="A79" s="14" t="s">
        <v>87</v>
      </c>
      <c r="B79" s="15" t="n">
        <v>-19436.36</v>
      </c>
    </row>
    <row r="80" customFormat="false" ht="15" hidden="false" customHeight="false" outlineLevel="0" collapsed="false">
      <c r="A80" s="14" t="s">
        <v>88</v>
      </c>
      <c r="B80" s="15" t="n">
        <v>1203217</v>
      </c>
    </row>
    <row r="81" customFormat="false" ht="15" hidden="false" customHeight="false" outlineLevel="0" collapsed="false">
      <c r="A81" s="11" t="s">
        <v>89</v>
      </c>
      <c r="B81" s="12" t="n">
        <v>193052.83</v>
      </c>
    </row>
    <row r="82" customFormat="false" ht="15" hidden="false" customHeight="false" outlineLevel="0" collapsed="false">
      <c r="A82" s="13" t="s">
        <v>89</v>
      </c>
      <c r="B82" s="12" t="n">
        <v>193052.83</v>
      </c>
    </row>
    <row r="83" customFormat="false" ht="15" hidden="false" customHeight="false" outlineLevel="0" collapsed="false">
      <c r="A83" s="14" t="s">
        <v>90</v>
      </c>
      <c r="B83" s="15" t="n">
        <v>188478.83</v>
      </c>
    </row>
    <row r="84" customFormat="false" ht="15" hidden="false" customHeight="false" outlineLevel="0" collapsed="false">
      <c r="A84" s="14" t="s">
        <v>91</v>
      </c>
      <c r="B84" s="15" t="n">
        <v>4574</v>
      </c>
    </row>
    <row r="85" customFormat="false" ht="15" hidden="false" customHeight="false" outlineLevel="0" collapsed="false">
      <c r="A85" s="9" t="s">
        <v>92</v>
      </c>
      <c r="B85" s="10" t="n">
        <v>51554232.16</v>
      </c>
    </row>
    <row r="86" customFormat="false" ht="15" hidden="false" customHeight="false" outlineLevel="0" collapsed="false">
      <c r="A86" s="11" t="s">
        <v>93</v>
      </c>
      <c r="B86" s="12" t="n">
        <v>21828401</v>
      </c>
    </row>
    <row r="87" customFormat="false" ht="15" hidden="false" customHeight="false" outlineLevel="0" collapsed="false">
      <c r="A87" s="13" t="s">
        <v>94</v>
      </c>
      <c r="B87" s="12" t="n">
        <v>486008.31</v>
      </c>
    </row>
    <row r="88" customFormat="false" ht="15" hidden="false" customHeight="false" outlineLevel="0" collapsed="false">
      <c r="A88" s="14" t="s">
        <v>95</v>
      </c>
      <c r="B88" s="15" t="n">
        <v>486008.31</v>
      </c>
    </row>
    <row r="89" customFormat="false" ht="15" hidden="false" customHeight="false" outlineLevel="0" collapsed="false">
      <c r="A89" s="13" t="s">
        <v>96</v>
      </c>
      <c r="B89" s="12" t="n">
        <v>21342392.69</v>
      </c>
    </row>
    <row r="90" customFormat="false" ht="15" hidden="false" customHeight="false" outlineLevel="0" collapsed="false">
      <c r="A90" s="14" t="s">
        <v>97</v>
      </c>
      <c r="B90" s="15" t="n">
        <v>10728710.65</v>
      </c>
    </row>
    <row r="91" customFormat="false" ht="15" hidden="false" customHeight="false" outlineLevel="0" collapsed="false">
      <c r="A91" s="14" t="s">
        <v>98</v>
      </c>
      <c r="B91" s="15" t="n">
        <v>2182361.9</v>
      </c>
    </row>
    <row r="92" customFormat="false" ht="15" hidden="false" customHeight="false" outlineLevel="0" collapsed="false">
      <c r="A92" s="14" t="s">
        <v>99</v>
      </c>
      <c r="B92" s="15" t="n">
        <v>47182.68</v>
      </c>
    </row>
    <row r="93" customFormat="false" ht="15" hidden="false" customHeight="false" outlineLevel="0" collapsed="false">
      <c r="A93" s="14" t="s">
        <v>100</v>
      </c>
      <c r="B93" s="15" t="n">
        <v>8384137.46</v>
      </c>
    </row>
    <row r="94" customFormat="false" ht="15" hidden="false" customHeight="false" outlineLevel="0" collapsed="false">
      <c r="A94" s="11" t="s">
        <v>101</v>
      </c>
      <c r="B94" s="12" t="n">
        <v>4066799.11</v>
      </c>
    </row>
    <row r="95" customFormat="false" ht="15" hidden="false" customHeight="false" outlineLevel="0" collapsed="false">
      <c r="A95" s="13" t="s">
        <v>102</v>
      </c>
      <c r="B95" s="12" t="n">
        <v>1632864.31</v>
      </c>
    </row>
    <row r="96" customFormat="false" ht="15" hidden="false" customHeight="false" outlineLevel="0" collapsed="false">
      <c r="A96" s="14" t="s">
        <v>103</v>
      </c>
      <c r="B96" s="15" t="n">
        <v>1632864.31</v>
      </c>
    </row>
    <row r="97" customFormat="false" ht="15" hidden="false" customHeight="false" outlineLevel="0" collapsed="false">
      <c r="A97" s="13" t="s">
        <v>104</v>
      </c>
      <c r="B97" s="12" t="n">
        <v>1753159.9</v>
      </c>
    </row>
    <row r="98" customFormat="false" ht="15" hidden="false" customHeight="false" outlineLevel="0" collapsed="false">
      <c r="A98" s="14" t="s">
        <v>105</v>
      </c>
      <c r="B98" s="15" t="n">
        <v>1203490</v>
      </c>
    </row>
    <row r="99" customFormat="false" ht="15" hidden="false" customHeight="false" outlineLevel="0" collapsed="false">
      <c r="A99" s="14" t="s">
        <v>106</v>
      </c>
      <c r="B99" s="15" t="n">
        <v>521828.75</v>
      </c>
    </row>
    <row r="100" customFormat="false" ht="15" hidden="false" customHeight="false" outlineLevel="0" collapsed="false">
      <c r="A100" s="14" t="s">
        <v>107</v>
      </c>
      <c r="B100" s="15" t="n">
        <v>27841.15</v>
      </c>
    </row>
    <row r="101" customFormat="false" ht="15" hidden="false" customHeight="false" outlineLevel="0" collapsed="false">
      <c r="A101" s="13" t="s">
        <v>108</v>
      </c>
      <c r="B101" s="12" t="n">
        <v>419250.58</v>
      </c>
    </row>
    <row r="102" customFormat="false" ht="15" hidden="false" customHeight="false" outlineLevel="0" collapsed="false">
      <c r="A102" s="14" t="s">
        <v>109</v>
      </c>
      <c r="B102" s="15" t="n">
        <v>55786</v>
      </c>
    </row>
    <row r="103" customFormat="false" ht="15" hidden="false" customHeight="false" outlineLevel="0" collapsed="false">
      <c r="A103" s="14" t="s">
        <v>110</v>
      </c>
      <c r="B103" s="15" t="n">
        <v>72805.2</v>
      </c>
    </row>
    <row r="104" customFormat="false" ht="15" hidden="false" customHeight="false" outlineLevel="0" collapsed="false">
      <c r="A104" s="14" t="s">
        <v>111</v>
      </c>
      <c r="B104" s="15" t="n">
        <v>72805.2</v>
      </c>
    </row>
    <row r="105" customFormat="false" ht="15" hidden="false" customHeight="false" outlineLevel="0" collapsed="false">
      <c r="A105" s="14" t="s">
        <v>112</v>
      </c>
      <c r="B105" s="15" t="n">
        <v>67249.46</v>
      </c>
    </row>
    <row r="106" customFormat="false" ht="15" hidden="false" customHeight="false" outlineLevel="0" collapsed="false">
      <c r="A106" s="14" t="s">
        <v>113</v>
      </c>
      <c r="B106" s="15" t="n">
        <v>49875.1</v>
      </c>
    </row>
    <row r="107" customFormat="false" ht="15" hidden="false" customHeight="false" outlineLevel="0" collapsed="false">
      <c r="A107" s="14" t="s">
        <v>114</v>
      </c>
      <c r="B107" s="15" t="n">
        <v>45252.38</v>
      </c>
    </row>
    <row r="108" customFormat="false" ht="15" hidden="false" customHeight="false" outlineLevel="0" collapsed="false">
      <c r="A108" s="14" t="s">
        <v>115</v>
      </c>
      <c r="B108" s="15" t="n">
        <v>21518.38</v>
      </c>
    </row>
    <row r="109" customFormat="false" ht="15" hidden="false" customHeight="false" outlineLevel="0" collapsed="false">
      <c r="A109" s="14" t="s">
        <v>116</v>
      </c>
      <c r="B109" s="15" t="n">
        <v>29478.96</v>
      </c>
    </row>
    <row r="110" customFormat="false" ht="15" hidden="false" customHeight="false" outlineLevel="0" collapsed="false">
      <c r="A110" s="14" t="s">
        <v>117</v>
      </c>
      <c r="B110" s="15" t="n">
        <v>4479.9</v>
      </c>
    </row>
    <row r="111" customFormat="false" ht="15" hidden="false" customHeight="false" outlineLevel="0" collapsed="false">
      <c r="A111" s="13" t="s">
        <v>118</v>
      </c>
      <c r="B111" s="12" t="n">
        <v>261524.32</v>
      </c>
    </row>
    <row r="112" customFormat="false" ht="15" hidden="false" customHeight="false" outlineLevel="0" collapsed="false">
      <c r="A112" s="14" t="s">
        <v>119</v>
      </c>
      <c r="B112" s="15" t="n">
        <v>124705.76</v>
      </c>
    </row>
    <row r="113" customFormat="false" ht="15" hidden="false" customHeight="false" outlineLevel="0" collapsed="false">
      <c r="A113" s="14" t="s">
        <v>120</v>
      </c>
      <c r="B113" s="15" t="n">
        <v>32250.86</v>
      </c>
    </row>
    <row r="114" customFormat="false" ht="15" hidden="false" customHeight="false" outlineLevel="0" collapsed="false">
      <c r="A114" s="14" t="s">
        <v>121</v>
      </c>
      <c r="B114" s="15" t="n">
        <v>22415.7</v>
      </c>
    </row>
    <row r="115" customFormat="false" ht="15" hidden="false" customHeight="false" outlineLevel="0" collapsed="false">
      <c r="A115" s="14" t="s">
        <v>122</v>
      </c>
      <c r="B115" s="15" t="n">
        <v>82152</v>
      </c>
    </row>
    <row r="116" customFormat="false" ht="15" hidden="false" customHeight="false" outlineLevel="0" collapsed="false">
      <c r="A116" s="11" t="s">
        <v>123</v>
      </c>
      <c r="B116" s="12" t="n">
        <v>23292328.18</v>
      </c>
    </row>
    <row r="117" customFormat="false" ht="15" hidden="false" customHeight="false" outlineLevel="0" collapsed="false">
      <c r="A117" s="13" t="s">
        <v>105</v>
      </c>
      <c r="B117" s="12" t="n">
        <v>6711830</v>
      </c>
    </row>
    <row r="118" customFormat="false" ht="15" hidden="false" customHeight="false" outlineLevel="0" collapsed="false">
      <c r="A118" s="14" t="s">
        <v>105</v>
      </c>
      <c r="B118" s="15" t="n">
        <v>6711830</v>
      </c>
    </row>
    <row r="119" customFormat="false" ht="15" hidden="false" customHeight="false" outlineLevel="0" collapsed="false">
      <c r="A119" s="13" t="s">
        <v>124</v>
      </c>
      <c r="B119" s="12" t="n">
        <v>2151462.87</v>
      </c>
    </row>
    <row r="120" customFormat="false" ht="15" hidden="false" customHeight="false" outlineLevel="0" collapsed="false">
      <c r="A120" s="14" t="s">
        <v>125</v>
      </c>
      <c r="B120" s="15" t="n">
        <v>2151462.87</v>
      </c>
    </row>
    <row r="121" customFormat="false" ht="15" hidden="false" customHeight="false" outlineLevel="0" collapsed="false">
      <c r="A121" s="13" t="s">
        <v>126</v>
      </c>
      <c r="B121" s="12" t="n">
        <v>19235550.68</v>
      </c>
    </row>
    <row r="122" customFormat="false" ht="15" hidden="false" customHeight="false" outlineLevel="0" collapsed="false">
      <c r="A122" s="14" t="s">
        <v>127</v>
      </c>
      <c r="B122" s="15" t="n">
        <v>19235550.68</v>
      </c>
    </row>
    <row r="123" customFormat="false" ht="15" hidden="false" customHeight="false" outlineLevel="0" collapsed="false">
      <c r="A123" s="13" t="s">
        <v>128</v>
      </c>
      <c r="B123" s="12" t="n">
        <v>702293.46</v>
      </c>
    </row>
    <row r="124" customFormat="false" ht="15" hidden="false" customHeight="false" outlineLevel="0" collapsed="false">
      <c r="A124" s="14" t="s">
        <v>129</v>
      </c>
      <c r="B124" s="15" t="n">
        <v>92262.56</v>
      </c>
    </row>
    <row r="125" customFormat="false" ht="15" hidden="false" customHeight="false" outlineLevel="0" collapsed="false">
      <c r="A125" s="14" t="s">
        <v>130</v>
      </c>
      <c r="B125" s="15" t="n">
        <v>610030.9</v>
      </c>
    </row>
    <row r="126" customFormat="false" ht="15" hidden="false" customHeight="false" outlineLevel="0" collapsed="false">
      <c r="A126" s="13" t="s">
        <v>131</v>
      </c>
      <c r="B126" s="12" t="n">
        <v>1288335.42</v>
      </c>
    </row>
    <row r="127" customFormat="false" ht="15" hidden="false" customHeight="false" outlineLevel="0" collapsed="false">
      <c r="A127" s="14" t="s">
        <v>132</v>
      </c>
      <c r="B127" s="15" t="n">
        <v>32525.91</v>
      </c>
    </row>
    <row r="128" customFormat="false" ht="15" hidden="false" customHeight="false" outlineLevel="0" collapsed="false">
      <c r="A128" s="14" t="s">
        <v>133</v>
      </c>
      <c r="B128" s="15" t="n">
        <v>173722.04</v>
      </c>
    </row>
    <row r="129" customFormat="false" ht="15" hidden="false" customHeight="false" outlineLevel="0" collapsed="false">
      <c r="A129" s="14" t="s">
        <v>131</v>
      </c>
      <c r="B129" s="15" t="n">
        <v>1082087.47</v>
      </c>
    </row>
    <row r="130" customFormat="false" ht="15" hidden="false" customHeight="false" outlineLevel="0" collapsed="false">
      <c r="A130" s="13" t="s">
        <v>134</v>
      </c>
      <c r="B130" s="12" t="n">
        <v>2671903.95</v>
      </c>
    </row>
    <row r="131" customFormat="false" ht="15" hidden="false" customHeight="false" outlineLevel="0" collapsed="false">
      <c r="A131" s="14" t="s">
        <v>135</v>
      </c>
      <c r="B131" s="15" t="n">
        <v>828900</v>
      </c>
    </row>
    <row r="132" customFormat="false" ht="15" hidden="false" customHeight="false" outlineLevel="0" collapsed="false">
      <c r="A132" s="14" t="s">
        <v>136</v>
      </c>
      <c r="B132" s="15" t="n">
        <v>793063.04</v>
      </c>
    </row>
    <row r="133" customFormat="false" ht="15" hidden="false" customHeight="false" outlineLevel="0" collapsed="false">
      <c r="A133" s="14" t="s">
        <v>137</v>
      </c>
      <c r="B133" s="15" t="n">
        <v>1049940.91</v>
      </c>
    </row>
    <row r="134" customFormat="false" ht="15" hidden="false" customHeight="false" outlineLevel="0" collapsed="false">
      <c r="A134" s="13" t="s">
        <v>138</v>
      </c>
      <c r="B134" s="12" t="n">
        <v>656467.26</v>
      </c>
    </row>
    <row r="135" customFormat="false" ht="15" hidden="false" customHeight="false" outlineLevel="0" collapsed="false">
      <c r="A135" s="14" t="s">
        <v>139</v>
      </c>
      <c r="B135" s="15" t="n">
        <v>340706.55</v>
      </c>
    </row>
    <row r="136" customFormat="false" ht="15" hidden="false" customHeight="false" outlineLevel="0" collapsed="false">
      <c r="A136" s="14" t="s">
        <v>140</v>
      </c>
      <c r="B136" s="15" t="n">
        <v>284307.47</v>
      </c>
    </row>
    <row r="137" customFormat="false" ht="15" hidden="false" customHeight="false" outlineLevel="0" collapsed="false">
      <c r="A137" s="14" t="s">
        <v>141</v>
      </c>
      <c r="B137" s="15" t="n">
        <v>31453.24</v>
      </c>
    </row>
    <row r="138" customFormat="false" ht="15" hidden="false" customHeight="false" outlineLevel="0" collapsed="false">
      <c r="A138" s="13" t="s">
        <v>142</v>
      </c>
      <c r="B138" s="12" t="n">
        <v>4563911.18</v>
      </c>
    </row>
    <row r="139" customFormat="false" ht="15" hidden="false" customHeight="false" outlineLevel="0" collapsed="false">
      <c r="A139" s="14" t="s">
        <v>143</v>
      </c>
      <c r="B139" s="15" t="n">
        <v>4563911.18</v>
      </c>
    </row>
    <row r="140" customFormat="false" ht="15" hidden="false" customHeight="false" outlineLevel="0" collapsed="false">
      <c r="A140" s="13" t="s">
        <v>144</v>
      </c>
      <c r="B140" s="12" t="n">
        <v>4437657.79</v>
      </c>
    </row>
    <row r="141" customFormat="false" ht="15" hidden="false" customHeight="false" outlineLevel="0" collapsed="false">
      <c r="A141" s="14" t="s">
        <v>145</v>
      </c>
      <c r="B141" s="15" t="n">
        <v>4437657.79</v>
      </c>
    </row>
    <row r="142" customFormat="false" ht="15" hidden="false" customHeight="false" outlineLevel="0" collapsed="false">
      <c r="A142" s="13" t="s">
        <v>146</v>
      </c>
      <c r="B142" s="12" t="n">
        <v>335684.5</v>
      </c>
    </row>
    <row r="143" customFormat="false" ht="15" hidden="false" customHeight="false" outlineLevel="0" collapsed="false">
      <c r="A143" s="14" t="s">
        <v>147</v>
      </c>
      <c r="B143" s="15" t="n">
        <v>335684.5</v>
      </c>
    </row>
    <row r="144" customFormat="false" ht="15" hidden="false" customHeight="false" outlineLevel="0" collapsed="false">
      <c r="A144" s="13" t="s">
        <v>148</v>
      </c>
      <c r="B144" s="12" t="n">
        <v>-19462768.93</v>
      </c>
    </row>
    <row r="145" customFormat="false" ht="15" hidden="false" customHeight="false" outlineLevel="0" collapsed="false">
      <c r="A145" s="14" t="s">
        <v>149</v>
      </c>
      <c r="B145" s="15" t="n">
        <v>-19462768.93</v>
      </c>
    </row>
    <row r="146" customFormat="false" ht="15" hidden="false" customHeight="false" outlineLevel="0" collapsed="false">
      <c r="A146" s="11" t="s">
        <v>150</v>
      </c>
      <c r="B146" s="12" t="n">
        <v>2366703.87</v>
      </c>
    </row>
    <row r="147" customFormat="false" ht="15" hidden="false" customHeight="false" outlineLevel="0" collapsed="false">
      <c r="A147" s="13" t="s">
        <v>151</v>
      </c>
      <c r="B147" s="12" t="n">
        <v>2094086.47</v>
      </c>
    </row>
    <row r="148" customFormat="false" ht="15" hidden="false" customHeight="false" outlineLevel="0" collapsed="false">
      <c r="A148" s="14" t="s">
        <v>152</v>
      </c>
      <c r="B148" s="15" t="n">
        <v>46948</v>
      </c>
    </row>
    <row r="149" customFormat="false" ht="15" hidden="false" customHeight="false" outlineLevel="0" collapsed="false">
      <c r="A149" s="14" t="s">
        <v>153</v>
      </c>
      <c r="B149" s="15" t="n">
        <v>1887138.47</v>
      </c>
    </row>
    <row r="150" customFormat="false" ht="15" hidden="false" customHeight="false" outlineLevel="0" collapsed="false">
      <c r="A150" s="14" t="s">
        <v>154</v>
      </c>
      <c r="B150" s="15" t="n">
        <v>160000</v>
      </c>
    </row>
    <row r="151" customFormat="false" ht="15" hidden="false" customHeight="false" outlineLevel="0" collapsed="false">
      <c r="A151" s="13" t="s">
        <v>155</v>
      </c>
      <c r="B151" s="12" t="n">
        <v>272617.4</v>
      </c>
    </row>
    <row r="152" customFormat="false" ht="15" hidden="false" customHeight="false" outlineLevel="0" collapsed="false">
      <c r="A152" s="14" t="s">
        <v>156</v>
      </c>
      <c r="B152" s="15" t="n">
        <v>878940.59</v>
      </c>
    </row>
    <row r="153" customFormat="false" ht="15" hidden="false" customHeight="false" outlineLevel="0" collapsed="false">
      <c r="A153" s="14" t="s">
        <v>157</v>
      </c>
      <c r="B153" s="15" t="n">
        <v>-606323.19</v>
      </c>
    </row>
    <row r="154" customFormat="false" ht="15" hidden="false" customHeight="false" outlineLevel="0" collapsed="false">
      <c r="A154" s="7" t="s">
        <v>158</v>
      </c>
      <c r="B154" s="8" t="n">
        <v>80256818.81</v>
      </c>
    </row>
    <row r="155" customFormat="false" ht="15" hidden="false" customHeight="false" outlineLevel="0" collapsed="false">
      <c r="A155" s="9" t="s">
        <v>159</v>
      </c>
      <c r="B155" s="10" t="n">
        <v>17957257.24</v>
      </c>
    </row>
    <row r="156" customFormat="false" ht="15" hidden="false" customHeight="false" outlineLevel="0" collapsed="false">
      <c r="A156" s="11" t="s">
        <v>160</v>
      </c>
      <c r="B156" s="12" t="n">
        <v>5797718.47</v>
      </c>
    </row>
    <row r="157" customFormat="false" ht="15" hidden="false" customHeight="false" outlineLevel="0" collapsed="false">
      <c r="A157" s="13" t="s">
        <v>161</v>
      </c>
      <c r="B157" s="12" t="n">
        <v>5797718.47</v>
      </c>
    </row>
    <row r="158" customFormat="false" ht="15" hidden="false" customHeight="false" outlineLevel="0" collapsed="false">
      <c r="A158" s="14" t="s">
        <v>161</v>
      </c>
      <c r="B158" s="15" t="n">
        <v>5797718.47</v>
      </c>
    </row>
    <row r="159" customFormat="false" ht="15" hidden="false" customHeight="false" outlineLevel="0" collapsed="false">
      <c r="A159" s="11" t="s">
        <v>163</v>
      </c>
      <c r="B159" s="12" t="n">
        <v>2181902.53</v>
      </c>
    </row>
    <row r="160" customFormat="false" ht="15" hidden="false" customHeight="false" outlineLevel="0" collapsed="false">
      <c r="A160" s="13" t="s">
        <v>164</v>
      </c>
      <c r="B160" s="12" t="n">
        <v>1465763.08</v>
      </c>
    </row>
    <row r="161" customFormat="false" ht="15" hidden="false" customHeight="false" outlineLevel="0" collapsed="false">
      <c r="A161" s="14" t="s">
        <v>165</v>
      </c>
      <c r="B161" s="15" t="n">
        <v>130641.47</v>
      </c>
    </row>
    <row r="162" customFormat="false" ht="15" hidden="false" customHeight="false" outlineLevel="0" collapsed="false">
      <c r="A162" s="14" t="s">
        <v>166</v>
      </c>
      <c r="B162" s="15" t="n">
        <v>595628.09</v>
      </c>
    </row>
    <row r="163" customFormat="false" ht="15" hidden="false" customHeight="false" outlineLevel="0" collapsed="false">
      <c r="A163" s="14" t="s">
        <v>167</v>
      </c>
      <c r="B163" s="15" t="n">
        <v>394848.56</v>
      </c>
    </row>
    <row r="164" customFormat="false" ht="15" hidden="false" customHeight="false" outlineLevel="0" collapsed="false">
      <c r="A164" s="14" t="s">
        <v>168</v>
      </c>
      <c r="B164" s="15" t="n">
        <v>261641.54</v>
      </c>
    </row>
    <row r="165" customFormat="false" ht="15" hidden="false" customHeight="false" outlineLevel="0" collapsed="false">
      <c r="A165" s="14" t="s">
        <v>169</v>
      </c>
      <c r="B165" s="15" t="n">
        <v>56882.65</v>
      </c>
    </row>
    <row r="166" customFormat="false" ht="15" hidden="false" customHeight="false" outlineLevel="0" collapsed="false">
      <c r="A166" s="14" t="s">
        <v>170</v>
      </c>
      <c r="B166" s="15" t="n">
        <v>557.09</v>
      </c>
    </row>
    <row r="167" customFormat="false" ht="15" hidden="false" customHeight="false" outlineLevel="0" collapsed="false">
      <c r="A167" s="14" t="s">
        <v>172</v>
      </c>
      <c r="B167" s="15" t="n">
        <v>23673.71</v>
      </c>
    </row>
    <row r="168" customFormat="false" ht="15" hidden="false" customHeight="false" outlineLevel="0" collapsed="false">
      <c r="A168" s="14" t="s">
        <v>173</v>
      </c>
      <c r="B168" s="15" t="n">
        <v>1889.97</v>
      </c>
    </row>
    <row r="169" customFormat="false" ht="15" hidden="false" customHeight="false" outlineLevel="0" collapsed="false">
      <c r="A169" s="13" t="s">
        <v>174</v>
      </c>
      <c r="B169" s="12" t="n">
        <v>710707.44</v>
      </c>
    </row>
    <row r="170" customFormat="false" ht="15" hidden="false" customHeight="false" outlineLevel="0" collapsed="false">
      <c r="A170" s="14" t="s">
        <v>175</v>
      </c>
      <c r="B170" s="15" t="n">
        <v>710707.44</v>
      </c>
    </row>
    <row r="171" customFormat="false" ht="15" hidden="false" customHeight="false" outlineLevel="0" collapsed="false">
      <c r="A171" s="13" t="s">
        <v>178</v>
      </c>
      <c r="B171" s="12" t="n">
        <v>4751.47</v>
      </c>
    </row>
    <row r="172" customFormat="false" ht="15" hidden="false" customHeight="false" outlineLevel="0" collapsed="false">
      <c r="A172" s="14" t="s">
        <v>179</v>
      </c>
      <c r="B172" s="15" t="n">
        <v>4416.6</v>
      </c>
    </row>
    <row r="173" customFormat="false" ht="15" hidden="false" customHeight="false" outlineLevel="0" collapsed="false">
      <c r="A173" s="14" t="s">
        <v>180</v>
      </c>
      <c r="B173" s="15" t="n">
        <v>119.64</v>
      </c>
    </row>
    <row r="174" customFormat="false" ht="15" hidden="false" customHeight="false" outlineLevel="0" collapsed="false">
      <c r="A174" s="14" t="s">
        <v>181</v>
      </c>
      <c r="B174" s="15" t="n">
        <v>215.23</v>
      </c>
    </row>
    <row r="175" customFormat="false" ht="15" hidden="false" customHeight="false" outlineLevel="0" collapsed="false">
      <c r="A175" s="13" t="s">
        <v>182</v>
      </c>
      <c r="B175" s="12" t="n">
        <v>680.54</v>
      </c>
    </row>
    <row r="176" customFormat="false" ht="15" hidden="false" customHeight="false" outlineLevel="0" collapsed="false">
      <c r="A176" s="14" t="s">
        <v>183</v>
      </c>
      <c r="B176" s="15" t="n">
        <v>680.54</v>
      </c>
    </row>
    <row r="177" customFormat="false" ht="15" hidden="false" customHeight="false" outlineLevel="0" collapsed="false">
      <c r="A177" s="11" t="s">
        <v>184</v>
      </c>
      <c r="B177" s="12" t="n">
        <v>4337265.09</v>
      </c>
    </row>
    <row r="178" customFormat="false" ht="15" hidden="false" customHeight="false" outlineLevel="0" collapsed="false">
      <c r="A178" s="13" t="s">
        <v>185</v>
      </c>
      <c r="B178" s="12" t="n">
        <v>376810.93</v>
      </c>
    </row>
    <row r="179" customFormat="false" ht="15" hidden="false" customHeight="false" outlineLevel="0" collapsed="false">
      <c r="A179" s="14" t="s">
        <v>186</v>
      </c>
      <c r="B179" s="15" t="n">
        <v>356320.05</v>
      </c>
    </row>
    <row r="180" customFormat="false" ht="15" hidden="false" customHeight="false" outlineLevel="0" collapsed="false">
      <c r="A180" s="14" t="s">
        <v>187</v>
      </c>
      <c r="B180" s="15" t="n">
        <v>14732.51</v>
      </c>
    </row>
    <row r="181" customFormat="false" ht="15" hidden="false" customHeight="false" outlineLevel="0" collapsed="false">
      <c r="A181" s="14" t="s">
        <v>188</v>
      </c>
      <c r="B181" s="15" t="n">
        <v>5758.37</v>
      </c>
    </row>
    <row r="182" customFormat="false" ht="15" hidden="false" customHeight="false" outlineLevel="0" collapsed="false">
      <c r="A182" s="13" t="s">
        <v>189</v>
      </c>
      <c r="B182" s="12" t="n">
        <v>55274.57</v>
      </c>
    </row>
    <row r="183" customFormat="false" ht="15" hidden="false" customHeight="false" outlineLevel="0" collapsed="false">
      <c r="A183" s="14" t="s">
        <v>190</v>
      </c>
      <c r="B183" s="15" t="n">
        <v>11824.97</v>
      </c>
    </row>
    <row r="184" customFormat="false" ht="15" hidden="false" customHeight="false" outlineLevel="0" collapsed="false">
      <c r="A184" s="14" t="s">
        <v>191</v>
      </c>
      <c r="B184" s="15" t="n">
        <v>1215.75</v>
      </c>
    </row>
    <row r="185" customFormat="false" ht="15" hidden="false" customHeight="false" outlineLevel="0" collapsed="false">
      <c r="A185" s="14" t="s">
        <v>192</v>
      </c>
      <c r="B185" s="15" t="n">
        <v>42233.85</v>
      </c>
    </row>
    <row r="186" customFormat="false" ht="15" hidden="false" customHeight="false" outlineLevel="0" collapsed="false">
      <c r="A186" s="13" t="s">
        <v>193</v>
      </c>
      <c r="B186" s="12" t="n">
        <v>2694923.47</v>
      </c>
    </row>
    <row r="187" customFormat="false" ht="15" hidden="false" customHeight="false" outlineLevel="0" collapsed="false">
      <c r="A187" s="14" t="s">
        <v>194</v>
      </c>
      <c r="B187" s="15" t="n">
        <v>2607345.59</v>
      </c>
    </row>
    <row r="188" customFormat="false" ht="15" hidden="false" customHeight="false" outlineLevel="0" collapsed="false">
      <c r="A188" s="14" t="s">
        <v>195</v>
      </c>
      <c r="B188" s="15" t="n">
        <v>64626.18</v>
      </c>
    </row>
    <row r="189" customFormat="false" ht="15" hidden="false" customHeight="false" outlineLevel="0" collapsed="false">
      <c r="A189" s="14" t="s">
        <v>196</v>
      </c>
      <c r="B189" s="15" t="n">
        <v>1098</v>
      </c>
    </row>
    <row r="190" customFormat="false" ht="15" hidden="false" customHeight="false" outlineLevel="0" collapsed="false">
      <c r="A190" s="14" t="s">
        <v>197</v>
      </c>
      <c r="B190" s="15" t="n">
        <v>21853.7</v>
      </c>
    </row>
    <row r="191" customFormat="false" ht="15" hidden="false" customHeight="false" outlineLevel="0" collapsed="false">
      <c r="A191" s="13" t="s">
        <v>199</v>
      </c>
      <c r="B191" s="12" t="n">
        <v>1210256.12</v>
      </c>
    </row>
    <row r="192" customFormat="false" ht="15" hidden="false" customHeight="false" outlineLevel="0" collapsed="false">
      <c r="A192" s="14" t="s">
        <v>201</v>
      </c>
      <c r="B192" s="15" t="n">
        <v>-1198.99</v>
      </c>
    </row>
    <row r="193" customFormat="false" ht="15" hidden="false" customHeight="false" outlineLevel="0" collapsed="false">
      <c r="A193" s="14" t="s">
        <v>200</v>
      </c>
      <c r="B193" s="15" t="n">
        <v>104518.73</v>
      </c>
    </row>
    <row r="194" customFormat="false" ht="15" hidden="false" customHeight="false" outlineLevel="0" collapsed="false">
      <c r="A194" s="14" t="s">
        <v>202</v>
      </c>
      <c r="B194" s="15" t="n">
        <v>166714.44</v>
      </c>
    </row>
    <row r="195" customFormat="false" ht="15" hidden="false" customHeight="false" outlineLevel="0" collapsed="false">
      <c r="A195" s="14" t="s">
        <v>203</v>
      </c>
      <c r="B195" s="15" t="n">
        <v>131219.42</v>
      </c>
    </row>
    <row r="196" customFormat="false" ht="15" hidden="false" customHeight="false" outlineLevel="0" collapsed="false">
      <c r="A196" s="14" t="s">
        <v>204</v>
      </c>
      <c r="B196" s="15" t="n">
        <v>27696.84</v>
      </c>
    </row>
    <row r="197" customFormat="false" ht="15" hidden="false" customHeight="false" outlineLevel="0" collapsed="false">
      <c r="A197" s="14" t="s">
        <v>205</v>
      </c>
      <c r="B197" s="15" t="n">
        <v>363948.88</v>
      </c>
    </row>
    <row r="198" customFormat="false" ht="15" hidden="false" customHeight="false" outlineLevel="0" collapsed="false">
      <c r="A198" s="14" t="s">
        <v>206</v>
      </c>
      <c r="B198" s="15" t="n">
        <v>417356.8</v>
      </c>
    </row>
    <row r="199" customFormat="false" ht="15" hidden="false" customHeight="false" outlineLevel="0" collapsed="false">
      <c r="A199" s="11" t="s">
        <v>207</v>
      </c>
      <c r="B199" s="12" t="n">
        <v>-956548.75</v>
      </c>
    </row>
    <row r="200" customFormat="false" ht="15" hidden="false" customHeight="false" outlineLevel="0" collapsed="false">
      <c r="A200" s="13" t="s">
        <v>207</v>
      </c>
      <c r="B200" s="12" t="n">
        <v>996452.05</v>
      </c>
    </row>
    <row r="201" customFormat="false" ht="15" hidden="false" customHeight="false" outlineLevel="0" collapsed="false">
      <c r="A201" s="14" t="s">
        <v>211</v>
      </c>
      <c r="B201" s="15" t="n">
        <v>234375</v>
      </c>
    </row>
    <row r="202" customFormat="false" ht="15" hidden="false" customHeight="false" outlineLevel="0" collapsed="false">
      <c r="A202" s="14" t="s">
        <v>212</v>
      </c>
      <c r="B202" s="15" t="n">
        <v>-35840.3</v>
      </c>
    </row>
    <row r="203" customFormat="false" ht="15" hidden="false" customHeight="false" outlineLevel="0" collapsed="false">
      <c r="A203" s="14" t="s">
        <v>213</v>
      </c>
      <c r="B203" s="15" t="n">
        <v>19366.95</v>
      </c>
    </row>
    <row r="204" customFormat="false" ht="15" hidden="false" customHeight="false" outlineLevel="0" collapsed="false">
      <c r="A204" s="14" t="s">
        <v>214</v>
      </c>
      <c r="B204" s="15" t="n">
        <v>299357.7</v>
      </c>
    </row>
    <row r="205" customFormat="false" ht="15" hidden="false" customHeight="false" outlineLevel="0" collapsed="false">
      <c r="A205" s="14" t="s">
        <v>215</v>
      </c>
      <c r="B205" s="15" t="n">
        <v>25060.45</v>
      </c>
    </row>
    <row r="206" customFormat="false" ht="15" hidden="false" customHeight="false" outlineLevel="0" collapsed="false">
      <c r="A206" s="14" t="s">
        <v>216</v>
      </c>
      <c r="B206" s="15" t="n">
        <v>454132.25</v>
      </c>
    </row>
    <row r="207" customFormat="false" ht="15" hidden="false" customHeight="false" outlineLevel="0" collapsed="false">
      <c r="A207" s="13" t="s">
        <v>217</v>
      </c>
      <c r="B207" s="12" t="n">
        <v>-1953000.8</v>
      </c>
    </row>
    <row r="208" customFormat="false" ht="15" hidden="false" customHeight="false" outlineLevel="0" collapsed="false">
      <c r="A208" s="14" t="s">
        <v>218</v>
      </c>
      <c r="B208" s="15" t="n">
        <v>-1953000.8</v>
      </c>
    </row>
    <row r="209" customFormat="false" ht="15" hidden="false" customHeight="false" outlineLevel="0" collapsed="false">
      <c r="A209" s="11" t="s">
        <v>219</v>
      </c>
      <c r="B209" s="12" t="n">
        <v>-1232808.4</v>
      </c>
    </row>
    <row r="210" customFormat="false" ht="15" hidden="false" customHeight="false" outlineLevel="0" collapsed="false">
      <c r="A210" s="13" t="s">
        <v>220</v>
      </c>
      <c r="B210" s="12" t="n">
        <v>-1232808.4</v>
      </c>
    </row>
    <row r="211" customFormat="false" ht="15" hidden="false" customHeight="false" outlineLevel="0" collapsed="false">
      <c r="A211" s="14" t="s">
        <v>221</v>
      </c>
      <c r="B211" s="15" t="n">
        <v>31019.08</v>
      </c>
    </row>
    <row r="212" customFormat="false" ht="15" hidden="false" customHeight="false" outlineLevel="0" collapsed="false">
      <c r="A212" s="14" t="s">
        <v>222</v>
      </c>
      <c r="B212" s="15" t="n">
        <v>106653.74</v>
      </c>
    </row>
    <row r="213" customFormat="false" ht="15" hidden="false" customHeight="false" outlineLevel="0" collapsed="false">
      <c r="A213" s="14" t="s">
        <v>223</v>
      </c>
      <c r="B213" s="15" t="n">
        <v>-302421.57</v>
      </c>
    </row>
    <row r="214" customFormat="false" ht="15" hidden="false" customHeight="false" outlineLevel="0" collapsed="false">
      <c r="A214" s="14" t="s">
        <v>224</v>
      </c>
      <c r="B214" s="15" t="n">
        <v>-1068059.65</v>
      </c>
    </row>
    <row r="215" customFormat="false" ht="15" hidden="false" customHeight="false" outlineLevel="0" collapsed="false">
      <c r="A215" s="11" t="s">
        <v>225</v>
      </c>
      <c r="B215" s="12" t="n">
        <v>3892576.83</v>
      </c>
    </row>
    <row r="216" customFormat="false" ht="15" hidden="false" customHeight="false" outlineLevel="0" collapsed="false">
      <c r="A216" s="13" t="s">
        <v>226</v>
      </c>
      <c r="B216" s="12" t="n">
        <v>3892576.83</v>
      </c>
    </row>
    <row r="217" customFormat="false" ht="15" hidden="false" customHeight="false" outlineLevel="0" collapsed="false">
      <c r="A217" s="14" t="s">
        <v>227</v>
      </c>
      <c r="B217" s="15" t="n">
        <v>81379.94</v>
      </c>
    </row>
    <row r="218" customFormat="false" ht="15" hidden="false" customHeight="false" outlineLevel="0" collapsed="false">
      <c r="A218" s="14" t="s">
        <v>228</v>
      </c>
      <c r="B218" s="15" t="n">
        <v>1545937.26</v>
      </c>
    </row>
    <row r="219" customFormat="false" ht="15" hidden="false" customHeight="false" outlineLevel="0" collapsed="false">
      <c r="A219" s="14" t="s">
        <v>229</v>
      </c>
      <c r="B219" s="15" t="n">
        <v>204930.87</v>
      </c>
    </row>
    <row r="220" customFormat="false" ht="15" hidden="false" customHeight="false" outlineLevel="0" collapsed="false">
      <c r="A220" s="14" t="s">
        <v>230</v>
      </c>
      <c r="B220" s="15" t="n">
        <v>1922961.72</v>
      </c>
    </row>
    <row r="221" customFormat="false" ht="15" hidden="false" customHeight="false" outlineLevel="0" collapsed="false">
      <c r="A221" s="14" t="s">
        <v>231</v>
      </c>
      <c r="B221" s="15" t="n">
        <v>62497.53</v>
      </c>
    </row>
    <row r="222" customFormat="false" ht="15" hidden="false" customHeight="false" outlineLevel="0" collapsed="false">
      <c r="A222" s="14" t="s">
        <v>232</v>
      </c>
      <c r="B222" s="15" t="n">
        <v>94880</v>
      </c>
    </row>
    <row r="223" customFormat="false" ht="15" hidden="false" customHeight="false" outlineLevel="0" collapsed="false">
      <c r="A223" s="14" t="s">
        <v>233</v>
      </c>
      <c r="B223" s="15" t="n">
        <v>-20010.49</v>
      </c>
    </row>
    <row r="224" customFormat="false" ht="15" hidden="false" customHeight="false" outlineLevel="0" collapsed="false">
      <c r="A224" s="11" t="s">
        <v>234</v>
      </c>
      <c r="B224" s="12" t="n">
        <v>3354394.59</v>
      </c>
    </row>
    <row r="225" customFormat="false" ht="15" hidden="false" customHeight="false" outlineLevel="0" collapsed="false">
      <c r="A225" s="13" t="s">
        <v>234</v>
      </c>
      <c r="B225" s="12" t="n">
        <v>3354394.59</v>
      </c>
    </row>
    <row r="226" customFormat="false" ht="15" hidden="false" customHeight="false" outlineLevel="0" collapsed="false">
      <c r="A226" s="14" t="s">
        <v>235</v>
      </c>
      <c r="B226" s="15" t="n">
        <v>3255790.14</v>
      </c>
    </row>
    <row r="227" customFormat="false" ht="15" hidden="false" customHeight="false" outlineLevel="0" collapsed="false">
      <c r="A227" s="14" t="s">
        <v>236</v>
      </c>
      <c r="B227" s="15" t="n">
        <v>98604.45</v>
      </c>
    </row>
    <row r="228" customFormat="false" ht="15" hidden="false" customHeight="false" outlineLevel="0" collapsed="false">
      <c r="A228" s="11" t="s">
        <v>237</v>
      </c>
      <c r="B228" s="12" t="n">
        <v>582756.88</v>
      </c>
    </row>
    <row r="229" customFormat="false" ht="15" hidden="false" customHeight="false" outlineLevel="0" collapsed="false">
      <c r="A229" s="13" t="s">
        <v>238</v>
      </c>
      <c r="B229" s="12" t="n">
        <v>42590.24</v>
      </c>
    </row>
    <row r="230" customFormat="false" ht="15" hidden="false" customHeight="false" outlineLevel="0" collapsed="false">
      <c r="A230" s="14" t="s">
        <v>239</v>
      </c>
      <c r="B230" s="15" t="n">
        <v>40266.78</v>
      </c>
    </row>
    <row r="231" customFormat="false" ht="15" hidden="false" customHeight="false" outlineLevel="0" collapsed="false">
      <c r="A231" s="14" t="s">
        <v>240</v>
      </c>
      <c r="B231" s="15" t="n">
        <v>2323.46</v>
      </c>
    </row>
    <row r="232" customFormat="false" ht="15" hidden="false" customHeight="false" outlineLevel="0" collapsed="false">
      <c r="A232" s="13" t="s">
        <v>241</v>
      </c>
      <c r="B232" s="12" t="n">
        <v>174100.79</v>
      </c>
    </row>
    <row r="233" customFormat="false" ht="15" hidden="false" customHeight="false" outlineLevel="0" collapsed="false">
      <c r="A233" s="14" t="s">
        <v>242</v>
      </c>
      <c r="B233" s="15" t="n">
        <v>174100.79</v>
      </c>
    </row>
    <row r="234" customFormat="false" ht="15" hidden="false" customHeight="false" outlineLevel="0" collapsed="false">
      <c r="A234" s="13" t="s">
        <v>243</v>
      </c>
      <c r="B234" s="12" t="n">
        <v>4574</v>
      </c>
    </row>
    <row r="235" customFormat="false" ht="15" hidden="false" customHeight="false" outlineLevel="0" collapsed="false">
      <c r="A235" s="14" t="s">
        <v>243</v>
      </c>
      <c r="B235" s="15" t="n">
        <v>4574</v>
      </c>
    </row>
    <row r="236" customFormat="false" ht="15" hidden="false" customHeight="false" outlineLevel="0" collapsed="false">
      <c r="A236" s="13" t="s">
        <v>244</v>
      </c>
      <c r="B236" s="12" t="n">
        <v>361491.85</v>
      </c>
    </row>
    <row r="237" customFormat="false" ht="15" hidden="false" customHeight="false" outlineLevel="0" collapsed="false">
      <c r="A237" s="14" t="s">
        <v>244</v>
      </c>
      <c r="B237" s="15" t="n">
        <v>344640.85</v>
      </c>
    </row>
    <row r="238" customFormat="false" ht="15" hidden="false" customHeight="false" outlineLevel="0" collapsed="false">
      <c r="A238" s="14" t="s">
        <v>245</v>
      </c>
      <c r="B238" s="15" t="n">
        <v>16851</v>
      </c>
    </row>
    <row r="239" customFormat="false" ht="15" hidden="false" customHeight="false" outlineLevel="0" collapsed="false">
      <c r="A239" s="9" t="s">
        <v>246</v>
      </c>
      <c r="B239" s="10" t="n">
        <v>38156707.18</v>
      </c>
    </row>
    <row r="240" customFormat="false" ht="15" hidden="false" customHeight="false" outlineLevel="0" collapsed="false">
      <c r="A240" s="11" t="s">
        <v>207</v>
      </c>
      <c r="B240" s="12" t="n">
        <v>8562315.23</v>
      </c>
    </row>
    <row r="241" customFormat="false" ht="15" hidden="false" customHeight="false" outlineLevel="0" collapsed="false">
      <c r="A241" s="13" t="s">
        <v>247</v>
      </c>
      <c r="B241" s="12" t="n">
        <v>8562315.23</v>
      </c>
    </row>
    <row r="242" customFormat="false" ht="15" hidden="false" customHeight="false" outlineLevel="0" collapsed="false">
      <c r="A242" s="14" t="s">
        <v>248</v>
      </c>
      <c r="B242" s="15" t="n">
        <v>703125</v>
      </c>
    </row>
    <row r="243" customFormat="false" ht="15" hidden="false" customHeight="false" outlineLevel="0" collapsed="false">
      <c r="A243" s="14" t="s">
        <v>249</v>
      </c>
      <c r="B243" s="15" t="n">
        <v>1781004.54</v>
      </c>
    </row>
    <row r="244" customFormat="false" ht="15" hidden="false" customHeight="false" outlineLevel="0" collapsed="false">
      <c r="A244" s="14" t="s">
        <v>250</v>
      </c>
      <c r="B244" s="15" t="n">
        <v>162958.8</v>
      </c>
    </row>
    <row r="245" customFormat="false" ht="15" hidden="false" customHeight="false" outlineLevel="0" collapsed="false">
      <c r="A245" s="14" t="s">
        <v>251</v>
      </c>
      <c r="B245" s="15" t="n">
        <v>2095503.9</v>
      </c>
    </row>
    <row r="246" customFormat="false" ht="15" hidden="false" customHeight="false" outlineLevel="0" collapsed="false">
      <c r="A246" s="14" t="s">
        <v>252</v>
      </c>
      <c r="B246" s="15" t="n">
        <v>5012.09</v>
      </c>
    </row>
    <row r="247" customFormat="false" ht="15" hidden="false" customHeight="false" outlineLevel="0" collapsed="false">
      <c r="A247" s="14" t="s">
        <v>253</v>
      </c>
      <c r="B247" s="15" t="n">
        <v>3814710.9</v>
      </c>
    </row>
    <row r="248" customFormat="false" ht="15" hidden="false" customHeight="false" outlineLevel="0" collapsed="false">
      <c r="A248" s="11" t="s">
        <v>254</v>
      </c>
      <c r="B248" s="12" t="n">
        <v>4307409.95</v>
      </c>
    </row>
    <row r="249" customFormat="false" ht="15" hidden="false" customHeight="false" outlineLevel="0" collapsed="false">
      <c r="A249" s="13" t="s">
        <v>255</v>
      </c>
      <c r="B249" s="12" t="n">
        <v>4307409.95</v>
      </c>
    </row>
    <row r="250" customFormat="false" ht="15" hidden="false" customHeight="false" outlineLevel="0" collapsed="false">
      <c r="A250" s="14" t="s">
        <v>256</v>
      </c>
      <c r="B250" s="15" t="n">
        <v>3880794.99</v>
      </c>
    </row>
    <row r="251" customFormat="false" ht="15" hidden="false" customHeight="false" outlineLevel="0" collapsed="false">
      <c r="A251" s="14" t="s">
        <v>257</v>
      </c>
      <c r="B251" s="15" t="n">
        <v>426614.96</v>
      </c>
    </row>
    <row r="252" customFormat="false" ht="15" hidden="false" customHeight="false" outlineLevel="0" collapsed="false">
      <c r="A252" s="11" t="s">
        <v>258</v>
      </c>
      <c r="B252" s="12" t="n">
        <v>4916419.84</v>
      </c>
    </row>
    <row r="253" customFormat="false" ht="15" hidden="false" customHeight="false" outlineLevel="0" collapsed="false">
      <c r="A253" s="13" t="s">
        <v>259</v>
      </c>
      <c r="B253" s="12" t="n">
        <v>4916419.84</v>
      </c>
    </row>
    <row r="254" customFormat="false" ht="15" hidden="false" customHeight="false" outlineLevel="0" collapsed="false">
      <c r="A254" s="14" t="s">
        <v>260</v>
      </c>
      <c r="B254" s="15" t="n">
        <v>4469622.39</v>
      </c>
    </row>
    <row r="255" customFormat="false" ht="15" hidden="false" customHeight="false" outlineLevel="0" collapsed="false">
      <c r="A255" s="14" t="s">
        <v>261</v>
      </c>
      <c r="B255" s="15" t="n">
        <v>76482.3</v>
      </c>
    </row>
    <row r="256" customFormat="false" ht="15" hidden="false" customHeight="false" outlineLevel="0" collapsed="false">
      <c r="A256" s="14" t="s">
        <v>262</v>
      </c>
      <c r="B256" s="15" t="n">
        <v>370315.15</v>
      </c>
    </row>
    <row r="257" customFormat="false" ht="15" hidden="false" customHeight="false" outlineLevel="0" collapsed="false">
      <c r="A257" s="11" t="s">
        <v>263</v>
      </c>
      <c r="B257" s="12" t="n">
        <v>20370562.16</v>
      </c>
    </row>
    <row r="258" customFormat="false" ht="15" hidden="false" customHeight="false" outlineLevel="0" collapsed="false">
      <c r="A258" s="13" t="s">
        <v>263</v>
      </c>
      <c r="B258" s="12" t="n">
        <v>20370562.16</v>
      </c>
    </row>
    <row r="259" customFormat="false" ht="15" hidden="false" customHeight="false" outlineLevel="0" collapsed="false">
      <c r="A259" s="14" t="s">
        <v>264</v>
      </c>
      <c r="B259" s="15" t="n">
        <v>8511069.63</v>
      </c>
    </row>
    <row r="260" customFormat="false" ht="15" hidden="false" customHeight="false" outlineLevel="0" collapsed="false">
      <c r="A260" s="14" t="s">
        <v>265</v>
      </c>
      <c r="B260" s="15" t="n">
        <v>8384137.46</v>
      </c>
    </row>
    <row r="261" customFormat="false" ht="15" hidden="false" customHeight="false" outlineLevel="0" collapsed="false">
      <c r="A261" s="14" t="s">
        <v>266</v>
      </c>
      <c r="B261" s="15" t="n">
        <v>986346.19</v>
      </c>
    </row>
    <row r="262" customFormat="false" ht="15" hidden="false" customHeight="false" outlineLevel="0" collapsed="false">
      <c r="A262" s="14" t="s">
        <v>267</v>
      </c>
      <c r="B262" s="15" t="n">
        <v>2489008.88</v>
      </c>
    </row>
    <row r="263" customFormat="false" ht="15" hidden="false" customHeight="false" outlineLevel="0" collapsed="false">
      <c r="A263" s="9" t="s">
        <v>268</v>
      </c>
      <c r="B263" s="10" t="n">
        <v>24142854.39</v>
      </c>
    </row>
    <row r="264" customFormat="false" ht="15" hidden="false" customHeight="false" outlineLevel="0" collapsed="false">
      <c r="A264" s="11" t="s">
        <v>269</v>
      </c>
      <c r="B264" s="12" t="n">
        <v>6000000</v>
      </c>
    </row>
    <row r="265" customFormat="false" ht="15" hidden="false" customHeight="false" outlineLevel="0" collapsed="false">
      <c r="A265" s="13" t="s">
        <v>269</v>
      </c>
      <c r="B265" s="12" t="n">
        <v>6000000</v>
      </c>
    </row>
    <row r="266" customFormat="false" ht="15" hidden="false" customHeight="false" outlineLevel="0" collapsed="false">
      <c r="A266" s="14" t="s">
        <v>270</v>
      </c>
      <c r="B266" s="15" t="n">
        <v>6000000</v>
      </c>
    </row>
    <row r="267" customFormat="false" ht="15" hidden="false" customHeight="false" outlineLevel="0" collapsed="false">
      <c r="A267" s="11" t="s">
        <v>271</v>
      </c>
      <c r="B267" s="12" t="n">
        <v>466704.13</v>
      </c>
    </row>
    <row r="268" customFormat="false" ht="15" hidden="false" customHeight="false" outlineLevel="0" collapsed="false">
      <c r="A268" s="13" t="s">
        <v>272</v>
      </c>
      <c r="B268" s="12" t="n">
        <v>466704.13</v>
      </c>
    </row>
    <row r="269" customFormat="false" ht="15" hidden="false" customHeight="false" outlineLevel="0" collapsed="false">
      <c r="A269" s="14" t="s">
        <v>272</v>
      </c>
      <c r="B269" s="15" t="n">
        <v>466704.13</v>
      </c>
    </row>
    <row r="270" customFormat="false" ht="15" hidden="false" customHeight="false" outlineLevel="0" collapsed="false">
      <c r="A270" s="11" t="s">
        <v>273</v>
      </c>
      <c r="B270" s="12" t="n">
        <v>10914442.94</v>
      </c>
    </row>
    <row r="271" customFormat="false" ht="15" hidden="false" customHeight="false" outlineLevel="0" collapsed="false">
      <c r="A271" s="13" t="s">
        <v>274</v>
      </c>
      <c r="B271" s="12" t="n">
        <v>10914442.94</v>
      </c>
    </row>
    <row r="272" customFormat="false" ht="15" hidden="false" customHeight="false" outlineLevel="0" collapsed="false">
      <c r="A272" s="14" t="s">
        <v>274</v>
      </c>
      <c r="B272" s="15" t="n">
        <v>10913998.57</v>
      </c>
    </row>
    <row r="273" customFormat="false" ht="15" hidden="false" customHeight="false" outlineLevel="0" collapsed="false">
      <c r="A273" s="14" t="s">
        <v>275</v>
      </c>
      <c r="B273" s="15" t="n">
        <v>444.37</v>
      </c>
    </row>
    <row r="274" customFormat="false" ht="15" hidden="false" customHeight="false" outlineLevel="0" collapsed="false">
      <c r="A274" s="11" t="s">
        <v>276</v>
      </c>
      <c r="B274" s="12" t="n">
        <v>6761707.32</v>
      </c>
    </row>
    <row r="275" customFormat="false" ht="15" hidden="false" customHeight="false" outlineLevel="0" collapsed="false">
      <c r="A275" s="13" t="s">
        <v>276</v>
      </c>
      <c r="B275" s="12" t="n">
        <v>6761707.32</v>
      </c>
    </row>
    <row r="276" customFormat="false" ht="15" hidden="false" customHeight="false" outlineLevel="0" collapsed="false">
      <c r="A276" s="14" t="s">
        <v>277</v>
      </c>
      <c r="B276" s="15" t="n">
        <v>1533460.17</v>
      </c>
    </row>
    <row r="277" customFormat="false" ht="15" hidden="false" customHeight="false" outlineLevel="0" collapsed="false">
      <c r="A277" s="14" t="s">
        <v>278</v>
      </c>
      <c r="B277" s="15" t="n">
        <v>803053.23</v>
      </c>
    </row>
    <row r="278" customFormat="false" ht="15" hidden="false" customHeight="false" outlineLevel="0" collapsed="false">
      <c r="A278" s="14" t="s">
        <v>279</v>
      </c>
      <c r="B278" s="15" t="n">
        <v>4425193.92</v>
      </c>
    </row>
    <row r="280" customFormat="false" ht="39.75" hidden="false" customHeight="true" outlineLevel="0" collapsed="false">
      <c r="A280" s="18" t="s">
        <v>302</v>
      </c>
      <c r="B280" s="18"/>
    </row>
    <row r="282" customFormat="false" ht="15" hidden="false" customHeight="false" outlineLevel="0" collapsed="false">
      <c r="A282" s="19" t="s">
        <v>285</v>
      </c>
      <c r="B282" s="19" t="s">
        <v>286</v>
      </c>
    </row>
    <row r="283" customFormat="false" ht="15" hidden="false" customHeight="false" outlineLevel="0" collapsed="false">
      <c r="A283" s="20" t="s">
        <v>287</v>
      </c>
      <c r="B283" s="20" t="s">
        <v>288</v>
      </c>
    </row>
    <row r="284" customFormat="false" ht="15" hidden="false" customHeight="false" outlineLevel="0" collapsed="false">
      <c r="A284" s="20" t="s">
        <v>289</v>
      </c>
      <c r="B284" s="20" t="s">
        <v>290</v>
      </c>
    </row>
  </sheetData>
  <mergeCells count="1">
    <mergeCell ref="A280:B280"/>
  </mergeCells>
  <printOptions headings="false" gridLines="false" gridLinesSet="true" horizontalCentered="false" verticalCentered="false"/>
  <pageMargins left="0.5" right="0.5" top="1" bottom="1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Folha &amp;P de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9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8"/>
    <col collapsed="false" customWidth="true" hidden="false" outlineLevel="0" max="2" min="2" style="0" width="2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281</v>
      </c>
    </row>
    <row r="3" customFormat="false" ht="15" hidden="false" customHeight="false" outlineLevel="0" collapsed="false">
      <c r="A3" s="3" t="s">
        <v>303</v>
      </c>
    </row>
    <row r="4" customFormat="false" ht="15" hidden="false" customHeight="false" outlineLevel="0" collapsed="false">
      <c r="A4" s="3" t="s">
        <v>3</v>
      </c>
    </row>
    <row r="5" customFormat="false" ht="15" hidden="false" customHeight="false" outlineLevel="0" collapsed="false">
      <c r="A5" s="4" t="s">
        <v>4</v>
      </c>
    </row>
    <row r="7" customFormat="false" ht="21.75" hidden="false" customHeight="true" outlineLevel="0" collapsed="false">
      <c r="A7" s="5" t="s">
        <v>5</v>
      </c>
      <c r="B7" s="6" t="s">
        <v>283</v>
      </c>
    </row>
    <row r="8" customFormat="false" ht="15" hidden="false" customHeight="false" outlineLevel="0" collapsed="false">
      <c r="A8" s="7" t="s">
        <v>14</v>
      </c>
      <c r="B8" s="8" t="n">
        <v>75570991.22</v>
      </c>
    </row>
    <row r="9" customFormat="false" ht="15" hidden="false" customHeight="false" outlineLevel="0" collapsed="false">
      <c r="A9" s="9" t="s">
        <v>15</v>
      </c>
      <c r="B9" s="10" t="n">
        <v>24059993.34</v>
      </c>
    </row>
    <row r="10" customFormat="false" ht="15" hidden="false" customHeight="false" outlineLevel="0" collapsed="false">
      <c r="A10" s="11" t="s">
        <v>16</v>
      </c>
      <c r="B10" s="12" t="n">
        <v>5339173.64</v>
      </c>
    </row>
    <row r="11" customFormat="false" ht="15" hidden="false" customHeight="false" outlineLevel="0" collapsed="false">
      <c r="A11" s="13" t="s">
        <v>17</v>
      </c>
      <c r="B11" s="12" t="n">
        <v>152971.68</v>
      </c>
    </row>
    <row r="12" customFormat="false" ht="15" hidden="false" customHeight="false" outlineLevel="0" collapsed="false">
      <c r="A12" s="14" t="s">
        <v>18</v>
      </c>
      <c r="B12" s="15" t="n">
        <v>152971.68</v>
      </c>
    </row>
    <row r="13" customFormat="false" ht="15" hidden="false" customHeight="false" outlineLevel="0" collapsed="false">
      <c r="A13" s="13" t="s">
        <v>19</v>
      </c>
      <c r="B13" s="12" t="n">
        <v>939761.52</v>
      </c>
    </row>
    <row r="14" customFormat="false" ht="15" hidden="false" customHeight="false" outlineLevel="0" collapsed="false">
      <c r="A14" s="14" t="s">
        <v>20</v>
      </c>
      <c r="B14" s="15" t="n">
        <v>271849.01</v>
      </c>
    </row>
    <row r="15" customFormat="false" ht="15" hidden="false" customHeight="false" outlineLevel="0" collapsed="false">
      <c r="A15" s="14" t="s">
        <v>21</v>
      </c>
      <c r="B15" s="15" t="n">
        <v>22838.59</v>
      </c>
    </row>
    <row r="16" customFormat="false" ht="15" hidden="false" customHeight="false" outlineLevel="0" collapsed="false">
      <c r="A16" s="14" t="s">
        <v>22</v>
      </c>
      <c r="B16" s="15" t="n">
        <v>489190.7</v>
      </c>
    </row>
    <row r="17" customFormat="false" ht="15" hidden="false" customHeight="false" outlineLevel="0" collapsed="false">
      <c r="A17" s="14" t="s">
        <v>23</v>
      </c>
      <c r="B17" s="15" t="n">
        <v>43590.74</v>
      </c>
    </row>
    <row r="18" customFormat="false" ht="15" hidden="false" customHeight="false" outlineLevel="0" collapsed="false">
      <c r="A18" s="14" t="s">
        <v>24</v>
      </c>
      <c r="B18" s="15" t="n">
        <v>95037.23</v>
      </c>
    </row>
    <row r="19" customFormat="false" ht="15" hidden="false" customHeight="false" outlineLevel="0" collapsed="false">
      <c r="A19" s="14" t="s">
        <v>25</v>
      </c>
      <c r="B19" s="15" t="n">
        <v>6766.95</v>
      </c>
    </row>
    <row r="20" customFormat="false" ht="15" hidden="false" customHeight="false" outlineLevel="0" collapsed="false">
      <c r="A20" s="14" t="s">
        <v>26</v>
      </c>
      <c r="B20" s="15" t="n">
        <v>10488.3</v>
      </c>
    </row>
    <row r="21" customFormat="false" ht="15" hidden="false" customHeight="false" outlineLevel="0" collapsed="false">
      <c r="A21" s="13" t="s">
        <v>27</v>
      </c>
      <c r="B21" s="12" t="n">
        <v>4246440.44</v>
      </c>
    </row>
    <row r="22" customFormat="false" ht="15" hidden="false" customHeight="false" outlineLevel="0" collapsed="false">
      <c r="A22" s="14" t="s">
        <v>28</v>
      </c>
      <c r="B22" s="15" t="n">
        <v>1686808.47</v>
      </c>
    </row>
    <row r="23" customFormat="false" ht="15" hidden="false" customHeight="false" outlineLevel="0" collapsed="false">
      <c r="A23" s="14" t="s">
        <v>29</v>
      </c>
      <c r="B23" s="15" t="n">
        <v>1692604.2</v>
      </c>
    </row>
    <row r="24" customFormat="false" ht="15" hidden="false" customHeight="false" outlineLevel="0" collapsed="false">
      <c r="A24" s="14" t="s">
        <v>30</v>
      </c>
      <c r="B24" s="15" t="n">
        <v>500000</v>
      </c>
    </row>
    <row r="25" customFormat="false" ht="15" hidden="false" customHeight="false" outlineLevel="0" collapsed="false">
      <c r="A25" s="14" t="s">
        <v>31</v>
      </c>
      <c r="B25" s="15" t="n">
        <v>317027.77</v>
      </c>
    </row>
    <row r="26" customFormat="false" ht="15" hidden="false" customHeight="false" outlineLevel="0" collapsed="false">
      <c r="A26" s="14" t="s">
        <v>32</v>
      </c>
      <c r="B26" s="15" t="n">
        <v>50000</v>
      </c>
    </row>
    <row r="27" customFormat="false" ht="15" hidden="false" customHeight="false" outlineLevel="0" collapsed="false">
      <c r="A27" s="11" t="s">
        <v>33</v>
      </c>
      <c r="B27" s="12" t="n">
        <v>31774994.55</v>
      </c>
    </row>
    <row r="28" customFormat="false" ht="15" hidden="false" customHeight="false" outlineLevel="0" collapsed="false">
      <c r="A28" s="13" t="s">
        <v>34</v>
      </c>
      <c r="B28" s="12" t="n">
        <v>18129837.65</v>
      </c>
    </row>
    <row r="29" customFormat="false" ht="15" hidden="false" customHeight="false" outlineLevel="0" collapsed="false">
      <c r="A29" s="14" t="s">
        <v>35</v>
      </c>
      <c r="B29" s="15" t="n">
        <v>12496616.61</v>
      </c>
    </row>
    <row r="30" customFormat="false" ht="15" hidden="false" customHeight="false" outlineLevel="0" collapsed="false">
      <c r="A30" s="14" t="s">
        <v>36</v>
      </c>
      <c r="B30" s="15" t="n">
        <v>4044364.74</v>
      </c>
    </row>
    <row r="31" customFormat="false" ht="15" hidden="false" customHeight="false" outlineLevel="0" collapsed="false">
      <c r="A31" s="14" t="s">
        <v>37</v>
      </c>
      <c r="B31" s="15" t="n">
        <v>12726.82</v>
      </c>
    </row>
    <row r="32" customFormat="false" ht="15" hidden="false" customHeight="false" outlineLevel="0" collapsed="false">
      <c r="A32" s="14" t="s">
        <v>38</v>
      </c>
      <c r="B32" s="15" t="n">
        <v>6450</v>
      </c>
    </row>
    <row r="33" customFormat="false" ht="15" hidden="false" customHeight="false" outlineLevel="0" collapsed="false">
      <c r="A33" s="14" t="s">
        <v>39</v>
      </c>
      <c r="B33" s="15" t="n">
        <v>1569679.48</v>
      </c>
    </row>
    <row r="34" customFormat="false" ht="15" hidden="false" customHeight="false" outlineLevel="0" collapsed="false">
      <c r="A34" s="13" t="s">
        <v>40</v>
      </c>
      <c r="B34" s="12" t="n">
        <v>13645156.9</v>
      </c>
    </row>
    <row r="35" customFormat="false" ht="15" hidden="false" customHeight="false" outlineLevel="0" collapsed="false">
      <c r="A35" s="14" t="s">
        <v>41</v>
      </c>
      <c r="B35" s="15" t="n">
        <v>4380.79</v>
      </c>
    </row>
    <row r="36" customFormat="false" ht="15" hidden="false" customHeight="false" outlineLevel="0" collapsed="false">
      <c r="A36" s="14" t="s">
        <v>42</v>
      </c>
      <c r="B36" s="15" t="n">
        <v>13635689.76</v>
      </c>
    </row>
    <row r="37" customFormat="false" ht="15" hidden="false" customHeight="false" outlineLevel="0" collapsed="false">
      <c r="A37" s="14" t="s">
        <v>43</v>
      </c>
      <c r="B37" s="15" t="n">
        <v>5086.35</v>
      </c>
    </row>
    <row r="38" customFormat="false" ht="15" hidden="false" customHeight="false" outlineLevel="0" collapsed="false">
      <c r="A38" s="11" t="s">
        <v>44</v>
      </c>
      <c r="B38" s="12" t="n">
        <v>646591.78</v>
      </c>
    </row>
    <row r="39" customFormat="false" ht="15" hidden="false" customHeight="false" outlineLevel="0" collapsed="false">
      <c r="A39" s="13" t="s">
        <v>45</v>
      </c>
      <c r="B39" s="12" t="n">
        <v>255601.15</v>
      </c>
    </row>
    <row r="40" customFormat="false" ht="15" hidden="false" customHeight="false" outlineLevel="0" collapsed="false">
      <c r="A40" s="14" t="s">
        <v>46</v>
      </c>
      <c r="B40" s="15" t="n">
        <v>249504.47</v>
      </c>
    </row>
    <row r="41" customFormat="false" ht="15" hidden="false" customHeight="false" outlineLevel="0" collapsed="false">
      <c r="A41" s="14" t="s">
        <v>47</v>
      </c>
      <c r="B41" s="15" t="n">
        <v>6096.68</v>
      </c>
    </row>
    <row r="42" customFormat="false" ht="15" hidden="false" customHeight="false" outlineLevel="0" collapsed="false">
      <c r="A42" s="13" t="s">
        <v>48</v>
      </c>
      <c r="B42" s="12" t="n">
        <v>390990.63</v>
      </c>
    </row>
    <row r="43" customFormat="false" ht="15" hidden="false" customHeight="false" outlineLevel="0" collapsed="false">
      <c r="A43" s="14" t="s">
        <v>49</v>
      </c>
      <c r="B43" s="15" t="n">
        <v>360067.66</v>
      </c>
    </row>
    <row r="44" customFormat="false" ht="15" hidden="false" customHeight="false" outlineLevel="0" collapsed="false">
      <c r="A44" s="14" t="s">
        <v>50</v>
      </c>
      <c r="B44" s="15" t="n">
        <v>30922.97</v>
      </c>
    </row>
    <row r="45" customFormat="false" ht="15" hidden="false" customHeight="false" outlineLevel="0" collapsed="false">
      <c r="A45" s="11" t="s">
        <v>51</v>
      </c>
      <c r="B45" s="12" t="n">
        <v>-15401846.06</v>
      </c>
    </row>
    <row r="46" customFormat="false" ht="15" hidden="false" customHeight="false" outlineLevel="0" collapsed="false">
      <c r="A46" s="13" t="s">
        <v>52</v>
      </c>
      <c r="B46" s="12" t="n">
        <v>-19162395.78</v>
      </c>
    </row>
    <row r="47" customFormat="false" ht="15" hidden="false" customHeight="false" outlineLevel="0" collapsed="false">
      <c r="A47" s="14" t="s">
        <v>53</v>
      </c>
      <c r="B47" s="15" t="n">
        <v>-57125432.94</v>
      </c>
    </row>
    <row r="48" customFormat="false" ht="15" hidden="false" customHeight="false" outlineLevel="0" collapsed="false">
      <c r="A48" s="14" t="s">
        <v>54</v>
      </c>
      <c r="B48" s="15" t="n">
        <v>3297511.85</v>
      </c>
    </row>
    <row r="49" customFormat="false" ht="15" hidden="false" customHeight="false" outlineLevel="0" collapsed="false">
      <c r="A49" s="14" t="s">
        <v>55</v>
      </c>
      <c r="B49" s="15" t="n">
        <v>34921899.53</v>
      </c>
    </row>
    <row r="50" customFormat="false" ht="15" hidden="false" customHeight="false" outlineLevel="0" collapsed="false">
      <c r="A50" s="14" t="s">
        <v>56</v>
      </c>
      <c r="B50" s="15" t="n">
        <v>-256374.22</v>
      </c>
    </row>
    <row r="51" customFormat="false" ht="15" hidden="false" customHeight="false" outlineLevel="0" collapsed="false">
      <c r="A51" s="13" t="s">
        <v>57</v>
      </c>
      <c r="B51" s="12" t="n">
        <v>-650799.8</v>
      </c>
    </row>
    <row r="52" customFormat="false" ht="15" hidden="false" customHeight="false" outlineLevel="0" collapsed="false">
      <c r="A52" s="14" t="s">
        <v>58</v>
      </c>
      <c r="B52" s="15" t="n">
        <v>-600099.8</v>
      </c>
    </row>
    <row r="53" customFormat="false" ht="15" hidden="false" customHeight="false" outlineLevel="0" collapsed="false">
      <c r="A53" s="14" t="s">
        <v>59</v>
      </c>
      <c r="B53" s="15" t="n">
        <v>-50700</v>
      </c>
    </row>
    <row r="54" customFormat="false" ht="15" hidden="false" customHeight="false" outlineLevel="0" collapsed="false">
      <c r="A54" s="13" t="s">
        <v>60</v>
      </c>
      <c r="B54" s="12" t="n">
        <v>743104.88</v>
      </c>
    </row>
    <row r="55" customFormat="false" ht="15" hidden="false" customHeight="false" outlineLevel="0" collapsed="false">
      <c r="A55" s="14" t="s">
        <v>61</v>
      </c>
      <c r="B55" s="15" t="n">
        <v>144482.48</v>
      </c>
    </row>
    <row r="56" customFormat="false" ht="15" hidden="false" customHeight="false" outlineLevel="0" collapsed="false">
      <c r="A56" s="14" t="s">
        <v>62</v>
      </c>
      <c r="B56" s="15" t="n">
        <v>2378.36</v>
      </c>
    </row>
    <row r="57" customFormat="false" ht="15" hidden="false" customHeight="false" outlineLevel="0" collapsed="false">
      <c r="A57" s="14" t="s">
        <v>63</v>
      </c>
      <c r="B57" s="15" t="n">
        <v>144791.77</v>
      </c>
    </row>
    <row r="58" customFormat="false" ht="15" hidden="false" customHeight="false" outlineLevel="0" collapsed="false">
      <c r="A58" s="14" t="s">
        <v>64</v>
      </c>
      <c r="B58" s="15" t="n">
        <v>25943.18</v>
      </c>
    </row>
    <row r="59" customFormat="false" ht="15" hidden="false" customHeight="false" outlineLevel="0" collapsed="false">
      <c r="A59" s="14" t="s">
        <v>65</v>
      </c>
      <c r="B59" s="15" t="n">
        <v>318523.36</v>
      </c>
    </row>
    <row r="60" customFormat="false" ht="15" hidden="false" customHeight="false" outlineLevel="0" collapsed="false">
      <c r="A60" s="14" t="s">
        <v>66</v>
      </c>
      <c r="B60" s="15" t="n">
        <v>50019.73</v>
      </c>
    </row>
    <row r="61" customFormat="false" ht="15" hidden="false" customHeight="false" outlineLevel="0" collapsed="false">
      <c r="A61" s="14" t="s">
        <v>67</v>
      </c>
      <c r="B61" s="15" t="n">
        <v>86116.2</v>
      </c>
    </row>
    <row r="62" customFormat="false" ht="15" hidden="false" customHeight="false" outlineLevel="0" collapsed="false">
      <c r="A62" s="14" t="s">
        <v>68</v>
      </c>
      <c r="B62" s="15" t="n">
        <v>137300</v>
      </c>
    </row>
    <row r="63" customFormat="false" ht="15" hidden="false" customHeight="false" outlineLevel="0" collapsed="false">
      <c r="A63" s="14" t="s">
        <v>69</v>
      </c>
      <c r="B63" s="15" t="n">
        <v>2478.6</v>
      </c>
    </row>
    <row r="64" customFormat="false" ht="15" hidden="false" customHeight="false" outlineLevel="0" collapsed="false">
      <c r="A64" s="14" t="s">
        <v>70</v>
      </c>
      <c r="B64" s="15" t="n">
        <v>-171399.9</v>
      </c>
    </row>
    <row r="65" customFormat="false" ht="15" hidden="false" customHeight="false" outlineLevel="0" collapsed="false">
      <c r="A65" s="14" t="s">
        <v>71</v>
      </c>
      <c r="B65" s="15" t="n">
        <v>2471.1</v>
      </c>
    </row>
    <row r="66" customFormat="false" ht="15" hidden="false" customHeight="false" outlineLevel="0" collapsed="false">
      <c r="A66" s="13" t="s">
        <v>72</v>
      </c>
      <c r="B66" s="12" t="n">
        <v>3668244.64</v>
      </c>
    </row>
    <row r="67" customFormat="false" ht="15" hidden="false" customHeight="false" outlineLevel="0" collapsed="false">
      <c r="A67" s="14" t="s">
        <v>73</v>
      </c>
      <c r="B67" s="15" t="n">
        <v>108232.37</v>
      </c>
    </row>
    <row r="68" customFormat="false" ht="15" hidden="false" customHeight="false" outlineLevel="0" collapsed="false">
      <c r="A68" s="14" t="s">
        <v>74</v>
      </c>
      <c r="B68" s="15" t="n">
        <v>1380572.89</v>
      </c>
    </row>
    <row r="69" customFormat="false" ht="15" hidden="false" customHeight="false" outlineLevel="0" collapsed="false">
      <c r="A69" s="14" t="s">
        <v>75</v>
      </c>
      <c r="B69" s="15" t="n">
        <v>192882.05</v>
      </c>
    </row>
    <row r="70" customFormat="false" ht="15" hidden="false" customHeight="false" outlineLevel="0" collapsed="false">
      <c r="A70" s="14" t="s">
        <v>76</v>
      </c>
      <c r="B70" s="15" t="n">
        <v>1922961.72</v>
      </c>
    </row>
    <row r="71" customFormat="false" ht="15" hidden="false" customHeight="false" outlineLevel="0" collapsed="false">
      <c r="A71" s="14" t="s">
        <v>77</v>
      </c>
      <c r="B71" s="15" t="n">
        <v>54015.61</v>
      </c>
    </row>
    <row r="72" customFormat="false" ht="15" hidden="false" customHeight="false" outlineLevel="0" collapsed="false">
      <c r="A72" s="14" t="s">
        <v>78</v>
      </c>
      <c r="B72" s="15" t="n">
        <v>9580</v>
      </c>
    </row>
    <row r="73" customFormat="false" ht="15" hidden="false" customHeight="false" outlineLevel="0" collapsed="false">
      <c r="A73" s="11" t="s">
        <v>79</v>
      </c>
      <c r="B73" s="12" t="n">
        <v>1512893.33</v>
      </c>
    </row>
    <row r="74" customFormat="false" ht="15" hidden="false" customHeight="false" outlineLevel="0" collapsed="false">
      <c r="A74" s="13" t="s">
        <v>80</v>
      </c>
      <c r="B74" s="12" t="n">
        <v>-41763.14</v>
      </c>
    </row>
    <row r="75" customFormat="false" ht="15" hidden="false" customHeight="false" outlineLevel="0" collapsed="false">
      <c r="A75" s="14" t="s">
        <v>81</v>
      </c>
      <c r="B75" s="15" t="n">
        <v>-41763.14</v>
      </c>
    </row>
    <row r="76" customFormat="false" ht="15" hidden="false" customHeight="false" outlineLevel="0" collapsed="false">
      <c r="A76" s="13" t="s">
        <v>82</v>
      </c>
      <c r="B76" s="12" t="n">
        <v>1554656.47</v>
      </c>
    </row>
    <row r="77" customFormat="false" ht="15" hidden="false" customHeight="false" outlineLevel="0" collapsed="false">
      <c r="A77" s="14" t="s">
        <v>83</v>
      </c>
      <c r="B77" s="15" t="n">
        <v>289523.85</v>
      </c>
    </row>
    <row r="78" customFormat="false" ht="15" hidden="false" customHeight="false" outlineLevel="0" collapsed="false">
      <c r="A78" s="14" t="s">
        <v>84</v>
      </c>
      <c r="B78" s="15" t="n">
        <v>54595.56</v>
      </c>
    </row>
    <row r="79" customFormat="false" ht="15" hidden="false" customHeight="false" outlineLevel="0" collapsed="false">
      <c r="A79" s="14" t="s">
        <v>85</v>
      </c>
      <c r="B79" s="15" t="n">
        <v>19405.19</v>
      </c>
    </row>
    <row r="80" customFormat="false" ht="15" hidden="false" customHeight="false" outlineLevel="0" collapsed="false">
      <c r="A80" s="14" t="s">
        <v>86</v>
      </c>
      <c r="B80" s="15" t="n">
        <v>7500</v>
      </c>
    </row>
    <row r="81" customFormat="false" ht="15" hidden="false" customHeight="false" outlineLevel="0" collapsed="false">
      <c r="A81" s="14" t="s">
        <v>87</v>
      </c>
      <c r="B81" s="15" t="n">
        <v>-19585.13</v>
      </c>
    </row>
    <row r="82" customFormat="false" ht="15" hidden="false" customHeight="false" outlineLevel="0" collapsed="false">
      <c r="A82" s="14" t="s">
        <v>88</v>
      </c>
      <c r="B82" s="15" t="n">
        <v>1203217</v>
      </c>
    </row>
    <row r="83" customFormat="false" ht="15" hidden="false" customHeight="false" outlineLevel="0" collapsed="false">
      <c r="A83" s="11" t="s">
        <v>89</v>
      </c>
      <c r="B83" s="12" t="n">
        <v>188186.1</v>
      </c>
    </row>
    <row r="84" customFormat="false" ht="15" hidden="false" customHeight="false" outlineLevel="0" collapsed="false">
      <c r="A84" s="13" t="s">
        <v>89</v>
      </c>
      <c r="B84" s="12" t="n">
        <v>188186.1</v>
      </c>
    </row>
    <row r="85" customFormat="false" ht="15" hidden="false" customHeight="false" outlineLevel="0" collapsed="false">
      <c r="A85" s="14" t="s">
        <v>90</v>
      </c>
      <c r="B85" s="15" t="n">
        <v>185899.1</v>
      </c>
    </row>
    <row r="86" customFormat="false" ht="15" hidden="false" customHeight="false" outlineLevel="0" collapsed="false">
      <c r="A86" s="14" t="s">
        <v>91</v>
      </c>
      <c r="B86" s="15" t="n">
        <v>2287</v>
      </c>
    </row>
    <row r="87" customFormat="false" ht="15" hidden="false" customHeight="false" outlineLevel="0" collapsed="false">
      <c r="A87" s="9" t="s">
        <v>92</v>
      </c>
      <c r="B87" s="10" t="n">
        <v>51510997.88</v>
      </c>
    </row>
    <row r="88" customFormat="false" ht="15" hidden="false" customHeight="false" outlineLevel="0" collapsed="false">
      <c r="A88" s="11" t="s">
        <v>93</v>
      </c>
      <c r="B88" s="12" t="n">
        <v>21838344.97</v>
      </c>
    </row>
    <row r="89" customFormat="false" ht="15" hidden="false" customHeight="false" outlineLevel="0" collapsed="false">
      <c r="A89" s="13" t="s">
        <v>94</v>
      </c>
      <c r="B89" s="12" t="n">
        <v>495952.28</v>
      </c>
    </row>
    <row r="90" customFormat="false" ht="15" hidden="false" customHeight="false" outlineLevel="0" collapsed="false">
      <c r="A90" s="14" t="s">
        <v>95</v>
      </c>
      <c r="B90" s="15" t="n">
        <v>495952.28</v>
      </c>
    </row>
    <row r="91" customFormat="false" ht="15" hidden="false" customHeight="false" outlineLevel="0" collapsed="false">
      <c r="A91" s="13" t="s">
        <v>96</v>
      </c>
      <c r="B91" s="12" t="n">
        <v>21342392.69</v>
      </c>
    </row>
    <row r="92" customFormat="false" ht="15" hidden="false" customHeight="false" outlineLevel="0" collapsed="false">
      <c r="A92" s="14" t="s">
        <v>97</v>
      </c>
      <c r="B92" s="15" t="n">
        <v>10728710.65</v>
      </c>
    </row>
    <row r="93" customFormat="false" ht="15" hidden="false" customHeight="false" outlineLevel="0" collapsed="false">
      <c r="A93" s="14" t="s">
        <v>98</v>
      </c>
      <c r="B93" s="15" t="n">
        <v>2182361.9</v>
      </c>
    </row>
    <row r="94" customFormat="false" ht="15" hidden="false" customHeight="false" outlineLevel="0" collapsed="false">
      <c r="A94" s="14" t="s">
        <v>99</v>
      </c>
      <c r="B94" s="15" t="n">
        <v>47182.68</v>
      </c>
    </row>
    <row r="95" customFormat="false" ht="15" hidden="false" customHeight="false" outlineLevel="0" collapsed="false">
      <c r="A95" s="14" t="s">
        <v>100</v>
      </c>
      <c r="B95" s="15" t="n">
        <v>8384137.46</v>
      </c>
    </row>
    <row r="96" customFormat="false" ht="15" hidden="false" customHeight="false" outlineLevel="0" collapsed="false">
      <c r="A96" s="11" t="s">
        <v>101</v>
      </c>
      <c r="B96" s="12" t="n">
        <v>4100304.28</v>
      </c>
    </row>
    <row r="97" customFormat="false" ht="15" hidden="false" customHeight="false" outlineLevel="0" collapsed="false">
      <c r="A97" s="13" t="s">
        <v>102</v>
      </c>
      <c r="B97" s="12" t="n">
        <v>1632864.31</v>
      </c>
    </row>
    <row r="98" customFormat="false" ht="15" hidden="false" customHeight="false" outlineLevel="0" collapsed="false">
      <c r="A98" s="14" t="s">
        <v>103</v>
      </c>
      <c r="B98" s="15" t="n">
        <v>1632864.31</v>
      </c>
    </row>
    <row r="99" customFormat="false" ht="15" hidden="false" customHeight="false" outlineLevel="0" collapsed="false">
      <c r="A99" s="13" t="s">
        <v>104</v>
      </c>
      <c r="B99" s="12" t="n">
        <v>1773523.16</v>
      </c>
    </row>
    <row r="100" customFormat="false" ht="15" hidden="false" customHeight="false" outlineLevel="0" collapsed="false">
      <c r="A100" s="14" t="s">
        <v>105</v>
      </c>
      <c r="B100" s="15" t="n">
        <v>1203490</v>
      </c>
    </row>
    <row r="101" customFormat="false" ht="15" hidden="false" customHeight="false" outlineLevel="0" collapsed="false">
      <c r="A101" s="14" t="s">
        <v>106</v>
      </c>
      <c r="B101" s="15" t="n">
        <v>542192.01</v>
      </c>
    </row>
    <row r="102" customFormat="false" ht="15" hidden="false" customHeight="false" outlineLevel="0" collapsed="false">
      <c r="A102" s="14" t="s">
        <v>107</v>
      </c>
      <c r="B102" s="15" t="n">
        <v>27841.15</v>
      </c>
    </row>
    <row r="103" customFormat="false" ht="15" hidden="false" customHeight="false" outlineLevel="0" collapsed="false">
      <c r="A103" s="13" t="s">
        <v>108</v>
      </c>
      <c r="B103" s="12" t="n">
        <v>432392.49</v>
      </c>
    </row>
    <row r="104" customFormat="false" ht="15" hidden="false" customHeight="false" outlineLevel="0" collapsed="false">
      <c r="A104" s="14" t="s">
        <v>109</v>
      </c>
      <c r="B104" s="15" t="n">
        <v>56734.22</v>
      </c>
    </row>
    <row r="105" customFormat="false" ht="15" hidden="false" customHeight="false" outlineLevel="0" collapsed="false">
      <c r="A105" s="14" t="s">
        <v>110</v>
      </c>
      <c r="B105" s="15" t="n">
        <v>74128.28</v>
      </c>
    </row>
    <row r="106" customFormat="false" ht="15" hidden="false" customHeight="false" outlineLevel="0" collapsed="false">
      <c r="A106" s="14" t="s">
        <v>111</v>
      </c>
      <c r="B106" s="15" t="n">
        <v>74128.28</v>
      </c>
    </row>
    <row r="107" customFormat="false" ht="15" hidden="false" customHeight="false" outlineLevel="0" collapsed="false">
      <c r="A107" s="14" t="s">
        <v>112</v>
      </c>
      <c r="B107" s="15" t="n">
        <v>68558</v>
      </c>
    </row>
    <row r="108" customFormat="false" ht="15" hidden="false" customHeight="false" outlineLevel="0" collapsed="false">
      <c r="A108" s="14" t="s">
        <v>113</v>
      </c>
      <c r="B108" s="15" t="n">
        <v>51011.72</v>
      </c>
    </row>
    <row r="109" customFormat="false" ht="15" hidden="false" customHeight="false" outlineLevel="0" collapsed="false">
      <c r="A109" s="14" t="s">
        <v>114</v>
      </c>
      <c r="B109" s="15" t="n">
        <v>46814.23</v>
      </c>
    </row>
    <row r="110" customFormat="false" ht="15" hidden="false" customHeight="false" outlineLevel="0" collapsed="false">
      <c r="A110" s="14" t="s">
        <v>115</v>
      </c>
      <c r="B110" s="15" t="n">
        <v>22482.82</v>
      </c>
    </row>
    <row r="111" customFormat="false" ht="15" hidden="false" customHeight="false" outlineLevel="0" collapsed="false">
      <c r="A111" s="14" t="s">
        <v>116</v>
      </c>
      <c r="B111" s="15" t="n">
        <v>31830.24</v>
      </c>
    </row>
    <row r="112" customFormat="false" ht="15" hidden="false" customHeight="false" outlineLevel="0" collapsed="false">
      <c r="A112" s="14" t="s">
        <v>117</v>
      </c>
      <c r="B112" s="15" t="n">
        <v>6704.7</v>
      </c>
    </row>
    <row r="113" customFormat="false" ht="15" hidden="false" customHeight="false" outlineLevel="0" collapsed="false">
      <c r="A113" s="13" t="s">
        <v>118</v>
      </c>
      <c r="B113" s="12" t="n">
        <v>261524.32</v>
      </c>
    </row>
    <row r="114" customFormat="false" ht="15" hidden="false" customHeight="false" outlineLevel="0" collapsed="false">
      <c r="A114" s="14" t="s">
        <v>119</v>
      </c>
      <c r="B114" s="15" t="n">
        <v>124705.76</v>
      </c>
    </row>
    <row r="115" customFormat="false" ht="15" hidden="false" customHeight="false" outlineLevel="0" collapsed="false">
      <c r="A115" s="14" t="s">
        <v>120</v>
      </c>
      <c r="B115" s="15" t="n">
        <v>32250.86</v>
      </c>
    </row>
    <row r="116" customFormat="false" ht="15" hidden="false" customHeight="false" outlineLevel="0" collapsed="false">
      <c r="A116" s="14" t="s">
        <v>121</v>
      </c>
      <c r="B116" s="15" t="n">
        <v>22415.7</v>
      </c>
    </row>
    <row r="117" customFormat="false" ht="15" hidden="false" customHeight="false" outlineLevel="0" collapsed="false">
      <c r="A117" s="14" t="s">
        <v>122</v>
      </c>
      <c r="B117" s="15" t="n">
        <v>82152</v>
      </c>
    </row>
    <row r="118" customFormat="false" ht="15" hidden="false" customHeight="false" outlineLevel="0" collapsed="false">
      <c r="A118" s="11" t="s">
        <v>123</v>
      </c>
      <c r="B118" s="12" t="n">
        <v>23196015.46</v>
      </c>
    </row>
    <row r="119" customFormat="false" ht="15" hidden="false" customHeight="false" outlineLevel="0" collapsed="false">
      <c r="A119" s="13" t="s">
        <v>105</v>
      </c>
      <c r="B119" s="12" t="n">
        <v>6711830</v>
      </c>
    </row>
    <row r="120" customFormat="false" ht="15" hidden="false" customHeight="false" outlineLevel="0" collapsed="false">
      <c r="A120" s="14" t="s">
        <v>105</v>
      </c>
      <c r="B120" s="15" t="n">
        <v>6711830</v>
      </c>
    </row>
    <row r="121" customFormat="false" ht="15" hidden="false" customHeight="false" outlineLevel="0" collapsed="false">
      <c r="A121" s="13" t="s">
        <v>124</v>
      </c>
      <c r="B121" s="12" t="n">
        <v>2151462.87</v>
      </c>
    </row>
    <row r="122" customFormat="false" ht="15" hidden="false" customHeight="false" outlineLevel="0" collapsed="false">
      <c r="A122" s="14" t="s">
        <v>125</v>
      </c>
      <c r="B122" s="15" t="n">
        <v>2151462.87</v>
      </c>
    </row>
    <row r="123" customFormat="false" ht="15" hidden="false" customHeight="false" outlineLevel="0" collapsed="false">
      <c r="A123" s="13" t="s">
        <v>126</v>
      </c>
      <c r="B123" s="12" t="n">
        <v>19502885.51</v>
      </c>
    </row>
    <row r="124" customFormat="false" ht="15" hidden="false" customHeight="false" outlineLevel="0" collapsed="false">
      <c r="A124" s="14" t="s">
        <v>127</v>
      </c>
      <c r="B124" s="15" t="n">
        <v>19502885.51</v>
      </c>
    </row>
    <row r="125" customFormat="false" ht="15" hidden="false" customHeight="false" outlineLevel="0" collapsed="false">
      <c r="A125" s="13" t="s">
        <v>128</v>
      </c>
      <c r="B125" s="12" t="n">
        <v>710851.33</v>
      </c>
    </row>
    <row r="126" customFormat="false" ht="15" hidden="false" customHeight="false" outlineLevel="0" collapsed="false">
      <c r="A126" s="14" t="s">
        <v>129</v>
      </c>
      <c r="B126" s="15" t="n">
        <v>92262.56</v>
      </c>
    </row>
    <row r="127" customFormat="false" ht="15" hidden="false" customHeight="false" outlineLevel="0" collapsed="false">
      <c r="A127" s="14" t="s">
        <v>130</v>
      </c>
      <c r="B127" s="15" t="n">
        <v>618588.77</v>
      </c>
    </row>
    <row r="128" customFormat="false" ht="15" hidden="false" customHeight="false" outlineLevel="0" collapsed="false">
      <c r="A128" s="13" t="s">
        <v>131</v>
      </c>
      <c r="B128" s="12" t="n">
        <v>1288335.42</v>
      </c>
    </row>
    <row r="129" customFormat="false" ht="15" hidden="false" customHeight="false" outlineLevel="0" collapsed="false">
      <c r="A129" s="14" t="s">
        <v>132</v>
      </c>
      <c r="B129" s="15" t="n">
        <v>32525.91</v>
      </c>
    </row>
    <row r="130" customFormat="false" ht="15" hidden="false" customHeight="false" outlineLevel="0" collapsed="false">
      <c r="A130" s="14" t="s">
        <v>133</v>
      </c>
      <c r="B130" s="15" t="n">
        <v>173722.04</v>
      </c>
    </row>
    <row r="131" customFormat="false" ht="15" hidden="false" customHeight="false" outlineLevel="0" collapsed="false">
      <c r="A131" s="14" t="s">
        <v>131</v>
      </c>
      <c r="B131" s="15" t="n">
        <v>1082087.47</v>
      </c>
    </row>
    <row r="132" customFormat="false" ht="15" hidden="false" customHeight="false" outlineLevel="0" collapsed="false">
      <c r="A132" s="13" t="s">
        <v>134</v>
      </c>
      <c r="B132" s="12" t="n">
        <v>2671903.95</v>
      </c>
    </row>
    <row r="133" customFormat="false" ht="15" hidden="false" customHeight="false" outlineLevel="0" collapsed="false">
      <c r="A133" s="14" t="s">
        <v>135</v>
      </c>
      <c r="B133" s="15" t="n">
        <v>828900</v>
      </c>
    </row>
    <row r="134" customFormat="false" ht="15" hidden="false" customHeight="false" outlineLevel="0" collapsed="false">
      <c r="A134" s="14" t="s">
        <v>136</v>
      </c>
      <c r="B134" s="15" t="n">
        <v>793063.04</v>
      </c>
    </row>
    <row r="135" customFormat="false" ht="15" hidden="false" customHeight="false" outlineLevel="0" collapsed="false">
      <c r="A135" s="14" t="s">
        <v>137</v>
      </c>
      <c r="B135" s="15" t="n">
        <v>1049940.91</v>
      </c>
    </row>
    <row r="136" customFormat="false" ht="15" hidden="false" customHeight="false" outlineLevel="0" collapsed="false">
      <c r="A136" s="13" t="s">
        <v>138</v>
      </c>
      <c r="B136" s="12" t="n">
        <v>669020.36</v>
      </c>
    </row>
    <row r="137" customFormat="false" ht="15" hidden="false" customHeight="false" outlineLevel="0" collapsed="false">
      <c r="A137" s="14" t="s">
        <v>139</v>
      </c>
      <c r="B137" s="15" t="n">
        <v>351903.7</v>
      </c>
    </row>
    <row r="138" customFormat="false" ht="15" hidden="false" customHeight="false" outlineLevel="0" collapsed="false">
      <c r="A138" s="14" t="s">
        <v>140</v>
      </c>
      <c r="B138" s="15" t="n">
        <v>285663.42</v>
      </c>
    </row>
    <row r="139" customFormat="false" ht="15" hidden="false" customHeight="false" outlineLevel="0" collapsed="false">
      <c r="A139" s="14" t="s">
        <v>141</v>
      </c>
      <c r="B139" s="15" t="n">
        <v>31453.24</v>
      </c>
    </row>
    <row r="140" customFormat="false" ht="15" hidden="false" customHeight="false" outlineLevel="0" collapsed="false">
      <c r="A140" s="13" t="s">
        <v>142</v>
      </c>
      <c r="B140" s="12" t="n">
        <v>4563911.18</v>
      </c>
    </row>
    <row r="141" customFormat="false" ht="15" hidden="false" customHeight="false" outlineLevel="0" collapsed="false">
      <c r="A141" s="14" t="s">
        <v>143</v>
      </c>
      <c r="B141" s="15" t="n">
        <v>4563911.18</v>
      </c>
    </row>
    <row r="142" customFormat="false" ht="15" hidden="false" customHeight="false" outlineLevel="0" collapsed="false">
      <c r="A142" s="13" t="s">
        <v>144</v>
      </c>
      <c r="B142" s="12" t="n">
        <v>4454261.51</v>
      </c>
    </row>
    <row r="143" customFormat="false" ht="15" hidden="false" customHeight="false" outlineLevel="0" collapsed="false">
      <c r="A143" s="14" t="s">
        <v>145</v>
      </c>
      <c r="B143" s="15" t="n">
        <v>4454261.51</v>
      </c>
    </row>
    <row r="144" customFormat="false" ht="15" hidden="false" customHeight="false" outlineLevel="0" collapsed="false">
      <c r="A144" s="13" t="s">
        <v>146</v>
      </c>
      <c r="B144" s="12" t="n">
        <v>364757.31</v>
      </c>
    </row>
    <row r="145" customFormat="false" ht="15" hidden="false" customHeight="false" outlineLevel="0" collapsed="false">
      <c r="A145" s="14" t="s">
        <v>147</v>
      </c>
      <c r="B145" s="15" t="n">
        <v>364757.31</v>
      </c>
    </row>
    <row r="146" customFormat="false" ht="15" hidden="false" customHeight="false" outlineLevel="0" collapsed="false">
      <c r="A146" s="13" t="s">
        <v>148</v>
      </c>
      <c r="B146" s="12" t="n">
        <v>-19893203.98</v>
      </c>
    </row>
    <row r="147" customFormat="false" ht="15" hidden="false" customHeight="false" outlineLevel="0" collapsed="false">
      <c r="A147" s="14" t="s">
        <v>149</v>
      </c>
      <c r="B147" s="15" t="n">
        <v>-19893203.98</v>
      </c>
    </row>
    <row r="148" customFormat="false" ht="15" hidden="false" customHeight="false" outlineLevel="0" collapsed="false">
      <c r="A148" s="11" t="s">
        <v>150</v>
      </c>
      <c r="B148" s="12" t="n">
        <v>2376333.17</v>
      </c>
    </row>
    <row r="149" customFormat="false" ht="15" hidden="false" customHeight="false" outlineLevel="0" collapsed="false">
      <c r="A149" s="13" t="s">
        <v>151</v>
      </c>
      <c r="B149" s="12" t="n">
        <v>2094086.47</v>
      </c>
    </row>
    <row r="150" customFormat="false" ht="15" hidden="false" customHeight="false" outlineLevel="0" collapsed="false">
      <c r="A150" s="14" t="s">
        <v>152</v>
      </c>
      <c r="B150" s="15" t="n">
        <v>46948</v>
      </c>
    </row>
    <row r="151" customFormat="false" ht="15" hidden="false" customHeight="false" outlineLevel="0" collapsed="false">
      <c r="A151" s="14" t="s">
        <v>153</v>
      </c>
      <c r="B151" s="15" t="n">
        <v>1887138.47</v>
      </c>
    </row>
    <row r="152" customFormat="false" ht="15" hidden="false" customHeight="false" outlineLevel="0" collapsed="false">
      <c r="A152" s="14" t="s">
        <v>154</v>
      </c>
      <c r="B152" s="15" t="n">
        <v>160000</v>
      </c>
    </row>
    <row r="153" customFormat="false" ht="15" hidden="false" customHeight="false" outlineLevel="0" collapsed="false">
      <c r="A153" s="13" t="s">
        <v>155</v>
      </c>
      <c r="B153" s="12" t="n">
        <v>282246.7</v>
      </c>
    </row>
    <row r="154" customFormat="false" ht="15" hidden="false" customHeight="false" outlineLevel="0" collapsed="false">
      <c r="A154" s="14" t="s">
        <v>156</v>
      </c>
      <c r="B154" s="15" t="n">
        <v>888569.89</v>
      </c>
    </row>
    <row r="155" customFormat="false" ht="15" hidden="false" customHeight="false" outlineLevel="0" collapsed="false">
      <c r="A155" s="14" t="s">
        <v>157</v>
      </c>
      <c r="B155" s="15" t="n">
        <v>-606323.19</v>
      </c>
    </row>
    <row r="156" customFormat="false" ht="15" hidden="false" customHeight="false" outlineLevel="0" collapsed="false">
      <c r="A156" s="7" t="s">
        <v>158</v>
      </c>
      <c r="B156" s="8" t="n">
        <v>80341995.8</v>
      </c>
    </row>
    <row r="157" customFormat="false" ht="15" hidden="false" customHeight="false" outlineLevel="0" collapsed="false">
      <c r="A157" s="9" t="s">
        <v>159</v>
      </c>
      <c r="B157" s="10" t="n">
        <v>18240434.23</v>
      </c>
    </row>
    <row r="158" customFormat="false" ht="15" hidden="false" customHeight="false" outlineLevel="0" collapsed="false">
      <c r="A158" s="11" t="s">
        <v>160</v>
      </c>
      <c r="B158" s="12" t="n">
        <v>5976163.05</v>
      </c>
    </row>
    <row r="159" customFormat="false" ht="15" hidden="false" customHeight="false" outlineLevel="0" collapsed="false">
      <c r="A159" s="13" t="s">
        <v>161</v>
      </c>
      <c r="B159" s="12" t="n">
        <v>5958849.54</v>
      </c>
    </row>
    <row r="160" customFormat="false" ht="15" hidden="false" customHeight="false" outlineLevel="0" collapsed="false">
      <c r="A160" s="14" t="s">
        <v>161</v>
      </c>
      <c r="B160" s="15" t="n">
        <v>5958849.54</v>
      </c>
    </row>
    <row r="161" customFormat="false" ht="15" hidden="false" customHeight="false" outlineLevel="0" collapsed="false">
      <c r="A161" s="13" t="s">
        <v>162</v>
      </c>
      <c r="B161" s="12" t="n">
        <v>17313.51</v>
      </c>
    </row>
    <row r="162" customFormat="false" ht="15" hidden="false" customHeight="false" outlineLevel="0" collapsed="false">
      <c r="A162" s="14" t="s">
        <v>162</v>
      </c>
      <c r="B162" s="15" t="n">
        <v>17313.51</v>
      </c>
    </row>
    <row r="163" customFormat="false" ht="15" hidden="false" customHeight="false" outlineLevel="0" collapsed="false">
      <c r="A163" s="11" t="s">
        <v>163</v>
      </c>
      <c r="B163" s="12" t="n">
        <v>2249147.26</v>
      </c>
    </row>
    <row r="164" customFormat="false" ht="15" hidden="false" customHeight="false" outlineLevel="0" collapsed="false">
      <c r="A164" s="13" t="s">
        <v>164</v>
      </c>
      <c r="B164" s="12" t="n">
        <v>1467506.63</v>
      </c>
    </row>
    <row r="165" customFormat="false" ht="15" hidden="false" customHeight="false" outlineLevel="0" collapsed="false">
      <c r="A165" s="14" t="s">
        <v>165</v>
      </c>
      <c r="B165" s="15" t="n">
        <v>161095.07</v>
      </c>
    </row>
    <row r="166" customFormat="false" ht="15" hidden="false" customHeight="false" outlineLevel="0" collapsed="false">
      <c r="A166" s="14" t="s">
        <v>166</v>
      </c>
      <c r="B166" s="15" t="n">
        <v>735879.58</v>
      </c>
    </row>
    <row r="167" customFormat="false" ht="15" hidden="false" customHeight="false" outlineLevel="0" collapsed="false">
      <c r="A167" s="14" t="s">
        <v>167</v>
      </c>
      <c r="B167" s="15" t="n">
        <v>285790.06</v>
      </c>
    </row>
    <row r="168" customFormat="false" ht="15" hidden="false" customHeight="false" outlineLevel="0" collapsed="false">
      <c r="A168" s="14" t="s">
        <v>168</v>
      </c>
      <c r="B168" s="15" t="n">
        <v>187184.87</v>
      </c>
    </row>
    <row r="169" customFormat="false" ht="15" hidden="false" customHeight="false" outlineLevel="0" collapsed="false">
      <c r="A169" s="14" t="s">
        <v>169</v>
      </c>
      <c r="B169" s="15" t="n">
        <v>57922.3</v>
      </c>
    </row>
    <row r="170" customFormat="false" ht="15" hidden="false" customHeight="false" outlineLevel="0" collapsed="false">
      <c r="A170" s="14" t="s">
        <v>170</v>
      </c>
      <c r="B170" s="15" t="n">
        <v>605.08</v>
      </c>
    </row>
    <row r="171" customFormat="false" ht="15" hidden="false" customHeight="false" outlineLevel="0" collapsed="false">
      <c r="A171" s="14" t="s">
        <v>171</v>
      </c>
      <c r="B171" s="15" t="n">
        <v>13.61</v>
      </c>
    </row>
    <row r="172" customFormat="false" ht="15" hidden="false" customHeight="false" outlineLevel="0" collapsed="false">
      <c r="A172" s="14" t="s">
        <v>172</v>
      </c>
      <c r="B172" s="15" t="n">
        <v>36977.32</v>
      </c>
    </row>
    <row r="173" customFormat="false" ht="15" hidden="false" customHeight="false" outlineLevel="0" collapsed="false">
      <c r="A173" s="14" t="s">
        <v>173</v>
      </c>
      <c r="B173" s="15" t="n">
        <v>2038.74</v>
      </c>
    </row>
    <row r="174" customFormat="false" ht="15" hidden="false" customHeight="false" outlineLevel="0" collapsed="false">
      <c r="A174" s="13" t="s">
        <v>174</v>
      </c>
      <c r="B174" s="12" t="n">
        <v>775591.97</v>
      </c>
    </row>
    <row r="175" customFormat="false" ht="15" hidden="false" customHeight="false" outlineLevel="0" collapsed="false">
      <c r="A175" s="14" t="s">
        <v>175</v>
      </c>
      <c r="B175" s="15" t="n">
        <v>775481.32</v>
      </c>
    </row>
    <row r="176" customFormat="false" ht="15" hidden="false" customHeight="false" outlineLevel="0" collapsed="false">
      <c r="A176" s="14" t="s">
        <v>176</v>
      </c>
      <c r="B176" s="15" t="n">
        <v>110.65</v>
      </c>
    </row>
    <row r="177" customFormat="false" ht="15" hidden="false" customHeight="false" outlineLevel="0" collapsed="false">
      <c r="A177" s="13" t="s">
        <v>178</v>
      </c>
      <c r="B177" s="12" t="n">
        <v>4375.63</v>
      </c>
    </row>
    <row r="178" customFormat="false" ht="15" hidden="false" customHeight="false" outlineLevel="0" collapsed="false">
      <c r="A178" s="14" t="s">
        <v>179</v>
      </c>
      <c r="B178" s="15" t="n">
        <v>4062.76</v>
      </c>
    </row>
    <row r="179" customFormat="false" ht="15" hidden="false" customHeight="false" outlineLevel="0" collapsed="false">
      <c r="A179" s="14" t="s">
        <v>180</v>
      </c>
      <c r="B179" s="15" t="n">
        <v>59.82</v>
      </c>
    </row>
    <row r="180" customFormat="false" ht="15" hidden="false" customHeight="false" outlineLevel="0" collapsed="false">
      <c r="A180" s="14" t="s">
        <v>181</v>
      </c>
      <c r="B180" s="15" t="n">
        <v>253.05</v>
      </c>
    </row>
    <row r="181" customFormat="false" ht="15" hidden="false" customHeight="false" outlineLevel="0" collapsed="false">
      <c r="A181" s="13" t="s">
        <v>182</v>
      </c>
      <c r="B181" s="12" t="n">
        <v>1673.03</v>
      </c>
    </row>
    <row r="182" customFormat="false" ht="15" hidden="false" customHeight="false" outlineLevel="0" collapsed="false">
      <c r="A182" s="14" t="s">
        <v>183</v>
      </c>
      <c r="B182" s="15" t="n">
        <v>1673.03</v>
      </c>
    </row>
    <row r="183" customFormat="false" ht="15" hidden="false" customHeight="false" outlineLevel="0" collapsed="false">
      <c r="A183" s="11" t="s">
        <v>184</v>
      </c>
      <c r="B183" s="12" t="n">
        <v>4891516.74</v>
      </c>
    </row>
    <row r="184" customFormat="false" ht="15" hidden="false" customHeight="false" outlineLevel="0" collapsed="false">
      <c r="A184" s="13" t="s">
        <v>185</v>
      </c>
      <c r="B184" s="12" t="n">
        <v>377433.67</v>
      </c>
    </row>
    <row r="185" customFormat="false" ht="15" hidden="false" customHeight="false" outlineLevel="0" collapsed="false">
      <c r="A185" s="14" t="s">
        <v>186</v>
      </c>
      <c r="B185" s="15" t="n">
        <v>370413.72</v>
      </c>
    </row>
    <row r="186" customFormat="false" ht="15" hidden="false" customHeight="false" outlineLevel="0" collapsed="false">
      <c r="A186" s="14" t="s">
        <v>187</v>
      </c>
      <c r="B186" s="15" t="n">
        <v>2394.37</v>
      </c>
    </row>
    <row r="187" customFormat="false" ht="15" hidden="false" customHeight="false" outlineLevel="0" collapsed="false">
      <c r="A187" s="14" t="s">
        <v>188</v>
      </c>
      <c r="B187" s="15" t="n">
        <v>4625.58</v>
      </c>
    </row>
    <row r="188" customFormat="false" ht="15" hidden="false" customHeight="false" outlineLevel="0" collapsed="false">
      <c r="A188" s="13" t="s">
        <v>189</v>
      </c>
      <c r="B188" s="12" t="n">
        <v>66723.27</v>
      </c>
    </row>
    <row r="189" customFormat="false" ht="15" hidden="false" customHeight="false" outlineLevel="0" collapsed="false">
      <c r="A189" s="14" t="s">
        <v>190</v>
      </c>
      <c r="B189" s="15" t="n">
        <v>22316.54</v>
      </c>
    </row>
    <row r="190" customFormat="false" ht="15" hidden="false" customHeight="false" outlineLevel="0" collapsed="false">
      <c r="A190" s="14" t="s">
        <v>191</v>
      </c>
      <c r="B190" s="15" t="n">
        <v>1215.75</v>
      </c>
    </row>
    <row r="191" customFormat="false" ht="15" hidden="false" customHeight="false" outlineLevel="0" collapsed="false">
      <c r="A191" s="14" t="s">
        <v>192</v>
      </c>
      <c r="B191" s="15" t="n">
        <v>43190.98</v>
      </c>
    </row>
    <row r="192" customFormat="false" ht="15" hidden="false" customHeight="false" outlineLevel="0" collapsed="false">
      <c r="A192" s="13" t="s">
        <v>193</v>
      </c>
      <c r="B192" s="12" t="n">
        <v>3084097.85</v>
      </c>
    </row>
    <row r="193" customFormat="false" ht="15" hidden="false" customHeight="false" outlineLevel="0" collapsed="false">
      <c r="A193" s="14" t="s">
        <v>194</v>
      </c>
      <c r="B193" s="15" t="n">
        <v>2938992.67</v>
      </c>
    </row>
    <row r="194" customFormat="false" ht="15" hidden="false" customHeight="false" outlineLevel="0" collapsed="false">
      <c r="A194" s="14" t="s">
        <v>195</v>
      </c>
      <c r="B194" s="15" t="n">
        <v>121794.94</v>
      </c>
    </row>
    <row r="195" customFormat="false" ht="15" hidden="false" customHeight="false" outlineLevel="0" collapsed="false">
      <c r="A195" s="14" t="s">
        <v>196</v>
      </c>
      <c r="B195" s="15" t="n">
        <v>1098</v>
      </c>
    </row>
    <row r="196" customFormat="false" ht="15" hidden="false" customHeight="false" outlineLevel="0" collapsed="false">
      <c r="A196" s="14" t="s">
        <v>197</v>
      </c>
      <c r="B196" s="15" t="n">
        <v>21853.7</v>
      </c>
    </row>
    <row r="197" customFormat="false" ht="15" hidden="false" customHeight="false" outlineLevel="0" collapsed="false">
      <c r="A197" s="14" t="s">
        <v>198</v>
      </c>
      <c r="B197" s="15" t="n">
        <v>358.54</v>
      </c>
    </row>
    <row r="198" customFormat="false" ht="15" hidden="false" customHeight="false" outlineLevel="0" collapsed="false">
      <c r="A198" s="13" t="s">
        <v>199</v>
      </c>
      <c r="B198" s="12" t="n">
        <v>1363261.95</v>
      </c>
    </row>
    <row r="199" customFormat="false" ht="15" hidden="false" customHeight="false" outlineLevel="0" collapsed="false">
      <c r="A199" s="14" t="s">
        <v>200</v>
      </c>
      <c r="B199" s="15" t="n">
        <v>122440.6</v>
      </c>
    </row>
    <row r="200" customFormat="false" ht="15" hidden="false" customHeight="false" outlineLevel="0" collapsed="false">
      <c r="A200" s="14" t="s">
        <v>202</v>
      </c>
      <c r="B200" s="15" t="n">
        <v>171612.63</v>
      </c>
    </row>
    <row r="201" customFormat="false" ht="15" hidden="false" customHeight="false" outlineLevel="0" collapsed="false">
      <c r="A201" s="14" t="s">
        <v>203</v>
      </c>
      <c r="B201" s="15" t="n">
        <v>149848.83</v>
      </c>
    </row>
    <row r="202" customFormat="false" ht="15" hidden="false" customHeight="false" outlineLevel="0" collapsed="false">
      <c r="A202" s="14" t="s">
        <v>204</v>
      </c>
      <c r="B202" s="15" t="n">
        <v>32545.14</v>
      </c>
    </row>
    <row r="203" customFormat="false" ht="15" hidden="false" customHeight="false" outlineLevel="0" collapsed="false">
      <c r="A203" s="14" t="s">
        <v>205</v>
      </c>
      <c r="B203" s="15" t="n">
        <v>413585.45</v>
      </c>
    </row>
    <row r="204" customFormat="false" ht="15" hidden="false" customHeight="false" outlineLevel="0" collapsed="false">
      <c r="A204" s="14" t="s">
        <v>206</v>
      </c>
      <c r="B204" s="15" t="n">
        <v>473229.3</v>
      </c>
    </row>
    <row r="205" customFormat="false" ht="15" hidden="false" customHeight="false" outlineLevel="0" collapsed="false">
      <c r="A205" s="11" t="s">
        <v>207</v>
      </c>
      <c r="B205" s="12" t="n">
        <v>-1181567.51</v>
      </c>
    </row>
    <row r="206" customFormat="false" ht="15" hidden="false" customHeight="false" outlineLevel="0" collapsed="false">
      <c r="A206" s="13" t="s">
        <v>207</v>
      </c>
      <c r="B206" s="12" t="n">
        <v>753999.43</v>
      </c>
    </row>
    <row r="207" customFormat="false" ht="15" hidden="false" customHeight="false" outlineLevel="0" collapsed="false">
      <c r="A207" s="14" t="s">
        <v>211</v>
      </c>
      <c r="B207" s="15" t="n">
        <v>187500</v>
      </c>
    </row>
    <row r="208" customFormat="false" ht="15" hidden="false" customHeight="false" outlineLevel="0" collapsed="false">
      <c r="A208" s="14" t="s">
        <v>212</v>
      </c>
      <c r="B208" s="15" t="n">
        <v>-71930.08</v>
      </c>
    </row>
    <row r="209" customFormat="false" ht="15" hidden="false" customHeight="false" outlineLevel="0" collapsed="false">
      <c r="A209" s="14" t="s">
        <v>213</v>
      </c>
      <c r="B209" s="15" t="n">
        <v>15589.19</v>
      </c>
    </row>
    <row r="210" customFormat="false" ht="15" hidden="false" customHeight="false" outlineLevel="0" collapsed="false">
      <c r="A210" s="14" t="s">
        <v>214</v>
      </c>
      <c r="B210" s="15" t="n">
        <v>239486.16</v>
      </c>
    </row>
    <row r="211" customFormat="false" ht="15" hidden="false" customHeight="false" outlineLevel="0" collapsed="false">
      <c r="A211" s="14" t="s">
        <v>215</v>
      </c>
      <c r="B211" s="15" t="n">
        <v>20048.36</v>
      </c>
    </row>
    <row r="212" customFormat="false" ht="15" hidden="false" customHeight="false" outlineLevel="0" collapsed="false">
      <c r="A212" s="14" t="s">
        <v>216</v>
      </c>
      <c r="B212" s="15" t="n">
        <v>363305.8</v>
      </c>
    </row>
    <row r="213" customFormat="false" ht="15" hidden="false" customHeight="false" outlineLevel="0" collapsed="false">
      <c r="A213" s="13" t="s">
        <v>217</v>
      </c>
      <c r="B213" s="12" t="n">
        <v>-1935566.94</v>
      </c>
    </row>
    <row r="214" customFormat="false" ht="15" hidden="false" customHeight="false" outlineLevel="0" collapsed="false">
      <c r="A214" s="14" t="s">
        <v>218</v>
      </c>
      <c r="B214" s="15" t="n">
        <v>-1935566.94</v>
      </c>
    </row>
    <row r="215" customFormat="false" ht="15" hidden="false" customHeight="false" outlineLevel="0" collapsed="false">
      <c r="A215" s="11" t="s">
        <v>219</v>
      </c>
      <c r="B215" s="12" t="n">
        <v>-1232808.4</v>
      </c>
    </row>
    <row r="216" customFormat="false" ht="15" hidden="false" customHeight="false" outlineLevel="0" collapsed="false">
      <c r="A216" s="13" t="s">
        <v>220</v>
      </c>
      <c r="B216" s="12" t="n">
        <v>-1232808.4</v>
      </c>
    </row>
    <row r="217" customFormat="false" ht="15" hidden="false" customHeight="false" outlineLevel="0" collapsed="false">
      <c r="A217" s="14" t="s">
        <v>221</v>
      </c>
      <c r="B217" s="15" t="n">
        <v>31019.08</v>
      </c>
    </row>
    <row r="218" customFormat="false" ht="15" hidden="false" customHeight="false" outlineLevel="0" collapsed="false">
      <c r="A218" s="14" t="s">
        <v>222</v>
      </c>
      <c r="B218" s="15" t="n">
        <v>106653.74</v>
      </c>
    </row>
    <row r="219" customFormat="false" ht="15" hidden="false" customHeight="false" outlineLevel="0" collapsed="false">
      <c r="A219" s="14" t="s">
        <v>223</v>
      </c>
      <c r="B219" s="15" t="n">
        <v>-302421.57</v>
      </c>
    </row>
    <row r="220" customFormat="false" ht="15" hidden="false" customHeight="false" outlineLevel="0" collapsed="false">
      <c r="A220" s="14" t="s">
        <v>224</v>
      </c>
      <c r="B220" s="15" t="n">
        <v>-1068059.65</v>
      </c>
    </row>
    <row r="221" customFormat="false" ht="15" hidden="false" customHeight="false" outlineLevel="0" collapsed="false">
      <c r="A221" s="11" t="s">
        <v>225</v>
      </c>
      <c r="B221" s="12" t="n">
        <v>3944451.05</v>
      </c>
    </row>
    <row r="222" customFormat="false" ht="15" hidden="false" customHeight="false" outlineLevel="0" collapsed="false">
      <c r="A222" s="13" t="s">
        <v>226</v>
      </c>
      <c r="B222" s="12" t="n">
        <v>3944451.05</v>
      </c>
    </row>
    <row r="223" customFormat="false" ht="15" hidden="false" customHeight="false" outlineLevel="0" collapsed="false">
      <c r="A223" s="14" t="s">
        <v>227</v>
      </c>
      <c r="B223" s="15" t="n">
        <v>107176.82</v>
      </c>
    </row>
    <row r="224" customFormat="false" ht="15" hidden="false" customHeight="false" outlineLevel="0" collapsed="false">
      <c r="A224" s="14" t="s">
        <v>228</v>
      </c>
      <c r="B224" s="15" t="n">
        <v>1568503.49</v>
      </c>
    </row>
    <row r="225" customFormat="false" ht="15" hidden="false" customHeight="false" outlineLevel="0" collapsed="false">
      <c r="A225" s="14" t="s">
        <v>229</v>
      </c>
      <c r="B225" s="15" t="n">
        <v>207181.98</v>
      </c>
    </row>
    <row r="226" customFormat="false" ht="15" hidden="false" customHeight="false" outlineLevel="0" collapsed="false">
      <c r="A226" s="14" t="s">
        <v>230</v>
      </c>
      <c r="B226" s="15" t="n">
        <v>1922961.72</v>
      </c>
    </row>
    <row r="227" customFormat="false" ht="15" hidden="false" customHeight="false" outlineLevel="0" collapsed="false">
      <c r="A227" s="14" t="s">
        <v>231</v>
      </c>
      <c r="B227" s="15" t="n">
        <v>62457.53</v>
      </c>
    </row>
    <row r="228" customFormat="false" ht="15" hidden="false" customHeight="false" outlineLevel="0" collapsed="false">
      <c r="A228" s="14" t="s">
        <v>232</v>
      </c>
      <c r="B228" s="15" t="n">
        <v>96180</v>
      </c>
    </row>
    <row r="229" customFormat="false" ht="15" hidden="false" customHeight="false" outlineLevel="0" collapsed="false">
      <c r="A229" s="14" t="s">
        <v>233</v>
      </c>
      <c r="B229" s="15" t="n">
        <v>-20010.49</v>
      </c>
    </row>
    <row r="230" customFormat="false" ht="15" hidden="false" customHeight="false" outlineLevel="0" collapsed="false">
      <c r="A230" s="11" t="s">
        <v>234</v>
      </c>
      <c r="B230" s="12" t="n">
        <v>3090157.62</v>
      </c>
    </row>
    <row r="231" customFormat="false" ht="15" hidden="false" customHeight="false" outlineLevel="0" collapsed="false">
      <c r="A231" s="13" t="s">
        <v>234</v>
      </c>
      <c r="B231" s="12" t="n">
        <v>3090157.62</v>
      </c>
    </row>
    <row r="232" customFormat="false" ht="15" hidden="false" customHeight="false" outlineLevel="0" collapsed="false">
      <c r="A232" s="14" t="s">
        <v>235</v>
      </c>
      <c r="B232" s="15" t="n">
        <v>2992517.25</v>
      </c>
    </row>
    <row r="233" customFormat="false" ht="15" hidden="false" customHeight="false" outlineLevel="0" collapsed="false">
      <c r="A233" s="14" t="s">
        <v>236</v>
      </c>
      <c r="B233" s="15" t="n">
        <v>97640.37</v>
      </c>
    </row>
    <row r="234" customFormat="false" ht="15" hidden="false" customHeight="false" outlineLevel="0" collapsed="false">
      <c r="A234" s="11" t="s">
        <v>237</v>
      </c>
      <c r="B234" s="12" t="n">
        <v>503374.42</v>
      </c>
    </row>
    <row r="235" customFormat="false" ht="15" hidden="false" customHeight="false" outlineLevel="0" collapsed="false">
      <c r="A235" s="13" t="s">
        <v>238</v>
      </c>
      <c r="B235" s="12" t="n">
        <v>48014.26</v>
      </c>
    </row>
    <row r="236" customFormat="false" ht="15" hidden="false" customHeight="false" outlineLevel="0" collapsed="false">
      <c r="A236" s="14" t="s">
        <v>239</v>
      </c>
      <c r="B236" s="15" t="n">
        <v>44621.9</v>
      </c>
    </row>
    <row r="237" customFormat="false" ht="15" hidden="false" customHeight="false" outlineLevel="0" collapsed="false">
      <c r="A237" s="14" t="s">
        <v>240</v>
      </c>
      <c r="B237" s="15" t="n">
        <v>3392.36</v>
      </c>
    </row>
    <row r="238" customFormat="false" ht="15" hidden="false" customHeight="false" outlineLevel="0" collapsed="false">
      <c r="A238" s="13" t="s">
        <v>241</v>
      </c>
      <c r="B238" s="12" t="n">
        <v>151743.48</v>
      </c>
    </row>
    <row r="239" customFormat="false" ht="15" hidden="false" customHeight="false" outlineLevel="0" collapsed="false">
      <c r="A239" s="14" t="s">
        <v>242</v>
      </c>
      <c r="B239" s="15" t="n">
        <v>151743.48</v>
      </c>
    </row>
    <row r="240" customFormat="false" ht="15" hidden="false" customHeight="false" outlineLevel="0" collapsed="false">
      <c r="A240" s="13" t="s">
        <v>243</v>
      </c>
      <c r="B240" s="12" t="n">
        <v>2287</v>
      </c>
    </row>
    <row r="241" customFormat="false" ht="15" hidden="false" customHeight="false" outlineLevel="0" collapsed="false">
      <c r="A241" s="14" t="s">
        <v>243</v>
      </c>
      <c r="B241" s="15" t="n">
        <v>2287</v>
      </c>
    </row>
    <row r="242" customFormat="false" ht="15" hidden="false" customHeight="false" outlineLevel="0" collapsed="false">
      <c r="A242" s="13" t="s">
        <v>244</v>
      </c>
      <c r="B242" s="12" t="n">
        <v>301329.68</v>
      </c>
    </row>
    <row r="243" customFormat="false" ht="15" hidden="false" customHeight="false" outlineLevel="0" collapsed="false">
      <c r="A243" s="14" t="s">
        <v>244</v>
      </c>
      <c r="B243" s="15" t="n">
        <v>284478.68</v>
      </c>
    </row>
    <row r="244" customFormat="false" ht="15" hidden="false" customHeight="false" outlineLevel="0" collapsed="false">
      <c r="A244" s="14" t="s">
        <v>245</v>
      </c>
      <c r="B244" s="15" t="n">
        <v>16851</v>
      </c>
    </row>
    <row r="245" customFormat="false" ht="15" hidden="false" customHeight="false" outlineLevel="0" collapsed="false">
      <c r="A245" s="9" t="s">
        <v>246</v>
      </c>
      <c r="B245" s="10" t="n">
        <v>38156707.18</v>
      </c>
    </row>
    <row r="246" customFormat="false" ht="15" hidden="false" customHeight="false" outlineLevel="0" collapsed="false">
      <c r="A246" s="11" t="s">
        <v>207</v>
      </c>
      <c r="B246" s="12" t="n">
        <v>8562315.23</v>
      </c>
    </row>
    <row r="247" customFormat="false" ht="15" hidden="false" customHeight="false" outlineLevel="0" collapsed="false">
      <c r="A247" s="13" t="s">
        <v>247</v>
      </c>
      <c r="B247" s="12" t="n">
        <v>8562315.23</v>
      </c>
    </row>
    <row r="248" customFormat="false" ht="15" hidden="false" customHeight="false" outlineLevel="0" collapsed="false">
      <c r="A248" s="14" t="s">
        <v>248</v>
      </c>
      <c r="B248" s="15" t="n">
        <v>703125</v>
      </c>
    </row>
    <row r="249" customFormat="false" ht="15" hidden="false" customHeight="false" outlineLevel="0" collapsed="false">
      <c r="A249" s="14" t="s">
        <v>249</v>
      </c>
      <c r="B249" s="15" t="n">
        <v>1781004.54</v>
      </c>
    </row>
    <row r="250" customFormat="false" ht="15" hidden="false" customHeight="false" outlineLevel="0" collapsed="false">
      <c r="A250" s="14" t="s">
        <v>250</v>
      </c>
      <c r="B250" s="15" t="n">
        <v>162958.8</v>
      </c>
    </row>
    <row r="251" customFormat="false" ht="15" hidden="false" customHeight="false" outlineLevel="0" collapsed="false">
      <c r="A251" s="14" t="s">
        <v>251</v>
      </c>
      <c r="B251" s="15" t="n">
        <v>2095503.9</v>
      </c>
    </row>
    <row r="252" customFormat="false" ht="15" hidden="false" customHeight="false" outlineLevel="0" collapsed="false">
      <c r="A252" s="14" t="s">
        <v>252</v>
      </c>
      <c r="B252" s="15" t="n">
        <v>5012.09</v>
      </c>
    </row>
    <row r="253" customFormat="false" ht="15" hidden="false" customHeight="false" outlineLevel="0" collapsed="false">
      <c r="A253" s="14" t="s">
        <v>253</v>
      </c>
      <c r="B253" s="15" t="n">
        <v>3814710.9</v>
      </c>
    </row>
    <row r="254" customFormat="false" ht="15" hidden="false" customHeight="false" outlineLevel="0" collapsed="false">
      <c r="A254" s="11" t="s">
        <v>254</v>
      </c>
      <c r="B254" s="12" t="n">
        <v>4307409.95</v>
      </c>
    </row>
    <row r="255" customFormat="false" ht="15" hidden="false" customHeight="false" outlineLevel="0" collapsed="false">
      <c r="A255" s="13" t="s">
        <v>255</v>
      </c>
      <c r="B255" s="12" t="n">
        <v>4307409.95</v>
      </c>
    </row>
    <row r="256" customFormat="false" ht="15" hidden="false" customHeight="false" outlineLevel="0" collapsed="false">
      <c r="A256" s="14" t="s">
        <v>256</v>
      </c>
      <c r="B256" s="15" t="n">
        <v>3880794.99</v>
      </c>
    </row>
    <row r="257" customFormat="false" ht="15" hidden="false" customHeight="false" outlineLevel="0" collapsed="false">
      <c r="A257" s="14" t="s">
        <v>257</v>
      </c>
      <c r="B257" s="15" t="n">
        <v>426614.96</v>
      </c>
    </row>
    <row r="258" customFormat="false" ht="15" hidden="false" customHeight="false" outlineLevel="0" collapsed="false">
      <c r="A258" s="11" t="s">
        <v>258</v>
      </c>
      <c r="B258" s="12" t="n">
        <v>4916419.84</v>
      </c>
    </row>
    <row r="259" customFormat="false" ht="15" hidden="false" customHeight="false" outlineLevel="0" collapsed="false">
      <c r="A259" s="13" t="s">
        <v>259</v>
      </c>
      <c r="B259" s="12" t="n">
        <v>4916419.84</v>
      </c>
    </row>
    <row r="260" customFormat="false" ht="15" hidden="false" customHeight="false" outlineLevel="0" collapsed="false">
      <c r="A260" s="14" t="s">
        <v>260</v>
      </c>
      <c r="B260" s="15" t="n">
        <v>4469622.39</v>
      </c>
    </row>
    <row r="261" customFormat="false" ht="15" hidden="false" customHeight="false" outlineLevel="0" collapsed="false">
      <c r="A261" s="14" t="s">
        <v>261</v>
      </c>
      <c r="B261" s="15" t="n">
        <v>76482.3</v>
      </c>
    </row>
    <row r="262" customFormat="false" ht="15" hidden="false" customHeight="false" outlineLevel="0" collapsed="false">
      <c r="A262" s="14" t="s">
        <v>262</v>
      </c>
      <c r="B262" s="15" t="n">
        <v>370315.15</v>
      </c>
    </row>
    <row r="263" customFormat="false" ht="15" hidden="false" customHeight="false" outlineLevel="0" collapsed="false">
      <c r="A263" s="11" t="s">
        <v>263</v>
      </c>
      <c r="B263" s="12" t="n">
        <v>20370562.16</v>
      </c>
    </row>
    <row r="264" customFormat="false" ht="15" hidden="false" customHeight="false" outlineLevel="0" collapsed="false">
      <c r="A264" s="13" t="s">
        <v>263</v>
      </c>
      <c r="B264" s="12" t="n">
        <v>20370562.16</v>
      </c>
    </row>
    <row r="265" customFormat="false" ht="15" hidden="false" customHeight="false" outlineLevel="0" collapsed="false">
      <c r="A265" s="14" t="s">
        <v>264</v>
      </c>
      <c r="B265" s="15" t="n">
        <v>8511069.63</v>
      </c>
    </row>
    <row r="266" customFormat="false" ht="15" hidden="false" customHeight="false" outlineLevel="0" collapsed="false">
      <c r="A266" s="14" t="s">
        <v>265</v>
      </c>
      <c r="B266" s="15" t="n">
        <v>8384137.46</v>
      </c>
    </row>
    <row r="267" customFormat="false" ht="15" hidden="false" customHeight="false" outlineLevel="0" collapsed="false">
      <c r="A267" s="14" t="s">
        <v>266</v>
      </c>
      <c r="B267" s="15" t="n">
        <v>986346.19</v>
      </c>
    </row>
    <row r="268" customFormat="false" ht="15" hidden="false" customHeight="false" outlineLevel="0" collapsed="false">
      <c r="A268" s="14" t="s">
        <v>267</v>
      </c>
      <c r="B268" s="15" t="n">
        <v>2489008.88</v>
      </c>
    </row>
    <row r="269" customFormat="false" ht="15" hidden="false" customHeight="false" outlineLevel="0" collapsed="false">
      <c r="A269" s="9" t="s">
        <v>268</v>
      </c>
      <c r="B269" s="10" t="n">
        <v>23944854.39</v>
      </c>
    </row>
    <row r="270" customFormat="false" ht="15" hidden="false" customHeight="false" outlineLevel="0" collapsed="false">
      <c r="A270" s="11" t="s">
        <v>269</v>
      </c>
      <c r="B270" s="12" t="n">
        <v>6000000</v>
      </c>
    </row>
    <row r="271" customFormat="false" ht="15" hidden="false" customHeight="false" outlineLevel="0" collapsed="false">
      <c r="A271" s="13" t="s">
        <v>269</v>
      </c>
      <c r="B271" s="12" t="n">
        <v>6000000</v>
      </c>
    </row>
    <row r="272" customFormat="false" ht="15" hidden="false" customHeight="false" outlineLevel="0" collapsed="false">
      <c r="A272" s="14" t="s">
        <v>270</v>
      </c>
      <c r="B272" s="15" t="n">
        <v>6000000</v>
      </c>
    </row>
    <row r="273" customFormat="false" ht="15" hidden="false" customHeight="false" outlineLevel="0" collapsed="false">
      <c r="A273" s="11" t="s">
        <v>271</v>
      </c>
      <c r="B273" s="12" t="n">
        <v>466704.13</v>
      </c>
    </row>
    <row r="274" customFormat="false" ht="15" hidden="false" customHeight="false" outlineLevel="0" collapsed="false">
      <c r="A274" s="13" t="s">
        <v>272</v>
      </c>
      <c r="B274" s="12" t="n">
        <v>466704.13</v>
      </c>
    </row>
    <row r="275" customFormat="false" ht="15" hidden="false" customHeight="false" outlineLevel="0" collapsed="false">
      <c r="A275" s="14" t="s">
        <v>272</v>
      </c>
      <c r="B275" s="15" t="n">
        <v>466704.13</v>
      </c>
    </row>
    <row r="276" customFormat="false" ht="15" hidden="false" customHeight="false" outlineLevel="0" collapsed="false">
      <c r="A276" s="11" t="s">
        <v>273</v>
      </c>
      <c r="B276" s="12" t="n">
        <v>10716442.94</v>
      </c>
    </row>
    <row r="277" customFormat="false" ht="15" hidden="false" customHeight="false" outlineLevel="0" collapsed="false">
      <c r="A277" s="13" t="s">
        <v>274</v>
      </c>
      <c r="B277" s="12" t="n">
        <v>10716442.94</v>
      </c>
    </row>
    <row r="278" customFormat="false" ht="15" hidden="false" customHeight="false" outlineLevel="0" collapsed="false">
      <c r="A278" s="14" t="s">
        <v>274</v>
      </c>
      <c r="B278" s="15" t="n">
        <v>10715998.57</v>
      </c>
    </row>
    <row r="279" customFormat="false" ht="15" hidden="false" customHeight="false" outlineLevel="0" collapsed="false">
      <c r="A279" s="14" t="s">
        <v>275</v>
      </c>
      <c r="B279" s="15" t="n">
        <v>444.37</v>
      </c>
    </row>
    <row r="280" customFormat="false" ht="15" hidden="false" customHeight="false" outlineLevel="0" collapsed="false">
      <c r="A280" s="11" t="s">
        <v>276</v>
      </c>
      <c r="B280" s="12" t="n">
        <v>6761707.32</v>
      </c>
    </row>
    <row r="281" customFormat="false" ht="15" hidden="false" customHeight="false" outlineLevel="0" collapsed="false">
      <c r="A281" s="13" t="s">
        <v>276</v>
      </c>
      <c r="B281" s="12" t="n">
        <v>6761707.32</v>
      </c>
    </row>
    <row r="282" customFormat="false" ht="15" hidden="false" customHeight="false" outlineLevel="0" collapsed="false">
      <c r="A282" s="14" t="s">
        <v>277</v>
      </c>
      <c r="B282" s="15" t="n">
        <v>1533460.17</v>
      </c>
    </row>
    <row r="283" customFormat="false" ht="15" hidden="false" customHeight="false" outlineLevel="0" collapsed="false">
      <c r="A283" s="14" t="s">
        <v>278</v>
      </c>
      <c r="B283" s="15" t="n">
        <v>803053.23</v>
      </c>
    </row>
    <row r="284" customFormat="false" ht="15" hidden="false" customHeight="false" outlineLevel="0" collapsed="false">
      <c r="A284" s="14" t="s">
        <v>279</v>
      </c>
      <c r="B284" s="15" t="n">
        <v>4425193.92</v>
      </c>
    </row>
    <row r="286" customFormat="false" ht="39.75" hidden="false" customHeight="true" outlineLevel="0" collapsed="false">
      <c r="A286" s="18" t="s">
        <v>304</v>
      </c>
      <c r="B286" s="18"/>
    </row>
    <row r="288" customFormat="false" ht="15" hidden="false" customHeight="false" outlineLevel="0" collapsed="false">
      <c r="A288" s="19" t="s">
        <v>285</v>
      </c>
      <c r="B288" s="19" t="s">
        <v>286</v>
      </c>
    </row>
    <row r="289" customFormat="false" ht="15" hidden="false" customHeight="false" outlineLevel="0" collapsed="false">
      <c r="A289" s="20" t="s">
        <v>287</v>
      </c>
      <c r="B289" s="20" t="s">
        <v>288</v>
      </c>
    </row>
    <row r="290" customFormat="false" ht="15" hidden="false" customHeight="false" outlineLevel="0" collapsed="false">
      <c r="A290" s="20" t="s">
        <v>289</v>
      </c>
      <c r="B290" s="20" t="s">
        <v>290</v>
      </c>
    </row>
  </sheetData>
  <mergeCells count="1">
    <mergeCell ref="A286:B286"/>
  </mergeCells>
  <printOptions headings="false" gridLines="false" gridLinesSet="true" horizontalCentered="false" verticalCentered="false"/>
  <pageMargins left="0.5" right="0.5" top="1" bottom="1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Folha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2026-09-30T21:58:46Z</dcterms:created>
  <dc:creator>openpyxl</dc:creator>
  <dc:description/>
  <dc:language>en-US</dc:language>
  <cp:lastModifiedBy/>
  <dcterms:modified xsi:type="dcterms:W3CDTF">2026-09-30T21:58:47Z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