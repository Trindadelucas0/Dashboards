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" sheetId="1" state="visible" r:id="rId3"/>
    <sheet name="Jan-26" sheetId="2" state="visible" r:id="rId4"/>
    <sheet name="Fev-26" sheetId="3" state="visible" r:id="rId5"/>
    <sheet name="Mar-26" sheetId="4" state="visible" r:id="rId6"/>
    <sheet name="Abr-26" sheetId="5" state="visible" r:id="rId7"/>
    <sheet name="Mai-26" sheetId="6" state="visible" r:id="rId8"/>
    <sheet name="Jun-26" sheetId="7" state="visible" r:id="rId9"/>
    <sheet name="Jul-26" sheetId="8" state="visible" r:id="rId10"/>
    <sheet name="Ago-26" sheetId="9" state="visible" r:id="rId11"/>
  </sheets>
  <definedNames>
    <definedName function="false" hidden="false" localSheetId="4" name="_xlnm.Print_Titles" vbProcedure="false">'Abr-26'!$7:$7</definedName>
    <definedName function="false" hidden="false" localSheetId="8" name="_xlnm.Print_Titles" vbProcedure="false">'Ago-26'!$7:$7</definedName>
    <definedName function="false" hidden="false" localSheetId="0" name="_xlnm.Print_Titles" vbProcedure="false">Comparativo!$7:$7</definedName>
    <definedName function="false" hidden="false" localSheetId="2" name="_xlnm.Print_Titles" vbProcedure="false">'Fev-26'!$7:$7</definedName>
    <definedName function="false" hidden="false" localSheetId="1" name="_xlnm.Print_Titles" vbProcedure="false">'Jan-26'!$7:$7</definedName>
    <definedName function="false" hidden="false" localSheetId="7" name="_xlnm.Print_Titles" vbProcedure="false">'Jul-26'!$7:$7</definedName>
    <definedName function="false" hidden="false" localSheetId="6" name="_xlnm.Print_Titles" vbProcedure="false">'Jun-26'!$7:$7</definedName>
    <definedName function="false" hidden="false" localSheetId="5" name="_xlnm.Print_Titles" vbProcedure="false">'Mai-26'!$7:$7</definedName>
    <definedName function="false" hidden="false" localSheetId="3" name="_xlnm.Print_Titles" vbProcedure="false">'Mar-26'!$7:$7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<sst xmlns="http://schemas.openxmlformats.org/spreadsheetml/2006/main" count="1519" uniqueCount="218">
  <si>
    <t xml:space="preserve">INDUSTRIA SCHUMACHER LTDA</t>
  </si>
  <si>
    <t xml:space="preserve">Demonstração do Resultado do Exercício (DRE) – Comparativo mensal</t>
  </si>
  <si>
    <t xml:space="preserve">Período: 01/01/2026 a 31/08/2026 (valores mensais)  |  Filial: CONSOLIDADO</t>
  </si>
  <si>
    <t xml:space="preserve">CNPJ: 04.589.817/0001-06</t>
  </si>
  <si>
    <t xml:space="preserve">Valores em R$ (reais). Fonte: relatório do sistema contábil (PDF), convertido sem alteração de valores.</t>
  </si>
  <si>
    <t xml:space="preserve">Conta</t>
  </si>
  <si>
    <t xml:space="preserve">Jan/26</t>
  </si>
  <si>
    <t xml:space="preserve">Fev/26</t>
  </si>
  <si>
    <t xml:space="preserve">Mar/26</t>
  </si>
  <si>
    <t xml:space="preserve">Abr/26</t>
  </si>
  <si>
    <t xml:space="preserve">Mai/26</t>
  </si>
  <si>
    <t xml:space="preserve">Jun/26</t>
  </si>
  <si>
    <t xml:space="preserve">Jul/26</t>
  </si>
  <si>
    <t xml:space="preserve">Ago/26</t>
  </si>
  <si>
    <t xml:space="preserve">Acumulado
Jan–Ago</t>
  </si>
  <si>
    <t xml:space="preserve">RECEITA OPERACIONAL BRUTA</t>
  </si>
  <si>
    <t xml:space="preserve">RECEITAS DE VENDAS</t>
  </si>
  <si>
    <t xml:space="preserve">VENDAS MERCADO INTERNO</t>
  </si>
  <si>
    <t xml:space="preserve">VENDA PROD. IND. EM OP. CONTA PROPRIA (RESULTADO)</t>
  </si>
  <si>
    <t xml:space="preserve">FATURAMENTO CFE. DL1598/77 ART.12 ITEM I</t>
  </si>
  <si>
    <t xml:space="preserve">VENDA DE SUCATA/ RESIDUO/ RECICLADOS</t>
  </si>
  <si>
    <t xml:space="preserve">VENDAS MERCADO EXTERNO</t>
  </si>
  <si>
    <t xml:space="preserve">VENDA DESTINADA A EXPORTACAO</t>
  </si>
  <si>
    <t xml:space="preserve">EXPORTACAO PROPRIA</t>
  </si>
  <si>
    <t xml:space="preserve">VENDA PRA DRAWBACK</t>
  </si>
  <si>
    <t xml:space="preserve">VENDA PROD. CONSIGNADO DEST. A EXPORTACAO</t>
  </si>
  <si>
    <t xml:space="preserve">SERVIÇOS MERCADO INTERNO</t>
  </si>
  <si>
    <t xml:space="preserve">INDUSTRIALIZACAO EFETUADA A TERCEIROS</t>
  </si>
  <si>
    <t xml:space="preserve">PRESTACAO DE SERVICOS</t>
  </si>
  <si>
    <t xml:space="preserve">(-) IMPOSTOS SOBRE VENDAS</t>
  </si>
  <si>
    <t xml:space="preserve">IPI S/ VENDAS</t>
  </si>
  <si>
    <t xml:space="preserve">ICMS S/ VENDAS</t>
  </si>
  <si>
    <t xml:space="preserve">PIS S/ VENDAS</t>
  </si>
  <si>
    <t xml:space="preserve">COFINS S/ VENDAS</t>
  </si>
  <si>
    <t xml:space="preserve">ISSQN S/ SERVICOS</t>
  </si>
  <si>
    <t xml:space="preserve">ICMS-ST S/ VENDAS</t>
  </si>
  <si>
    <t xml:space="preserve">ICMS DIFAL SOBRE AS VENDAS</t>
  </si>
  <si>
    <t xml:space="preserve">IRPJ RETIDO S/ VENDAS</t>
  </si>
  <si>
    <t xml:space="preserve">CSLL RETIDO S/ VENDAS</t>
  </si>
  <si>
    <t xml:space="preserve">DEDUÇÕES DA RECEITA BRUTA</t>
  </si>
  <si>
    <t xml:space="preserve">(-) DEDUCOES DAS VENDAS</t>
  </si>
  <si>
    <t xml:space="preserve">(-) CANCELAMENTOS E DEVOLUCOES</t>
  </si>
  <si>
    <t xml:space="preserve">VENDAS CANCELADAS/ESTORNADAS</t>
  </si>
  <si>
    <t xml:space="preserve">EXPORTACAO CANCELADA/ DEVOLVIDA</t>
  </si>
  <si>
    <t xml:space="preserve">DEVOLUCAO DE VENDAS</t>
  </si>
  <si>
    <t xml:space="preserve">(-) CANCELAMENTO DE INDUSTRIALIZACAO</t>
  </si>
  <si>
    <t xml:space="preserve">RECEITA LÍQUIDA</t>
  </si>
  <si>
    <t xml:space="preserve">CUSTOS</t>
  </si>
  <si>
    <t xml:space="preserve">CUSTOS DOS PRODUTOS VENDIDOS</t>
  </si>
  <si>
    <t xml:space="preserve">CUSTO DOS PRODUTOS VENDIDOS</t>
  </si>
  <si>
    <t xml:space="preserve">CPV - CUSTO DOS PRODUTOS VENDIDOS</t>
  </si>
  <si>
    <t xml:space="preserve">CPV - CUSTO PRODUTOS VENDIDOS</t>
  </si>
  <si>
    <t xml:space="preserve">CSP - CUSTO SERVICOS PRESTADOS</t>
  </si>
  <si>
    <t xml:space="preserve">SERVICOS DE INDUSTRIALIZACAO</t>
  </si>
  <si>
    <t xml:space="preserve">OUTROS CUSTOS DIRETOS DE FABRICACAO</t>
  </si>
  <si>
    <t xml:space="preserve">GAS - USO INDUSTRIAL</t>
  </si>
  <si>
    <t xml:space="preserve">FRETES SOBRE VENDAS</t>
  </si>
  <si>
    <t xml:space="preserve">COMBUSTIVEIS E LUBRIFICANTES (TRANSP. MERC.)</t>
  </si>
  <si>
    <t xml:space="preserve">DEPRECIACAO IMOBILIZADO PRODUCAO</t>
  </si>
  <si>
    <t xml:space="preserve">FOLHA, BENEFICIOS E ENCARGOS - PRODUÇÃO</t>
  </si>
  <si>
    <t xml:space="preserve">SALARIOS E ORDENADOS - PRODUCAO</t>
  </si>
  <si>
    <t xml:space="preserve">RESCISOES/INDENIZACOES - PRODUCAO</t>
  </si>
  <si>
    <t xml:space="preserve">TREINAMENTOS/CURSOS - PRODUCAO</t>
  </si>
  <si>
    <t xml:space="preserve">DESPESAS COM ACIDENTE DE TRABALHO</t>
  </si>
  <si>
    <t xml:space="preserve">SEGURO DE VIDA - PRODUCAO</t>
  </si>
  <si>
    <t xml:space="preserve">FERIAS - PRODUCAO</t>
  </si>
  <si>
    <t xml:space="preserve">DECIMO TRCEIRO SALARIO - PRODUCAO</t>
  </si>
  <si>
    <t xml:space="preserve">FGTS - PRODUCAO</t>
  </si>
  <si>
    <t xml:space="preserve">INSS - PRODUCAO</t>
  </si>
  <si>
    <t xml:space="preserve">CPRB - PRODUCAO</t>
  </si>
  <si>
    <t xml:space="preserve">FGTS S/ FERIAS - PRODUCAO</t>
  </si>
  <si>
    <t xml:space="preserve">INSS S/ FERIAS</t>
  </si>
  <si>
    <t xml:space="preserve">INSS S/ DECIMO TERCEIRO - PRODUCAO</t>
  </si>
  <si>
    <t xml:space="preserve">FGTS S/ DECIMO TERCEIRO - PRODUCAO</t>
  </si>
  <si>
    <t xml:space="preserve">DESPESAS JUDICIAIS - FOLHA PAGTO</t>
  </si>
  <si>
    <t xml:space="preserve">LUCRO BRUTO</t>
  </si>
  <si>
    <t xml:space="preserve">DESPESAS OPERACIONAIS</t>
  </si>
  <si>
    <t xml:space="preserve">FOLHA, BENEFICIOS E ENCARGOS</t>
  </si>
  <si>
    <t xml:space="preserve">GASTO COM COLABORADORES</t>
  </si>
  <si>
    <t xml:space="preserve">SALARIOS E ORDENADOS - ADM</t>
  </si>
  <si>
    <t xml:space="preserve">GRATIFICACOES E BONUS - ADM</t>
  </si>
  <si>
    <t xml:space="preserve">ESTAGIARIOS/ BOLSISTAS - ADM</t>
  </si>
  <si>
    <t xml:space="preserve">RESCISOES/ INDENIZACOES - ADM</t>
  </si>
  <si>
    <t xml:space="preserve">ALIMENTACAO NA INDUSTRIA - ADM</t>
  </si>
  <si>
    <t xml:space="preserve">DESPESAS COM EPI - ADM</t>
  </si>
  <si>
    <t xml:space="preserve">EXAMES OCUPACIONAIS - ADM</t>
  </si>
  <si>
    <t xml:space="preserve">TREINAMENTOS/ CURSOS/ SEMINARIOS - ADM</t>
  </si>
  <si>
    <t xml:space="preserve">SEGURO DE VIDA - ADM</t>
  </si>
  <si>
    <t xml:space="preserve">SINDICATO - FABRICA - ADM</t>
  </si>
  <si>
    <t xml:space="preserve">FERIAS - ADM</t>
  </si>
  <si>
    <t xml:space="preserve">DECIMO TERCEIRO SALARIO - ADM</t>
  </si>
  <si>
    <t xml:space="preserve">VALE REFEICAO - ADM</t>
  </si>
  <si>
    <t xml:space="preserve">CONSULTAS/ EXAMES/ MEDICAMENTOS - ADM</t>
  </si>
  <si>
    <t xml:space="preserve">DESPESAS C/ CONFRATERNIZACAO - ADM</t>
  </si>
  <si>
    <t xml:space="preserve">PRO-LABORE - ADM</t>
  </si>
  <si>
    <t xml:space="preserve">ENCARGOS FOLHA</t>
  </si>
  <si>
    <t xml:space="preserve">FGTS - ADM</t>
  </si>
  <si>
    <t xml:space="preserve">INSS - ADM</t>
  </si>
  <si>
    <t xml:space="preserve">CPRB - ADM</t>
  </si>
  <si>
    <t xml:space="preserve">FGTS S/ FERIAS - ADM</t>
  </si>
  <si>
    <t xml:space="preserve">INSS S/ FERIAS - ADM</t>
  </si>
  <si>
    <t xml:space="preserve">INSS S/ DECIMO TERCEIRO SALARIO - ADM</t>
  </si>
  <si>
    <t xml:space="preserve">FGTS S/ DECIMO TERCEIRO SALARIO - ADM</t>
  </si>
  <si>
    <t xml:space="preserve">GRRF - DESPESA RESCISORIA - ADM</t>
  </si>
  <si>
    <t xml:space="preserve">GASTOS PRODUCAO</t>
  </si>
  <si>
    <t xml:space="preserve">GASTOS GERAIS DE PRODUCAO</t>
  </si>
  <si>
    <t xml:space="preserve">SEGUROS DA FABRICA</t>
  </si>
  <si>
    <t xml:space="preserve">ENERGIA ELETRICA</t>
  </si>
  <si>
    <t xml:space="preserve">AGUA</t>
  </si>
  <si>
    <t xml:space="preserve">MATERIAIS CONSUMIDOS NA FABRICA</t>
  </si>
  <si>
    <t xml:space="preserve">BENS DE PEQ. VALOR</t>
  </si>
  <si>
    <t xml:space="preserve">ALUGUEL DE MAQUINAS E EQUIPAMENTOS</t>
  </si>
  <si>
    <t xml:space="preserve">MANUTENCAO DE MAQUINAS E EQUIPAMENTOS</t>
  </si>
  <si>
    <t xml:space="preserve">MANUTENCAO PREDIAL</t>
  </si>
  <si>
    <t xml:space="preserve">MANUTENCAO DE VEICULOS</t>
  </si>
  <si>
    <t xml:space="preserve">DESPESAS COM COLETA DE RESIDUOS</t>
  </si>
  <si>
    <t xml:space="preserve">DESPESAS COM GARANTIA DE PRODUTOS</t>
  </si>
  <si>
    <t xml:space="preserve">FRETE DE MERCADORIAS</t>
  </si>
  <si>
    <t xml:space="preserve">MATERIAL DE CONSUMO GERAL</t>
  </si>
  <si>
    <t xml:space="preserve">PUBLICIDADE, PROPAGANDA E MARKETING</t>
  </si>
  <si>
    <t xml:space="preserve">DESPESAS COM FEIRAS/ EXPOSICOES</t>
  </si>
  <si>
    <t xml:space="preserve">COMISSAO DE VENDAS/ REPRESENTANTES</t>
  </si>
  <si>
    <t xml:space="preserve">DESPESAS COM AMOSTRA GRATIS</t>
  </si>
  <si>
    <t xml:space="preserve">BONIFICACAO A CLIENTES</t>
  </si>
  <si>
    <t xml:space="preserve">ALIMENTACAO EM VIAGENS</t>
  </si>
  <si>
    <t xml:space="preserve">HOSPEDAGEM / HOTEL</t>
  </si>
  <si>
    <t xml:space="preserve">PASSAGEM/RODOVIARIA/AEREA E TAXI</t>
  </si>
  <si>
    <t xml:space="preserve">PEDAGIO E ESTACIONAMENTOS</t>
  </si>
  <si>
    <t xml:space="preserve">MULTAS DE TRANSITO</t>
  </si>
  <si>
    <t xml:space="preserve">COMBUSTIVEL E LUBRIFICANTES (TRANSP. PESSOAS)</t>
  </si>
  <si>
    <t xml:space="preserve">ALUGUEL DE VEICULOS - VIAGENS</t>
  </si>
  <si>
    <t xml:space="preserve">SEGUROS DE VEICULOS</t>
  </si>
  <si>
    <t xml:space="preserve">IPVA / SEGURO / LICENCIAMENTO DE VEICULOS</t>
  </si>
  <si>
    <t xml:space="preserve">OUTRAS TAXAS E TARIFAS TRIBUTARIAS</t>
  </si>
  <si>
    <t xml:space="preserve">IMPOSTOS S/ PROPRIEDADE (IPTU/ITR)</t>
  </si>
  <si>
    <t xml:space="preserve">TELEFONE/COMUNICACAO</t>
  </si>
  <si>
    <t xml:space="preserve">SOFTWARE - MANUTENCAO/SUPORTE</t>
  </si>
  <si>
    <t xml:space="preserve">DESPESA C/ SEGURANCA / MONITORAMENTO</t>
  </si>
  <si>
    <t xml:space="preserve">TARIFAS BANCARIAS</t>
  </si>
  <si>
    <t xml:space="preserve">DESPESAS COM COBRANCA</t>
  </si>
  <si>
    <t xml:space="preserve">DESPESAS CARTORARIAS</t>
  </si>
  <si>
    <t xml:space="preserve">TARIFAS EXPORTACAO</t>
  </si>
  <si>
    <t xml:space="preserve">DESPESAS C/ CORRESPONDENCIAS</t>
  </si>
  <si>
    <t xml:space="preserve">OUTROS GASTOS COM MOVIMENTACAO DE CARGAS</t>
  </si>
  <si>
    <t xml:space="preserve">HONORARIOS CONTABEIS</t>
  </si>
  <si>
    <t xml:space="preserve">HONORARIOS ADVOCATICIOS</t>
  </si>
  <si>
    <t xml:space="preserve">ASSOCIACAO DE CLASSES</t>
  </si>
  <si>
    <t xml:space="preserve">DESPESAS COM MARCAS E PATENTES</t>
  </si>
  <si>
    <t xml:space="preserve">DESPESAS COM ISO/ 9001</t>
  </si>
  <si>
    <t xml:space="preserve">ALUGUEIS E CONDOMINIOS</t>
  </si>
  <si>
    <t xml:space="preserve">MATERIAL DE EXPEDIENTE</t>
  </si>
  <si>
    <t xml:space="preserve">MATERIAL DE LIMPEZA</t>
  </si>
  <si>
    <t xml:space="preserve">MANUTENCAO/ COMPRA - MATERIAIS DE INFORMATICA</t>
  </si>
  <si>
    <t xml:space="preserve">DEPRECIACAO S/ IMOBILIZADO ADM</t>
  </si>
  <si>
    <t xml:space="preserve">DOACOES ASSISTENCIAIS</t>
  </si>
  <si>
    <t xml:space="preserve">DESPESAS COM DESENVOLVIMENTO DE PRODUTOS</t>
  </si>
  <si>
    <t xml:space="preserve">OUTRAS DESPESAS ADMINISTRATIVAS</t>
  </si>
  <si>
    <t xml:space="preserve">GASTOS COM AUTOMACAO E MELHORIA</t>
  </si>
  <si>
    <t xml:space="preserve">RESULTADO OPERACIONAL</t>
  </si>
  <si>
    <t xml:space="preserve">RECEITAS FINANCEIRAS</t>
  </si>
  <si>
    <t xml:space="preserve">RESULTADO FINANCEIRO</t>
  </si>
  <si>
    <t xml:space="preserve">JUROS RECEBIDOS</t>
  </si>
  <si>
    <t xml:space="preserve">DESCONTOS OBTIDOS</t>
  </si>
  <si>
    <t xml:space="preserve">JUROS SOBRE APLICACOES FINANCEIRAS</t>
  </si>
  <si>
    <t xml:space="preserve">OUTRAS RECEITAS FINANCEIRAS</t>
  </si>
  <si>
    <t xml:space="preserve">DISTRIBUICAO DE SOBRAS - COOPERATIVAS BANCARIAS</t>
  </si>
  <si>
    <t xml:space="preserve">VARIACOES CAMBIAIS ATIVAS</t>
  </si>
  <si>
    <t xml:space="preserve">DESPESAS FINANCEIRAS</t>
  </si>
  <si>
    <t xml:space="preserve">JUROS S/ EMPRESTIMOS/ FINANCIAMENTOS</t>
  </si>
  <si>
    <t xml:space="preserve">DESCONTOS FINANCEIROS - CONCEDIDOS</t>
  </si>
  <si>
    <t xml:space="preserve">JUROS PAGOS</t>
  </si>
  <si>
    <t xml:space="preserve">JUROS E ENCARGOS S/ IMPOSTOS</t>
  </si>
  <si>
    <t xml:space="preserve">OUTRAS DESPESAS FINANCEIRAS</t>
  </si>
  <si>
    <t xml:space="preserve">IOF</t>
  </si>
  <si>
    <t xml:space="preserve">IRRF SOBRE APLICACAO FINANCEIRA</t>
  </si>
  <si>
    <t xml:space="preserve">SEGUROS SOBRE EMPRESTIMOS</t>
  </si>
  <si>
    <t xml:space="preserve">VARIACAO CAMBIAL PASSIVA</t>
  </si>
  <si>
    <t xml:space="preserve">OUTRAS RECEITAS OPERACIONAIS</t>
  </si>
  <si>
    <t xml:space="preserve">OUTRAS RECEITAS</t>
  </si>
  <si>
    <t xml:space="preserve">RESULTADO COM VENDA DE IMOBILIZADO</t>
  </si>
  <si>
    <t xml:space="preserve">VENDA DE IMOBILIZADOS.</t>
  </si>
  <si>
    <t xml:space="preserve">(-) CUSTO DO IMOBILIZADO.</t>
  </si>
  <si>
    <t xml:space="preserve">(-) BAIXAS DO ATIVO IMOBILIZADO</t>
  </si>
  <si>
    <t xml:space="preserve">RECEITAS DE ALUGUEL</t>
  </si>
  <si>
    <t xml:space="preserve">BONIFICACOES RECEBIDAS</t>
  </si>
  <si>
    <t xml:space="preserve">RECEITA COM INDENIZACAO DE SEGUROS</t>
  </si>
  <si>
    <t xml:space="preserve">ENTRADA DE AMOSTRA GRATIS</t>
  </si>
  <si>
    <t xml:space="preserve">DESPESAS NÃO OPERACIONAIS</t>
  </si>
  <si>
    <t xml:space="preserve">OUTROS GASTOS</t>
  </si>
  <si>
    <t xml:space="preserve">BRINDES/ DOACOES/ PATROCINIOS</t>
  </si>
  <si>
    <t xml:space="preserve">MANUTENCAO E DESPESAS NA CHACARA</t>
  </si>
  <si>
    <t xml:space="preserve">RESULTADO ANTES PROVISÃO P/ CONTRIBUIÇÃO SOCIAL</t>
  </si>
  <si>
    <t xml:space="preserve">RESULTADO ANTES PROVISÃO P/ IMPOSTO DE RENDA</t>
  </si>
  <si>
    <t xml:space="preserve">LUCRO OU PREJUIZO LÍQUIDO DO EXERCÍCIO</t>
  </si>
  <si>
    <t xml:space="preserve">Demonstração do Resultado do Exercício (DRE)</t>
  </si>
  <si>
    <t xml:space="preserve">Período: 01/01/2026 a 31/01/2026  |  Filial: CONSOLIDADO</t>
  </si>
  <si>
    <t xml:space="preserve">Valor (R$)</t>
  </si>
  <si>
    <t xml:space="preserve">MARECHAL CANDIDO RONDON, 31 de janeiro de 2026</t>
  </si>
  <si>
    <t xml:space="preserve">ADAIR SCHUMACHER</t>
  </si>
  <si>
    <t xml:space="preserve">PAULO HENRIQUE DIAS RODRIGUES</t>
  </si>
  <si>
    <t xml:space="preserve">C.P.F. Nº 90348664915</t>
  </si>
  <si>
    <t xml:space="preserve">C.R.C Nº CRC/DF 27618/O</t>
  </si>
  <si>
    <t xml:space="preserve">SOCIO GERENTE</t>
  </si>
  <si>
    <t xml:space="preserve">CONTADOR(A)</t>
  </si>
  <si>
    <t xml:space="preserve">Período: 01/02/2026 a 28/02/2026  |  Filial: CONSOLIDADO</t>
  </si>
  <si>
    <t xml:space="preserve">MARECHAL CANDIDO RONDON, 28 de fevereiro de 2026</t>
  </si>
  <si>
    <t xml:space="preserve">Período: 01/03/2026 a 31/03/2026  |  Filial: CONSOLIDADO</t>
  </si>
  <si>
    <t xml:space="preserve">MARECHAL CANDIDO RONDON, 31 de março de 2026</t>
  </si>
  <si>
    <t xml:space="preserve">Período: 01/04/2026 a 30/04/2026  |  Filial: CONSOLIDADO</t>
  </si>
  <si>
    <t xml:space="preserve">MARECHAL CANDIDO RONDON, 30 de abril de 2026</t>
  </si>
  <si>
    <t xml:space="preserve">Período: 01/05/2026 a 31/05/2026  |  Filial: CONSOLIDADO</t>
  </si>
  <si>
    <t xml:space="preserve">MARECHAL CANDIDO RONDON, 31 de maio de 2026</t>
  </si>
  <si>
    <t xml:space="preserve">Período: 01/06/2026 a 30/06/2026  |  Filial: CONSOLIDADO</t>
  </si>
  <si>
    <t xml:space="preserve">MARECHAL CANDIDO RONDON, 30 de junho de 2026</t>
  </si>
  <si>
    <t xml:space="preserve">Período: 01/07/2026 a 31/07/2026  |  Filial: CONSOLIDADO</t>
  </si>
  <si>
    <t xml:space="preserve">MARECHAL CANDIDO RONDON, 31 de julho de 2026</t>
  </si>
  <si>
    <t xml:space="preserve">Período: 01/08/2026 a 31/08/2026  |  Filial: CONSOLIDADO</t>
  </si>
  <si>
    <t xml:space="preserve">MARECHAL CANDIDO RONDON, 31 de agosto de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</si>
</sst>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_);\(#,##0.00\);\-_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/>
      <top/>
      <bottom style="hair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5" shrinkToFit="false"/>
      <protection locked="true" hidden="false"/>
    </xf>
    <xf numFmtId="165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7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8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9"/>
    <col collapsed="false" customWidth="true" hidden="false" outlineLevel="0" max="9" min="2" style="0" width="17"/>
    <col collapsed="false" customWidth="true" hidden="false" outlineLevel="0" max="10" min="10" style="0" width="19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</row>
    <row r="8" customFormat="false" ht="15" hidden="false" customHeight="false" outlineLevel="0" collapsed="false">
      <c r="A8" s="7" t="s">
        <v>15</v>
      </c>
      <c r="B8" s="8" t="n">
        <f aca="false">'Jan-26'!B8</f>
        <v>65256171.15</v>
      </c>
      <c r="C8" s="8" t="n">
        <f aca="false">'Fev-26'!B8</f>
        <v>4421800.73</v>
      </c>
      <c r="D8" s="8" t="n">
        <f aca="false">'Mar-26'!B8</f>
        <v>5895674.11</v>
      </c>
      <c r="E8" s="8" t="n">
        <f aca="false">'Abr-26'!B8</f>
        <v>4724378.42</v>
      </c>
      <c r="F8" s="8" t="n">
        <f aca="false">'Mai-26'!B8</f>
        <v>4982408.96</v>
      </c>
      <c r="G8" s="8" t="n">
        <f aca="false">'Jun-26'!B8</f>
        <v>5521005</v>
      </c>
      <c r="H8" s="8" t="n">
        <f aca="false">'Jul-26'!B8</f>
        <v>5702251.04</v>
      </c>
      <c r="I8" s="8" t="n">
        <f aca="false">'Ago-26'!B8</f>
        <v>5448307.61</v>
      </c>
      <c r="J8" s="8" t="n">
        <f aca="false">SUM(B8:I8)</f>
        <v>101951997.02</v>
      </c>
    </row>
    <row r="9" customFormat="false" ht="15" hidden="false" customHeight="false" outlineLevel="0" collapsed="false">
      <c r="A9" s="9" t="s">
        <v>16</v>
      </c>
      <c r="B9" s="10" t="n">
        <f aca="false">'Jan-26'!B9</f>
        <v>66077105.63</v>
      </c>
      <c r="C9" s="10" t="n">
        <f aca="false">'Fev-26'!B9</f>
        <v>4726850.45</v>
      </c>
      <c r="D9" s="10" t="n">
        <f aca="false">'Mar-26'!B9</f>
        <v>6009654.54</v>
      </c>
      <c r="E9" s="10" t="n">
        <f aca="false">'Abr-26'!B9</f>
        <v>4736464.58</v>
      </c>
      <c r="F9" s="10" t="n">
        <f aca="false">'Mai-26'!B9</f>
        <v>4698899.2</v>
      </c>
      <c r="G9" s="10" t="n">
        <f aca="false">'Jun-26'!B9</f>
        <v>6249304.5</v>
      </c>
      <c r="H9" s="10" t="n">
        <f aca="false">'Jul-26'!B9</f>
        <v>5895604.85</v>
      </c>
      <c r="I9" s="10" t="n">
        <f aca="false">'Ago-26'!B9</f>
        <v>5683386.05</v>
      </c>
      <c r="J9" s="10" t="n">
        <f aca="false">SUM(B9:I9)</f>
        <v>104077269.8</v>
      </c>
    </row>
    <row r="10" customFormat="false" ht="15" hidden="false" customHeight="false" outlineLevel="0" collapsed="false">
      <c r="A10" s="11" t="s">
        <v>17</v>
      </c>
      <c r="B10" s="10" t="n">
        <f aca="false">'Jan-26'!B10</f>
        <v>66077105.63</v>
      </c>
      <c r="C10" s="10" t="n">
        <f aca="false">'Fev-26'!B10</f>
        <v>4726850.45</v>
      </c>
      <c r="D10" s="10" t="n">
        <f aca="false">'Mar-26'!B10</f>
        <v>6009654.54</v>
      </c>
      <c r="E10" s="10" t="n">
        <f aca="false">'Abr-26'!B10</f>
        <v>4736464.58</v>
      </c>
      <c r="F10" s="10" t="n">
        <f aca="false">'Mai-26'!B10</f>
        <v>4698899.2</v>
      </c>
      <c r="G10" s="10" t="n">
        <f aca="false">'Jun-26'!B10</f>
        <v>6249304.5</v>
      </c>
      <c r="H10" s="10" t="n">
        <f aca="false">'Jul-26'!B10</f>
        <v>5895604.85</v>
      </c>
      <c r="I10" s="10" t="n">
        <f aca="false">'Ago-26'!B10</f>
        <v>5683386.05</v>
      </c>
      <c r="J10" s="10" t="n">
        <f aca="false">SUM(B10:I10)</f>
        <v>104077269.8</v>
      </c>
    </row>
    <row r="11" customFormat="false" ht="15" hidden="false" customHeight="false" outlineLevel="0" collapsed="false">
      <c r="A11" s="12" t="s">
        <v>18</v>
      </c>
      <c r="B11" s="13" t="n">
        <f aca="false">'Jan-26'!B11</f>
        <v>36324919.69</v>
      </c>
      <c r="C11" s="13" t="n">
        <f aca="false">'Fev-26'!B11</f>
        <v>4710051.04</v>
      </c>
      <c r="D11" s="13" t="n">
        <f aca="false">'Mar-26'!B11</f>
        <v>5991540.54</v>
      </c>
      <c r="E11" s="13" t="n">
        <f aca="false">'Abr-26'!B11</f>
        <v>4715511.09</v>
      </c>
      <c r="F11" s="13" t="n">
        <f aca="false">'Mai-26'!B11</f>
        <v>4682776.2</v>
      </c>
      <c r="G11" s="13" t="n">
        <f aca="false">'Jun-26'!B11</f>
        <v>6235791.5</v>
      </c>
      <c r="H11" s="13" t="n">
        <f aca="false">'Jul-26'!B11</f>
        <v>5863520.35</v>
      </c>
      <c r="I11" s="13" t="n">
        <f aca="false">'Ago-26'!B11</f>
        <v>5667516.45</v>
      </c>
      <c r="J11" s="13" t="n">
        <f aca="false">SUM(B11:I11)</f>
        <v>74191626.86</v>
      </c>
    </row>
    <row r="12" customFormat="false" ht="15" hidden="false" customHeight="false" outlineLevel="0" collapsed="false">
      <c r="A12" s="12" t="s">
        <v>19</v>
      </c>
      <c r="B12" s="13" t="n">
        <f aca="false">'Jan-26'!B12</f>
        <v>29520870.19</v>
      </c>
      <c r="C12" s="13"/>
      <c r="D12" s="13"/>
      <c r="E12" s="13"/>
      <c r="F12" s="13"/>
      <c r="G12" s="13"/>
      <c r="H12" s="13"/>
      <c r="I12" s="13"/>
      <c r="J12" s="13" t="n">
        <f aca="false">SUM(B12:I12)</f>
        <v>29520870.19</v>
      </c>
    </row>
    <row r="13" customFormat="false" ht="15" hidden="false" customHeight="false" outlineLevel="0" collapsed="false">
      <c r="A13" s="12" t="s">
        <v>20</v>
      </c>
      <c r="B13" s="13" t="n">
        <f aca="false">'Jan-26'!B13</f>
        <v>231315.75</v>
      </c>
      <c r="C13" s="13" t="n">
        <f aca="false">'Fev-26'!B12</f>
        <v>16799.41</v>
      </c>
      <c r="D13" s="13" t="n">
        <f aca="false">'Mar-26'!B12</f>
        <v>18114</v>
      </c>
      <c r="E13" s="13" t="n">
        <f aca="false">'Abr-26'!B12</f>
        <v>20953.49</v>
      </c>
      <c r="F13" s="13" t="n">
        <f aca="false">'Mai-26'!B12</f>
        <v>16123</v>
      </c>
      <c r="G13" s="13" t="n">
        <f aca="false">'Jun-26'!B12</f>
        <v>13513</v>
      </c>
      <c r="H13" s="13" t="n">
        <f aca="false">'Jul-26'!B12</f>
        <v>32084.5</v>
      </c>
      <c r="I13" s="13" t="n">
        <f aca="false">'Ago-26'!B12</f>
        <v>15869.6</v>
      </c>
      <c r="J13" s="13" t="n">
        <f aca="false">SUM(B13:I13)</f>
        <v>364772.75</v>
      </c>
    </row>
    <row r="14" customFormat="false" ht="15" hidden="false" customHeight="false" outlineLevel="0" collapsed="false">
      <c r="A14" s="11" t="s">
        <v>21</v>
      </c>
      <c r="B14" s="10" t="n">
        <f aca="false">'Jan-26'!B14</f>
        <v>7093786.64</v>
      </c>
      <c r="C14" s="10" t="n">
        <f aca="false">'Fev-26'!B13</f>
        <v>211332.15</v>
      </c>
      <c r="D14" s="10" t="n">
        <f aca="false">'Mar-26'!B13</f>
        <v>714871.99</v>
      </c>
      <c r="E14" s="10" t="n">
        <f aca="false">'Abr-26'!B13</f>
        <v>605033.01</v>
      </c>
      <c r="F14" s="10" t="n">
        <f aca="false">'Mai-26'!B13</f>
        <v>720828.08</v>
      </c>
      <c r="G14" s="10" t="n">
        <f aca="false">'Jun-26'!B13</f>
        <v>462652.85</v>
      </c>
      <c r="H14" s="10" t="n">
        <f aca="false">'Jul-26'!B13</f>
        <v>390744.11</v>
      </c>
      <c r="I14" s="10" t="n">
        <f aca="false">'Ago-26'!B13</f>
        <v>308252.92</v>
      </c>
      <c r="J14" s="10" t="n">
        <f aca="false">SUM(B14:I14)</f>
        <v>10507501.75</v>
      </c>
    </row>
    <row r="15" customFormat="false" ht="15" hidden="false" customHeight="false" outlineLevel="0" collapsed="false">
      <c r="A15" s="12" t="s">
        <v>22</v>
      </c>
      <c r="B15" s="13" t="n">
        <f aca="false">'Jan-26'!B15</f>
        <v>2527913.21</v>
      </c>
      <c r="C15" s="13" t="n">
        <f aca="false">'Fev-26'!B14</f>
        <v>199345.15</v>
      </c>
      <c r="D15" s="13" t="n">
        <f aca="false">'Mar-26'!B14</f>
        <v>185945.39</v>
      </c>
      <c r="E15" s="13" t="n">
        <f aca="false">'Abr-26'!B14</f>
        <v>237498.65</v>
      </c>
      <c r="F15" s="13" t="n">
        <f aca="false">'Mai-26'!B14</f>
        <v>104523.32</v>
      </c>
      <c r="G15" s="13" t="n">
        <f aca="false">'Jun-26'!B14</f>
        <v>322203.11</v>
      </c>
      <c r="H15" s="13" t="n">
        <f aca="false">'Jul-26'!B14</f>
        <v>42378.34</v>
      </c>
      <c r="I15" s="13" t="n">
        <f aca="false">'Ago-26'!B14</f>
        <v>268734.72</v>
      </c>
      <c r="J15" s="13" t="n">
        <f aca="false">SUM(B15:I15)</f>
        <v>3888541.89</v>
      </c>
    </row>
    <row r="16" customFormat="false" ht="15" hidden="false" customHeight="false" outlineLevel="0" collapsed="false">
      <c r="A16" s="12" t="s">
        <v>23</v>
      </c>
      <c r="B16" s="13" t="n">
        <f aca="false">'Jan-26'!B16</f>
        <v>4475893.33</v>
      </c>
      <c r="C16" s="13" t="n">
        <f aca="false">'Fev-26'!B15</f>
        <v>11987</v>
      </c>
      <c r="D16" s="13" t="n">
        <f aca="false">'Mar-26'!B15</f>
        <v>528926.6</v>
      </c>
      <c r="E16" s="13" t="n">
        <f aca="false">'Abr-26'!B15</f>
        <v>367534.36</v>
      </c>
      <c r="F16" s="13" t="n">
        <f aca="false">'Mai-26'!B15</f>
        <v>616304.76</v>
      </c>
      <c r="G16" s="13" t="n">
        <f aca="false">'Jun-26'!B15</f>
        <v>140449.74</v>
      </c>
      <c r="H16" s="13" t="n">
        <f aca="false">'Jul-26'!B15</f>
        <v>348365.77</v>
      </c>
      <c r="I16" s="13" t="n">
        <f aca="false">'Ago-26'!B15</f>
        <v>39518.2</v>
      </c>
      <c r="J16" s="13" t="n">
        <f aca="false">SUM(B16:I16)</f>
        <v>6528979.76</v>
      </c>
    </row>
    <row r="17" customFormat="false" ht="15" hidden="false" customHeight="false" outlineLevel="0" collapsed="false">
      <c r="A17" s="12" t="s">
        <v>24</v>
      </c>
      <c r="B17" s="13" t="n">
        <f aca="false">'Jan-26'!B17</f>
        <v>5265</v>
      </c>
      <c r="C17" s="13"/>
      <c r="D17" s="13"/>
      <c r="E17" s="13"/>
      <c r="F17" s="13"/>
      <c r="G17" s="13"/>
      <c r="H17" s="13"/>
      <c r="I17" s="13"/>
      <c r="J17" s="13" t="n">
        <f aca="false">SUM(B17:I17)</f>
        <v>5265</v>
      </c>
    </row>
    <row r="18" customFormat="false" ht="15" hidden="false" customHeight="false" outlineLevel="0" collapsed="false">
      <c r="A18" s="12" t="s">
        <v>25</v>
      </c>
      <c r="B18" s="13" t="n">
        <f aca="false">'Jan-26'!B18</f>
        <v>84715.1</v>
      </c>
      <c r="C18" s="13"/>
      <c r="D18" s="13"/>
      <c r="E18" s="13"/>
      <c r="F18" s="13"/>
      <c r="G18" s="13"/>
      <c r="H18" s="13"/>
      <c r="I18" s="13"/>
      <c r="J18" s="13" t="n">
        <f aca="false">SUM(B18:I18)</f>
        <v>84715.1</v>
      </c>
    </row>
    <row r="19" customFormat="false" ht="15" hidden="false" customHeight="false" outlineLevel="0" collapsed="false">
      <c r="A19" s="11" t="s">
        <v>26</v>
      </c>
      <c r="B19" s="10" t="n">
        <f aca="false">'Jan-26'!B19</f>
        <v>3083029.56</v>
      </c>
      <c r="C19" s="10" t="n">
        <f aca="false">'Fev-26'!B16</f>
        <v>189429.19</v>
      </c>
      <c r="D19" s="10" t="n">
        <f aca="false">'Mar-26'!B16</f>
        <v>292393.44</v>
      </c>
      <c r="E19" s="10" t="n">
        <f aca="false">'Abr-26'!B16</f>
        <v>324413.42</v>
      </c>
      <c r="F19" s="10" t="n">
        <f aca="false">'Mai-26'!B16</f>
        <v>323104.2</v>
      </c>
      <c r="G19" s="10" t="n">
        <f aca="false">'Jun-26'!B16</f>
        <v>425153.82</v>
      </c>
      <c r="H19" s="10" t="n">
        <f aca="false">'Jul-26'!B16</f>
        <v>350984.55</v>
      </c>
      <c r="I19" s="10" t="n">
        <f aca="false">'Ago-26'!B16</f>
        <v>370038.22</v>
      </c>
      <c r="J19" s="10" t="n">
        <f aca="false">SUM(B19:I19)</f>
        <v>5358546.4</v>
      </c>
    </row>
    <row r="20" customFormat="false" ht="15" hidden="false" customHeight="false" outlineLevel="0" collapsed="false">
      <c r="A20" s="12" t="s">
        <v>27</v>
      </c>
      <c r="B20" s="13" t="n">
        <f aca="false">'Jan-26'!B20</f>
        <v>2617837.17</v>
      </c>
      <c r="C20" s="13" t="n">
        <f aca="false">'Fev-26'!B17</f>
        <v>152965.49</v>
      </c>
      <c r="D20" s="13" t="n">
        <f aca="false">'Mar-26'!B17</f>
        <v>168743.86</v>
      </c>
      <c r="E20" s="13" t="n">
        <f aca="false">'Abr-26'!B17</f>
        <v>214665.07</v>
      </c>
      <c r="F20" s="13" t="n">
        <f aca="false">'Mai-26'!B17</f>
        <v>194366.82</v>
      </c>
      <c r="G20" s="13" t="n">
        <f aca="false">'Jun-26'!B17</f>
        <v>270329.01</v>
      </c>
      <c r="H20" s="13" t="n">
        <f aca="false">'Jul-26'!B17</f>
        <v>203764.46</v>
      </c>
      <c r="I20" s="13" t="n">
        <f aca="false">'Ago-26'!B17</f>
        <v>234613.03</v>
      </c>
      <c r="J20" s="13" t="n">
        <f aca="false">SUM(B20:I20)</f>
        <v>4057284.91</v>
      </c>
    </row>
    <row r="21" customFormat="false" ht="15" hidden="false" customHeight="false" outlineLevel="0" collapsed="false">
      <c r="A21" s="12" t="s">
        <v>28</v>
      </c>
      <c r="B21" s="13" t="n">
        <f aca="false">'Jan-26'!B21</f>
        <v>465192.39</v>
      </c>
      <c r="C21" s="13" t="n">
        <f aca="false">'Fev-26'!B18</f>
        <v>36463.7</v>
      </c>
      <c r="D21" s="13" t="n">
        <f aca="false">'Mar-26'!B18</f>
        <v>123649.58</v>
      </c>
      <c r="E21" s="13" t="n">
        <f aca="false">'Abr-26'!B18</f>
        <v>109748.35</v>
      </c>
      <c r="F21" s="13" t="n">
        <f aca="false">'Mai-26'!B18</f>
        <v>128737.38</v>
      </c>
      <c r="G21" s="13" t="n">
        <f aca="false">'Jun-26'!B18</f>
        <v>154824.81</v>
      </c>
      <c r="H21" s="13" t="n">
        <f aca="false">'Jul-26'!B18</f>
        <v>147220.09</v>
      </c>
      <c r="I21" s="13" t="n">
        <f aca="false">'Ago-26'!B18</f>
        <v>135425.19</v>
      </c>
      <c r="J21" s="13" t="n">
        <f aca="false">SUM(B21:I21)</f>
        <v>1301261.49</v>
      </c>
    </row>
    <row r="22" customFormat="false" ht="15" hidden="false" customHeight="false" outlineLevel="0" collapsed="false">
      <c r="A22" s="11" t="s">
        <v>29</v>
      </c>
      <c r="B22" s="10" t="n">
        <f aca="false">'Jan-26'!B22</f>
        <v>10997750.68</v>
      </c>
      <c r="C22" s="10" t="n">
        <f aca="false">'Fev-26'!B19</f>
        <v>705811.06</v>
      </c>
      <c r="D22" s="10" t="n">
        <f aca="false">'Mar-26'!B19</f>
        <v>1121245.86</v>
      </c>
      <c r="E22" s="10" t="n">
        <f aca="false">'Abr-26'!B19</f>
        <v>941532.59</v>
      </c>
      <c r="F22" s="10" t="n">
        <f aca="false">'Mai-26'!B19</f>
        <v>760422.52</v>
      </c>
      <c r="G22" s="10" t="n">
        <f aca="false">'Jun-26'!B19</f>
        <v>1616106.17</v>
      </c>
      <c r="H22" s="10" t="n">
        <f aca="false">'Jul-26'!B19</f>
        <v>935082.47</v>
      </c>
      <c r="I22" s="10" t="n">
        <f aca="false">'Ago-26'!B19</f>
        <v>913369.58</v>
      </c>
      <c r="J22" s="10" t="n">
        <f aca="false">SUM(B22:I22)</f>
        <v>17991320.93</v>
      </c>
    </row>
    <row r="23" customFormat="false" ht="15" hidden="false" customHeight="false" outlineLevel="0" collapsed="false">
      <c r="A23" s="12" t="s">
        <v>30</v>
      </c>
      <c r="B23" s="13" t="n">
        <f aca="false">'Jan-26'!B23</f>
        <v>486086.4</v>
      </c>
      <c r="C23" s="13" t="n">
        <f aca="false">'Fev-26'!B20</f>
        <v>35801.85</v>
      </c>
      <c r="D23" s="13" t="n">
        <f aca="false">'Mar-26'!B20</f>
        <v>39340.04</v>
      </c>
      <c r="E23" s="13" t="n">
        <f aca="false">'Abr-26'!B20</f>
        <v>27921.59</v>
      </c>
      <c r="F23" s="13" t="n">
        <f aca="false">'Mai-26'!B20</f>
        <v>34455.93</v>
      </c>
      <c r="G23" s="13" t="n">
        <f aca="false">'Jun-26'!B20</f>
        <v>41102.4</v>
      </c>
      <c r="H23" s="13" t="n">
        <f aca="false">'Jul-26'!B20</f>
        <v>39049.03</v>
      </c>
      <c r="I23" s="13" t="n">
        <f aca="false">'Ago-26'!B20</f>
        <v>41557.42</v>
      </c>
      <c r="J23" s="13" t="n">
        <f aca="false">SUM(B23:I23)</f>
        <v>745314.66</v>
      </c>
    </row>
    <row r="24" customFormat="false" ht="15" hidden="false" customHeight="false" outlineLevel="0" collapsed="false">
      <c r="A24" s="12" t="s">
        <v>31</v>
      </c>
      <c r="B24" s="13" t="n">
        <f aca="false">'Jan-26'!B24</f>
        <v>7816591.22</v>
      </c>
      <c r="C24" s="13" t="n">
        <f aca="false">'Fev-26'!B21</f>
        <v>562883.31</v>
      </c>
      <c r="D24" s="13" t="n">
        <f aca="false">'Mar-26'!B21</f>
        <v>709755.95</v>
      </c>
      <c r="E24" s="13" t="n">
        <f aca="false">'Abr-26'!B21</f>
        <v>742405.23</v>
      </c>
      <c r="F24" s="13" t="n">
        <f aca="false">'Mai-26'!B21</f>
        <v>545460.16</v>
      </c>
      <c r="G24" s="13" t="n">
        <f aca="false">'Jun-26'!B21</f>
        <v>807399.58</v>
      </c>
      <c r="H24" s="13" t="n">
        <f aca="false">'Jul-26'!B21</f>
        <v>691676.03</v>
      </c>
      <c r="I24" s="13" t="n">
        <f aca="false">'Ago-26'!B21</f>
        <v>669571.08</v>
      </c>
      <c r="J24" s="13" t="n">
        <f aca="false">SUM(B24:I24)</f>
        <v>12545742.56</v>
      </c>
    </row>
    <row r="25" customFormat="false" ht="15" hidden="false" customHeight="false" outlineLevel="0" collapsed="false">
      <c r="A25" s="12" t="s">
        <v>32</v>
      </c>
      <c r="B25" s="13" t="n">
        <f aca="false">'Jan-26'!B25</f>
        <v>244816.06</v>
      </c>
      <c r="C25" s="13" t="n">
        <f aca="false">'Fev-26'!B22</f>
        <v>15080.93</v>
      </c>
      <c r="D25" s="13" t="n">
        <f aca="false">'Mar-26'!B22</f>
        <v>18368.97</v>
      </c>
      <c r="E25" s="13" t="n">
        <f aca="false">'Abr-26'!B22</f>
        <v>26434</v>
      </c>
      <c r="F25" s="13" t="n">
        <f aca="false">'Mai-26'!B22</f>
        <v>26300.24</v>
      </c>
      <c r="G25" s="13" t="n">
        <f aca="false">'Jun-26'!B22</f>
        <v>33146.27</v>
      </c>
      <c r="H25" s="13" t="n">
        <f aca="false">'Jul-26'!B22</f>
        <v>30270.24</v>
      </c>
      <c r="I25" s="13" t="n">
        <f aca="false">'Ago-26'!B22</f>
        <v>30453.6</v>
      </c>
      <c r="J25" s="13" t="n">
        <f aca="false">SUM(B25:I25)</f>
        <v>424870.31</v>
      </c>
    </row>
    <row r="26" customFormat="false" ht="15" hidden="false" customHeight="false" outlineLevel="0" collapsed="false">
      <c r="A26" s="12" t="s">
        <v>33</v>
      </c>
      <c r="B26" s="13" t="n">
        <f aca="false">'Jan-26'!B26</f>
        <v>1124298.74</v>
      </c>
      <c r="C26" s="13" t="n">
        <f aca="false">'Fev-26'!B23</f>
        <v>69604.27</v>
      </c>
      <c r="D26" s="13" t="n">
        <f aca="false">'Mar-26'!B23</f>
        <v>84795.93</v>
      </c>
      <c r="E26" s="13" t="n">
        <f aca="false">'Abr-26'!B23</f>
        <v>122002.84</v>
      </c>
      <c r="F26" s="13" t="n">
        <f aca="false">'Mai-26'!B23</f>
        <v>121387.11</v>
      </c>
      <c r="G26" s="13" t="n">
        <f aca="false">'Jun-26'!B23</f>
        <v>152982.81</v>
      </c>
      <c r="H26" s="13" t="n">
        <f aca="false">'Jul-26'!B23</f>
        <v>139437.49</v>
      </c>
      <c r="I26" s="13" t="n">
        <f aca="false">'Ago-26'!B23</f>
        <v>140251.49</v>
      </c>
      <c r="J26" s="13" t="n">
        <f aca="false">SUM(B26:I26)</f>
        <v>1954760.68</v>
      </c>
    </row>
    <row r="27" customFormat="false" ht="15" hidden="false" customHeight="false" outlineLevel="0" collapsed="false">
      <c r="A27" s="12" t="s">
        <v>34</v>
      </c>
      <c r="B27" s="13" t="n">
        <f aca="false">'Jan-26'!B27</f>
        <v>13955.84</v>
      </c>
      <c r="C27" s="13" t="n">
        <f aca="false">'Fev-26'!B24</f>
        <v>1093.89</v>
      </c>
      <c r="D27" s="13" t="n">
        <f aca="false">'Mar-26'!B24</f>
        <v>3709.48</v>
      </c>
      <c r="E27" s="13" t="n">
        <f aca="false">'Abr-26'!B24</f>
        <v>3292.44</v>
      </c>
      <c r="F27" s="13" t="n">
        <f aca="false">'Mai-26'!B24</f>
        <v>3862.14</v>
      </c>
      <c r="G27" s="13" t="n">
        <f aca="false">'Jun-26'!B24</f>
        <v>4644.74</v>
      </c>
      <c r="H27" s="13" t="n">
        <f aca="false">'Jul-26'!B24</f>
        <v>4416.6</v>
      </c>
      <c r="I27" s="13" t="n">
        <f aca="false">'Ago-26'!B24</f>
        <v>4062.76</v>
      </c>
      <c r="J27" s="13" t="n">
        <f aca="false">SUM(B27:I27)</f>
        <v>39037.89</v>
      </c>
    </row>
    <row r="28" customFormat="false" ht="15" hidden="false" customHeight="false" outlineLevel="0" collapsed="false">
      <c r="A28" s="12" t="s">
        <v>35</v>
      </c>
      <c r="B28" s="13" t="n">
        <f aca="false">'Jan-26'!B28</f>
        <v>252215.84</v>
      </c>
      <c r="C28" s="13" t="n">
        <f aca="false">'Fev-26'!B25</f>
        <v>21186.4</v>
      </c>
      <c r="D28" s="13" t="n">
        <f aca="false">'Mar-26'!B25</f>
        <v>23751.57</v>
      </c>
      <c r="E28" s="13" t="n">
        <f aca="false">'Abr-26'!B25</f>
        <v>19437.86</v>
      </c>
      <c r="F28" s="13" t="n">
        <f aca="false">'Mai-26'!B25</f>
        <v>28674.19</v>
      </c>
      <c r="G28" s="13" t="n">
        <f aca="false">'Jun-26'!B25</f>
        <v>25831.69</v>
      </c>
      <c r="H28" s="13" t="n">
        <f aca="false">'Jul-26'!B25</f>
        <v>29946.95</v>
      </c>
      <c r="I28" s="13" t="n">
        <f aca="false">'Ago-26'!B25</f>
        <v>27473.23</v>
      </c>
      <c r="J28" s="13" t="n">
        <f aca="false">SUM(B28:I28)</f>
        <v>428517.73</v>
      </c>
    </row>
    <row r="29" customFormat="false" ht="15" hidden="false" customHeight="false" outlineLevel="0" collapsed="false">
      <c r="A29" s="12" t="s">
        <v>36</v>
      </c>
      <c r="B29" s="13" t="n">
        <f aca="false">'Jan-26'!B29</f>
        <v>1082.44</v>
      </c>
      <c r="C29" s="13" t="n">
        <f aca="false">'Fev-26'!B26</f>
        <v>160.41</v>
      </c>
      <c r="D29" s="13" t="n">
        <f aca="false">'Mar-26'!B26</f>
        <v>142.28</v>
      </c>
      <c r="E29" s="13" t="n">
        <f aca="false">'Abr-26'!B26</f>
        <v>38.63</v>
      </c>
      <c r="F29" s="13" t="n">
        <f aca="false">'Mai-26'!B26</f>
        <v>282.75</v>
      </c>
      <c r="G29" s="13" t="n">
        <f aca="false">'Jun-26'!B26</f>
        <v>453.21</v>
      </c>
      <c r="H29" s="13" t="n">
        <f aca="false">'Jul-26'!B26</f>
        <v>286.13</v>
      </c>
      <c r="I29" s="13"/>
      <c r="J29" s="13" t="n">
        <f aca="false">SUM(B29:I29)</f>
        <v>2445.85</v>
      </c>
    </row>
    <row r="30" customFormat="false" ht="15" hidden="false" customHeight="false" outlineLevel="0" collapsed="false">
      <c r="A30" s="12" t="s">
        <v>37</v>
      </c>
      <c r="B30" s="13" t="n">
        <f aca="false">'Jan-26'!B30</f>
        <v>680737.75</v>
      </c>
      <c r="C30" s="13"/>
      <c r="D30" s="13" t="n">
        <f aca="false">'Mar-26'!B27</f>
        <v>159103.54</v>
      </c>
      <c r="E30" s="13"/>
      <c r="F30" s="13"/>
      <c r="G30" s="13" t="n">
        <f aca="false">'Jun-26'!B27</f>
        <v>327175.48</v>
      </c>
      <c r="H30" s="13"/>
      <c r="I30" s="13"/>
      <c r="J30" s="13" t="n">
        <f aca="false">SUM(B30:I30)</f>
        <v>1167016.77</v>
      </c>
    </row>
    <row r="31" customFormat="false" ht="15" hidden="false" customHeight="false" outlineLevel="0" collapsed="false">
      <c r="A31" s="12" t="s">
        <v>38</v>
      </c>
      <c r="B31" s="13" t="n">
        <f aca="false">'Jan-26'!B31</f>
        <v>377966.39</v>
      </c>
      <c r="C31" s="13"/>
      <c r="D31" s="13" t="n">
        <f aca="false">'Mar-26'!B28</f>
        <v>82278.1</v>
      </c>
      <c r="E31" s="13"/>
      <c r="F31" s="13"/>
      <c r="G31" s="13" t="n">
        <f aca="false">'Jun-26'!B28</f>
        <v>223369.99</v>
      </c>
      <c r="H31" s="13"/>
      <c r="I31" s="13"/>
      <c r="J31" s="13" t="n">
        <f aca="false">SUM(B31:I31)</f>
        <v>683614.48</v>
      </c>
    </row>
    <row r="32" customFormat="false" ht="15" hidden="false" customHeight="false" outlineLevel="0" collapsed="false">
      <c r="A32" s="7" t="s">
        <v>39</v>
      </c>
      <c r="B32" s="8" t="n">
        <f aca="false">'Jan-26'!B32</f>
        <v>-445730.17</v>
      </c>
      <c r="C32" s="8" t="n">
        <f aca="false">'Fev-26'!B27</f>
        <v>-45725.46</v>
      </c>
      <c r="D32" s="8" t="n">
        <f aca="false">'Mar-26'!B29</f>
        <v>-2385.15</v>
      </c>
      <c r="E32" s="8" t="n">
        <f aca="false">'Abr-26'!B27</f>
        <v>-9701.07</v>
      </c>
      <c r="F32" s="8" t="n">
        <f aca="false">'Mai-26'!B27</f>
        <v>-2190.96</v>
      </c>
      <c r="G32" s="8" t="n">
        <f aca="false">'Jun-26'!B29</f>
        <v>-864.34</v>
      </c>
      <c r="H32" s="8" t="n">
        <f aca="false">'Jul-26'!B27</f>
        <v>-4009.96</v>
      </c>
      <c r="I32" s="8" t="n">
        <f aca="false">'Ago-26'!B26</f>
        <v>-1527.21</v>
      </c>
      <c r="J32" s="8" t="n">
        <f aca="false">SUM(B32:I32)</f>
        <v>-512134.32</v>
      </c>
    </row>
    <row r="33" customFormat="false" ht="15" hidden="false" customHeight="false" outlineLevel="0" collapsed="false">
      <c r="A33" s="9" t="s">
        <v>40</v>
      </c>
      <c r="B33" s="10" t="n">
        <f aca="false">'Jan-26'!B33</f>
        <v>445730.17</v>
      </c>
      <c r="C33" s="10" t="n">
        <f aca="false">'Fev-26'!B28</f>
        <v>45725.46</v>
      </c>
      <c r="D33" s="10" t="n">
        <f aca="false">'Mar-26'!B30</f>
        <v>2385.15</v>
      </c>
      <c r="E33" s="10" t="n">
        <f aca="false">'Abr-26'!B28</f>
        <v>9701.07</v>
      </c>
      <c r="F33" s="10" t="n">
        <f aca="false">'Mai-26'!B28</f>
        <v>2190.96</v>
      </c>
      <c r="G33" s="10" t="n">
        <f aca="false">'Jun-26'!B30</f>
        <v>864.34</v>
      </c>
      <c r="H33" s="10" t="n">
        <f aca="false">'Jul-26'!B28</f>
        <v>4009.96</v>
      </c>
      <c r="I33" s="10" t="n">
        <f aca="false">'Ago-26'!B27</f>
        <v>1527.21</v>
      </c>
      <c r="J33" s="10" t="n">
        <f aca="false">SUM(B33:I33)</f>
        <v>512134.32</v>
      </c>
    </row>
    <row r="34" customFormat="false" ht="15" hidden="false" customHeight="false" outlineLevel="0" collapsed="false">
      <c r="A34" s="11" t="s">
        <v>41</v>
      </c>
      <c r="B34" s="10" t="n">
        <f aca="false">'Jan-26'!B34</f>
        <v>445730.17</v>
      </c>
      <c r="C34" s="10" t="n">
        <f aca="false">'Fev-26'!B29</f>
        <v>45725.46</v>
      </c>
      <c r="D34" s="10" t="n">
        <f aca="false">'Mar-26'!B31</f>
        <v>2385.15</v>
      </c>
      <c r="E34" s="10" t="n">
        <f aca="false">'Abr-26'!B29</f>
        <v>9701.07</v>
      </c>
      <c r="F34" s="10" t="n">
        <f aca="false">'Mai-26'!B29</f>
        <v>2190.96</v>
      </c>
      <c r="G34" s="10" t="n">
        <f aca="false">'Jun-26'!B31</f>
        <v>864.34</v>
      </c>
      <c r="H34" s="10" t="n">
        <f aca="false">'Jul-26'!B29</f>
        <v>4009.96</v>
      </c>
      <c r="I34" s="10" t="n">
        <f aca="false">'Ago-26'!B28</f>
        <v>1527.21</v>
      </c>
      <c r="J34" s="10" t="n">
        <f aca="false">SUM(B34:I34)</f>
        <v>512134.32</v>
      </c>
    </row>
    <row r="35" customFormat="false" ht="15" hidden="false" customHeight="false" outlineLevel="0" collapsed="false">
      <c r="A35" s="12" t="s">
        <v>42</v>
      </c>
      <c r="B35" s="13" t="n">
        <f aca="false">'Jan-26'!B35</f>
        <v>303435.11</v>
      </c>
      <c r="C35" s="13" t="n">
        <f aca="false">'Fev-26'!B30</f>
        <v>42575.8</v>
      </c>
      <c r="D35" s="13"/>
      <c r="E35" s="13" t="n">
        <f aca="false">'Abr-26'!B30</f>
        <v>4389.57</v>
      </c>
      <c r="F35" s="13" t="n">
        <f aca="false">'Mai-26'!B30</f>
        <v>1315.14</v>
      </c>
      <c r="G35" s="13"/>
      <c r="H35" s="13" t="n">
        <f aca="false">'Jul-26'!B30</f>
        <v>1338.6</v>
      </c>
      <c r="I35" s="13"/>
      <c r="J35" s="13" t="n">
        <f aca="false">SUM(B35:I35)</f>
        <v>353054.22</v>
      </c>
    </row>
    <row r="36" customFormat="false" ht="15" hidden="false" customHeight="false" outlineLevel="0" collapsed="false">
      <c r="A36" s="12" t="s">
        <v>43</v>
      </c>
      <c r="B36" s="13" t="n">
        <f aca="false">'Jan-26'!B36</f>
        <v>6939</v>
      </c>
      <c r="C36" s="13"/>
      <c r="D36" s="13"/>
      <c r="E36" s="13"/>
      <c r="F36" s="13"/>
      <c r="G36" s="13"/>
      <c r="H36" s="13"/>
      <c r="I36" s="13"/>
      <c r="J36" s="13" t="n">
        <f aca="false">SUM(B36:I36)</f>
        <v>6939</v>
      </c>
    </row>
    <row r="37" customFormat="false" ht="15" hidden="false" customHeight="false" outlineLevel="0" collapsed="false">
      <c r="A37" s="12" t="s">
        <v>44</v>
      </c>
      <c r="B37" s="13" t="n">
        <f aca="false">'Jan-26'!B37</f>
        <v>101572.91</v>
      </c>
      <c r="C37" s="13" t="n">
        <f aca="false">'Fev-26'!B31</f>
        <v>3149.66</v>
      </c>
      <c r="D37" s="13" t="n">
        <f aca="false">'Mar-26'!B32</f>
        <v>2385.15</v>
      </c>
      <c r="E37" s="13" t="n">
        <f aca="false">'Abr-26'!B31</f>
        <v>5311.5</v>
      </c>
      <c r="F37" s="13" t="n">
        <f aca="false">'Mai-26'!B31</f>
        <v>875.82</v>
      </c>
      <c r="G37" s="13" t="n">
        <f aca="false">'Jun-26'!B32</f>
        <v>864.34</v>
      </c>
      <c r="H37" s="13" t="n">
        <f aca="false">'Jul-26'!B31</f>
        <v>2671.36</v>
      </c>
      <c r="I37" s="13" t="n">
        <f aca="false">'Ago-26'!B29</f>
        <v>1527.21</v>
      </c>
      <c r="J37" s="13" t="n">
        <f aca="false">SUM(B37:I37)</f>
        <v>118357.95</v>
      </c>
    </row>
    <row r="38" customFormat="false" ht="15" hidden="false" customHeight="false" outlineLevel="0" collapsed="false">
      <c r="A38" s="12" t="s">
        <v>45</v>
      </c>
      <c r="B38" s="13" t="n">
        <f aca="false">'Jan-26'!B38</f>
        <v>33783.15</v>
      </c>
      <c r="C38" s="13"/>
      <c r="D38" s="13"/>
      <c r="E38" s="13"/>
      <c r="F38" s="13"/>
      <c r="G38" s="13"/>
      <c r="H38" s="13"/>
      <c r="I38" s="13"/>
      <c r="J38" s="13" t="n">
        <f aca="false">SUM(B38:I38)</f>
        <v>33783.15</v>
      </c>
    </row>
    <row r="39" customFormat="false" ht="15" hidden="false" customHeight="false" outlineLevel="0" collapsed="false">
      <c r="A39" s="7" t="s">
        <v>46</v>
      </c>
      <c r="B39" s="8" t="n">
        <f aca="false">'Jan-26'!B39</f>
        <v>64810440.98</v>
      </c>
      <c r="C39" s="8" t="n">
        <f aca="false">'Fev-26'!B32</f>
        <v>4376075.27</v>
      </c>
      <c r="D39" s="8" t="n">
        <f aca="false">'Mar-26'!B33</f>
        <v>5893288.96</v>
      </c>
      <c r="E39" s="8" t="n">
        <f aca="false">'Abr-26'!B32</f>
        <v>4714677.35</v>
      </c>
      <c r="F39" s="8" t="n">
        <f aca="false">'Mai-26'!B32</f>
        <v>4980218</v>
      </c>
      <c r="G39" s="8" t="n">
        <f aca="false">'Jun-26'!B33</f>
        <v>5520140.66</v>
      </c>
      <c r="H39" s="8" t="n">
        <f aca="false">'Jul-26'!B32</f>
        <v>5698241.08</v>
      </c>
      <c r="I39" s="8" t="n">
        <f aca="false">'Ago-26'!B30</f>
        <v>5446780.4</v>
      </c>
      <c r="J39" s="8" t="n">
        <f aca="false">SUM(B39:I39)</f>
        <v>101439862.7</v>
      </c>
    </row>
    <row r="40" customFormat="false" ht="15" hidden="false" customHeight="false" outlineLevel="0" collapsed="false">
      <c r="A40" s="7" t="s">
        <v>47</v>
      </c>
      <c r="B40" s="8" t="n">
        <f aca="false">'Jan-26'!B40</f>
        <v>-43222401.12</v>
      </c>
      <c r="C40" s="8" t="n">
        <f aca="false">'Fev-26'!B33</f>
        <v>-4756213.78</v>
      </c>
      <c r="D40" s="8" t="n">
        <f aca="false">'Mar-26'!B34</f>
        <v>-7546765.74</v>
      </c>
      <c r="E40" s="8" t="n">
        <f aca="false">'Abr-26'!B33</f>
        <v>-4933376.04</v>
      </c>
      <c r="F40" s="8" t="n">
        <f aca="false">'Mai-26'!B33</f>
        <v>-5181524.66</v>
      </c>
      <c r="G40" s="8" t="n">
        <f aca="false">'Jun-26'!B34</f>
        <v>-5538137.25</v>
      </c>
      <c r="H40" s="8" t="n">
        <f aca="false">'Jul-26'!B33</f>
        <v>-4788917.27</v>
      </c>
      <c r="I40" s="8" t="n">
        <f aca="false">'Ago-26'!B31</f>
        <v>-4398210.64</v>
      </c>
      <c r="J40" s="8" t="n">
        <f aca="false">SUM(B40:I40)</f>
        <v>-80365546.5</v>
      </c>
    </row>
    <row r="41" customFormat="false" ht="15" hidden="false" customHeight="false" outlineLevel="0" collapsed="false">
      <c r="A41" s="9" t="s">
        <v>48</v>
      </c>
      <c r="B41" s="10" t="n">
        <f aca="false">'Jan-26'!B41</f>
        <v>43222401.12</v>
      </c>
      <c r="C41" s="10" t="n">
        <f aca="false">'Fev-26'!B34</f>
        <v>4756213.78</v>
      </c>
      <c r="D41" s="10" t="n">
        <f aca="false">'Mar-26'!B35</f>
        <v>7546765.74</v>
      </c>
      <c r="E41" s="10" t="n">
        <f aca="false">'Abr-26'!B34</f>
        <v>4933376.04</v>
      </c>
      <c r="F41" s="10" t="n">
        <f aca="false">'Mai-26'!B34</f>
        <v>5181524.66</v>
      </c>
      <c r="G41" s="10" t="n">
        <f aca="false">'Jun-26'!B35</f>
        <v>5538137.25</v>
      </c>
      <c r="H41" s="10" t="n">
        <f aca="false">'Jul-26'!B34</f>
        <v>4788917.27</v>
      </c>
      <c r="I41" s="10" t="n">
        <f aca="false">'Ago-26'!B32</f>
        <v>4398210.64</v>
      </c>
      <c r="J41" s="10" t="n">
        <f aca="false">SUM(B41:I41)</f>
        <v>80365546.5</v>
      </c>
    </row>
    <row r="42" customFormat="false" ht="15" hidden="false" customHeight="false" outlineLevel="0" collapsed="false">
      <c r="A42" s="11" t="s">
        <v>49</v>
      </c>
      <c r="B42" s="10" t="n">
        <f aca="false">'Jan-26'!B42</f>
        <v>30146592.49</v>
      </c>
      <c r="C42" s="10" t="n">
        <f aca="false">'Fev-26'!B35</f>
        <v>3427773.26</v>
      </c>
      <c r="D42" s="10" t="n">
        <f aca="false">'Mar-26'!B36</f>
        <v>5946277.6</v>
      </c>
      <c r="E42" s="10" t="n">
        <f aca="false">'Abr-26'!B35</f>
        <v>3349307.06</v>
      </c>
      <c r="F42" s="10" t="n">
        <f aca="false">'Mai-26'!B35</f>
        <v>3594072.82</v>
      </c>
      <c r="G42" s="10" t="n">
        <f aca="false">'Jun-26'!B36</f>
        <v>3912428.95</v>
      </c>
      <c r="H42" s="10" t="n">
        <f aca="false">'Jul-26'!B35</f>
        <v>3287213.96</v>
      </c>
      <c r="I42" s="10" t="n">
        <f aca="false">'Ago-26'!B33</f>
        <v>2697210.97</v>
      </c>
      <c r="J42" s="10" t="n">
        <f aca="false">SUM(B42:I42)</f>
        <v>56360877.11</v>
      </c>
    </row>
    <row r="43" customFormat="false" ht="15" hidden="false" customHeight="false" outlineLevel="0" collapsed="false">
      <c r="A43" s="12" t="s">
        <v>50</v>
      </c>
      <c r="B43" s="13" t="n">
        <f aca="false">'Jan-26'!B43</f>
        <v>5219.26</v>
      </c>
      <c r="C43" s="13"/>
      <c r="D43" s="13"/>
      <c r="E43" s="13"/>
      <c r="F43" s="13"/>
      <c r="G43" s="13"/>
      <c r="H43" s="13"/>
      <c r="I43" s="13"/>
      <c r="J43" s="13" t="n">
        <f aca="false">SUM(B43:I43)</f>
        <v>5219.26</v>
      </c>
    </row>
    <row r="44" customFormat="false" ht="15" hidden="false" customHeight="false" outlineLevel="0" collapsed="false">
      <c r="A44" s="12" t="s">
        <v>51</v>
      </c>
      <c r="B44" s="13" t="n">
        <f aca="false">'Jan-26'!B44</f>
        <v>28929083.49</v>
      </c>
      <c r="C44" s="13" t="n">
        <f aca="false">'Fev-26'!B36</f>
        <v>3369397.76</v>
      </c>
      <c r="D44" s="13" t="n">
        <f aca="false">'Mar-26'!B37</f>
        <v>5833100.71</v>
      </c>
      <c r="E44" s="13" t="n">
        <f aca="false">'Abr-26'!B36</f>
        <v>3255247.02</v>
      </c>
      <c r="F44" s="13" t="n">
        <f aca="false">'Mai-26'!B36</f>
        <v>3493708.88</v>
      </c>
      <c r="G44" s="13" t="n">
        <f aca="false">'Jun-26'!B37</f>
        <v>3844973.3</v>
      </c>
      <c r="H44" s="13" t="n">
        <f aca="false">'Jul-26'!B36</f>
        <v>3180895</v>
      </c>
      <c r="I44" s="13" t="n">
        <f aca="false">'Ago-26'!B34</f>
        <v>2590795.59</v>
      </c>
      <c r="J44" s="13" t="n">
        <f aca="false">SUM(B44:I44)</f>
        <v>54497201.75</v>
      </c>
    </row>
    <row r="45" customFormat="false" ht="15" hidden="false" customHeight="false" outlineLevel="0" collapsed="false">
      <c r="A45" s="12" t="s">
        <v>52</v>
      </c>
      <c r="B45" s="13" t="n">
        <f aca="false">'Jan-26'!B45</f>
        <v>40452.82</v>
      </c>
      <c r="C45" s="13"/>
      <c r="D45" s="13"/>
      <c r="E45" s="13"/>
      <c r="F45" s="13" t="n">
        <f aca="false">'Mai-26'!B37</f>
        <v>7048.83</v>
      </c>
      <c r="G45" s="13" t="n">
        <f aca="false">'Jun-26'!B38</f>
        <v>2758.87</v>
      </c>
      <c r="H45" s="13" t="n">
        <f aca="false">'Jul-26'!B37</f>
        <v>2545.62</v>
      </c>
      <c r="I45" s="13"/>
      <c r="J45" s="13" t="n">
        <f aca="false">SUM(B45:I45)</f>
        <v>52806.14</v>
      </c>
    </row>
    <row r="46" customFormat="false" ht="15" hidden="false" customHeight="false" outlineLevel="0" collapsed="false">
      <c r="A46" s="12" t="s">
        <v>53</v>
      </c>
      <c r="B46" s="13" t="n">
        <f aca="false">'Jan-26'!B46</f>
        <v>1182275.44</v>
      </c>
      <c r="C46" s="13" t="n">
        <f aca="false">'Fev-26'!B37</f>
        <v>58375.5</v>
      </c>
      <c r="D46" s="13" t="n">
        <f aca="false">'Mar-26'!B38</f>
        <v>113176.89</v>
      </c>
      <c r="E46" s="13" t="n">
        <f aca="false">'Abr-26'!B37</f>
        <v>94060.04</v>
      </c>
      <c r="F46" s="13" t="n">
        <f aca="false">'Mai-26'!B38</f>
        <v>93315.11</v>
      </c>
      <c r="G46" s="13" t="n">
        <f aca="false">'Jun-26'!B39</f>
        <v>64696.78</v>
      </c>
      <c r="H46" s="13" t="n">
        <f aca="false">'Jul-26'!B38</f>
        <v>103773.34</v>
      </c>
      <c r="I46" s="13" t="n">
        <f aca="false">'Ago-26'!B35</f>
        <v>106415.38</v>
      </c>
      <c r="J46" s="13" t="n">
        <f aca="false">SUM(B46:I46)</f>
        <v>1816088.48</v>
      </c>
    </row>
    <row r="47" customFormat="false" ht="15" hidden="false" customHeight="false" outlineLevel="0" collapsed="false">
      <c r="A47" s="11" t="s">
        <v>54</v>
      </c>
      <c r="B47" s="10" t="n">
        <f aca="false">'Jan-26'!B47</f>
        <v>2204984.43</v>
      </c>
      <c r="C47" s="10" t="n">
        <f aca="false">'Fev-26'!B38</f>
        <v>331944.53</v>
      </c>
      <c r="D47" s="10" t="n">
        <f aca="false">'Mar-26'!B39</f>
        <v>372255.56</v>
      </c>
      <c r="E47" s="10" t="n">
        <f aca="false">'Abr-26'!B38</f>
        <v>501384.07</v>
      </c>
      <c r="F47" s="10" t="n">
        <f aca="false">'Mai-26'!B39</f>
        <v>512261.92</v>
      </c>
      <c r="G47" s="10" t="n">
        <f aca="false">'Jun-26'!B40</f>
        <v>573521.93</v>
      </c>
      <c r="H47" s="10" t="n">
        <f aca="false">'Jul-26'!B39</f>
        <v>498994.24</v>
      </c>
      <c r="I47" s="10" t="n">
        <f aca="false">'Ago-26'!B36</f>
        <v>579028.82</v>
      </c>
      <c r="J47" s="10" t="n">
        <f aca="false">SUM(B47:I47)</f>
        <v>5574375.5</v>
      </c>
    </row>
    <row r="48" customFormat="false" ht="15" hidden="false" customHeight="false" outlineLevel="0" collapsed="false">
      <c r="A48" s="12" t="s">
        <v>54</v>
      </c>
      <c r="B48" s="13" t="n">
        <f aca="false">'Jan-26'!B48</f>
        <v>2204984.43</v>
      </c>
      <c r="C48" s="13" t="n">
        <f aca="false">'Fev-26'!B39</f>
        <v>331944.53</v>
      </c>
      <c r="D48" s="13" t="n">
        <f aca="false">'Mar-26'!B40</f>
        <v>372255.56</v>
      </c>
      <c r="E48" s="13" t="n">
        <f aca="false">'Abr-26'!B39</f>
        <v>501384.07</v>
      </c>
      <c r="F48" s="13" t="n">
        <f aca="false">'Mai-26'!B40</f>
        <v>512261.92</v>
      </c>
      <c r="G48" s="13" t="n">
        <f aca="false">'Jun-26'!B41</f>
        <v>573521.93</v>
      </c>
      <c r="H48" s="13" t="n">
        <f aca="false">'Jul-26'!B40</f>
        <v>498994.24</v>
      </c>
      <c r="I48" s="13" t="n">
        <f aca="false">'Ago-26'!B37</f>
        <v>579028.82</v>
      </c>
      <c r="J48" s="13" t="n">
        <f aca="false">SUM(B48:I48)</f>
        <v>5574375.5</v>
      </c>
    </row>
    <row r="49" customFormat="false" ht="15" hidden="false" customHeight="false" outlineLevel="0" collapsed="false">
      <c r="A49" s="12" t="s">
        <v>55</v>
      </c>
      <c r="B49" s="13" t="n">
        <f aca="false">'Jan-26'!B49</f>
        <v>1119229.55</v>
      </c>
      <c r="C49" s="13" t="n">
        <f aca="false">'Fev-26'!B40</f>
        <v>98203.54</v>
      </c>
      <c r="D49" s="13" t="n">
        <f aca="false">'Mar-26'!B41</f>
        <v>87965.18</v>
      </c>
      <c r="E49" s="13" t="n">
        <f aca="false">'Abr-26'!B40</f>
        <v>75710.68</v>
      </c>
      <c r="F49" s="13" t="n">
        <f aca="false">'Mai-26'!B41</f>
        <v>77769.13</v>
      </c>
      <c r="G49" s="13" t="n">
        <f aca="false">'Jun-26'!B42</f>
        <v>124340.65</v>
      </c>
      <c r="H49" s="13" t="n">
        <f aca="false">'Jul-26'!B41</f>
        <v>62568.16</v>
      </c>
      <c r="I49" s="13" t="n">
        <f aca="false">'Ago-26'!B38</f>
        <v>98148.01</v>
      </c>
      <c r="J49" s="13" t="n">
        <f aca="false">SUM(B49:I49)</f>
        <v>1743934.9</v>
      </c>
    </row>
    <row r="50" customFormat="false" ht="15" hidden="false" customHeight="false" outlineLevel="0" collapsed="false">
      <c r="A50" s="12" t="s">
        <v>56</v>
      </c>
      <c r="B50" s="13" t="n">
        <f aca="false">'Jan-26'!B50</f>
        <v>517643.94</v>
      </c>
      <c r="C50" s="13" t="n">
        <f aca="false">'Fev-26'!B41</f>
        <v>30019.13</v>
      </c>
      <c r="D50" s="13" t="n">
        <f aca="false">'Mar-26'!B42</f>
        <v>44957.03</v>
      </c>
      <c r="E50" s="13" t="n">
        <f aca="false">'Abr-26'!B41</f>
        <v>38900.44</v>
      </c>
      <c r="F50" s="13" t="n">
        <f aca="false">'Mai-26'!B42</f>
        <v>30456.15</v>
      </c>
      <c r="G50" s="13" t="n">
        <f aca="false">'Jun-26'!B43</f>
        <v>39688.93</v>
      </c>
      <c r="H50" s="13" t="n">
        <f aca="false">'Jul-26'!B42</f>
        <v>40767.68</v>
      </c>
      <c r="I50" s="13" t="n">
        <f aca="false">'Ago-26'!B39</f>
        <v>44237.43</v>
      </c>
      <c r="J50" s="13" t="n">
        <f aca="false">SUM(B50:I50)</f>
        <v>786670.73</v>
      </c>
    </row>
    <row r="51" customFormat="false" ht="15" hidden="false" customHeight="false" outlineLevel="0" collapsed="false">
      <c r="A51" s="12" t="s">
        <v>57</v>
      </c>
      <c r="B51" s="13" t="n">
        <f aca="false">'Jan-26'!B51</f>
        <v>277642.76</v>
      </c>
      <c r="C51" s="13" t="n">
        <f aca="false">'Fev-26'!B42</f>
        <v>25899.16</v>
      </c>
      <c r="D51" s="13" t="n">
        <f aca="false">'Mar-26'!B43</f>
        <v>37457.61</v>
      </c>
      <c r="E51" s="13" t="n">
        <f aca="false">'Abr-26'!B42</f>
        <v>37374.88</v>
      </c>
      <c r="F51" s="13" t="n">
        <f aca="false">'Mai-26'!B43</f>
        <v>23476.58</v>
      </c>
      <c r="G51" s="13" t="n">
        <f aca="false">'Jun-26'!B44</f>
        <v>30338.15</v>
      </c>
      <c r="H51" s="13" t="n">
        <f aca="false">'Jul-26'!B43</f>
        <v>32054.19</v>
      </c>
      <c r="I51" s="13" t="n">
        <f aca="false">'Ago-26'!B40</f>
        <v>29725.93</v>
      </c>
      <c r="J51" s="13" t="n">
        <f aca="false">SUM(B51:I51)</f>
        <v>493969.26</v>
      </c>
    </row>
    <row r="52" customFormat="false" ht="15" hidden="false" customHeight="false" outlineLevel="0" collapsed="false">
      <c r="A52" s="12" t="s">
        <v>58</v>
      </c>
      <c r="B52" s="13" t="n">
        <f aca="false">'Jan-26'!B52</f>
        <v>290468.18</v>
      </c>
      <c r="C52" s="13" t="n">
        <f aca="false">'Fev-26'!B43</f>
        <v>177822.7</v>
      </c>
      <c r="D52" s="13" t="n">
        <f aca="false">'Mar-26'!B44</f>
        <v>201875.74</v>
      </c>
      <c r="E52" s="13" t="n">
        <f aca="false">'Abr-26'!B43</f>
        <v>349398.07</v>
      </c>
      <c r="F52" s="13" t="n">
        <f aca="false">'Mai-26'!B44</f>
        <v>380560.06</v>
      </c>
      <c r="G52" s="13" t="n">
        <f aca="false">'Jun-26'!B45</f>
        <v>379154.2</v>
      </c>
      <c r="H52" s="13" t="n">
        <f aca="false">'Jul-26'!B44</f>
        <v>363604.21</v>
      </c>
      <c r="I52" s="13" t="n">
        <f aca="false">'Ago-26'!B41</f>
        <v>406917.45</v>
      </c>
      <c r="J52" s="13" t="n">
        <f aca="false">SUM(B52:I52)</f>
        <v>2549800.61</v>
      </c>
    </row>
    <row r="53" customFormat="false" ht="15" hidden="false" customHeight="false" outlineLevel="0" collapsed="false">
      <c r="A53" s="11" t="s">
        <v>59</v>
      </c>
      <c r="B53" s="10" t="n">
        <f aca="false">'Jan-26'!B53</f>
        <v>10870824.2</v>
      </c>
      <c r="C53" s="10" t="n">
        <f aca="false">'Fev-26'!B44</f>
        <v>996495.99</v>
      </c>
      <c r="D53" s="10" t="n">
        <f aca="false">'Mar-26'!B45</f>
        <v>1228232.58</v>
      </c>
      <c r="E53" s="10" t="n">
        <f aca="false">'Abr-26'!B44</f>
        <v>1082684.91</v>
      </c>
      <c r="F53" s="10" t="n">
        <f aca="false">'Mai-26'!B45</f>
        <v>1075189.92</v>
      </c>
      <c r="G53" s="10" t="n">
        <f aca="false">'Jun-26'!B46</f>
        <v>1052186.37</v>
      </c>
      <c r="H53" s="10" t="n">
        <f aca="false">'Jul-26'!B45</f>
        <v>1002709.07</v>
      </c>
      <c r="I53" s="10" t="n">
        <f aca="false">'Ago-26'!B42</f>
        <v>1121970.85</v>
      </c>
      <c r="J53" s="10" t="n">
        <f aca="false">SUM(B53:I53)</f>
        <v>18430293.89</v>
      </c>
    </row>
    <row r="54" customFormat="false" ht="15" hidden="false" customHeight="false" outlineLevel="0" collapsed="false">
      <c r="A54" s="12" t="s">
        <v>60</v>
      </c>
      <c r="B54" s="13" t="n">
        <f aca="false">'Jan-26'!B54</f>
        <v>6796883.03</v>
      </c>
      <c r="C54" s="13" t="n">
        <f aca="false">'Fev-26'!B45</f>
        <v>609113.42</v>
      </c>
      <c r="D54" s="13" t="n">
        <f aca="false">'Mar-26'!B46</f>
        <v>640251.74</v>
      </c>
      <c r="E54" s="13" t="n">
        <f aca="false">'Abr-26'!B45</f>
        <v>625118.23</v>
      </c>
      <c r="F54" s="13" t="n">
        <f aca="false">'Mai-26'!B46</f>
        <v>650673.48</v>
      </c>
      <c r="G54" s="13" t="n">
        <f aca="false">'Jun-26'!B47</f>
        <v>628132.38</v>
      </c>
      <c r="H54" s="13" t="n">
        <f aca="false">'Jul-26'!B46</f>
        <v>593399.59</v>
      </c>
      <c r="I54" s="13" t="n">
        <f aca="false">'Ago-26'!B43</f>
        <v>690898.85</v>
      </c>
      <c r="J54" s="13" t="n">
        <f aca="false">SUM(B54:I54)</f>
        <v>11234470.72</v>
      </c>
    </row>
    <row r="55" customFormat="false" ht="15" hidden="false" customHeight="false" outlineLevel="0" collapsed="false">
      <c r="A55" s="12" t="s">
        <v>61</v>
      </c>
      <c r="B55" s="13" t="n">
        <f aca="false">'Jan-26'!B55</f>
        <v>73548</v>
      </c>
      <c r="C55" s="13" t="n">
        <f aca="false">'Fev-26'!B46</f>
        <v>13624</v>
      </c>
      <c r="D55" s="13" t="n">
        <f aca="false">'Mar-26'!B47</f>
        <v>3764.13</v>
      </c>
      <c r="E55" s="13" t="n">
        <f aca="false">'Abr-26'!B46</f>
        <v>8782.77</v>
      </c>
      <c r="F55" s="13" t="n">
        <f aca="false">'Mai-26'!B47</f>
        <v>2217.81</v>
      </c>
      <c r="G55" s="13" t="n">
        <f aca="false">'Jun-26'!B48</f>
        <v>7970.78</v>
      </c>
      <c r="H55" s="13" t="n">
        <f aca="false">'Jul-26'!B47</f>
        <v>9426.13</v>
      </c>
      <c r="I55" s="13" t="n">
        <f aca="false">'Ago-26'!B44</f>
        <v>1476.02</v>
      </c>
      <c r="J55" s="13" t="n">
        <f aca="false">SUM(B55:I55)</f>
        <v>120809.64</v>
      </c>
    </row>
    <row r="56" customFormat="false" ht="15" hidden="false" customHeight="false" outlineLevel="0" collapsed="false">
      <c r="A56" s="12" t="s">
        <v>62</v>
      </c>
      <c r="B56" s="13" t="n">
        <f aca="false">'Jan-26'!B56</f>
        <v>1524.58</v>
      </c>
      <c r="C56" s="13"/>
      <c r="D56" s="13"/>
      <c r="E56" s="13"/>
      <c r="F56" s="13"/>
      <c r="G56" s="13"/>
      <c r="H56" s="13"/>
      <c r="I56" s="13"/>
      <c r="J56" s="13" t="n">
        <f aca="false">SUM(B56:I56)</f>
        <v>1524.58</v>
      </c>
    </row>
    <row r="57" customFormat="false" ht="15" hidden="false" customHeight="false" outlineLevel="0" collapsed="false">
      <c r="A57" s="12" t="s">
        <v>63</v>
      </c>
      <c r="B57" s="13" t="n">
        <f aca="false">'Jan-26'!B57</f>
        <v>501.12</v>
      </c>
      <c r="C57" s="13"/>
      <c r="D57" s="13"/>
      <c r="E57" s="13"/>
      <c r="F57" s="13"/>
      <c r="G57" s="13"/>
      <c r="H57" s="13"/>
      <c r="I57" s="13"/>
      <c r="J57" s="13" t="n">
        <f aca="false">SUM(B57:I57)</f>
        <v>501.12</v>
      </c>
    </row>
    <row r="58" customFormat="false" ht="15" hidden="false" customHeight="false" outlineLevel="0" collapsed="false">
      <c r="A58" s="12" t="s">
        <v>64</v>
      </c>
      <c r="B58" s="13" t="n">
        <f aca="false">'Jan-26'!B58</f>
        <v>23557.31</v>
      </c>
      <c r="C58" s="13" t="n">
        <f aca="false">'Fev-26'!B47</f>
        <v>4149.89</v>
      </c>
      <c r="D58" s="13"/>
      <c r="E58" s="13" t="n">
        <f aca="false">'Abr-26'!B47</f>
        <v>3516.04</v>
      </c>
      <c r="F58" s="13"/>
      <c r="G58" s="13"/>
      <c r="H58" s="13"/>
      <c r="I58" s="13"/>
      <c r="J58" s="13" t="n">
        <f aca="false">SUM(B58:I58)</f>
        <v>31223.24</v>
      </c>
    </row>
    <row r="59" customFormat="false" ht="15" hidden="false" customHeight="false" outlineLevel="0" collapsed="false">
      <c r="A59" s="12" t="s">
        <v>65</v>
      </c>
      <c r="B59" s="13" t="n">
        <f aca="false">'Jan-26'!B59</f>
        <v>745851.7</v>
      </c>
      <c r="C59" s="13" t="n">
        <f aca="false">'Fev-26'!B48</f>
        <v>56258.05</v>
      </c>
      <c r="D59" s="13" t="n">
        <f aca="false">'Mar-26'!B48</f>
        <v>137066.72</v>
      </c>
      <c r="E59" s="13" t="n">
        <f aca="false">'Abr-26'!B48</f>
        <v>71521.6</v>
      </c>
      <c r="F59" s="13" t="n">
        <f aca="false">'Mai-26'!B48</f>
        <v>69778.97</v>
      </c>
      <c r="G59" s="13" t="n">
        <f aca="false">'Jun-26'!B49</f>
        <v>69629.37</v>
      </c>
      <c r="H59" s="13" t="n">
        <f aca="false">'Jul-26'!B48</f>
        <v>69367.07</v>
      </c>
      <c r="I59" s="13" t="n">
        <f aca="false">'Ago-26'!B45</f>
        <v>71261.98</v>
      </c>
      <c r="J59" s="13" t="n">
        <f aca="false">SUM(B59:I59)</f>
        <v>1290735.46</v>
      </c>
    </row>
    <row r="60" customFormat="false" ht="15" hidden="false" customHeight="false" outlineLevel="0" collapsed="false">
      <c r="A60" s="12" t="s">
        <v>66</v>
      </c>
      <c r="B60" s="13" t="n">
        <f aca="false">'Jan-26'!B60</f>
        <v>641072.21</v>
      </c>
      <c r="C60" s="13" t="n">
        <f aca="false">'Fev-26'!B49</f>
        <v>41733.09</v>
      </c>
      <c r="D60" s="13" t="n">
        <f aca="false">'Mar-26'!B49</f>
        <v>102122.9</v>
      </c>
      <c r="E60" s="13" t="n">
        <f aca="false">'Abr-26'!B49</f>
        <v>53386.82</v>
      </c>
      <c r="F60" s="13" t="n">
        <f aca="false">'Mai-26'!B49</f>
        <v>52037.43</v>
      </c>
      <c r="G60" s="13" t="n">
        <f aca="false">'Jun-26'!B50</f>
        <v>52234.6</v>
      </c>
      <c r="H60" s="13" t="n">
        <f aca="false">'Jul-26'!B49</f>
        <v>52057.77</v>
      </c>
      <c r="I60" s="13" t="n">
        <f aca="false">'Ago-26'!B46</f>
        <v>52768.65</v>
      </c>
      <c r="J60" s="13" t="n">
        <f aca="false">SUM(B60:I60)</f>
        <v>1047413.47</v>
      </c>
    </row>
    <row r="61" customFormat="false" ht="15" hidden="false" customHeight="false" outlineLevel="0" collapsed="false">
      <c r="A61" s="12" t="s">
        <v>67</v>
      </c>
      <c r="B61" s="13" t="n">
        <f aca="false">'Jan-26'!B61</f>
        <v>577092.55</v>
      </c>
      <c r="C61" s="13" t="n">
        <f aca="false">'Fev-26'!B50</f>
        <v>52457.44</v>
      </c>
      <c r="D61" s="13" t="n">
        <f aca="false">'Mar-26'!B50</f>
        <v>50355.81</v>
      </c>
      <c r="E61" s="13" t="n">
        <f aca="false">'Abr-26'!B50</f>
        <v>52000.6</v>
      </c>
      <c r="F61" s="13" t="n">
        <f aca="false">'Mai-26'!B50</f>
        <v>52057.86</v>
      </c>
      <c r="G61" s="13" t="n">
        <f aca="false">'Jun-26'!B51</f>
        <v>49411.85</v>
      </c>
      <c r="H61" s="13" t="n">
        <f aca="false">'Jul-26'!B50</f>
        <v>49823.22</v>
      </c>
      <c r="I61" s="13" t="n">
        <f aca="false">'Ago-26'!B47</f>
        <v>55129.89</v>
      </c>
      <c r="J61" s="13" t="n">
        <f aca="false">SUM(B61:I61)</f>
        <v>938329.22</v>
      </c>
    </row>
    <row r="62" customFormat="false" ht="15" hidden="false" customHeight="false" outlineLevel="0" collapsed="false">
      <c r="A62" s="12" t="s">
        <v>68</v>
      </c>
      <c r="B62" s="13" t="n">
        <f aca="false">'Jan-26'!B62</f>
        <v>1338508.58</v>
      </c>
      <c r="C62" s="13" t="n">
        <f aca="false">'Fev-26'!B51</f>
        <v>197568.71</v>
      </c>
      <c r="D62" s="13" t="n">
        <f aca="false">'Mar-26'!B51</f>
        <v>186318.8</v>
      </c>
      <c r="E62" s="13" t="n">
        <f aca="false">'Abr-26'!B51</f>
        <v>190801.82</v>
      </c>
      <c r="F62" s="13" t="n">
        <f aca="false">'Mai-26'!B51</f>
        <v>191885.32</v>
      </c>
      <c r="G62" s="13" t="n">
        <f aca="false">'Jun-26'!B52</f>
        <v>184381.6</v>
      </c>
      <c r="H62" s="13" t="n">
        <f aca="false">'Jul-26'!B51</f>
        <v>184252.44</v>
      </c>
      <c r="I62" s="13" t="n">
        <f aca="false">'Ago-26'!B48</f>
        <v>204205.94</v>
      </c>
      <c r="J62" s="13" t="n">
        <f aca="false">SUM(B62:I62)</f>
        <v>2677923.21</v>
      </c>
    </row>
    <row r="63" customFormat="false" ht="15" hidden="false" customHeight="false" outlineLevel="0" collapsed="false">
      <c r="A63" s="12" t="s">
        <v>69</v>
      </c>
      <c r="B63" s="13" t="n">
        <f aca="false">'Jan-26'!B63</f>
        <v>471146.04</v>
      </c>
      <c r="C63" s="13"/>
      <c r="D63" s="13"/>
      <c r="E63" s="13"/>
      <c r="F63" s="13"/>
      <c r="G63" s="13"/>
      <c r="H63" s="13"/>
      <c r="I63" s="13"/>
      <c r="J63" s="13" t="n">
        <f aca="false">SUM(B63:I63)</f>
        <v>471146.04</v>
      </c>
    </row>
    <row r="64" customFormat="false" ht="15" hidden="false" customHeight="false" outlineLevel="0" collapsed="false">
      <c r="A64" s="12" t="s">
        <v>70</v>
      </c>
      <c r="B64" s="13" t="n">
        <f aca="false">'Jan-26'!B64</f>
        <v>92431.77</v>
      </c>
      <c r="C64" s="13" t="n">
        <f aca="false">'Fev-26'!B52</f>
        <v>6113.54</v>
      </c>
      <c r="D64" s="13" t="n">
        <f aca="false">'Mar-26'!B52</f>
        <v>11136.46</v>
      </c>
      <c r="E64" s="13" t="n">
        <f aca="false">'Abr-26'!B52</f>
        <v>5720.75</v>
      </c>
      <c r="F64" s="13" t="n">
        <f aca="false">'Mai-26'!B52</f>
        <v>5581.41</v>
      </c>
      <c r="G64" s="13" t="n">
        <f aca="false">'Jun-26'!B53</f>
        <v>5569.44</v>
      </c>
      <c r="H64" s="13" t="n">
        <f aca="false">'Jul-26'!B52</f>
        <v>4666.92</v>
      </c>
      <c r="I64" s="13" t="n">
        <f aca="false">'Ago-26'!B49</f>
        <v>5700</v>
      </c>
      <c r="J64" s="13" t="n">
        <f aca="false">SUM(B64:I64)</f>
        <v>136920.29</v>
      </c>
    </row>
    <row r="65" customFormat="false" ht="15" hidden="false" customHeight="false" outlineLevel="0" collapsed="false">
      <c r="A65" s="12" t="s">
        <v>71</v>
      </c>
      <c r="B65" s="13"/>
      <c r="C65" s="13"/>
      <c r="D65" s="13" t="n">
        <f aca="false">'Mar-26'!B53</f>
        <v>40959.43</v>
      </c>
      <c r="E65" s="13" t="n">
        <f aca="false">'Abr-26'!B53</f>
        <v>20938.25</v>
      </c>
      <c r="F65" s="13" t="n">
        <f aca="false">'Mai-26'!B53</f>
        <v>20434.29</v>
      </c>
      <c r="G65" s="13" t="n">
        <f aca="false">'Jun-26'!B54</f>
        <v>20386.38</v>
      </c>
      <c r="H65" s="13" t="n">
        <f aca="false">'Jul-26'!B53</f>
        <v>20310.86</v>
      </c>
      <c r="I65" s="13" t="n">
        <f aca="false">'Ago-26'!B50</f>
        <v>20862.99</v>
      </c>
      <c r="J65" s="13" t="n">
        <f aca="false">SUM(B65:I65)</f>
        <v>143892.2</v>
      </c>
    </row>
    <row r="66" customFormat="false" ht="15" hidden="false" customHeight="false" outlineLevel="0" collapsed="false">
      <c r="A66" s="12" t="s">
        <v>72</v>
      </c>
      <c r="B66" s="13" t="n">
        <f aca="false">'Jan-26'!B65</f>
        <v>59364.12</v>
      </c>
      <c r="C66" s="13" t="n">
        <f aca="false">'Fev-26'!B53</f>
        <v>12139.36</v>
      </c>
      <c r="D66" s="13" t="n">
        <f aca="false">'Mar-26'!B54</f>
        <v>30087.67</v>
      </c>
      <c r="E66" s="13" t="n">
        <f aca="false">'Abr-26'!B54</f>
        <v>15628.07</v>
      </c>
      <c r="F66" s="13" t="n">
        <f aca="false">'Mai-26'!B54</f>
        <v>15237.35</v>
      </c>
      <c r="G66" s="13" t="n">
        <f aca="false">'Jun-26'!B55</f>
        <v>15292.04</v>
      </c>
      <c r="H66" s="13" t="n">
        <f aca="false">'Jul-26'!B54</f>
        <v>15241.26</v>
      </c>
      <c r="I66" s="13" t="n">
        <f aca="false">'Ago-26'!B51</f>
        <v>15445.92</v>
      </c>
      <c r="J66" s="13" t="n">
        <f aca="false">SUM(B66:I66)</f>
        <v>178435.79</v>
      </c>
    </row>
    <row r="67" customFormat="false" ht="15" hidden="false" customHeight="false" outlineLevel="0" collapsed="false">
      <c r="A67" s="12" t="s">
        <v>73</v>
      </c>
      <c r="B67" s="13" t="n">
        <f aca="false">'Jan-26'!B66</f>
        <v>49343.19</v>
      </c>
      <c r="C67" s="13" t="n">
        <f aca="false">'Fev-26'!B54</f>
        <v>3338.49</v>
      </c>
      <c r="D67" s="13" t="n">
        <f aca="false">'Mar-26'!B55</f>
        <v>8168.92</v>
      </c>
      <c r="E67" s="13" t="n">
        <f aca="false">'Abr-26'!B55</f>
        <v>4269.96</v>
      </c>
      <c r="F67" s="13" t="n">
        <f aca="false">'Mai-26'!B55</f>
        <v>4162.08</v>
      </c>
      <c r="G67" s="13" t="n">
        <f aca="false">'Jun-26'!B56</f>
        <v>4177.93</v>
      </c>
      <c r="H67" s="13" t="n">
        <f aca="false">'Jul-26'!B55</f>
        <v>4163.81</v>
      </c>
      <c r="I67" s="13" t="n">
        <f aca="false">'Ago-26'!B52</f>
        <v>4220.61</v>
      </c>
      <c r="J67" s="13" t="n">
        <f aca="false">SUM(B67:I67)</f>
        <v>81844.99</v>
      </c>
    </row>
    <row r="68" customFormat="false" ht="15" hidden="false" customHeight="false" outlineLevel="0" collapsed="false">
      <c r="A68" s="12" t="s">
        <v>74</v>
      </c>
      <c r="B68" s="13"/>
      <c r="C68" s="13"/>
      <c r="D68" s="13" t="n">
        <f aca="false">'Mar-26'!B56</f>
        <v>18000</v>
      </c>
      <c r="E68" s="13" t="n">
        <f aca="false">'Abr-26'!B56</f>
        <v>31000</v>
      </c>
      <c r="F68" s="13" t="n">
        <f aca="false">'Mai-26'!B56</f>
        <v>15559.54</v>
      </c>
      <c r="G68" s="13" t="n">
        <f aca="false">'Jun-26'!B57</f>
        <v>15000</v>
      </c>
      <c r="H68" s="13"/>
      <c r="I68" s="13"/>
      <c r="J68" s="13" t="n">
        <f aca="false">SUM(B68:I68)</f>
        <v>79559.54</v>
      </c>
    </row>
    <row r="69" customFormat="false" ht="15" hidden="false" customHeight="false" outlineLevel="0" collapsed="false">
      <c r="A69" s="7" t="s">
        <v>75</v>
      </c>
      <c r="B69" s="8" t="n">
        <f aca="false">'Jan-26'!B67</f>
        <v>21588039.86</v>
      </c>
      <c r="C69" s="8" t="n">
        <f aca="false">'Fev-26'!B55</f>
        <v>-380138.51</v>
      </c>
      <c r="D69" s="8" t="n">
        <f aca="false">'Mar-26'!B57</f>
        <v>-1653476.78</v>
      </c>
      <c r="E69" s="8" t="n">
        <f aca="false">'Abr-26'!B57</f>
        <v>-218698.69</v>
      </c>
      <c r="F69" s="8" t="n">
        <f aca="false">'Mai-26'!B57</f>
        <v>-201306.66</v>
      </c>
      <c r="G69" s="8" t="n">
        <f aca="false">'Jun-26'!B58</f>
        <v>-17996.59</v>
      </c>
      <c r="H69" s="8" t="n">
        <f aca="false">'Jul-26'!B56</f>
        <v>909323.81</v>
      </c>
      <c r="I69" s="8" t="n">
        <f aca="false">'Ago-26'!B53</f>
        <v>1048569.76</v>
      </c>
      <c r="J69" s="8" t="n">
        <f aca="false">SUM(B69:I69)</f>
        <v>21074316.2</v>
      </c>
    </row>
    <row r="70" customFormat="false" ht="15" hidden="false" customHeight="false" outlineLevel="0" collapsed="false">
      <c r="A70" s="7" t="s">
        <v>76</v>
      </c>
      <c r="B70" s="8" t="n">
        <f aca="false">'Jan-26'!B68</f>
        <v>-16969981.07</v>
      </c>
      <c r="C70" s="8" t="n">
        <f aca="false">'Fev-26'!B56</f>
        <v>-1179795.17</v>
      </c>
      <c r="D70" s="8" t="n">
        <f aca="false">'Mar-26'!B58</f>
        <v>-1352282.19</v>
      </c>
      <c r="E70" s="8" t="n">
        <f aca="false">'Abr-26'!B58</f>
        <v>-1142219.21</v>
      </c>
      <c r="F70" s="8" t="n">
        <f aca="false">'Mai-26'!B58</f>
        <v>-1082135.4</v>
      </c>
      <c r="G70" s="8" t="n">
        <f aca="false">'Jun-26'!B59</f>
        <v>-1101105.17</v>
      </c>
      <c r="H70" s="8" t="n">
        <f aca="false">'Jul-26'!B57</f>
        <v>-1185503.13</v>
      </c>
      <c r="I70" s="8" t="n">
        <f aca="false">'Ago-26'!B54</f>
        <v>-1144173.36</v>
      </c>
      <c r="J70" s="8" t="n">
        <f aca="false">SUM(B70:I70)</f>
        <v>-25157194.7</v>
      </c>
    </row>
    <row r="71" customFormat="false" ht="15" hidden="false" customHeight="false" outlineLevel="0" collapsed="false">
      <c r="A71" s="9" t="s">
        <v>77</v>
      </c>
      <c r="B71" s="10" t="n">
        <f aca="false">'Jan-26'!B69</f>
        <v>5101902.98</v>
      </c>
      <c r="C71" s="10" t="n">
        <f aca="false">'Fev-26'!B57</f>
        <v>316792.55</v>
      </c>
      <c r="D71" s="10" t="n">
        <f aca="false">'Mar-26'!B59</f>
        <v>367874.74</v>
      </c>
      <c r="E71" s="10" t="n">
        <f aca="false">'Abr-26'!B59</f>
        <v>328077.09</v>
      </c>
      <c r="F71" s="10" t="n">
        <f aca="false">'Mai-26'!B59</f>
        <v>522096.79</v>
      </c>
      <c r="G71" s="10" t="n">
        <f aca="false">'Jun-26'!B60</f>
        <v>424739.14</v>
      </c>
      <c r="H71" s="10" t="n">
        <f aca="false">'Jul-26'!B58</f>
        <v>352501.71</v>
      </c>
      <c r="I71" s="10" t="n">
        <f aca="false">'Ago-26'!B55</f>
        <v>424693.59</v>
      </c>
      <c r="J71" s="10" t="n">
        <f aca="false">SUM(B71:I71)</f>
        <v>7838678.59</v>
      </c>
    </row>
    <row r="72" customFormat="false" ht="15" hidden="false" customHeight="false" outlineLevel="0" collapsed="false">
      <c r="A72" s="11" t="s">
        <v>78</v>
      </c>
      <c r="B72" s="10" t="n">
        <f aca="false">'Jan-26'!B70</f>
        <v>5101902.98</v>
      </c>
      <c r="C72" s="10" t="n">
        <f aca="false">'Fev-26'!B58</f>
        <v>316792.55</v>
      </c>
      <c r="D72" s="10" t="n">
        <f aca="false">'Mar-26'!B60</f>
        <v>367874.74</v>
      </c>
      <c r="E72" s="10" t="n">
        <f aca="false">'Abr-26'!B60</f>
        <v>328077.09</v>
      </c>
      <c r="F72" s="10" t="n">
        <f aca="false">'Mai-26'!B60</f>
        <v>522096.79</v>
      </c>
      <c r="G72" s="10" t="n">
        <f aca="false">'Jun-26'!B61</f>
        <v>424739.14</v>
      </c>
      <c r="H72" s="10" t="n">
        <f aca="false">'Jul-26'!B59</f>
        <v>352501.71</v>
      </c>
      <c r="I72" s="10" t="n">
        <f aca="false">'Ago-26'!B56</f>
        <v>424693.59</v>
      </c>
      <c r="J72" s="10" t="n">
        <f aca="false">SUM(B72:I72)</f>
        <v>7838678.59</v>
      </c>
    </row>
    <row r="73" customFormat="false" ht="15" hidden="false" customHeight="false" outlineLevel="0" collapsed="false">
      <c r="A73" s="12" t="s">
        <v>79</v>
      </c>
      <c r="B73" s="13" t="n">
        <f aca="false">'Jan-26'!B71</f>
        <v>1296704.21</v>
      </c>
      <c r="C73" s="13" t="n">
        <f aca="false">'Fev-26'!B59</f>
        <v>53824.48</v>
      </c>
      <c r="D73" s="13" t="n">
        <f aca="false">'Mar-26'!B61</f>
        <v>77832.42</v>
      </c>
      <c r="E73" s="13" t="n">
        <f aca="false">'Abr-26'!B61</f>
        <v>1402.33</v>
      </c>
      <c r="F73" s="13" t="n">
        <f aca="false">'Mai-26'!B61</f>
        <v>89936.98</v>
      </c>
      <c r="G73" s="13" t="n">
        <f aca="false">'Jun-26'!B62</f>
        <v>106845.44</v>
      </c>
      <c r="H73" s="13" t="n">
        <f aca="false">'Jul-26'!B60</f>
        <v>81123.89</v>
      </c>
      <c r="I73" s="13" t="n">
        <f aca="false">'Ago-26'!B57</f>
        <v>108844.35</v>
      </c>
      <c r="J73" s="13" t="n">
        <f aca="false">SUM(B73:I73)</f>
        <v>1816514.1</v>
      </c>
    </row>
    <row r="74" customFormat="false" ht="15" hidden="false" customHeight="false" outlineLevel="0" collapsed="false">
      <c r="A74" s="12" t="s">
        <v>80</v>
      </c>
      <c r="B74" s="13" t="n">
        <f aca="false">'Jan-26'!B72</f>
        <v>1795690.87</v>
      </c>
      <c r="C74" s="13" t="n">
        <f aca="false">'Fev-26'!B60</f>
        <v>109331.11</v>
      </c>
      <c r="D74" s="13" t="n">
        <f aca="false">'Mar-26'!B62</f>
        <v>127758</v>
      </c>
      <c r="E74" s="13" t="n">
        <f aca="false">'Abr-26'!B62</f>
        <v>143302</v>
      </c>
      <c r="F74" s="13" t="n">
        <f aca="false">'Mai-26'!B62</f>
        <v>135239.22</v>
      </c>
      <c r="G74" s="13" t="n">
        <f aca="false">'Jun-26'!B63</f>
        <v>130436.51</v>
      </c>
      <c r="H74" s="13" t="n">
        <f aca="false">'Jul-26'!B61</f>
        <v>141574.34</v>
      </c>
      <c r="I74" s="13" t="n">
        <f aca="false">'Ago-26'!B58</f>
        <v>140823</v>
      </c>
      <c r="J74" s="13" t="n">
        <f aca="false">SUM(B74:I74)</f>
        <v>2724155.05</v>
      </c>
    </row>
    <row r="75" customFormat="false" ht="15" hidden="false" customHeight="false" outlineLevel="0" collapsed="false">
      <c r="A75" s="12" t="s">
        <v>81</v>
      </c>
      <c r="B75" s="13"/>
      <c r="C75" s="13"/>
      <c r="D75" s="13"/>
      <c r="E75" s="13"/>
      <c r="F75" s="13"/>
      <c r="G75" s="13"/>
      <c r="H75" s="13"/>
      <c r="I75" s="13" t="n">
        <f aca="false">'Ago-26'!B59</f>
        <v>40</v>
      </c>
      <c r="J75" s="13" t="n">
        <f aca="false">SUM(B75:I75)</f>
        <v>40</v>
      </c>
    </row>
    <row r="76" customFormat="false" ht="15" hidden="false" customHeight="false" outlineLevel="0" collapsed="false">
      <c r="A76" s="12" t="s">
        <v>82</v>
      </c>
      <c r="B76" s="13" t="n">
        <f aca="false">'Jan-26'!B73</f>
        <v>71216.51</v>
      </c>
      <c r="C76" s="13" t="n">
        <f aca="false">'Fev-26'!B61</f>
        <v>3324</v>
      </c>
      <c r="D76" s="13"/>
      <c r="E76" s="13" t="n">
        <f aca="false">'Abr-26'!B63</f>
        <v>8639.41</v>
      </c>
      <c r="F76" s="13"/>
      <c r="G76" s="13"/>
      <c r="H76" s="13"/>
      <c r="I76" s="13"/>
      <c r="J76" s="13" t="n">
        <f aca="false">SUM(B76:I76)</f>
        <v>83179.92</v>
      </c>
    </row>
    <row r="77" customFormat="false" ht="15" hidden="false" customHeight="false" outlineLevel="0" collapsed="false">
      <c r="A77" s="12" t="s">
        <v>83</v>
      </c>
      <c r="B77" s="13" t="n">
        <f aca="false">'Jan-26'!B74</f>
        <v>116539.93</v>
      </c>
      <c r="C77" s="13" t="n">
        <f aca="false">'Fev-26'!B62</f>
        <v>15073.89</v>
      </c>
      <c r="D77" s="13" t="n">
        <f aca="false">'Mar-26'!B63</f>
        <v>5606.02</v>
      </c>
      <c r="E77" s="13" t="n">
        <f aca="false">'Abr-26'!B64</f>
        <v>7311.69</v>
      </c>
      <c r="F77" s="13" t="n">
        <f aca="false">'Mai-26'!B63</f>
        <v>16856.04</v>
      </c>
      <c r="G77" s="13" t="n">
        <f aca="false">'Jun-26'!B64</f>
        <v>10679.96</v>
      </c>
      <c r="H77" s="13" t="n">
        <f aca="false">'Jul-26'!B62</f>
        <v>11362.71</v>
      </c>
      <c r="I77" s="13" t="n">
        <f aca="false">'Ago-26'!B60</f>
        <v>13067.36</v>
      </c>
      <c r="J77" s="13" t="n">
        <f aca="false">SUM(B77:I77)</f>
        <v>196497.6</v>
      </c>
    </row>
    <row r="78" customFormat="false" ht="15" hidden="false" customHeight="false" outlineLevel="0" collapsed="false">
      <c r="A78" s="12" t="s">
        <v>84</v>
      </c>
      <c r="B78" s="13" t="n">
        <f aca="false">'Jan-26'!B75</f>
        <v>160213.96</v>
      </c>
      <c r="C78" s="13" t="n">
        <f aca="false">'Fev-26'!B63</f>
        <v>12311.4</v>
      </c>
      <c r="D78" s="13" t="n">
        <f aca="false">'Mar-26'!B64</f>
        <v>9026.96</v>
      </c>
      <c r="E78" s="13" t="n">
        <f aca="false">'Abr-26'!B65</f>
        <v>16248.49</v>
      </c>
      <c r="F78" s="13" t="n">
        <f aca="false">'Mai-26'!B64</f>
        <v>74657.69</v>
      </c>
      <c r="G78" s="13" t="n">
        <f aca="false">'Jun-26'!B65</f>
        <v>13056.24</v>
      </c>
      <c r="H78" s="13" t="n">
        <f aca="false">'Jul-26'!B63</f>
        <v>10081.05</v>
      </c>
      <c r="I78" s="13" t="n">
        <f aca="false">'Ago-26'!B61</f>
        <v>15319.59</v>
      </c>
      <c r="J78" s="13" t="n">
        <f aca="false">SUM(B78:I78)</f>
        <v>310915.38</v>
      </c>
    </row>
    <row r="79" customFormat="false" ht="15" hidden="false" customHeight="false" outlineLevel="0" collapsed="false">
      <c r="A79" s="12" t="s">
        <v>85</v>
      </c>
      <c r="B79" s="13" t="n">
        <f aca="false">'Jan-26'!B76</f>
        <v>62475.58</v>
      </c>
      <c r="C79" s="13" t="n">
        <f aca="false">'Fev-26'!B64</f>
        <v>893.35</v>
      </c>
      <c r="D79" s="13" t="n">
        <f aca="false">'Mar-26'!B65</f>
        <v>17172.88</v>
      </c>
      <c r="E79" s="13" t="n">
        <f aca="false">'Abr-26'!B66</f>
        <v>515.53</v>
      </c>
      <c r="F79" s="13" t="n">
        <f aca="false">'Mai-26'!B65</f>
        <v>1507.14</v>
      </c>
      <c r="G79" s="13" t="n">
        <f aca="false">'Jun-26'!B66</f>
        <v>31162.25</v>
      </c>
      <c r="H79" s="13" t="n">
        <f aca="false">'Jul-26'!B64</f>
        <v>683.06</v>
      </c>
      <c r="I79" s="13" t="n">
        <f aca="false">'Ago-26'!B62</f>
        <v>1572.06</v>
      </c>
      <c r="J79" s="13" t="n">
        <f aca="false">SUM(B79:I79)</f>
        <v>115981.85</v>
      </c>
    </row>
    <row r="80" customFormat="false" ht="15" hidden="false" customHeight="false" outlineLevel="0" collapsed="false">
      <c r="A80" s="12" t="s">
        <v>86</v>
      </c>
      <c r="B80" s="13" t="n">
        <f aca="false">'Jan-26'!B77</f>
        <v>179773.49</v>
      </c>
      <c r="C80" s="13" t="n">
        <f aca="false">'Fev-26'!B65</f>
        <v>9626.1</v>
      </c>
      <c r="D80" s="13" t="n">
        <f aca="false">'Mar-26'!B66</f>
        <v>9943.6</v>
      </c>
      <c r="E80" s="13" t="n">
        <f aca="false">'Abr-26'!B67</f>
        <v>34326.1</v>
      </c>
      <c r="F80" s="13" t="n">
        <f aca="false">'Mai-26'!B66</f>
        <v>10572.35</v>
      </c>
      <c r="G80" s="13" t="n">
        <f aca="false">'Jun-26'!B67</f>
        <v>10511.1</v>
      </c>
      <c r="H80" s="13" t="n">
        <f aca="false">'Jul-26'!B65</f>
        <v>12119.4</v>
      </c>
      <c r="I80" s="13" t="n">
        <f aca="false">'Ago-26'!B63</f>
        <v>14590.97</v>
      </c>
      <c r="J80" s="13" t="n">
        <f aca="false">SUM(B80:I80)</f>
        <v>281463.11</v>
      </c>
    </row>
    <row r="81" customFormat="false" ht="15" hidden="false" customHeight="false" outlineLevel="0" collapsed="false">
      <c r="A81" s="12" t="s">
        <v>87</v>
      </c>
      <c r="B81" s="13" t="n">
        <f aca="false">'Jan-26'!B78</f>
        <v>12449.68</v>
      </c>
      <c r="C81" s="13"/>
      <c r="D81" s="13" t="n">
        <f aca="false">'Mar-26'!B67</f>
        <v>4149.89</v>
      </c>
      <c r="E81" s="13" t="n">
        <f aca="false">'Abr-26'!B68</f>
        <v>633.85</v>
      </c>
      <c r="F81" s="13" t="n">
        <f aca="false">'Mai-26'!B67</f>
        <v>4297</v>
      </c>
      <c r="G81" s="13" t="n">
        <f aca="false">'Jun-26'!B68</f>
        <v>4297.01</v>
      </c>
      <c r="H81" s="13" t="n">
        <f aca="false">'Jul-26'!B66</f>
        <v>4297.01</v>
      </c>
      <c r="I81" s="13" t="n">
        <f aca="false">'Ago-26'!B64</f>
        <v>4494.9</v>
      </c>
      <c r="J81" s="13" t="n">
        <f aca="false">SUM(B81:I81)</f>
        <v>34619.34</v>
      </c>
    </row>
    <row r="82" customFormat="false" ht="15" hidden="false" customHeight="false" outlineLevel="0" collapsed="false">
      <c r="A82" s="12" t="s">
        <v>88</v>
      </c>
      <c r="B82" s="13" t="n">
        <f aca="false">'Jan-26'!B79</f>
        <v>13104</v>
      </c>
      <c r="C82" s="13" t="n">
        <f aca="false">'Fev-26'!B66</f>
        <v>1008</v>
      </c>
      <c r="D82" s="13" t="n">
        <f aca="false">'Mar-26'!B68</f>
        <v>1088</v>
      </c>
      <c r="E82" s="13" t="n">
        <f aca="false">'Abr-26'!B69</f>
        <v>1028</v>
      </c>
      <c r="F82" s="13" t="n">
        <f aca="false">'Mai-26'!B68</f>
        <v>1008</v>
      </c>
      <c r="G82" s="13" t="n">
        <f aca="false">'Jun-26'!B69</f>
        <v>1008</v>
      </c>
      <c r="H82" s="13" t="n">
        <f aca="false">'Jul-26'!B67</f>
        <v>1008</v>
      </c>
      <c r="I82" s="13" t="n">
        <f aca="false">'Ago-26'!B65</f>
        <v>1008</v>
      </c>
      <c r="J82" s="13" t="n">
        <f aca="false">SUM(B82:I82)</f>
        <v>20260</v>
      </c>
    </row>
    <row r="83" customFormat="false" ht="15" hidden="false" customHeight="false" outlineLevel="0" collapsed="false">
      <c r="A83" s="12" t="s">
        <v>89</v>
      </c>
      <c r="B83" s="13" t="n">
        <f aca="false">'Jan-26'!B80</f>
        <v>197679.34</v>
      </c>
      <c r="C83" s="13" t="n">
        <f aca="false">'Fev-26'!B67</f>
        <v>14428.83</v>
      </c>
      <c r="D83" s="13" t="n">
        <f aca="false">'Mar-26'!B69</f>
        <v>13401.84</v>
      </c>
      <c r="E83" s="13" t="n">
        <f aca="false">'Abr-26'!B70</f>
        <v>13373.4</v>
      </c>
      <c r="F83" s="13" t="n">
        <f aca="false">'Mai-26'!B69</f>
        <v>13309.34</v>
      </c>
      <c r="G83" s="13" t="n">
        <f aca="false">'Jun-26'!B70</f>
        <v>13307.89</v>
      </c>
      <c r="H83" s="13" t="n">
        <f aca="false">'Jul-26'!B68</f>
        <v>14117.23</v>
      </c>
      <c r="I83" s="13" t="n">
        <f aca="false">'Ago-26'!B66</f>
        <v>14497.02</v>
      </c>
      <c r="J83" s="13" t="n">
        <f aca="false">SUM(B83:I83)</f>
        <v>294114.89</v>
      </c>
    </row>
    <row r="84" customFormat="false" ht="15" hidden="false" customHeight="false" outlineLevel="0" collapsed="false">
      <c r="A84" s="12" t="s">
        <v>90</v>
      </c>
      <c r="B84" s="13" t="n">
        <f aca="false">'Jan-26'!B81</f>
        <v>158211.95</v>
      </c>
      <c r="C84" s="13" t="n">
        <f aca="false">'Fev-26'!B68</f>
        <v>10787.95</v>
      </c>
      <c r="D84" s="13" t="n">
        <f aca="false">'Mar-26'!B70</f>
        <v>10271.77</v>
      </c>
      <c r="E84" s="13" t="n">
        <f aca="false">'Abr-26'!B71</f>
        <v>10053.13</v>
      </c>
      <c r="F84" s="13" t="n">
        <f aca="false">'Mai-26'!B70</f>
        <v>10006.94</v>
      </c>
      <c r="G84" s="13" t="n">
        <f aca="false">'Jun-26'!B71</f>
        <v>10027.84</v>
      </c>
      <c r="H84" s="13" t="n">
        <f aca="false">'Jul-26'!B69</f>
        <v>10628.04</v>
      </c>
      <c r="I84" s="13" t="n">
        <f aca="false">'Ago-26'!B67</f>
        <v>10913.94</v>
      </c>
      <c r="J84" s="13" t="n">
        <f aca="false">SUM(B84:I84)</f>
        <v>230901.56</v>
      </c>
    </row>
    <row r="85" customFormat="false" ht="15" hidden="false" customHeight="false" outlineLevel="0" collapsed="false">
      <c r="A85" s="12" t="s">
        <v>91</v>
      </c>
      <c r="B85" s="13" t="n">
        <f aca="false">'Jan-26'!B82</f>
        <v>781842</v>
      </c>
      <c r="C85" s="13" t="n">
        <f aca="false">'Fev-26'!B69</f>
        <v>75077</v>
      </c>
      <c r="D85" s="13" t="n">
        <f aca="false">'Mar-26'!B71</f>
        <v>78921</v>
      </c>
      <c r="E85" s="13" t="n">
        <f aca="false">'Abr-26'!B72</f>
        <v>78928</v>
      </c>
      <c r="F85" s="13" t="n">
        <f aca="false">'Mai-26'!B71</f>
        <v>154111</v>
      </c>
      <c r="G85" s="13" t="n">
        <f aca="false">'Jun-26'!B72</f>
        <v>82929</v>
      </c>
      <c r="H85" s="13" t="n">
        <f aca="false">'Jul-26'!B70</f>
        <v>660</v>
      </c>
      <c r="I85" s="13" t="n">
        <f aca="false">'Ago-26'!B68</f>
        <v>83896</v>
      </c>
      <c r="J85" s="13" t="n">
        <f aca="false">SUM(B85:I85)</f>
        <v>1336364</v>
      </c>
    </row>
    <row r="86" customFormat="false" ht="15" hidden="false" customHeight="false" outlineLevel="0" collapsed="false">
      <c r="A86" s="12" t="s">
        <v>92</v>
      </c>
      <c r="B86" s="13" t="n">
        <f aca="false">'Jan-26'!B83</f>
        <v>18809.54</v>
      </c>
      <c r="C86" s="13" t="n">
        <f aca="false">'Fev-26'!B70</f>
        <v>748.44</v>
      </c>
      <c r="D86" s="13" t="n">
        <f aca="false">'Mar-26'!B72</f>
        <v>941.57</v>
      </c>
      <c r="E86" s="13" t="n">
        <f aca="false">'Abr-26'!B73</f>
        <v>398.16</v>
      </c>
      <c r="F86" s="13" t="n">
        <f aca="false">'Mai-26'!B72</f>
        <v>237.09</v>
      </c>
      <c r="G86" s="13"/>
      <c r="H86" s="13"/>
      <c r="I86" s="13"/>
      <c r="J86" s="13" t="n">
        <f aca="false">SUM(B86:I86)</f>
        <v>21134.8</v>
      </c>
    </row>
    <row r="87" customFormat="false" ht="15" hidden="false" customHeight="false" outlineLevel="0" collapsed="false">
      <c r="A87" s="12" t="s">
        <v>93</v>
      </c>
      <c r="B87" s="13" t="n">
        <f aca="false">'Jan-26'!B84</f>
        <v>102537.92</v>
      </c>
      <c r="C87" s="13"/>
      <c r="D87" s="13" t="n">
        <f aca="false">'Mar-26'!B73</f>
        <v>1402.79</v>
      </c>
      <c r="E87" s="13" t="n">
        <f aca="false">'Abr-26'!B74</f>
        <v>1559</v>
      </c>
      <c r="F87" s="13"/>
      <c r="G87" s="13" t="n">
        <f aca="false">'Jun-26'!B73</f>
        <v>119.9</v>
      </c>
      <c r="H87" s="13" t="n">
        <f aca="false">'Jul-26'!B71</f>
        <v>54488.98</v>
      </c>
      <c r="I87" s="13" t="n">
        <f aca="false">'Ago-26'!B69</f>
        <v>5268.4</v>
      </c>
      <c r="J87" s="13" t="n">
        <f aca="false">SUM(B87:I87)</f>
        <v>165376.99</v>
      </c>
    </row>
    <row r="88" customFormat="false" ht="15" hidden="false" customHeight="false" outlineLevel="0" collapsed="false">
      <c r="A88" s="12" t="s">
        <v>94</v>
      </c>
      <c r="B88" s="13" t="n">
        <f aca="false">'Jan-26'!B85</f>
        <v>134654</v>
      </c>
      <c r="C88" s="13" t="n">
        <f aca="false">'Fev-26'!B71</f>
        <v>10358</v>
      </c>
      <c r="D88" s="13" t="n">
        <f aca="false">'Mar-26'!B74</f>
        <v>10358</v>
      </c>
      <c r="E88" s="13" t="n">
        <f aca="false">'Abr-26'!B75</f>
        <v>10358</v>
      </c>
      <c r="F88" s="13" t="n">
        <f aca="false">'Mai-26'!B73</f>
        <v>10358</v>
      </c>
      <c r="G88" s="13" t="n">
        <f aca="false">'Jun-26'!B74</f>
        <v>10358</v>
      </c>
      <c r="H88" s="13" t="n">
        <f aca="false">'Jul-26'!B72</f>
        <v>10358</v>
      </c>
      <c r="I88" s="13" t="n">
        <f aca="false">'Ago-26'!B70</f>
        <v>10358</v>
      </c>
      <c r="J88" s="13" t="n">
        <f aca="false">SUM(B88:I88)</f>
        <v>207160</v>
      </c>
    </row>
    <row r="89" customFormat="false" ht="15" hidden="false" customHeight="false" outlineLevel="0" collapsed="false">
      <c r="A89" s="11" t="s">
        <v>95</v>
      </c>
      <c r="B89" s="10" t="n">
        <f aca="false">'Jan-26'!B86</f>
        <v>808261.2</v>
      </c>
      <c r="C89" s="10" t="n">
        <f aca="false">'Fev-26'!B72</f>
        <v>82134.35</v>
      </c>
      <c r="D89" s="10" t="n">
        <f aca="false">'Mar-26'!B75</f>
        <v>76376.26</v>
      </c>
      <c r="E89" s="10" t="n">
        <f aca="false">'Abr-26'!B76</f>
        <v>79224.68</v>
      </c>
      <c r="F89" s="10" t="n">
        <f aca="false">'Mai-26'!B74</f>
        <v>56407.89</v>
      </c>
      <c r="G89" s="10" t="n">
        <f aca="false">'Jun-26'!B75</f>
        <v>75095.58</v>
      </c>
      <c r="H89" s="10" t="n">
        <f aca="false">'Jul-26'!B73</f>
        <v>59195.61</v>
      </c>
      <c r="I89" s="10" t="n">
        <f aca="false">'Ago-26'!B71</f>
        <v>71321.45</v>
      </c>
      <c r="J89" s="10" t="n">
        <f aca="false">SUM(B89:I89)</f>
        <v>1308017.02</v>
      </c>
    </row>
    <row r="90" customFormat="false" ht="15" hidden="false" customHeight="false" outlineLevel="0" collapsed="false">
      <c r="A90" s="12" t="s">
        <v>96</v>
      </c>
      <c r="B90" s="13" t="n">
        <f aca="false">'Jan-26'!B87</f>
        <v>129610.73</v>
      </c>
      <c r="C90" s="13" t="n">
        <f aca="false">'Fev-26'!B73</f>
        <v>9975.6</v>
      </c>
      <c r="D90" s="13" t="n">
        <f aca="false">'Mar-26'!B76</f>
        <v>9992.57</v>
      </c>
      <c r="E90" s="13" t="n">
        <f aca="false">'Abr-26'!B77</f>
        <v>9228.62</v>
      </c>
      <c r="F90" s="13" t="n">
        <f aca="false">'Mai-26'!B75</f>
        <v>9508.61</v>
      </c>
      <c r="G90" s="13" t="n">
        <f aca="false">'Jun-26'!B76</f>
        <v>9291.47</v>
      </c>
      <c r="H90" s="13" t="n">
        <f aca="false">'Jul-26'!B74</f>
        <v>9399.41</v>
      </c>
      <c r="I90" s="13" t="n">
        <f aca="false">'Ago-26'!B72</f>
        <v>10152.27</v>
      </c>
      <c r="J90" s="13" t="n">
        <f aca="false">SUM(B90:I90)</f>
        <v>197159.28</v>
      </c>
    </row>
    <row r="91" customFormat="false" ht="15" hidden="false" customHeight="false" outlineLevel="0" collapsed="false">
      <c r="A91" s="12" t="s">
        <v>97</v>
      </c>
      <c r="B91" s="13" t="n">
        <f aca="false">'Jan-26'!B88</f>
        <v>316798.59</v>
      </c>
      <c r="C91" s="13" t="n">
        <f aca="false">'Fev-26'!B74</f>
        <v>41596.32</v>
      </c>
      <c r="D91" s="13" t="n">
        <f aca="false">'Mar-26'!B77</f>
        <v>39407.43</v>
      </c>
      <c r="E91" s="13" t="n">
        <f aca="false">'Abr-26'!B78</f>
        <v>38149.57</v>
      </c>
      <c r="F91" s="13" t="n">
        <f aca="false">'Mai-26'!B76</f>
        <v>38247.88</v>
      </c>
      <c r="G91" s="13" t="n">
        <f aca="false">'Jun-26'!B77</f>
        <v>36986.81</v>
      </c>
      <c r="H91" s="13" t="n">
        <f aca="false">'Jul-26'!B75</f>
        <v>37250.21</v>
      </c>
      <c r="I91" s="13" t="n">
        <f aca="false">'Ago-26'!B73</f>
        <v>39977.51</v>
      </c>
      <c r="J91" s="13" t="n">
        <f aca="false">SUM(B91:I91)</f>
        <v>588414.32</v>
      </c>
    </row>
    <row r="92" customFormat="false" ht="15" hidden="false" customHeight="false" outlineLevel="0" collapsed="false">
      <c r="A92" s="12" t="s">
        <v>98</v>
      </c>
      <c r="B92" s="13" t="n">
        <f aca="false">'Jan-26'!B89</f>
        <v>124151.78</v>
      </c>
      <c r="C92" s="13"/>
      <c r="D92" s="13"/>
      <c r="E92" s="13"/>
      <c r="F92" s="13"/>
      <c r="G92" s="13"/>
      <c r="H92" s="13"/>
      <c r="I92" s="13"/>
      <c r="J92" s="13" t="n">
        <f aca="false">SUM(B92:I92)</f>
        <v>124151.78</v>
      </c>
    </row>
    <row r="93" customFormat="false" ht="15" hidden="false" customHeight="false" outlineLevel="0" collapsed="false">
      <c r="A93" s="12" t="s">
        <v>99</v>
      </c>
      <c r="B93" s="13" t="n">
        <f aca="false">'Jan-26'!B90</f>
        <v>25912.1</v>
      </c>
      <c r="C93" s="13" t="n">
        <f aca="false">'Fev-26'!B75</f>
        <v>1290.48</v>
      </c>
      <c r="D93" s="13" t="n">
        <f aca="false">'Mar-26'!B78</f>
        <v>1047.5</v>
      </c>
      <c r="E93" s="13" t="n">
        <f aca="false">'Abr-26'!B79</f>
        <v>1042.36</v>
      </c>
      <c r="F93" s="13" t="n">
        <f aca="false">'Mai-26'!B77</f>
        <v>1037.25</v>
      </c>
      <c r="G93" s="13" t="n">
        <f aca="false">'Jun-26'!B78</f>
        <v>1037.14</v>
      </c>
      <c r="H93" s="13" t="n">
        <f aca="false">'Jul-26'!B76</f>
        <v>1101.86</v>
      </c>
      <c r="I93" s="13" t="n">
        <f aca="false">'Ago-26'!B74</f>
        <v>1132.25</v>
      </c>
      <c r="J93" s="13" t="n">
        <f aca="false">SUM(B93:I93)</f>
        <v>33600.94</v>
      </c>
    </row>
    <row r="94" customFormat="false" ht="15" hidden="false" customHeight="false" outlineLevel="0" collapsed="false">
      <c r="A94" s="12" t="s">
        <v>100</v>
      </c>
      <c r="B94" s="13"/>
      <c r="C94" s="13"/>
      <c r="D94" s="13" t="n">
        <f aca="false">'Mar-26'!B79</f>
        <v>3923.68</v>
      </c>
      <c r="E94" s="13" t="n">
        <f aca="false">'Abr-26'!B80</f>
        <v>3917.87</v>
      </c>
      <c r="F94" s="13" t="n">
        <f aca="false">'Mai-26'!B78</f>
        <v>3901.08</v>
      </c>
      <c r="G94" s="13" t="n">
        <f aca="false">'Jun-26'!B79</f>
        <v>3900.64</v>
      </c>
      <c r="H94" s="13" t="n">
        <f aca="false">'Jul-26'!B77</f>
        <v>4121.37</v>
      </c>
      <c r="I94" s="13" t="n">
        <f aca="false">'Ago-26'!B75</f>
        <v>4228.21</v>
      </c>
      <c r="J94" s="13" t="n">
        <f aca="false">SUM(B94:I94)</f>
        <v>23992.85</v>
      </c>
    </row>
    <row r="95" customFormat="false" ht="15" hidden="false" customHeight="false" outlineLevel="0" collapsed="false">
      <c r="A95" s="12" t="s">
        <v>101</v>
      </c>
      <c r="B95" s="13" t="n">
        <f aca="false">'Jan-26'!B91</f>
        <v>12940.81</v>
      </c>
      <c r="C95" s="13" t="n">
        <f aca="false">'Fev-26'!B76</f>
        <v>3149.36</v>
      </c>
      <c r="D95" s="13" t="n">
        <f aca="false">'Mar-26'!B80</f>
        <v>3002.9</v>
      </c>
      <c r="E95" s="13" t="n">
        <f aca="false">'Abr-26'!B81</f>
        <v>2945.35</v>
      </c>
      <c r="F95" s="13" t="n">
        <f aca="false">'Mai-26'!B79</f>
        <v>2933.15</v>
      </c>
      <c r="G95" s="13" t="n">
        <f aca="false">'Jun-26'!B80</f>
        <v>2939.44</v>
      </c>
      <c r="H95" s="13" t="n">
        <f aca="false">'Jul-26'!B78</f>
        <v>3102.99</v>
      </c>
      <c r="I95" s="13" t="n">
        <f aca="false">'Ago-26'!B76</f>
        <v>3183.49</v>
      </c>
      <c r="J95" s="13" t="n">
        <f aca="false">SUM(B95:I95)</f>
        <v>34197.49</v>
      </c>
    </row>
    <row r="96" customFormat="false" ht="15" hidden="false" customHeight="false" outlineLevel="0" collapsed="false">
      <c r="A96" s="12" t="s">
        <v>102</v>
      </c>
      <c r="B96" s="13" t="n">
        <f aca="false">'Jan-26'!B92</f>
        <v>11288.58</v>
      </c>
      <c r="C96" s="13" t="n">
        <f aca="false">'Fev-26'!B77</f>
        <v>843.1</v>
      </c>
      <c r="D96" s="13" t="n">
        <f aca="false">'Mar-26'!B81</f>
        <v>803.23</v>
      </c>
      <c r="E96" s="13" t="n">
        <f aca="false">'Abr-26'!B82</f>
        <v>783.61</v>
      </c>
      <c r="F96" s="13" t="n">
        <f aca="false">'Mai-26'!B80</f>
        <v>779.92</v>
      </c>
      <c r="G96" s="13" t="n">
        <f aca="false">'Jun-26'!B81</f>
        <v>781.61</v>
      </c>
      <c r="H96" s="13" t="n">
        <f aca="false">'Jul-26'!B79</f>
        <v>829.58</v>
      </c>
      <c r="I96" s="13" t="n">
        <f aca="false">'Ago-26'!B77</f>
        <v>852.47</v>
      </c>
      <c r="J96" s="13" t="n">
        <f aca="false">SUM(B96:I96)</f>
        <v>16962.1</v>
      </c>
    </row>
    <row r="97" customFormat="false" ht="15" hidden="false" customHeight="false" outlineLevel="0" collapsed="false">
      <c r="A97" s="12" t="s">
        <v>103</v>
      </c>
      <c r="B97" s="13" t="n">
        <f aca="false">'Jan-26'!B93</f>
        <v>187558.61</v>
      </c>
      <c r="C97" s="13" t="n">
        <f aca="false">'Fev-26'!B78</f>
        <v>25279.49</v>
      </c>
      <c r="D97" s="13" t="n">
        <f aca="false">'Mar-26'!B82</f>
        <v>18198.95</v>
      </c>
      <c r="E97" s="13" t="n">
        <f aca="false">'Abr-26'!B83</f>
        <v>23157.3</v>
      </c>
      <c r="F97" s="13"/>
      <c r="G97" s="13" t="n">
        <f aca="false">'Jun-26'!B82</f>
        <v>20158.47</v>
      </c>
      <c r="H97" s="13" t="n">
        <f aca="false">'Jul-26'!B80</f>
        <v>3390.19</v>
      </c>
      <c r="I97" s="13" t="n">
        <f aca="false">'Ago-26'!B78</f>
        <v>11795.25</v>
      </c>
      <c r="J97" s="13" t="n">
        <f aca="false">SUM(B97:I97)</f>
        <v>289538.26</v>
      </c>
    </row>
    <row r="98" customFormat="false" ht="15" hidden="false" customHeight="false" outlineLevel="0" collapsed="false">
      <c r="A98" s="9" t="s">
        <v>104</v>
      </c>
      <c r="B98" s="10" t="n">
        <f aca="false">'Jan-26'!B94</f>
        <v>11059816.89</v>
      </c>
      <c r="C98" s="10" t="n">
        <f aca="false">'Fev-26'!B79</f>
        <v>780868.27</v>
      </c>
      <c r="D98" s="10" t="n">
        <f aca="false">'Mar-26'!B83</f>
        <v>908031.19</v>
      </c>
      <c r="E98" s="10" t="n">
        <f aca="false">'Abr-26'!B84</f>
        <v>734917.44</v>
      </c>
      <c r="F98" s="10" t="n">
        <f aca="false">'Mai-26'!B81</f>
        <v>503630.72</v>
      </c>
      <c r="G98" s="10" t="n">
        <f aca="false">'Jun-26'!B83</f>
        <v>601270.45</v>
      </c>
      <c r="H98" s="10" t="n">
        <f aca="false">'Jul-26'!B81</f>
        <v>773805.81</v>
      </c>
      <c r="I98" s="10" t="n">
        <f aca="false">'Ago-26'!B79</f>
        <v>648158.32</v>
      </c>
      <c r="J98" s="10" t="n">
        <f aca="false">SUM(B98:I98)</f>
        <v>16010499.09</v>
      </c>
    </row>
    <row r="99" customFormat="false" ht="15" hidden="false" customHeight="false" outlineLevel="0" collapsed="false">
      <c r="A99" s="11" t="s">
        <v>105</v>
      </c>
      <c r="B99" s="10" t="n">
        <f aca="false">'Jan-26'!B95</f>
        <v>11059816.89</v>
      </c>
      <c r="C99" s="10" t="n">
        <f aca="false">'Fev-26'!B80</f>
        <v>780868.27</v>
      </c>
      <c r="D99" s="10" t="n">
        <f aca="false">'Mar-26'!B84</f>
        <v>908031.19</v>
      </c>
      <c r="E99" s="10" t="n">
        <f aca="false">'Abr-26'!B85</f>
        <v>734917.44</v>
      </c>
      <c r="F99" s="10" t="n">
        <f aca="false">'Mai-26'!B82</f>
        <v>503630.72</v>
      </c>
      <c r="G99" s="10" t="n">
        <f aca="false">'Jun-26'!B84</f>
        <v>601270.45</v>
      </c>
      <c r="H99" s="10" t="n">
        <f aca="false">'Jul-26'!B82</f>
        <v>773805.81</v>
      </c>
      <c r="I99" s="10" t="n">
        <f aca="false">'Ago-26'!B80</f>
        <v>648158.32</v>
      </c>
      <c r="J99" s="10" t="n">
        <f aca="false">SUM(B99:I99)</f>
        <v>16010499.09</v>
      </c>
    </row>
    <row r="100" customFormat="false" ht="15" hidden="false" customHeight="false" outlineLevel="0" collapsed="false">
      <c r="A100" s="12" t="s">
        <v>106</v>
      </c>
      <c r="B100" s="13" t="n">
        <f aca="false">'Jan-26'!B96</f>
        <v>149646.08</v>
      </c>
      <c r="C100" s="13" t="n">
        <f aca="false">'Fev-26'!B81</f>
        <v>14503.04</v>
      </c>
      <c r="D100" s="13" t="n">
        <f aca="false">'Mar-26'!B85</f>
        <v>14503.33</v>
      </c>
      <c r="E100" s="13" t="n">
        <f aca="false">'Abr-26'!B86</f>
        <v>52.56</v>
      </c>
      <c r="F100" s="13" t="n">
        <f aca="false">'Mai-26'!B83</f>
        <v>52.54</v>
      </c>
      <c r="G100" s="13"/>
      <c r="H100" s="13"/>
      <c r="I100" s="13"/>
      <c r="J100" s="13" t="n">
        <f aca="false">SUM(B100:I100)</f>
        <v>178757.55</v>
      </c>
    </row>
    <row r="101" customFormat="false" ht="15" hidden="false" customHeight="false" outlineLevel="0" collapsed="false">
      <c r="A101" s="12" t="s">
        <v>107</v>
      </c>
      <c r="B101" s="13" t="n">
        <f aca="false">'Jan-26'!B97</f>
        <v>480437.67</v>
      </c>
      <c r="C101" s="13" t="n">
        <f aca="false">'Fev-26'!B82</f>
        <v>26733.22</v>
      </c>
      <c r="D101" s="13" t="n">
        <f aca="false">'Mar-26'!B86</f>
        <v>40641.89</v>
      </c>
      <c r="E101" s="13" t="n">
        <f aca="false">'Abr-26'!B87</f>
        <v>47574.25</v>
      </c>
      <c r="F101" s="13" t="n">
        <f aca="false">'Mai-26'!B84</f>
        <v>44474.15</v>
      </c>
      <c r="G101" s="13" t="n">
        <f aca="false">'Jun-26'!B85</f>
        <v>40866.91</v>
      </c>
      <c r="H101" s="13" t="n">
        <f aca="false">'Jul-26'!B83</f>
        <v>43999.82</v>
      </c>
      <c r="I101" s="13" t="n">
        <f aca="false">'Ago-26'!B81</f>
        <v>48563.29</v>
      </c>
      <c r="J101" s="13" t="n">
        <f aca="false">SUM(B101:I101)</f>
        <v>773291.2</v>
      </c>
    </row>
    <row r="102" customFormat="false" ht="15" hidden="false" customHeight="false" outlineLevel="0" collapsed="false">
      <c r="A102" s="12" t="s">
        <v>108</v>
      </c>
      <c r="B102" s="13" t="n">
        <f aca="false">'Jan-26'!B98</f>
        <v>35740.97</v>
      </c>
      <c r="C102" s="13" t="n">
        <f aca="false">'Fev-26'!B83</f>
        <v>3602.25</v>
      </c>
      <c r="D102" s="13" t="n">
        <f aca="false">'Mar-26'!B87</f>
        <v>3447.87</v>
      </c>
      <c r="E102" s="13" t="n">
        <f aca="false">'Abr-26'!B88</f>
        <v>3431.16</v>
      </c>
      <c r="F102" s="13" t="n">
        <f aca="false">'Mai-26'!B85</f>
        <v>3484.96</v>
      </c>
      <c r="G102" s="13" t="n">
        <f aca="false">'Jun-26'!B86</f>
        <v>2654.72</v>
      </c>
      <c r="H102" s="13" t="n">
        <f aca="false">'Jul-26'!B84</f>
        <v>2740</v>
      </c>
      <c r="I102" s="13" t="n">
        <f aca="false">'Ago-26'!B82</f>
        <v>3970</v>
      </c>
      <c r="J102" s="13" t="n">
        <f aca="false">SUM(B102:I102)</f>
        <v>59071.93</v>
      </c>
    </row>
    <row r="103" customFormat="false" ht="15" hidden="false" customHeight="false" outlineLevel="0" collapsed="false">
      <c r="A103" s="12" t="s">
        <v>109</v>
      </c>
      <c r="B103" s="13" t="n">
        <f aca="false">'Jan-26'!B99</f>
        <v>3404335.25</v>
      </c>
      <c r="C103" s="13" t="n">
        <f aca="false">'Fev-26'!B84</f>
        <v>180967.38</v>
      </c>
      <c r="D103" s="13" t="n">
        <f aca="false">'Mar-26'!B88</f>
        <v>243074.74</v>
      </c>
      <c r="E103" s="13" t="n">
        <f aca="false">'Abr-26'!B89</f>
        <v>161730.52</v>
      </c>
      <c r="F103" s="13" t="n">
        <f aca="false">'Mai-26'!B86</f>
        <v>111891.62</v>
      </c>
      <c r="G103" s="13" t="n">
        <f aca="false">'Jun-26'!B87</f>
        <v>148507.79</v>
      </c>
      <c r="H103" s="13" t="n">
        <f aca="false">'Jul-26'!B85</f>
        <v>244654.51</v>
      </c>
      <c r="I103" s="13" t="n">
        <f aca="false">'Ago-26'!B83</f>
        <v>172945.14</v>
      </c>
      <c r="J103" s="13" t="n">
        <f aca="false">SUM(B103:I103)</f>
        <v>4668106.95</v>
      </c>
    </row>
    <row r="104" customFormat="false" ht="15" hidden="false" customHeight="false" outlineLevel="0" collapsed="false">
      <c r="A104" s="12" t="s">
        <v>110</v>
      </c>
      <c r="B104" s="13" t="n">
        <f aca="false">'Jan-26'!B100</f>
        <v>173100.38</v>
      </c>
      <c r="C104" s="13" t="n">
        <f aca="false">'Fev-26'!B85</f>
        <v>23776.72</v>
      </c>
      <c r="D104" s="13" t="n">
        <f aca="false">'Mar-26'!B89</f>
        <v>23087.54</v>
      </c>
      <c r="E104" s="13" t="n">
        <f aca="false">'Abr-26'!B90</f>
        <v>15572.7</v>
      </c>
      <c r="F104" s="13" t="n">
        <f aca="false">'Mai-26'!B87</f>
        <v>10111.7</v>
      </c>
      <c r="G104" s="13" t="n">
        <f aca="false">'Jun-26'!B88</f>
        <v>12728.64</v>
      </c>
      <c r="H104" s="13" t="n">
        <f aca="false">'Jul-26'!B86</f>
        <v>16821.33</v>
      </c>
      <c r="I104" s="13" t="n">
        <f aca="false">'Ago-26'!B84</f>
        <v>20575.65</v>
      </c>
      <c r="J104" s="13" t="n">
        <f aca="false">SUM(B104:I104)</f>
        <v>295774.66</v>
      </c>
    </row>
    <row r="105" customFormat="false" ht="15" hidden="false" customHeight="false" outlineLevel="0" collapsed="false">
      <c r="A105" s="12" t="s">
        <v>111</v>
      </c>
      <c r="B105" s="13" t="n">
        <f aca="false">'Jan-26'!B101</f>
        <v>33324.7</v>
      </c>
      <c r="C105" s="13" t="n">
        <f aca="false">'Fev-26'!B86</f>
        <v>1220</v>
      </c>
      <c r="D105" s="13" t="n">
        <f aca="false">'Mar-26'!B90</f>
        <v>375</v>
      </c>
      <c r="E105" s="13" t="n">
        <f aca="false">'Abr-26'!B91</f>
        <v>425</v>
      </c>
      <c r="F105" s="13" t="n">
        <f aca="false">'Mai-26'!B88</f>
        <v>3194.2</v>
      </c>
      <c r="G105" s="13" t="n">
        <f aca="false">'Jun-26'!B89</f>
        <v>1932.1</v>
      </c>
      <c r="H105" s="13" t="n">
        <f aca="false">'Jul-26'!B87</f>
        <v>5262.1</v>
      </c>
      <c r="I105" s="13" t="n">
        <f aca="false">'Ago-26'!B85</f>
        <v>1797.1</v>
      </c>
      <c r="J105" s="13" t="n">
        <f aca="false">SUM(B105:I105)</f>
        <v>47530.2</v>
      </c>
    </row>
    <row r="106" customFormat="false" ht="15" hidden="false" customHeight="false" outlineLevel="0" collapsed="false">
      <c r="A106" s="12" t="s">
        <v>112</v>
      </c>
      <c r="B106" s="13" t="n">
        <f aca="false">'Jan-26'!B102</f>
        <v>1272984.51</v>
      </c>
      <c r="C106" s="13" t="n">
        <f aca="false">'Fev-26'!B87</f>
        <v>93351.8</v>
      </c>
      <c r="D106" s="13" t="n">
        <f aca="false">'Mar-26'!B91</f>
        <v>49779.52</v>
      </c>
      <c r="E106" s="13" t="n">
        <f aca="false">'Abr-26'!B92</f>
        <v>120949.01</v>
      </c>
      <c r="F106" s="13" t="n">
        <f aca="false">'Mai-26'!B89</f>
        <v>98143.85</v>
      </c>
      <c r="G106" s="13" t="n">
        <f aca="false">'Jun-26'!B90</f>
        <v>67121.87</v>
      </c>
      <c r="H106" s="13" t="n">
        <f aca="false">'Jul-26'!B88</f>
        <v>181399.37</v>
      </c>
      <c r="I106" s="13" t="n">
        <f aca="false">'Ago-26'!B86</f>
        <v>105709.84</v>
      </c>
      <c r="J106" s="13" t="n">
        <f aca="false">SUM(B106:I106)</f>
        <v>1989439.77</v>
      </c>
    </row>
    <row r="107" customFormat="false" ht="15" hidden="false" customHeight="false" outlineLevel="0" collapsed="false">
      <c r="A107" s="12" t="s">
        <v>113</v>
      </c>
      <c r="B107" s="13" t="n">
        <f aca="false">'Jan-26'!B103</f>
        <v>233678.24</v>
      </c>
      <c r="C107" s="13" t="n">
        <f aca="false">'Fev-26'!B88</f>
        <v>9776.8</v>
      </c>
      <c r="D107" s="13" t="n">
        <f aca="false">'Mar-26'!B92</f>
        <v>17304.98</v>
      </c>
      <c r="E107" s="13" t="n">
        <f aca="false">'Abr-26'!B93</f>
        <v>30842.14</v>
      </c>
      <c r="F107" s="13" t="n">
        <f aca="false">'Mai-26'!B90</f>
        <v>15870.68</v>
      </c>
      <c r="G107" s="13" t="n">
        <f aca="false">'Jun-26'!B91</f>
        <v>24141.04</v>
      </c>
      <c r="H107" s="13" t="n">
        <f aca="false">'Jul-26'!B89</f>
        <v>23397.64</v>
      </c>
      <c r="I107" s="13" t="n">
        <f aca="false">'Ago-26'!B87</f>
        <v>19147.54</v>
      </c>
      <c r="J107" s="13" t="n">
        <f aca="false">SUM(B107:I107)</f>
        <v>374159.06</v>
      </c>
    </row>
    <row r="108" customFormat="false" ht="15" hidden="false" customHeight="false" outlineLevel="0" collapsed="false">
      <c r="A108" s="12" t="s">
        <v>114</v>
      </c>
      <c r="B108" s="13" t="n">
        <f aca="false">'Jan-26'!B104</f>
        <v>104190.69</v>
      </c>
      <c r="C108" s="13" t="n">
        <f aca="false">'Fev-26'!B89</f>
        <v>11316.16</v>
      </c>
      <c r="D108" s="13" t="n">
        <f aca="false">'Mar-26'!B93</f>
        <v>19538.09</v>
      </c>
      <c r="E108" s="13" t="n">
        <f aca="false">'Abr-26'!B94</f>
        <v>8520.95</v>
      </c>
      <c r="F108" s="13" t="n">
        <f aca="false">'Mai-26'!B91</f>
        <v>27293.58</v>
      </c>
      <c r="G108" s="13" t="n">
        <f aca="false">'Jun-26'!B92</f>
        <v>7030.98</v>
      </c>
      <c r="H108" s="13" t="n">
        <f aca="false">'Jul-26'!B90</f>
        <v>12471.24</v>
      </c>
      <c r="I108" s="13" t="n">
        <f aca="false">'Ago-26'!B88</f>
        <v>23708.35</v>
      </c>
      <c r="J108" s="13" t="n">
        <f aca="false">SUM(B108:I108)</f>
        <v>214070.04</v>
      </c>
    </row>
    <row r="109" customFormat="false" ht="15" hidden="false" customHeight="false" outlineLevel="0" collapsed="false">
      <c r="A109" s="12" t="s">
        <v>115</v>
      </c>
      <c r="B109" s="13" t="n">
        <f aca="false">'Jan-26'!B105</f>
        <v>101331.79</v>
      </c>
      <c r="C109" s="13" t="n">
        <f aca="false">'Fev-26'!B90</f>
        <v>7174.31</v>
      </c>
      <c r="D109" s="13" t="n">
        <f aca="false">'Mar-26'!B94</f>
        <v>7174.31</v>
      </c>
      <c r="E109" s="13" t="n">
        <f aca="false">'Abr-26'!B95</f>
        <v>5073.21</v>
      </c>
      <c r="F109" s="13" t="n">
        <f aca="false">'Mai-26'!B92</f>
        <v>7678.57</v>
      </c>
      <c r="G109" s="13" t="n">
        <f aca="false">'Jun-26'!B93</f>
        <v>6081.73</v>
      </c>
      <c r="H109" s="13" t="n">
        <f aca="false">'Jul-26'!B91</f>
        <v>7174.31</v>
      </c>
      <c r="I109" s="13" t="n">
        <f aca="false">'Ago-26'!B89</f>
        <v>8434.97</v>
      </c>
      <c r="J109" s="13" t="n">
        <f aca="false">SUM(B109:I109)</f>
        <v>150123.2</v>
      </c>
    </row>
    <row r="110" customFormat="false" ht="15" hidden="false" customHeight="false" outlineLevel="0" collapsed="false">
      <c r="A110" s="12" t="s">
        <v>116</v>
      </c>
      <c r="B110" s="13" t="n">
        <f aca="false">'Jan-26'!B106</f>
        <v>58958.79</v>
      </c>
      <c r="C110" s="13" t="n">
        <f aca="false">'Fev-26'!B91</f>
        <v>25224.13</v>
      </c>
      <c r="D110" s="13" t="n">
        <f aca="false">'Mar-26'!B95</f>
        <v>32765.67</v>
      </c>
      <c r="E110" s="13" t="n">
        <f aca="false">'Abr-26'!B96</f>
        <v>5330.98</v>
      </c>
      <c r="F110" s="13" t="n">
        <f aca="false">'Mai-26'!B93</f>
        <v>4060.58</v>
      </c>
      <c r="G110" s="13" t="n">
        <f aca="false">'Jun-26'!B94</f>
        <v>13772.46</v>
      </c>
      <c r="H110" s="13" t="n">
        <f aca="false">'Jul-26'!B92</f>
        <v>32452.11</v>
      </c>
      <c r="I110" s="13" t="n">
        <f aca="false">'Ago-26'!B90</f>
        <v>16924.13</v>
      </c>
      <c r="J110" s="13" t="n">
        <f aca="false">SUM(B110:I110)</f>
        <v>189488.85</v>
      </c>
    </row>
    <row r="111" customFormat="false" ht="15" hidden="false" customHeight="false" outlineLevel="0" collapsed="false">
      <c r="A111" s="12" t="s">
        <v>117</v>
      </c>
      <c r="B111" s="13" t="n">
        <f aca="false">'Jan-26'!B107</f>
        <v>544248.29</v>
      </c>
      <c r="C111" s="13" t="n">
        <f aca="false">'Fev-26'!B92</f>
        <v>42205.94</v>
      </c>
      <c r="D111" s="13" t="n">
        <f aca="false">'Mar-26'!B96</f>
        <v>55147.35</v>
      </c>
      <c r="E111" s="13" t="n">
        <f aca="false">'Abr-26'!B97</f>
        <v>40767.51</v>
      </c>
      <c r="F111" s="13" t="n">
        <f aca="false">'Mai-26'!B94</f>
        <v>34956.14</v>
      </c>
      <c r="G111" s="13" t="n">
        <f aca="false">'Jun-26'!B95</f>
        <v>40914.14</v>
      </c>
      <c r="H111" s="13" t="n">
        <f aca="false">'Jul-26'!B93</f>
        <v>49668.84</v>
      </c>
      <c r="I111" s="13" t="n">
        <f aca="false">'Ago-26'!B91</f>
        <v>43282.01</v>
      </c>
      <c r="J111" s="13" t="n">
        <f aca="false">SUM(B111:I111)</f>
        <v>851190.22</v>
      </c>
    </row>
    <row r="112" customFormat="false" ht="15" hidden="false" customHeight="false" outlineLevel="0" collapsed="false">
      <c r="A112" s="12" t="s">
        <v>118</v>
      </c>
      <c r="B112" s="13" t="n">
        <f aca="false">'Jan-26'!B108</f>
        <v>34943.74</v>
      </c>
      <c r="C112" s="13" t="n">
        <f aca="false">'Fev-26'!B93</f>
        <v>719.14</v>
      </c>
      <c r="D112" s="13" t="n">
        <f aca="false">'Mar-26'!B97</f>
        <v>40732.21</v>
      </c>
      <c r="E112" s="13" t="n">
        <f aca="false">'Abr-26'!B98</f>
        <v>73382.83</v>
      </c>
      <c r="F112" s="13" t="n">
        <f aca="false">'Mai-26'!B95</f>
        <v>31090.49</v>
      </c>
      <c r="G112" s="13" t="n">
        <f aca="false">'Jun-26'!B96</f>
        <v>126621.83</v>
      </c>
      <c r="H112" s="13" t="n">
        <f aca="false">'Jul-26'!B94</f>
        <v>30037.36</v>
      </c>
      <c r="I112" s="13" t="n">
        <f aca="false">'Ago-26'!B92</f>
        <v>72052.63</v>
      </c>
      <c r="J112" s="13" t="n">
        <f aca="false">SUM(B112:I112)</f>
        <v>409580.23</v>
      </c>
    </row>
    <row r="113" customFormat="false" ht="15" hidden="false" customHeight="false" outlineLevel="0" collapsed="false">
      <c r="A113" s="12" t="s">
        <v>119</v>
      </c>
      <c r="B113" s="13" t="n">
        <f aca="false">'Jan-26'!B109</f>
        <v>133480</v>
      </c>
      <c r="C113" s="13" t="n">
        <f aca="false">'Fev-26'!B94</f>
        <v>1150</v>
      </c>
      <c r="D113" s="13" t="n">
        <f aca="false">'Mar-26'!B98</f>
        <v>1500</v>
      </c>
      <c r="E113" s="13" t="n">
        <f aca="false">'Abr-26'!B99</f>
        <v>150</v>
      </c>
      <c r="F113" s="13" t="n">
        <f aca="false">'Mai-26'!B96</f>
        <v>150</v>
      </c>
      <c r="G113" s="13" t="n">
        <f aca="false">'Jun-26'!B97</f>
        <v>575</v>
      </c>
      <c r="H113" s="13" t="n">
        <f aca="false">'Jul-26'!B95</f>
        <v>150</v>
      </c>
      <c r="I113" s="13" t="n">
        <f aca="false">'Ago-26'!B93</f>
        <v>1430</v>
      </c>
      <c r="J113" s="13" t="n">
        <f aca="false">SUM(B113:I113)</f>
        <v>138585</v>
      </c>
    </row>
    <row r="114" customFormat="false" ht="15" hidden="false" customHeight="false" outlineLevel="0" collapsed="false">
      <c r="A114" s="12" t="s">
        <v>120</v>
      </c>
      <c r="B114" s="13"/>
      <c r="C114" s="13"/>
      <c r="D114" s="13"/>
      <c r="E114" s="13"/>
      <c r="F114" s="13"/>
      <c r="G114" s="13"/>
      <c r="H114" s="13"/>
      <c r="I114" s="13" t="n">
        <f aca="false">'Ago-26'!B94</f>
        <v>6385.95</v>
      </c>
      <c r="J114" s="13" t="n">
        <f aca="false">SUM(B114:I114)</f>
        <v>6385.95</v>
      </c>
    </row>
    <row r="115" customFormat="false" ht="15" hidden="false" customHeight="false" outlineLevel="0" collapsed="false">
      <c r="A115" s="12" t="s">
        <v>121</v>
      </c>
      <c r="B115" s="13" t="n">
        <f aca="false">'Jan-26'!B110</f>
        <v>2044.4</v>
      </c>
      <c r="C115" s="13"/>
      <c r="D115" s="13"/>
      <c r="E115" s="13"/>
      <c r="F115" s="13"/>
      <c r="G115" s="13"/>
      <c r="H115" s="13"/>
      <c r="I115" s="13"/>
      <c r="J115" s="13" t="n">
        <f aca="false">SUM(B115:I115)</f>
        <v>2044.4</v>
      </c>
    </row>
    <row r="116" customFormat="false" ht="15" hidden="false" customHeight="false" outlineLevel="0" collapsed="false">
      <c r="A116" s="12" t="s">
        <v>122</v>
      </c>
      <c r="B116" s="13" t="n">
        <f aca="false">'Jan-26'!B111</f>
        <v>25966.12</v>
      </c>
      <c r="C116" s="13" t="n">
        <f aca="false">'Fev-26'!B95</f>
        <v>777.75</v>
      </c>
      <c r="D116" s="13" t="n">
        <f aca="false">'Mar-26'!B99</f>
        <v>148.87</v>
      </c>
      <c r="E116" s="13" t="n">
        <f aca="false">'Abr-26'!B100</f>
        <v>2828.01</v>
      </c>
      <c r="F116" s="13" t="n">
        <f aca="false">'Mai-26'!B97</f>
        <v>1887.37</v>
      </c>
      <c r="G116" s="13" t="n">
        <f aca="false">'Jun-26'!B98</f>
        <v>3073.33</v>
      </c>
      <c r="H116" s="13" t="n">
        <f aca="false">'Jul-26'!B96</f>
        <v>3689.6</v>
      </c>
      <c r="I116" s="13" t="n">
        <f aca="false">'Ago-26'!B95</f>
        <v>334.63</v>
      </c>
      <c r="J116" s="13" t="n">
        <f aca="false">SUM(B116:I116)</f>
        <v>38705.68</v>
      </c>
    </row>
    <row r="117" customFormat="false" ht="15" hidden="false" customHeight="false" outlineLevel="0" collapsed="false">
      <c r="A117" s="12" t="s">
        <v>123</v>
      </c>
      <c r="B117" s="13" t="n">
        <f aca="false">'Jan-26'!B112</f>
        <v>20422.33</v>
      </c>
      <c r="C117" s="13"/>
      <c r="D117" s="13" t="n">
        <f aca="false">'Mar-26'!B100</f>
        <v>80.25</v>
      </c>
      <c r="E117" s="13"/>
      <c r="F117" s="13" t="n">
        <f aca="false">'Mai-26'!B98</f>
        <v>1899.65</v>
      </c>
      <c r="G117" s="13"/>
      <c r="H117" s="13"/>
      <c r="I117" s="13"/>
      <c r="J117" s="13" t="n">
        <f aca="false">SUM(B117:I117)</f>
        <v>22402.23</v>
      </c>
    </row>
    <row r="118" customFormat="false" ht="15" hidden="false" customHeight="false" outlineLevel="0" collapsed="false">
      <c r="A118" s="12" t="s">
        <v>124</v>
      </c>
      <c r="B118" s="13" t="n">
        <f aca="false">'Jan-26'!B113</f>
        <v>54751.19</v>
      </c>
      <c r="C118" s="13" t="n">
        <f aca="false">'Fev-26'!B96</f>
        <v>5418.8</v>
      </c>
      <c r="D118" s="13" t="n">
        <f aca="false">'Mar-26'!B101</f>
        <v>6271.88</v>
      </c>
      <c r="E118" s="13" t="n">
        <f aca="false">'Abr-26'!B101</f>
        <v>3067.12</v>
      </c>
      <c r="F118" s="13" t="n">
        <f aca="false">'Mai-26'!B99</f>
        <v>3870.29</v>
      </c>
      <c r="G118" s="13" t="n">
        <f aca="false">'Jun-26'!B99</f>
        <v>3147.47</v>
      </c>
      <c r="H118" s="13" t="n">
        <f aca="false">'Jul-26'!B97</f>
        <v>4495.56</v>
      </c>
      <c r="I118" s="13" t="n">
        <f aca="false">'Ago-26'!B96</f>
        <v>4610.26</v>
      </c>
      <c r="J118" s="13" t="n">
        <f aca="false">SUM(B118:I118)</f>
        <v>85632.57</v>
      </c>
    </row>
    <row r="119" customFormat="false" ht="15" hidden="false" customHeight="false" outlineLevel="0" collapsed="false">
      <c r="A119" s="12" t="s">
        <v>125</v>
      </c>
      <c r="B119" s="13" t="n">
        <f aca="false">'Jan-26'!B114</f>
        <v>48628.04</v>
      </c>
      <c r="C119" s="13" t="n">
        <f aca="false">'Fev-26'!B97</f>
        <v>7325.7</v>
      </c>
      <c r="D119" s="13" t="n">
        <f aca="false">'Mar-26'!B102</f>
        <v>4409.88</v>
      </c>
      <c r="E119" s="13" t="n">
        <f aca="false">'Abr-26'!B102</f>
        <v>3123.01</v>
      </c>
      <c r="F119" s="13" t="n">
        <f aca="false">'Mai-26'!B100</f>
        <v>4054.28</v>
      </c>
      <c r="G119" s="13" t="n">
        <f aca="false">'Jun-26'!B100</f>
        <v>3579.6</v>
      </c>
      <c r="H119" s="13" t="n">
        <f aca="false">'Jul-26'!B98</f>
        <v>4373.4</v>
      </c>
      <c r="I119" s="13" t="n">
        <f aca="false">'Ago-26'!B97</f>
        <v>4248.9</v>
      </c>
      <c r="J119" s="13" t="n">
        <f aca="false">SUM(B119:I119)</f>
        <v>79742.81</v>
      </c>
    </row>
    <row r="120" customFormat="false" ht="15" hidden="false" customHeight="false" outlineLevel="0" collapsed="false">
      <c r="A120" s="12" t="s">
        <v>126</v>
      </c>
      <c r="B120" s="13" t="n">
        <f aca="false">'Jan-26'!B115</f>
        <v>25459.77</v>
      </c>
      <c r="C120" s="13"/>
      <c r="D120" s="13"/>
      <c r="E120" s="13"/>
      <c r="F120" s="13"/>
      <c r="G120" s="13"/>
      <c r="H120" s="13"/>
      <c r="I120" s="13"/>
      <c r="J120" s="13" t="n">
        <f aca="false">SUM(B120:I120)</f>
        <v>25459.77</v>
      </c>
    </row>
    <row r="121" customFormat="false" ht="15" hidden="false" customHeight="false" outlineLevel="0" collapsed="false">
      <c r="A121" s="12" t="s">
        <v>127</v>
      </c>
      <c r="B121" s="13" t="n">
        <f aca="false">'Jan-26'!B116</f>
        <v>29547.89</v>
      </c>
      <c r="C121" s="13" t="n">
        <f aca="false">'Fev-26'!B98</f>
        <v>2670.22</v>
      </c>
      <c r="D121" s="13" t="n">
        <f aca="false">'Mar-26'!B103</f>
        <v>4657.93</v>
      </c>
      <c r="E121" s="13" t="n">
        <f aca="false">'Abr-26'!B103</f>
        <v>6461.79</v>
      </c>
      <c r="F121" s="13" t="n">
        <f aca="false">'Mai-26'!B101</f>
        <v>3616.01</v>
      </c>
      <c r="G121" s="13" t="n">
        <f aca="false">'Jun-26'!B101</f>
        <v>5077.82</v>
      </c>
      <c r="H121" s="13" t="n">
        <f aca="false">'Jul-26'!B99</f>
        <v>5068.73</v>
      </c>
      <c r="I121" s="13" t="n">
        <f aca="false">'Ago-26'!B98</f>
        <v>6166.97</v>
      </c>
      <c r="J121" s="13" t="n">
        <f aca="false">SUM(B121:I121)</f>
        <v>63267.36</v>
      </c>
    </row>
    <row r="122" customFormat="false" ht="15" hidden="false" customHeight="false" outlineLevel="0" collapsed="false">
      <c r="A122" s="12" t="s">
        <v>128</v>
      </c>
      <c r="B122" s="13" t="n">
        <f aca="false">'Jan-26'!B117</f>
        <v>4502.37</v>
      </c>
      <c r="C122" s="13"/>
      <c r="D122" s="13" t="n">
        <f aca="false">'Mar-26'!B104</f>
        <v>130.16</v>
      </c>
      <c r="E122" s="13"/>
      <c r="F122" s="13"/>
      <c r="G122" s="13" t="n">
        <f aca="false">'Jun-26'!B102</f>
        <v>498.5</v>
      </c>
      <c r="H122" s="13" t="n">
        <f aca="false">'Jul-26'!B100</f>
        <v>104.13</v>
      </c>
      <c r="I122" s="13" t="n">
        <f aca="false">'Ago-26'!B99</f>
        <v>823.8</v>
      </c>
      <c r="J122" s="13" t="n">
        <f aca="false">SUM(B122:I122)</f>
        <v>6058.96</v>
      </c>
    </row>
    <row r="123" customFormat="false" ht="15" hidden="false" customHeight="false" outlineLevel="0" collapsed="false">
      <c r="A123" s="12" t="s">
        <v>129</v>
      </c>
      <c r="B123" s="13" t="n">
        <f aca="false">'Jan-26'!B118</f>
        <v>66979.56</v>
      </c>
      <c r="C123" s="13" t="n">
        <f aca="false">'Fev-26'!B99</f>
        <v>8700.89</v>
      </c>
      <c r="D123" s="13" t="n">
        <f aca="false">'Mar-26'!B105</f>
        <v>6318.78</v>
      </c>
      <c r="E123" s="13" t="n">
        <f aca="false">'Abr-26'!B104</f>
        <v>5321.83</v>
      </c>
      <c r="F123" s="13" t="n">
        <f aca="false">'Mai-26'!B102</f>
        <v>6523.84</v>
      </c>
      <c r="G123" s="13" t="n">
        <f aca="false">'Jun-26'!B103</f>
        <v>3263.09</v>
      </c>
      <c r="H123" s="13" t="n">
        <f aca="false">'Jul-26'!B101</f>
        <v>5989.21</v>
      </c>
      <c r="I123" s="13" t="n">
        <f aca="false">'Ago-26'!B100</f>
        <v>4711.36</v>
      </c>
      <c r="J123" s="13" t="n">
        <f aca="false">SUM(B123:I123)</f>
        <v>107808.56</v>
      </c>
    </row>
    <row r="124" customFormat="false" ht="15" hidden="false" customHeight="false" outlineLevel="0" collapsed="false">
      <c r="A124" s="12" t="s">
        <v>130</v>
      </c>
      <c r="B124" s="13" t="n">
        <f aca="false">'Jan-26'!B119</f>
        <v>2112.25</v>
      </c>
      <c r="C124" s="13"/>
      <c r="D124" s="13"/>
      <c r="E124" s="13"/>
      <c r="F124" s="13"/>
      <c r="G124" s="13"/>
      <c r="H124" s="13"/>
      <c r="I124" s="13"/>
      <c r="J124" s="13" t="n">
        <f aca="false">SUM(B124:I124)</f>
        <v>2112.25</v>
      </c>
    </row>
    <row r="125" customFormat="false" ht="15" hidden="false" customHeight="false" outlineLevel="0" collapsed="false">
      <c r="A125" s="12" t="s">
        <v>131</v>
      </c>
      <c r="B125" s="13" t="n">
        <f aca="false">'Jan-26'!B120</f>
        <v>91927.32</v>
      </c>
      <c r="C125" s="13" t="n">
        <f aca="false">'Fev-26'!B100</f>
        <v>5873.84</v>
      </c>
      <c r="D125" s="13" t="n">
        <f aca="false">'Mar-26'!B106</f>
        <v>5873.84</v>
      </c>
      <c r="E125" s="13" t="n">
        <f aca="false">'Abr-26'!B105</f>
        <v>5873.83</v>
      </c>
      <c r="F125" s="13" t="n">
        <f aca="false">'Mai-26'!B103</f>
        <v>5558.26</v>
      </c>
      <c r="G125" s="13" t="n">
        <f aca="false">'Jun-26'!B104</f>
        <v>5558.32</v>
      </c>
      <c r="H125" s="13" t="n">
        <f aca="false">'Jul-26'!B102</f>
        <v>2579.73</v>
      </c>
      <c r="I125" s="13" t="n">
        <f aca="false">'Ago-26'!B101</f>
        <v>2579.73</v>
      </c>
      <c r="J125" s="13" t="n">
        <f aca="false">SUM(B125:I125)</f>
        <v>125824.87</v>
      </c>
    </row>
    <row r="126" customFormat="false" ht="15" hidden="false" customHeight="false" outlineLevel="0" collapsed="false">
      <c r="A126" s="12" t="s">
        <v>132</v>
      </c>
      <c r="B126" s="13" t="n">
        <f aca="false">'Jan-26'!B121</f>
        <v>67145.48</v>
      </c>
      <c r="C126" s="13"/>
      <c r="D126" s="13"/>
      <c r="E126" s="13"/>
      <c r="F126" s="13"/>
      <c r="G126" s="13"/>
      <c r="H126" s="13"/>
      <c r="I126" s="13"/>
      <c r="J126" s="13" t="n">
        <f aca="false">SUM(B126:I126)</f>
        <v>67145.48</v>
      </c>
    </row>
    <row r="127" customFormat="false" ht="15" hidden="false" customHeight="false" outlineLevel="0" collapsed="false">
      <c r="A127" s="12" t="s">
        <v>133</v>
      </c>
      <c r="B127" s="13" t="n">
        <f aca="false">'Jan-26'!B122</f>
        <v>146389.46</v>
      </c>
      <c r="C127" s="13" t="n">
        <f aca="false">'Fev-26'!B101</f>
        <v>1852.23</v>
      </c>
      <c r="D127" s="13" t="n">
        <f aca="false">'Mar-26'!B107</f>
        <v>9996.51</v>
      </c>
      <c r="E127" s="13" t="n">
        <f aca="false">'Abr-26'!B106</f>
        <v>966.9</v>
      </c>
      <c r="F127" s="13" t="n">
        <f aca="false">'Mai-26'!B104</f>
        <v>138.63</v>
      </c>
      <c r="G127" s="13" t="n">
        <f aca="false">'Jun-26'!B105</f>
        <v>10545</v>
      </c>
      <c r="H127" s="13" t="n">
        <f aca="false">'Jul-26'!B103</f>
        <v>5673.7</v>
      </c>
      <c r="I127" s="13" t="n">
        <f aca="false">'Ago-26'!B102</f>
        <v>5860.33</v>
      </c>
      <c r="J127" s="13" t="n">
        <f aca="false">SUM(B127:I127)</f>
        <v>181422.76</v>
      </c>
    </row>
    <row r="128" customFormat="false" ht="15" hidden="false" customHeight="false" outlineLevel="0" collapsed="false">
      <c r="A128" s="12" t="s">
        <v>134</v>
      </c>
      <c r="B128" s="13" t="n">
        <f aca="false">'Jan-26'!B123</f>
        <v>27692.3</v>
      </c>
      <c r="C128" s="13"/>
      <c r="D128" s="13" t="n">
        <f aca="false">'Mar-26'!B108</f>
        <v>22975.16</v>
      </c>
      <c r="E128" s="13"/>
      <c r="F128" s="13"/>
      <c r="G128" s="13" t="n">
        <f aca="false">'Jun-26'!B106</f>
        <v>358.96</v>
      </c>
      <c r="H128" s="13" t="n">
        <f aca="false">'Jul-26'!B104</f>
        <v>6210.88</v>
      </c>
      <c r="I128" s="13"/>
      <c r="J128" s="13" t="n">
        <f aca="false">SUM(B128:I128)</f>
        <v>57237.3</v>
      </c>
    </row>
    <row r="129" customFormat="false" ht="15" hidden="false" customHeight="false" outlineLevel="0" collapsed="false">
      <c r="A129" s="12" t="s">
        <v>135</v>
      </c>
      <c r="B129" s="13" t="n">
        <f aca="false">'Jan-26'!B124</f>
        <v>34617.87</v>
      </c>
      <c r="C129" s="13" t="n">
        <f aca="false">'Fev-26'!B102</f>
        <v>2876.15</v>
      </c>
      <c r="D129" s="13" t="n">
        <f aca="false">'Mar-26'!B109</f>
        <v>2888.57</v>
      </c>
      <c r="E129" s="13" t="n">
        <f aca="false">'Abr-26'!B107</f>
        <v>2888.59</v>
      </c>
      <c r="F129" s="13" t="n">
        <f aca="false">'Mai-26'!B105</f>
        <v>2890.5</v>
      </c>
      <c r="G129" s="13" t="n">
        <f aca="false">'Jun-26'!B107</f>
        <v>2888.35</v>
      </c>
      <c r="H129" s="13" t="n">
        <f aca="false">'Jul-26'!B105</f>
        <v>2733.94</v>
      </c>
      <c r="I129" s="13" t="n">
        <f aca="false">'Ago-26'!B103</f>
        <v>2601.65</v>
      </c>
      <c r="J129" s="13" t="n">
        <f aca="false">SUM(B129:I129)</f>
        <v>54385.62</v>
      </c>
    </row>
    <row r="130" customFormat="false" ht="15" hidden="false" customHeight="false" outlineLevel="0" collapsed="false">
      <c r="A130" s="12" t="s">
        <v>136</v>
      </c>
      <c r="B130" s="13" t="n">
        <f aca="false">'Jan-26'!B125</f>
        <v>152797.07</v>
      </c>
      <c r="C130" s="13" t="n">
        <f aca="false">'Fev-26'!B103</f>
        <v>7431.03</v>
      </c>
      <c r="D130" s="13" t="n">
        <f aca="false">'Mar-26'!B110</f>
        <v>14179.46</v>
      </c>
      <c r="E130" s="13" t="n">
        <f aca="false">'Abr-26'!B108</f>
        <v>7665.52</v>
      </c>
      <c r="F130" s="13" t="n">
        <f aca="false">'Mai-26'!B106</f>
        <v>8132.08</v>
      </c>
      <c r="G130" s="13" t="n">
        <f aca="false">'Jun-26'!B108</f>
        <v>8160.23</v>
      </c>
      <c r="H130" s="13" t="n">
        <f aca="false">'Jul-26'!B106</f>
        <v>8347.43</v>
      </c>
      <c r="I130" s="13" t="n">
        <f aca="false">'Ago-26'!B104</f>
        <v>8404.57</v>
      </c>
      <c r="J130" s="13" t="n">
        <f aca="false">SUM(B130:I130)</f>
        <v>215117.39</v>
      </c>
    </row>
    <row r="131" customFormat="false" ht="15" hidden="false" customHeight="false" outlineLevel="0" collapsed="false">
      <c r="A131" s="12" t="s">
        <v>137</v>
      </c>
      <c r="B131" s="13" t="n">
        <f aca="false">'Jan-26'!B126</f>
        <v>14029</v>
      </c>
      <c r="C131" s="13" t="n">
        <f aca="false">'Fev-26'!B104</f>
        <v>1170</v>
      </c>
      <c r="D131" s="13" t="n">
        <f aca="false">'Mar-26'!B111</f>
        <v>1170</v>
      </c>
      <c r="E131" s="13" t="n">
        <f aca="false">'Abr-26'!B109</f>
        <v>1170</v>
      </c>
      <c r="F131" s="13" t="n">
        <f aca="false">'Mai-26'!B107</f>
        <v>1170</v>
      </c>
      <c r="G131" s="13" t="n">
        <f aca="false">'Jun-26'!B109</f>
        <v>1170</v>
      </c>
      <c r="H131" s="13" t="n">
        <f aca="false">'Jul-26'!B107</f>
        <v>1170</v>
      </c>
      <c r="I131" s="13" t="n">
        <f aca="false">'Ago-26'!B105</f>
        <v>155</v>
      </c>
      <c r="J131" s="13" t="n">
        <f aca="false">SUM(B131:I131)</f>
        <v>21204</v>
      </c>
    </row>
    <row r="132" customFormat="false" ht="15" hidden="false" customHeight="false" outlineLevel="0" collapsed="false">
      <c r="A132" s="12" t="s">
        <v>138</v>
      </c>
      <c r="B132" s="13" t="n">
        <f aca="false">'Jan-26'!B127</f>
        <v>26445.25</v>
      </c>
      <c r="C132" s="13" t="n">
        <f aca="false">'Fev-26'!B105</f>
        <v>1550.96</v>
      </c>
      <c r="D132" s="13" t="n">
        <f aca="false">'Mar-26'!B112</f>
        <v>2451.14</v>
      </c>
      <c r="E132" s="13" t="n">
        <f aca="false">'Abr-26'!B110</f>
        <v>1919.54</v>
      </c>
      <c r="F132" s="13" t="n">
        <f aca="false">'Mai-26'!B108</f>
        <v>1998.01</v>
      </c>
      <c r="G132" s="13" t="n">
        <f aca="false">'Jun-26'!B110</f>
        <v>2107.8</v>
      </c>
      <c r="H132" s="13" t="n">
        <f aca="false">'Jul-26'!B108</f>
        <v>2178.58</v>
      </c>
      <c r="I132" s="13" t="n">
        <f aca="false">'Ago-26'!B106</f>
        <v>2821.11</v>
      </c>
      <c r="J132" s="13" t="n">
        <f aca="false">SUM(B132:I132)</f>
        <v>41472.39</v>
      </c>
    </row>
    <row r="133" customFormat="false" ht="15" hidden="false" customHeight="false" outlineLevel="0" collapsed="false">
      <c r="A133" s="12" t="s">
        <v>139</v>
      </c>
      <c r="B133" s="13" t="n">
        <f aca="false">'Jan-26'!B128</f>
        <v>11740.91</v>
      </c>
      <c r="C133" s="13" t="n">
        <f aca="false">'Fev-26'!B106</f>
        <v>611.01</v>
      </c>
      <c r="D133" s="13" t="n">
        <f aca="false">'Mar-26'!B113</f>
        <v>761.84</v>
      </c>
      <c r="E133" s="13" t="n">
        <f aca="false">'Abr-26'!B111</f>
        <v>440.09</v>
      </c>
      <c r="F133" s="13" t="n">
        <f aca="false">'Mai-26'!B109</f>
        <v>326.93</v>
      </c>
      <c r="G133" s="13" t="n">
        <f aca="false">'Jun-26'!B111</f>
        <v>506.35</v>
      </c>
      <c r="H133" s="13" t="n">
        <f aca="false">'Jul-26'!B109</f>
        <v>759.9</v>
      </c>
      <c r="I133" s="13" t="n">
        <f aca="false">'Ago-26'!B107</f>
        <v>410.21</v>
      </c>
      <c r="J133" s="13" t="n">
        <f aca="false">SUM(B133:I133)</f>
        <v>15557.24</v>
      </c>
    </row>
    <row r="134" customFormat="false" ht="15" hidden="false" customHeight="false" outlineLevel="0" collapsed="false">
      <c r="A134" s="12" t="s">
        <v>140</v>
      </c>
      <c r="B134" s="13" t="n">
        <f aca="false">'Jan-26'!B129</f>
        <v>10301.26</v>
      </c>
      <c r="C134" s="13"/>
      <c r="D134" s="13" t="n">
        <f aca="false">'Mar-26'!B114</f>
        <v>1526.1</v>
      </c>
      <c r="E134" s="13" t="n">
        <f aca="false">'Abr-26'!B112</f>
        <v>534.76</v>
      </c>
      <c r="F134" s="13" t="n">
        <f aca="false">'Mai-26'!B110</f>
        <v>4310.34</v>
      </c>
      <c r="G134" s="13" t="n">
        <f aca="false">'Jun-26'!B112</f>
        <v>66.9</v>
      </c>
      <c r="H134" s="13" t="n">
        <f aca="false">'Jul-26'!B110</f>
        <v>127.66</v>
      </c>
      <c r="I134" s="13" t="n">
        <f aca="false">'Ago-26'!B108</f>
        <v>3163.6</v>
      </c>
      <c r="J134" s="13" t="n">
        <f aca="false">SUM(B134:I134)</f>
        <v>20030.62</v>
      </c>
    </row>
    <row r="135" customFormat="false" ht="15" hidden="false" customHeight="false" outlineLevel="0" collapsed="false">
      <c r="A135" s="12" t="s">
        <v>141</v>
      </c>
      <c r="B135" s="13"/>
      <c r="C135" s="13"/>
      <c r="D135" s="13"/>
      <c r="E135" s="13"/>
      <c r="F135" s="13" t="n">
        <f aca="false">'Mai-26'!B111</f>
        <v>7081.19</v>
      </c>
      <c r="G135" s="13" t="n">
        <f aca="false">'Jun-26'!B113</f>
        <v>5820.07</v>
      </c>
      <c r="H135" s="13"/>
      <c r="I135" s="13" t="n">
        <f aca="false">'Ago-26'!B109</f>
        <v>2511.67</v>
      </c>
      <c r="J135" s="13" t="n">
        <f aca="false">SUM(B135:I135)</f>
        <v>15412.93</v>
      </c>
    </row>
    <row r="136" customFormat="false" ht="15" hidden="false" customHeight="false" outlineLevel="0" collapsed="false">
      <c r="A136" s="12" t="s">
        <v>142</v>
      </c>
      <c r="B136" s="13" t="n">
        <f aca="false">'Jan-26'!B130</f>
        <v>13934.73</v>
      </c>
      <c r="C136" s="13" t="n">
        <f aca="false">'Fev-26'!B107</f>
        <v>803.38</v>
      </c>
      <c r="D136" s="13" t="n">
        <f aca="false">'Mar-26'!B115</f>
        <v>840.8</v>
      </c>
      <c r="E136" s="13" t="n">
        <f aca="false">'Abr-26'!B113</f>
        <v>671.92</v>
      </c>
      <c r="F136" s="13" t="n">
        <f aca="false">'Mai-26'!B112</f>
        <v>883.65</v>
      </c>
      <c r="G136" s="13" t="n">
        <f aca="false">'Jun-26'!B114</f>
        <v>1249.44</v>
      </c>
      <c r="H136" s="13" t="n">
        <f aca="false">'Jul-26'!B111</f>
        <v>703.98</v>
      </c>
      <c r="I136" s="13" t="n">
        <f aca="false">'Ago-26'!B110</f>
        <v>1397.97</v>
      </c>
      <c r="J136" s="13" t="n">
        <f aca="false">SUM(B136:I136)</f>
        <v>20485.87</v>
      </c>
    </row>
    <row r="137" customFormat="false" ht="15" hidden="false" customHeight="false" outlineLevel="0" collapsed="false">
      <c r="A137" s="12" t="s">
        <v>143</v>
      </c>
      <c r="B137" s="13" t="n">
        <f aca="false">'Jan-26'!B131</f>
        <v>161.86</v>
      </c>
      <c r="C137" s="13" t="n">
        <f aca="false">'Fev-26'!B108</f>
        <v>13.99</v>
      </c>
      <c r="D137" s="13" t="n">
        <f aca="false">'Mar-26'!B116</f>
        <v>17.99</v>
      </c>
      <c r="E137" s="13"/>
      <c r="F137" s="13" t="n">
        <f aca="false">'Mai-26'!B113</f>
        <v>75.96</v>
      </c>
      <c r="G137" s="13" t="n">
        <f aca="false">'Jun-26'!B115</f>
        <v>70.95</v>
      </c>
      <c r="H137" s="13"/>
      <c r="I137" s="13"/>
      <c r="J137" s="13" t="n">
        <f aca="false">SUM(B137:I137)</f>
        <v>340.75</v>
      </c>
    </row>
    <row r="138" customFormat="false" ht="15" hidden="false" customHeight="false" outlineLevel="0" collapsed="false">
      <c r="A138" s="12" t="s">
        <v>144</v>
      </c>
      <c r="B138" s="13" t="n">
        <f aca="false">'Jan-26'!B132</f>
        <v>930889.66</v>
      </c>
      <c r="C138" s="13" t="n">
        <f aca="false">'Fev-26'!B109</f>
        <v>237762.81</v>
      </c>
      <c r="D138" s="13" t="n">
        <f aca="false">'Mar-26'!B117</f>
        <v>219376.01</v>
      </c>
      <c r="E138" s="13" t="n">
        <f aca="false">'Abr-26'!B114</f>
        <v>140979.93</v>
      </c>
      <c r="F138" s="13" t="n">
        <f aca="false">'Mai-26'!B114</f>
        <v>12000</v>
      </c>
      <c r="G138" s="13" t="n">
        <f aca="false">'Jun-26'!B116</f>
        <v>12000</v>
      </c>
      <c r="H138" s="13" t="n">
        <f aca="false">'Jul-26'!B112</f>
        <v>12000</v>
      </c>
      <c r="I138" s="13" t="n">
        <f aca="false">'Ago-26'!B111</f>
        <v>12000</v>
      </c>
      <c r="J138" s="13" t="n">
        <f aca="false">SUM(B138:I138)</f>
        <v>1577008.41</v>
      </c>
    </row>
    <row r="139" customFormat="false" ht="15" hidden="false" customHeight="false" outlineLevel="0" collapsed="false">
      <c r="A139" s="12" t="s">
        <v>145</v>
      </c>
      <c r="B139" s="13" t="n">
        <f aca="false">'Jan-26'!B133</f>
        <v>1629184.58</v>
      </c>
      <c r="C139" s="13" t="n">
        <f aca="false">'Fev-26'!B110</f>
        <v>4080</v>
      </c>
      <c r="D139" s="13" t="n">
        <f aca="false">'Mar-26'!B118</f>
        <v>4080</v>
      </c>
      <c r="E139" s="13" t="n">
        <f aca="false">'Abr-26'!B115</f>
        <v>4080</v>
      </c>
      <c r="F139" s="13" t="n">
        <f aca="false">'Mai-26'!B115</f>
        <v>4080</v>
      </c>
      <c r="G139" s="13" t="n">
        <f aca="false">'Jun-26'!B117</f>
        <v>4080</v>
      </c>
      <c r="H139" s="13"/>
      <c r="I139" s="13"/>
      <c r="J139" s="13" t="n">
        <f aca="false">SUM(B139:I139)</f>
        <v>1649584.58</v>
      </c>
    </row>
    <row r="140" customFormat="false" ht="15" hidden="false" customHeight="false" outlineLevel="0" collapsed="false">
      <c r="A140" s="12" t="s">
        <v>146</v>
      </c>
      <c r="B140" s="13" t="n">
        <f aca="false">'Jan-26'!B134</f>
        <v>10172.47</v>
      </c>
      <c r="C140" s="13" t="n">
        <f aca="false">'Fev-26'!B111</f>
        <v>447.54</v>
      </c>
      <c r="D140" s="13" t="n">
        <f aca="false">'Mar-26'!B119</f>
        <v>544.6</v>
      </c>
      <c r="E140" s="13" t="n">
        <f aca="false">'Abr-26'!B116</f>
        <v>813.24</v>
      </c>
      <c r="F140" s="13" t="n">
        <f aca="false">'Mai-26'!B116</f>
        <v>746.78</v>
      </c>
      <c r="G140" s="13" t="n">
        <f aca="false">'Jun-26'!B118</f>
        <v>690.63</v>
      </c>
      <c r="H140" s="13" t="n">
        <f aca="false">'Jul-26'!B113</f>
        <v>734.51</v>
      </c>
      <c r="I140" s="13" t="n">
        <f aca="false">'Ago-26'!B112</f>
        <v>2161.72</v>
      </c>
      <c r="J140" s="13" t="n">
        <f aca="false">SUM(B140:I140)</f>
        <v>16311.49</v>
      </c>
    </row>
    <row r="141" customFormat="false" ht="15" hidden="false" customHeight="false" outlineLevel="0" collapsed="false">
      <c r="A141" s="12" t="s">
        <v>147</v>
      </c>
      <c r="B141" s="13" t="n">
        <f aca="false">'Jan-26'!B135</f>
        <v>31505</v>
      </c>
      <c r="C141" s="13"/>
      <c r="D141" s="13"/>
      <c r="E141" s="13" t="n">
        <f aca="false">'Abr-26'!B117</f>
        <v>1400</v>
      </c>
      <c r="F141" s="13"/>
      <c r="G141" s="13"/>
      <c r="H141" s="13"/>
      <c r="I141" s="13"/>
      <c r="J141" s="13" t="n">
        <f aca="false">SUM(B141:I141)</f>
        <v>32905</v>
      </c>
    </row>
    <row r="142" customFormat="false" ht="15" hidden="false" customHeight="false" outlineLevel="0" collapsed="false">
      <c r="A142" s="12" t="s">
        <v>148</v>
      </c>
      <c r="B142" s="13" t="n">
        <f aca="false">'Jan-26'!B136</f>
        <v>320205.51</v>
      </c>
      <c r="C142" s="13" t="n">
        <f aca="false">'Fev-26'!B112</f>
        <v>10135.8</v>
      </c>
      <c r="D142" s="13"/>
      <c r="E142" s="13"/>
      <c r="F142" s="13"/>
      <c r="G142" s="13"/>
      <c r="H142" s="13"/>
      <c r="I142" s="13"/>
      <c r="J142" s="13" t="n">
        <f aca="false">SUM(B142:I142)</f>
        <v>330341.31</v>
      </c>
    </row>
    <row r="143" customFormat="false" ht="15" hidden="false" customHeight="false" outlineLevel="0" collapsed="false">
      <c r="A143" s="12" t="s">
        <v>149</v>
      </c>
      <c r="B143" s="13" t="n">
        <f aca="false">'Jan-26'!B137</f>
        <v>96738.4</v>
      </c>
      <c r="C143" s="13" t="n">
        <f aca="false">'Fev-26'!B113</f>
        <v>2287</v>
      </c>
      <c r="D143" s="13" t="n">
        <f aca="false">'Mar-26'!B120</f>
        <v>2287</v>
      </c>
      <c r="E143" s="13" t="n">
        <f aca="false">'Abr-26'!B118</f>
        <v>2287</v>
      </c>
      <c r="F143" s="13" t="n">
        <f aca="false">'Mai-26'!B117</f>
        <v>2287</v>
      </c>
      <c r="G143" s="13" t="n">
        <f aca="false">'Jun-26'!B119</f>
        <v>2287</v>
      </c>
      <c r="H143" s="13" t="n">
        <f aca="false">'Jul-26'!B114</f>
        <v>2287</v>
      </c>
      <c r="I143" s="13" t="n">
        <f aca="false">'Ago-26'!B113</f>
        <v>2287</v>
      </c>
      <c r="J143" s="13" t="n">
        <f aca="false">SUM(B143:I143)</f>
        <v>112747.4</v>
      </c>
    </row>
    <row r="144" customFormat="false" ht="15" hidden="false" customHeight="false" outlineLevel="0" collapsed="false">
      <c r="A144" s="12" t="s">
        <v>150</v>
      </c>
      <c r="B144" s="13" t="n">
        <f aca="false">'Jan-26'!B138</f>
        <v>37781.77</v>
      </c>
      <c r="C144" s="13" t="n">
        <f aca="false">'Fev-26'!B114</f>
        <v>3173.3</v>
      </c>
      <c r="D144" s="13" t="n">
        <f aca="false">'Mar-26'!B121</f>
        <v>2961.15</v>
      </c>
      <c r="E144" s="13" t="n">
        <f aca="false">'Abr-26'!B119</f>
        <v>2408.53</v>
      </c>
      <c r="F144" s="13" t="n">
        <f aca="false">'Mai-26'!B118</f>
        <v>5252.09</v>
      </c>
      <c r="G144" s="13" t="n">
        <f aca="false">'Jun-26'!B120</f>
        <v>2875.01</v>
      </c>
      <c r="H144" s="13" t="n">
        <f aca="false">'Jul-26'!B115</f>
        <v>5450.98</v>
      </c>
      <c r="I144" s="13" t="n">
        <f aca="false">'Ago-26'!B114</f>
        <v>3080.44</v>
      </c>
      <c r="J144" s="13" t="n">
        <f aca="false">SUM(B144:I144)</f>
        <v>62983.27</v>
      </c>
    </row>
    <row r="145" customFormat="false" ht="15" hidden="false" customHeight="false" outlineLevel="0" collapsed="false">
      <c r="A145" s="12" t="s">
        <v>151</v>
      </c>
      <c r="B145" s="13" t="n">
        <f aca="false">'Jan-26'!B139</f>
        <v>45793.4</v>
      </c>
      <c r="C145" s="13" t="n">
        <f aca="false">'Fev-26'!B115</f>
        <v>4825.47</v>
      </c>
      <c r="D145" s="13" t="n">
        <f aca="false">'Mar-26'!B122</f>
        <v>8210.5</v>
      </c>
      <c r="E145" s="13" t="n">
        <f aca="false">'Abr-26'!B120</f>
        <v>878.93</v>
      </c>
      <c r="F145" s="13" t="n">
        <f aca="false">'Mai-26'!B119</f>
        <v>4807.84</v>
      </c>
      <c r="G145" s="13" t="n">
        <f aca="false">'Jun-26'!B121</f>
        <v>6143.4</v>
      </c>
      <c r="H145" s="13" t="n">
        <f aca="false">'Jul-26'!B116</f>
        <v>9509.61</v>
      </c>
      <c r="I145" s="13" t="n">
        <f aca="false">'Ago-26'!B115</f>
        <v>4867.72</v>
      </c>
      <c r="J145" s="13" t="n">
        <f aca="false">SUM(B145:I145)</f>
        <v>85036.87</v>
      </c>
    </row>
    <row r="146" customFormat="false" ht="15" hidden="false" customHeight="false" outlineLevel="0" collapsed="false">
      <c r="A146" s="12" t="s">
        <v>152</v>
      </c>
      <c r="B146" s="13" t="n">
        <f aca="false">'Jan-26'!B140</f>
        <v>51099.27</v>
      </c>
      <c r="C146" s="13" t="n">
        <f aca="false">'Fev-26'!B116</f>
        <v>1016.22</v>
      </c>
      <c r="D146" s="13" t="n">
        <f aca="false">'Mar-26'!B123</f>
        <v>759</v>
      </c>
      <c r="E146" s="13" t="n">
        <f aca="false">'Abr-26'!B121</f>
        <v>1531.1</v>
      </c>
      <c r="F146" s="13" t="n">
        <f aca="false">'Mai-26'!B120</f>
        <v>1453.9</v>
      </c>
      <c r="G146" s="13" t="n">
        <f aca="false">'Jun-26'!B122</f>
        <v>930</v>
      </c>
      <c r="H146" s="13" t="n">
        <f aca="false">'Jul-26'!B117</f>
        <v>3579.34</v>
      </c>
      <c r="I146" s="13" t="n">
        <f aca="false">'Ago-26'!B116</f>
        <v>1448</v>
      </c>
      <c r="J146" s="13" t="n">
        <f aca="false">SUM(B146:I146)</f>
        <v>61816.83</v>
      </c>
    </row>
    <row r="147" customFormat="false" ht="15" hidden="false" customHeight="false" outlineLevel="0" collapsed="false">
      <c r="A147" s="12" t="s">
        <v>153</v>
      </c>
      <c r="B147" s="13" t="n">
        <f aca="false">'Jan-26'!B141</f>
        <v>31492.74</v>
      </c>
      <c r="C147" s="13" t="n">
        <f aca="false">'Fev-26'!B117</f>
        <v>20757.63</v>
      </c>
      <c r="D147" s="13" t="n">
        <f aca="false">'Mar-26'!B124</f>
        <v>24706.92</v>
      </c>
      <c r="E147" s="13" t="n">
        <f aca="false">'Abr-26'!B122</f>
        <v>22602.98</v>
      </c>
      <c r="F147" s="13" t="n">
        <f aca="false">'Mai-26'!B121</f>
        <v>23161.94</v>
      </c>
      <c r="G147" s="13" t="n">
        <f aca="false">'Jun-26'!B123</f>
        <v>21695.03</v>
      </c>
      <c r="H147" s="13" t="n">
        <f aca="false">'Jul-26'!B118</f>
        <v>22543.09</v>
      </c>
      <c r="I147" s="13" t="n">
        <f aca="false">'Ago-26'!B117</f>
        <v>23517.6</v>
      </c>
      <c r="J147" s="13" t="n">
        <f aca="false">SUM(B147:I147)</f>
        <v>190477.93</v>
      </c>
    </row>
    <row r="148" customFormat="false" ht="15" hidden="false" customHeight="false" outlineLevel="0" collapsed="false">
      <c r="A148" s="12" t="s">
        <v>154</v>
      </c>
      <c r="B148" s="13" t="n">
        <f aca="false">'Jan-26'!B142</f>
        <v>29991.72</v>
      </c>
      <c r="C148" s="13"/>
      <c r="D148" s="13"/>
      <c r="E148" s="13"/>
      <c r="F148" s="13"/>
      <c r="G148" s="13"/>
      <c r="H148" s="13"/>
      <c r="I148" s="13"/>
      <c r="J148" s="13" t="n">
        <f aca="false">SUM(B148:I148)</f>
        <v>29991.72</v>
      </c>
    </row>
    <row r="149" customFormat="false" ht="15" hidden="false" customHeight="false" outlineLevel="0" collapsed="false">
      <c r="A149" s="12" t="s">
        <v>155</v>
      </c>
      <c r="B149" s="13" t="n">
        <f aca="false">'Jan-26'!B143</f>
        <v>27602.42</v>
      </c>
      <c r="C149" s="13"/>
      <c r="D149" s="13" t="n">
        <f aca="false">'Mar-26'!B125</f>
        <v>840.97</v>
      </c>
      <c r="E149" s="13" t="n">
        <f aca="false">'Abr-26'!B123</f>
        <v>1200</v>
      </c>
      <c r="F149" s="13" t="n">
        <f aca="false">'Mai-26'!B122</f>
        <v>671.25</v>
      </c>
      <c r="G149" s="13" t="n">
        <f aca="false">'Jun-26'!B124</f>
        <v>477.99</v>
      </c>
      <c r="H149" s="13" t="n">
        <f aca="false">'Jul-26'!B119</f>
        <v>13266.22</v>
      </c>
      <c r="I149" s="13" t="n">
        <f aca="false">'Ago-26'!B118</f>
        <v>2822.48</v>
      </c>
      <c r="J149" s="13" t="n">
        <f aca="false">SUM(B149:I149)</f>
        <v>46881.33</v>
      </c>
    </row>
    <row r="150" customFormat="false" ht="15" hidden="false" customHeight="false" outlineLevel="0" collapsed="false">
      <c r="A150" s="12" t="s">
        <v>156</v>
      </c>
      <c r="B150" s="13" t="n">
        <f aca="false">'Jan-26'!B144</f>
        <v>160692.35</v>
      </c>
      <c r="C150" s="13"/>
      <c r="D150" s="13" t="n">
        <f aca="false">'Mar-26'!B126</f>
        <v>259.98</v>
      </c>
      <c r="E150" s="13"/>
      <c r="F150" s="13"/>
      <c r="G150" s="13"/>
      <c r="H150" s="13"/>
      <c r="I150" s="13"/>
      <c r="J150" s="13" t="n">
        <f aca="false">SUM(B150:I150)</f>
        <v>160952.33</v>
      </c>
    </row>
    <row r="151" customFormat="false" ht="15" hidden="false" customHeight="false" outlineLevel="0" collapsed="false">
      <c r="A151" s="12" t="s">
        <v>157</v>
      </c>
      <c r="B151" s="13" t="n">
        <f aca="false">'Jan-26'!B145</f>
        <v>18670.07</v>
      </c>
      <c r="C151" s="13" t="n">
        <f aca="false">'Fev-26'!B118</f>
        <v>7585.66</v>
      </c>
      <c r="D151" s="13" t="n">
        <f aca="false">'Mar-26'!B127</f>
        <v>10233.4</v>
      </c>
      <c r="E151" s="13"/>
      <c r="F151" s="13" t="n">
        <f aca="false">'Mai-26'!B123</f>
        <v>2299.87</v>
      </c>
      <c r="G151" s="13"/>
      <c r="H151" s="13"/>
      <c r="I151" s="13" t="n">
        <f aca="false">'Ago-26'!B119</f>
        <v>245</v>
      </c>
      <c r="J151" s="13" t="n">
        <f aca="false">SUM(B151:I151)</f>
        <v>39034</v>
      </c>
    </row>
    <row r="152" customFormat="false" ht="15" hidden="false" customHeight="false" outlineLevel="0" collapsed="false">
      <c r="A152" s="7" t="s">
        <v>158</v>
      </c>
      <c r="B152" s="8" t="n">
        <f aca="false">'Jan-26'!B146</f>
        <v>4618058.79</v>
      </c>
      <c r="C152" s="8" t="n">
        <f aca="false">'Fev-26'!B119</f>
        <v>-1559933.68</v>
      </c>
      <c r="D152" s="8" t="n">
        <f aca="false">'Mar-26'!B128</f>
        <v>-3005758.97</v>
      </c>
      <c r="E152" s="8" t="n">
        <f aca="false">'Abr-26'!B124</f>
        <v>-1360917.9</v>
      </c>
      <c r="F152" s="8" t="n">
        <f aca="false">'Mai-26'!B124</f>
        <v>-1283442.06</v>
      </c>
      <c r="G152" s="8" t="n">
        <f aca="false">'Jun-26'!B125</f>
        <v>-1119101.76</v>
      </c>
      <c r="H152" s="8" t="n">
        <f aca="false">'Jul-26'!B120</f>
        <v>-276179.32</v>
      </c>
      <c r="I152" s="8" t="n">
        <f aca="false">'Ago-26'!B120</f>
        <v>-95603.6</v>
      </c>
      <c r="J152" s="8" t="n">
        <f aca="false">SUM(B152:I152)</f>
        <v>-4082878.5</v>
      </c>
    </row>
    <row r="153" customFormat="false" ht="15" hidden="false" customHeight="false" outlineLevel="0" collapsed="false">
      <c r="A153" s="7" t="s">
        <v>159</v>
      </c>
      <c r="B153" s="8" t="n">
        <f aca="false">'Jan-26'!B147</f>
        <v>407263.43</v>
      </c>
      <c r="C153" s="8" t="n">
        <f aca="false">'Fev-26'!B120</f>
        <v>365526.55</v>
      </c>
      <c r="D153" s="8" t="n">
        <f aca="false">'Mar-26'!B129</f>
        <v>93335.53</v>
      </c>
      <c r="E153" s="8" t="n">
        <f aca="false">'Abr-26'!B125</f>
        <v>418871.89</v>
      </c>
      <c r="F153" s="8" t="n">
        <f aca="false">'Mai-26'!B125</f>
        <v>358576.1</v>
      </c>
      <c r="G153" s="8" t="n">
        <f aca="false">'Jun-26'!B126</f>
        <v>93333.67</v>
      </c>
      <c r="H153" s="8" t="n">
        <f aca="false">'Jul-26'!B121</f>
        <v>111374.3</v>
      </c>
      <c r="I153" s="8" t="n">
        <f aca="false">'Ago-26'!B121</f>
        <v>19937.03</v>
      </c>
      <c r="J153" s="8" t="n">
        <f aca="false">SUM(B153:I153)</f>
        <v>1868218.5</v>
      </c>
    </row>
    <row r="154" customFormat="false" ht="15" hidden="false" customHeight="false" outlineLevel="0" collapsed="false">
      <c r="A154" s="9" t="s">
        <v>160</v>
      </c>
      <c r="B154" s="10" t="n">
        <f aca="false">'Jan-26'!B148</f>
        <v>407263.43</v>
      </c>
      <c r="C154" s="10" t="n">
        <f aca="false">'Fev-26'!B121</f>
        <v>365526.55</v>
      </c>
      <c r="D154" s="10" t="n">
        <f aca="false">'Mar-26'!B130</f>
        <v>93335.53</v>
      </c>
      <c r="E154" s="10" t="n">
        <f aca="false">'Abr-26'!B126</f>
        <v>418871.89</v>
      </c>
      <c r="F154" s="10" t="n">
        <f aca="false">'Mai-26'!B126</f>
        <v>358576.1</v>
      </c>
      <c r="G154" s="10" t="n">
        <f aca="false">'Jun-26'!B127</f>
        <v>93333.67</v>
      </c>
      <c r="H154" s="10" t="n">
        <f aca="false">'Jul-26'!B122</f>
        <v>111374.3</v>
      </c>
      <c r="I154" s="10" t="n">
        <f aca="false">'Ago-26'!B122</f>
        <v>19937.03</v>
      </c>
      <c r="J154" s="10" t="n">
        <f aca="false">SUM(B154:I154)</f>
        <v>1868218.5</v>
      </c>
    </row>
    <row r="155" customFormat="false" ht="15" hidden="false" customHeight="false" outlineLevel="0" collapsed="false">
      <c r="A155" s="11" t="s">
        <v>159</v>
      </c>
      <c r="B155" s="10" t="n">
        <f aca="false">'Jan-26'!B149</f>
        <v>407263.43</v>
      </c>
      <c r="C155" s="10" t="n">
        <f aca="false">'Fev-26'!B122</f>
        <v>365526.55</v>
      </c>
      <c r="D155" s="10" t="n">
        <f aca="false">'Mar-26'!B131</f>
        <v>93335.53</v>
      </c>
      <c r="E155" s="10" t="n">
        <f aca="false">'Abr-26'!B127</f>
        <v>418871.89</v>
      </c>
      <c r="F155" s="10" t="n">
        <f aca="false">'Mai-26'!B127</f>
        <v>358576.1</v>
      </c>
      <c r="G155" s="10" t="n">
        <f aca="false">'Jun-26'!B128</f>
        <v>93333.67</v>
      </c>
      <c r="H155" s="10" t="n">
        <f aca="false">'Jul-26'!B123</f>
        <v>111374.3</v>
      </c>
      <c r="I155" s="10" t="n">
        <f aca="false">'Ago-26'!B123</f>
        <v>19937.03</v>
      </c>
      <c r="J155" s="10" t="n">
        <f aca="false">SUM(B155:I155)</f>
        <v>1868218.5</v>
      </c>
    </row>
    <row r="156" customFormat="false" ht="15" hidden="false" customHeight="false" outlineLevel="0" collapsed="false">
      <c r="A156" s="12" t="s">
        <v>161</v>
      </c>
      <c r="B156" s="13" t="n">
        <f aca="false">'Jan-26'!B150</f>
        <v>108253.73</v>
      </c>
      <c r="C156" s="13" t="n">
        <f aca="false">'Fev-26'!B123</f>
        <v>4133.79</v>
      </c>
      <c r="D156" s="13" t="n">
        <f aca="false">'Mar-26'!B132</f>
        <v>7762.05</v>
      </c>
      <c r="E156" s="13" t="n">
        <f aca="false">'Abr-26'!B128</f>
        <v>2996.95</v>
      </c>
      <c r="F156" s="13" t="n">
        <f aca="false">'Mai-26'!B128</f>
        <v>8460.11</v>
      </c>
      <c r="G156" s="13" t="n">
        <f aca="false">'Jun-26'!B129</f>
        <v>10559.06</v>
      </c>
      <c r="H156" s="13" t="n">
        <f aca="false">'Jul-26'!B124</f>
        <v>11959.78</v>
      </c>
      <c r="I156" s="13" t="n">
        <f aca="false">'Ago-26'!B124</f>
        <v>3151.33</v>
      </c>
      <c r="J156" s="13" t="n">
        <f aca="false">SUM(B156:I156)</f>
        <v>157276.8</v>
      </c>
    </row>
    <row r="157" customFormat="false" ht="15" hidden="false" customHeight="false" outlineLevel="0" collapsed="false">
      <c r="A157" s="12" t="s">
        <v>162</v>
      </c>
      <c r="B157" s="13" t="n">
        <f aca="false">'Jan-26'!B151</f>
        <v>11113.32</v>
      </c>
      <c r="C157" s="13" t="n">
        <f aca="false">'Fev-26'!B124</f>
        <v>13861.86</v>
      </c>
      <c r="D157" s="13" t="n">
        <f aca="false">'Mar-26'!B133</f>
        <v>371.15</v>
      </c>
      <c r="E157" s="13" t="n">
        <f aca="false">'Abr-26'!B129</f>
        <v>16.01</v>
      </c>
      <c r="F157" s="13" t="n">
        <f aca="false">'Mai-26'!B129</f>
        <v>16</v>
      </c>
      <c r="G157" s="13" t="n">
        <f aca="false">'Jun-26'!B130</f>
        <v>16</v>
      </c>
      <c r="H157" s="13" t="n">
        <f aca="false">'Jul-26'!B125</f>
        <v>16</v>
      </c>
      <c r="I157" s="13" t="n">
        <f aca="false">'Ago-26'!B125</f>
        <v>11</v>
      </c>
      <c r="J157" s="13" t="n">
        <f aca="false">SUM(B157:I157)</f>
        <v>25421.34</v>
      </c>
    </row>
    <row r="158" customFormat="false" ht="15" hidden="false" customHeight="false" outlineLevel="0" collapsed="false">
      <c r="A158" s="12" t="s">
        <v>163</v>
      </c>
      <c r="B158" s="13" t="n">
        <f aca="false">'Jan-26'!B152</f>
        <v>197819.42</v>
      </c>
      <c r="C158" s="13" t="n">
        <f aca="false">'Fev-26'!B125</f>
        <v>347530.9</v>
      </c>
      <c r="D158" s="13" t="n">
        <f aca="false">'Mar-26'!B134</f>
        <v>60587.05</v>
      </c>
      <c r="E158" s="13" t="n">
        <f aca="false">'Abr-26'!B130</f>
        <v>408211.88</v>
      </c>
      <c r="F158" s="13" t="n">
        <f aca="false">'Mai-26'!B130</f>
        <v>348907.45</v>
      </c>
      <c r="G158" s="13" t="n">
        <f aca="false">'Jun-26'!B131</f>
        <v>82579.13</v>
      </c>
      <c r="H158" s="13" t="n">
        <f aca="false">'Jul-26'!B126</f>
        <v>99398.52</v>
      </c>
      <c r="I158" s="13" t="n">
        <f aca="false">'Ago-26'!B126</f>
        <v>12417.47</v>
      </c>
      <c r="J158" s="13" t="n">
        <f aca="false">SUM(B158:I158)</f>
        <v>1557451.82</v>
      </c>
    </row>
    <row r="159" customFormat="false" ht="15" hidden="false" customHeight="false" outlineLevel="0" collapsed="false">
      <c r="A159" s="12" t="s">
        <v>164</v>
      </c>
      <c r="B159" s="13" t="n">
        <f aca="false">'Jan-26'!B153</f>
        <v>54563.27</v>
      </c>
      <c r="C159" s="13"/>
      <c r="D159" s="13" t="n">
        <f aca="false">'Mar-26'!B135</f>
        <v>24615.28</v>
      </c>
      <c r="E159" s="13" t="n">
        <f aca="false">'Abr-26'!B131</f>
        <v>7647.05</v>
      </c>
      <c r="F159" s="13"/>
      <c r="G159" s="13" t="n">
        <f aca="false">'Jun-26'!B132</f>
        <v>179.48</v>
      </c>
      <c r="H159" s="13"/>
      <c r="I159" s="13" t="n">
        <f aca="false">'Ago-26'!B127</f>
        <v>4357.23</v>
      </c>
      <c r="J159" s="13" t="n">
        <f aca="false">SUM(B159:I159)</f>
        <v>91362.31</v>
      </c>
    </row>
    <row r="160" customFormat="false" ht="15" hidden="false" customHeight="false" outlineLevel="0" collapsed="false">
      <c r="A160" s="12" t="s">
        <v>165</v>
      </c>
      <c r="B160" s="13" t="n">
        <f aca="false">'Jan-26'!B154</f>
        <v>496.27</v>
      </c>
      <c r="C160" s="13"/>
      <c r="D160" s="13"/>
      <c r="E160" s="13"/>
      <c r="F160" s="13" t="n">
        <f aca="false">'Mai-26'!B131</f>
        <v>431.44</v>
      </c>
      <c r="G160" s="13"/>
      <c r="H160" s="13"/>
      <c r="I160" s="13"/>
      <c r="J160" s="13" t="n">
        <f aca="false">SUM(B160:I160)</f>
        <v>927.71</v>
      </c>
    </row>
    <row r="161" customFormat="false" ht="15" hidden="false" customHeight="false" outlineLevel="0" collapsed="false">
      <c r="A161" s="12" t="s">
        <v>166</v>
      </c>
      <c r="B161" s="13" t="n">
        <f aca="false">'Jan-26'!B155</f>
        <v>35017.42</v>
      </c>
      <c r="C161" s="13"/>
      <c r="D161" s="13"/>
      <c r="E161" s="13"/>
      <c r="F161" s="13" t="n">
        <f aca="false">'Mai-26'!B132</f>
        <v>761.1</v>
      </c>
      <c r="G161" s="13"/>
      <c r="H161" s="13"/>
      <c r="I161" s="13"/>
      <c r="J161" s="13" t="n">
        <f aca="false">SUM(B161:I161)</f>
        <v>35778.52</v>
      </c>
    </row>
    <row r="162" customFormat="false" ht="15" hidden="false" customHeight="false" outlineLevel="0" collapsed="false">
      <c r="A162" s="7" t="s">
        <v>167</v>
      </c>
      <c r="B162" s="8" t="n">
        <f aca="false">'Jan-26'!B156</f>
        <v>-1513307.33</v>
      </c>
      <c r="C162" s="8" t="n">
        <f aca="false">'Fev-26'!B126</f>
        <v>-58581.62</v>
      </c>
      <c r="D162" s="8" t="n">
        <f aca="false">'Mar-26'!B136</f>
        <v>-49328.37</v>
      </c>
      <c r="E162" s="8" t="n">
        <f aca="false">'Abr-26'!B132</f>
        <v>-51216.14</v>
      </c>
      <c r="F162" s="8" t="n">
        <f aca="false">'Mai-26'!B133</f>
        <v>-181558.29</v>
      </c>
      <c r="G162" s="8" t="n">
        <f aca="false">'Jun-26'!B133</f>
        <v>-106209.57</v>
      </c>
      <c r="H162" s="8" t="n">
        <f aca="false">'Jul-26'!B127</f>
        <v>-57969.15</v>
      </c>
      <c r="I162" s="8" t="n">
        <f aca="false">'Ago-26'!B128</f>
        <v>-97416.03</v>
      </c>
      <c r="J162" s="8" t="n">
        <f aca="false">SUM(B162:I162)</f>
        <v>-2115586.5</v>
      </c>
    </row>
    <row r="163" customFormat="false" ht="15" hidden="false" customHeight="false" outlineLevel="0" collapsed="false">
      <c r="A163" s="9" t="s">
        <v>160</v>
      </c>
      <c r="B163" s="10" t="n">
        <f aca="false">'Jan-26'!B157</f>
        <v>1513307.33</v>
      </c>
      <c r="C163" s="10" t="n">
        <f aca="false">'Fev-26'!B127</f>
        <v>58581.62</v>
      </c>
      <c r="D163" s="10" t="n">
        <f aca="false">'Mar-26'!B137</f>
        <v>49328.37</v>
      </c>
      <c r="E163" s="10" t="n">
        <f aca="false">'Abr-26'!B133</f>
        <v>51216.14</v>
      </c>
      <c r="F163" s="10" t="n">
        <f aca="false">'Mai-26'!B134</f>
        <v>181558.29</v>
      </c>
      <c r="G163" s="10" t="n">
        <f aca="false">'Jun-26'!B134</f>
        <v>106209.57</v>
      </c>
      <c r="H163" s="10" t="n">
        <f aca="false">'Jul-26'!B128</f>
        <v>57969.15</v>
      </c>
      <c r="I163" s="10" t="n">
        <f aca="false">'Ago-26'!B129</f>
        <v>97416.03</v>
      </c>
      <c r="J163" s="10" t="n">
        <f aca="false">SUM(B163:I163)</f>
        <v>2115586.5</v>
      </c>
    </row>
    <row r="164" customFormat="false" ht="15" hidden="false" customHeight="false" outlineLevel="0" collapsed="false">
      <c r="A164" s="11" t="s">
        <v>167</v>
      </c>
      <c r="B164" s="10" t="n">
        <f aca="false">'Jan-26'!B158</f>
        <v>1513307.33</v>
      </c>
      <c r="C164" s="10" t="n">
        <f aca="false">'Fev-26'!B128</f>
        <v>58581.62</v>
      </c>
      <c r="D164" s="10" t="n">
        <f aca="false">'Mar-26'!B138</f>
        <v>49328.37</v>
      </c>
      <c r="E164" s="10" t="n">
        <f aca="false">'Abr-26'!B134</f>
        <v>51216.14</v>
      </c>
      <c r="F164" s="10" t="n">
        <f aca="false">'Mai-26'!B135</f>
        <v>181558.29</v>
      </c>
      <c r="G164" s="10" t="n">
        <f aca="false">'Jun-26'!B135</f>
        <v>106209.57</v>
      </c>
      <c r="H164" s="10" t="n">
        <f aca="false">'Jul-26'!B129</f>
        <v>57969.15</v>
      </c>
      <c r="I164" s="10" t="n">
        <f aca="false">'Ago-26'!B130</f>
        <v>97416.03</v>
      </c>
      <c r="J164" s="10" t="n">
        <f aca="false">SUM(B164:I164)</f>
        <v>2115586.5</v>
      </c>
    </row>
    <row r="165" customFormat="false" ht="15" hidden="false" customHeight="false" outlineLevel="0" collapsed="false">
      <c r="A165" s="12" t="s">
        <v>168</v>
      </c>
      <c r="B165" s="13" t="n">
        <f aca="false">'Jan-26'!B159</f>
        <v>801319.11</v>
      </c>
      <c r="C165" s="13" t="n">
        <f aca="false">'Fev-26'!B129</f>
        <v>47139.61</v>
      </c>
      <c r="D165" s="13" t="n">
        <f aca="false">'Mar-26'!B139</f>
        <v>43227.64</v>
      </c>
      <c r="E165" s="13" t="n">
        <f aca="false">'Abr-26'!B135</f>
        <v>44770.68</v>
      </c>
      <c r="F165" s="13" t="n">
        <f aca="false">'Mai-26'!B136</f>
        <v>43801</v>
      </c>
      <c r="G165" s="13" t="n">
        <f aca="false">'Jun-26'!B136</f>
        <v>43933.99</v>
      </c>
      <c r="H165" s="13" t="n">
        <f aca="false">'Jul-26'!B130</f>
        <v>31473.63</v>
      </c>
      <c r="I165" s="13" t="n">
        <f aca="false">'Ago-26'!B131</f>
        <v>31241.06</v>
      </c>
      <c r="J165" s="13" t="n">
        <f aca="false">SUM(B165:I165)</f>
        <v>1086906.72</v>
      </c>
    </row>
    <row r="166" customFormat="false" ht="15" hidden="false" customHeight="false" outlineLevel="0" collapsed="false">
      <c r="A166" s="12" t="s">
        <v>169</v>
      </c>
      <c r="B166" s="13" t="n">
        <f aca="false">'Jan-26'!B160</f>
        <v>27536.46</v>
      </c>
      <c r="C166" s="13" t="n">
        <f aca="false">'Fev-26'!B130</f>
        <v>3676.05</v>
      </c>
      <c r="D166" s="13" t="n">
        <f aca="false">'Mar-26'!B140</f>
        <v>791.64</v>
      </c>
      <c r="E166" s="13" t="n">
        <f aca="false">'Abr-26'!B136</f>
        <v>338</v>
      </c>
      <c r="F166" s="13" t="n">
        <f aca="false">'Mai-26'!B137</f>
        <v>2811.35</v>
      </c>
      <c r="G166" s="13" t="n">
        <f aca="false">'Jun-26'!B137</f>
        <v>3364.55</v>
      </c>
      <c r="H166" s="13" t="n">
        <f aca="false">'Jul-26'!B131</f>
        <v>1259.2</v>
      </c>
      <c r="I166" s="13" t="n">
        <f aca="false">'Ago-26'!B132</f>
        <v>1435.5</v>
      </c>
      <c r="J166" s="13" t="n">
        <f aca="false">SUM(B166:I166)</f>
        <v>41212.75</v>
      </c>
    </row>
    <row r="167" customFormat="false" ht="15" hidden="false" customHeight="false" outlineLevel="0" collapsed="false">
      <c r="A167" s="12" t="s">
        <v>170</v>
      </c>
      <c r="B167" s="13" t="n">
        <f aca="false">'Jan-26'!B161</f>
        <v>127138.14</v>
      </c>
      <c r="C167" s="13" t="n">
        <f aca="false">'Fev-26'!B131</f>
        <v>4784.36</v>
      </c>
      <c r="D167" s="13" t="n">
        <f aca="false">'Mar-26'!B141</f>
        <v>3627.73</v>
      </c>
      <c r="E167" s="13" t="n">
        <f aca="false">'Abr-26'!B137</f>
        <v>2806.47</v>
      </c>
      <c r="F167" s="13" t="n">
        <f aca="false">'Mai-26'!B138</f>
        <v>15784.83</v>
      </c>
      <c r="G167" s="13" t="n">
        <f aca="false">'Jun-26'!B138</f>
        <v>945.55</v>
      </c>
      <c r="H167" s="13" t="n">
        <f aca="false">'Jul-26'!B132</f>
        <v>0.02</v>
      </c>
      <c r="I167" s="13" t="n">
        <f aca="false">'Ago-26'!B133</f>
        <v>29.04</v>
      </c>
      <c r="J167" s="13" t="n">
        <f aca="false">SUM(B167:I167)</f>
        <v>155116.14</v>
      </c>
    </row>
    <row r="168" customFormat="false" ht="15" hidden="false" customHeight="false" outlineLevel="0" collapsed="false">
      <c r="A168" s="12" t="s">
        <v>171</v>
      </c>
      <c r="B168" s="13" t="n">
        <f aca="false">'Jan-26'!B162</f>
        <v>530024.85</v>
      </c>
      <c r="C168" s="13" t="n">
        <f aca="false">'Fev-26'!B132</f>
        <v>1732.52</v>
      </c>
      <c r="D168" s="13"/>
      <c r="E168" s="13" t="n">
        <f aca="false">'Abr-26'!B138</f>
        <v>2052.25</v>
      </c>
      <c r="F168" s="13" t="n">
        <f aca="false">'Mai-26'!B139</f>
        <v>11.71</v>
      </c>
      <c r="G168" s="13" t="n">
        <f aca="false">'Jun-26'!B139</f>
        <v>185.14</v>
      </c>
      <c r="H168" s="13" t="n">
        <f aca="false">'Jul-26'!B133</f>
        <v>43.04</v>
      </c>
      <c r="I168" s="13" t="n">
        <f aca="false">'Ago-26'!B134</f>
        <v>4031.84</v>
      </c>
      <c r="J168" s="13" t="n">
        <f aca="false">SUM(B168:I168)</f>
        <v>538081.35</v>
      </c>
    </row>
    <row r="169" customFormat="false" ht="15" hidden="false" customHeight="false" outlineLevel="0" collapsed="false">
      <c r="A169" s="12" t="s">
        <v>172</v>
      </c>
      <c r="B169" s="13" t="n">
        <f aca="false">'Jan-26'!B163</f>
        <v>4061.24</v>
      </c>
      <c r="C169" s="13"/>
      <c r="D169" s="13"/>
      <c r="E169" s="13"/>
      <c r="F169" s="13" t="n">
        <f aca="false">'Mai-26'!B140</f>
        <v>4000</v>
      </c>
      <c r="G169" s="13"/>
      <c r="H169" s="13"/>
      <c r="I169" s="13"/>
      <c r="J169" s="13" t="n">
        <f aca="false">SUM(B169:I169)</f>
        <v>8061.24</v>
      </c>
    </row>
    <row r="170" customFormat="false" ht="15" hidden="false" customHeight="false" outlineLevel="0" collapsed="false">
      <c r="A170" s="12" t="s">
        <v>173</v>
      </c>
      <c r="B170" s="13" t="n">
        <f aca="false">'Jan-26'!B164</f>
        <v>1858.86</v>
      </c>
      <c r="C170" s="13"/>
      <c r="D170" s="13"/>
      <c r="E170" s="13"/>
      <c r="F170" s="13" t="n">
        <f aca="false">'Mai-26'!B141</f>
        <v>99369.22</v>
      </c>
      <c r="G170" s="13"/>
      <c r="H170" s="13"/>
      <c r="I170" s="13"/>
      <c r="J170" s="13" t="n">
        <f aca="false">SUM(B170:I170)</f>
        <v>101228.08</v>
      </c>
    </row>
    <row r="171" customFormat="false" ht="15" hidden="false" customHeight="false" outlineLevel="0" collapsed="false">
      <c r="A171" s="12" t="s">
        <v>174</v>
      </c>
      <c r="B171" s="13" t="n">
        <f aca="false">'Jan-26'!B165</f>
        <v>8677.15</v>
      </c>
      <c r="C171" s="13"/>
      <c r="D171" s="13"/>
      <c r="E171" s="13"/>
      <c r="F171" s="13"/>
      <c r="G171" s="13"/>
      <c r="H171" s="13"/>
      <c r="I171" s="13"/>
      <c r="J171" s="13" t="n">
        <f aca="false">SUM(B171:I171)</f>
        <v>8677.15</v>
      </c>
    </row>
    <row r="172" customFormat="false" ht="15" hidden="false" customHeight="false" outlineLevel="0" collapsed="false">
      <c r="A172" s="12" t="s">
        <v>175</v>
      </c>
      <c r="B172" s="13" t="n">
        <f aca="false">'Jan-26'!B166</f>
        <v>6364.16</v>
      </c>
      <c r="C172" s="13" t="n">
        <f aca="false">'Fev-26'!B133</f>
        <v>1249.08</v>
      </c>
      <c r="D172" s="13" t="n">
        <f aca="false">'Mar-26'!B142</f>
        <v>1248.3</v>
      </c>
      <c r="E172" s="13" t="n">
        <f aca="false">'Abr-26'!B139</f>
        <v>1248.74</v>
      </c>
      <c r="F172" s="13" t="n">
        <f aca="false">'Mai-26'!B142</f>
        <v>1248.82</v>
      </c>
      <c r="G172" s="13" t="n">
        <f aca="false">'Jun-26'!B140</f>
        <v>1249.04</v>
      </c>
      <c r="H172" s="13" t="n">
        <f aca="false">'Jul-26'!B134</f>
        <v>1248.76</v>
      </c>
      <c r="I172" s="13" t="n">
        <f aca="false">'Ago-26'!B135</f>
        <v>1231.68</v>
      </c>
      <c r="J172" s="13" t="n">
        <f aca="false">SUM(B172:I172)</f>
        <v>15088.58</v>
      </c>
    </row>
    <row r="173" customFormat="false" ht="15" hidden="false" customHeight="false" outlineLevel="0" collapsed="false">
      <c r="A173" s="12" t="s">
        <v>176</v>
      </c>
      <c r="B173" s="13" t="n">
        <f aca="false">'Jan-26'!B167</f>
        <v>6327.36</v>
      </c>
      <c r="C173" s="13"/>
      <c r="D173" s="13" t="n">
        <f aca="false">'Mar-26'!B143</f>
        <v>433.06</v>
      </c>
      <c r="E173" s="13"/>
      <c r="F173" s="13" t="n">
        <f aca="false">'Mai-26'!B143</f>
        <v>14531.36</v>
      </c>
      <c r="G173" s="13" t="n">
        <f aca="false">'Jun-26'!B141</f>
        <v>56531.3</v>
      </c>
      <c r="H173" s="13" t="n">
        <f aca="false">'Jul-26'!B135</f>
        <v>23944.5</v>
      </c>
      <c r="I173" s="13" t="n">
        <f aca="false">'Ago-26'!B136</f>
        <v>59446.91</v>
      </c>
      <c r="J173" s="13" t="n">
        <f aca="false">SUM(B173:I173)</f>
        <v>161214.49</v>
      </c>
    </row>
    <row r="174" customFormat="false" ht="15" hidden="false" customHeight="false" outlineLevel="0" collapsed="false">
      <c r="A174" s="7" t="s">
        <v>177</v>
      </c>
      <c r="B174" s="8" t="n">
        <f aca="false">'Jan-26'!B168</f>
        <v>2756.41</v>
      </c>
      <c r="C174" s="8" t="n">
        <f aca="false">'Fev-26'!B134</f>
        <v>11050.63</v>
      </c>
      <c r="D174" s="8" t="n">
        <f aca="false">'Mar-26'!B144</f>
        <v>1392.5</v>
      </c>
      <c r="E174" s="8" t="n">
        <f aca="false">'Abr-26'!B140</f>
        <v>1395.98</v>
      </c>
      <c r="F174" s="8" t="n">
        <f aca="false">'Mai-26'!B144</f>
        <v>-3510.51</v>
      </c>
      <c r="G174" s="8" t="n">
        <f aca="false">'Jun-26'!B142</f>
        <v>1796.48</v>
      </c>
      <c r="H174" s="8" t="n">
        <f aca="false">'Jul-26'!B136</f>
        <v>-287915.96</v>
      </c>
      <c r="I174" s="8" t="n">
        <f aca="false">'Ago-26'!B137</f>
        <v>127414.33</v>
      </c>
      <c r="J174" s="8" t="n">
        <f aca="false">SUM(B174:I174)</f>
        <v>-145620.14</v>
      </c>
    </row>
    <row r="175" customFormat="false" ht="15" hidden="false" customHeight="false" outlineLevel="0" collapsed="false">
      <c r="A175" s="9" t="s">
        <v>178</v>
      </c>
      <c r="B175" s="10" t="n">
        <f aca="false">'Jan-26'!B169</f>
        <v>2756.41</v>
      </c>
      <c r="C175" s="10" t="n">
        <f aca="false">'Fev-26'!B135</f>
        <v>11050.63</v>
      </c>
      <c r="D175" s="10" t="n">
        <f aca="false">'Mar-26'!B145</f>
        <v>1392.5</v>
      </c>
      <c r="E175" s="10" t="n">
        <f aca="false">'Abr-26'!B141</f>
        <v>1395.98</v>
      </c>
      <c r="F175" s="10" t="n">
        <f aca="false">'Mai-26'!B145</f>
        <v>3510.51</v>
      </c>
      <c r="G175" s="10" t="n">
        <f aca="false">'Jun-26'!B143</f>
        <v>1796.48</v>
      </c>
      <c r="H175" s="10" t="n">
        <f aca="false">'Jul-26'!B137</f>
        <v>287915.96</v>
      </c>
      <c r="I175" s="10" t="n">
        <f aca="false">'Ago-26'!B138</f>
        <v>127414.33</v>
      </c>
      <c r="J175" s="10" t="n">
        <f aca="false">SUM(B175:I175)</f>
        <v>437232.8</v>
      </c>
    </row>
    <row r="176" customFormat="false" ht="15" hidden="false" customHeight="false" outlineLevel="0" collapsed="false">
      <c r="A176" s="11" t="s">
        <v>179</v>
      </c>
      <c r="B176" s="10" t="n">
        <f aca="false">'Jan-26'!B170</f>
        <v>49388.51</v>
      </c>
      <c r="C176" s="10"/>
      <c r="D176" s="10"/>
      <c r="E176" s="10" t="n">
        <f aca="false">'Abr-26'!B142</f>
        <v>1000</v>
      </c>
      <c r="F176" s="10" t="n">
        <f aca="false">'Mai-26'!B146</f>
        <v>3537.77</v>
      </c>
      <c r="G176" s="10"/>
      <c r="H176" s="10" t="n">
        <f aca="false">'Jul-26'!B138</f>
        <v>288000</v>
      </c>
      <c r="I176" s="10" t="n">
        <f aca="false">'Ago-26'!B139</f>
        <v>118404</v>
      </c>
      <c r="J176" s="10" t="n">
        <f aca="false">SUM(B176:I176)</f>
        <v>460330.28</v>
      </c>
    </row>
    <row r="177" customFormat="false" ht="15" hidden="false" customHeight="false" outlineLevel="0" collapsed="false">
      <c r="A177" s="12" t="s">
        <v>180</v>
      </c>
      <c r="B177" s="13" t="n">
        <f aca="false">'Jan-26'!B171</f>
        <v>509000</v>
      </c>
      <c r="C177" s="13"/>
      <c r="D177" s="13"/>
      <c r="E177" s="13" t="n">
        <f aca="false">'Abr-26'!B143</f>
        <v>3000</v>
      </c>
      <c r="F177" s="13" t="n">
        <f aca="false">'Mai-26'!B147</f>
        <v>8000</v>
      </c>
      <c r="G177" s="13"/>
      <c r="H177" s="13" t="n">
        <f aca="false">'Jul-26'!B139</f>
        <v>27000</v>
      </c>
      <c r="I177" s="13" t="n">
        <f aca="false">'Ago-26'!B140</f>
        <v>120000</v>
      </c>
      <c r="J177" s="13" t="n">
        <f aca="false">SUM(B177:I177)</f>
        <v>667000</v>
      </c>
    </row>
    <row r="178" customFormat="false" ht="15" hidden="false" customHeight="false" outlineLevel="0" collapsed="false">
      <c r="A178" s="12" t="s">
        <v>181</v>
      </c>
      <c r="B178" s="13" t="n">
        <f aca="false">'Jan-26'!B172</f>
        <v>555137.27</v>
      </c>
      <c r="C178" s="13"/>
      <c r="D178" s="13"/>
      <c r="E178" s="13"/>
      <c r="F178" s="13" t="n">
        <f aca="false">'Mai-26'!B148</f>
        <v>11537.77</v>
      </c>
      <c r="G178" s="13"/>
      <c r="H178" s="13" t="n">
        <f aca="false">'Jul-26'!B140</f>
        <v>315000</v>
      </c>
      <c r="I178" s="13"/>
      <c r="J178" s="13" t="n">
        <f aca="false">SUM(B178:I178)</f>
        <v>881675.04</v>
      </c>
    </row>
    <row r="179" customFormat="false" ht="15" hidden="false" customHeight="false" outlineLevel="0" collapsed="false">
      <c r="A179" s="12" t="s">
        <v>182</v>
      </c>
      <c r="B179" s="13" t="n">
        <f aca="false">'Jan-26'!B173</f>
        <v>3251.24</v>
      </c>
      <c r="C179" s="13"/>
      <c r="D179" s="13"/>
      <c r="E179" s="13" t="n">
        <f aca="false">'Abr-26'!B144</f>
        <v>2000</v>
      </c>
      <c r="F179" s="13"/>
      <c r="G179" s="13"/>
      <c r="H179" s="13"/>
      <c r="I179" s="13" t="n">
        <f aca="false">'Ago-26'!B141</f>
        <v>1596</v>
      </c>
      <c r="J179" s="13" t="n">
        <f aca="false">SUM(B179:I179)</f>
        <v>6847.24</v>
      </c>
    </row>
    <row r="180" customFormat="false" ht="15" hidden="false" customHeight="false" outlineLevel="0" collapsed="false">
      <c r="A180" s="11" t="s">
        <v>178</v>
      </c>
      <c r="B180" s="10" t="n">
        <f aca="false">'Jan-26'!B174</f>
        <v>52144.92</v>
      </c>
      <c r="C180" s="10" t="n">
        <f aca="false">'Fev-26'!B136</f>
        <v>11050.63</v>
      </c>
      <c r="D180" s="10" t="n">
        <f aca="false">'Mar-26'!B146</f>
        <v>1392.5</v>
      </c>
      <c r="E180" s="10" t="n">
        <f aca="false">'Abr-26'!B145</f>
        <v>395.98</v>
      </c>
      <c r="F180" s="10" t="n">
        <f aca="false">'Mai-26'!B149</f>
        <v>27.26</v>
      </c>
      <c r="G180" s="10" t="n">
        <f aca="false">'Jun-26'!B144</f>
        <v>1796.48</v>
      </c>
      <c r="H180" s="10" t="n">
        <f aca="false">'Jul-26'!B141</f>
        <v>84.04</v>
      </c>
      <c r="I180" s="10" t="n">
        <f aca="false">'Ago-26'!B142</f>
        <v>9010.33</v>
      </c>
      <c r="J180" s="10" t="n">
        <f aca="false">SUM(B180:I180)</f>
        <v>75902.14</v>
      </c>
    </row>
    <row r="181" customFormat="false" ht="15" hidden="false" customHeight="false" outlineLevel="0" collapsed="false">
      <c r="A181" s="12" t="s">
        <v>183</v>
      </c>
      <c r="B181" s="13" t="n">
        <f aca="false">'Jan-26'!B175</f>
        <v>16700</v>
      </c>
      <c r="C181" s="13" t="n">
        <f aca="false">'Fev-26'!B137</f>
        <v>9720</v>
      </c>
      <c r="D181" s="13"/>
      <c r="E181" s="13"/>
      <c r="F181" s="13"/>
      <c r="G181" s="13"/>
      <c r="H181" s="13"/>
      <c r="I181" s="13"/>
      <c r="J181" s="13" t="n">
        <f aca="false">SUM(B181:I181)</f>
        <v>26420</v>
      </c>
    </row>
    <row r="182" customFormat="false" ht="15" hidden="false" customHeight="false" outlineLevel="0" collapsed="false">
      <c r="A182" s="12" t="s">
        <v>184</v>
      </c>
      <c r="B182" s="13" t="n">
        <f aca="false">'Jan-26'!B176</f>
        <v>27258.51</v>
      </c>
      <c r="C182" s="13" t="n">
        <f aca="false">'Fev-26'!B138</f>
        <v>1257.22</v>
      </c>
      <c r="D182" s="13" t="n">
        <f aca="false">'Mar-26'!B147</f>
        <v>1207</v>
      </c>
      <c r="E182" s="13" t="n">
        <f aca="false">'Abr-26'!B146</f>
        <v>395.98</v>
      </c>
      <c r="F182" s="13" t="n">
        <f aca="false">'Mai-26'!B150</f>
        <v>27.26</v>
      </c>
      <c r="G182" s="13" t="n">
        <f aca="false">'Jun-26'!B145</f>
        <v>296.25</v>
      </c>
      <c r="H182" s="13" t="n">
        <f aca="false">'Jul-26'!B142</f>
        <v>84.04</v>
      </c>
      <c r="I182" s="13" t="n">
        <f aca="false">'Ago-26'!B143</f>
        <v>9010.33</v>
      </c>
      <c r="J182" s="13" t="n">
        <f aca="false">SUM(B182:I182)</f>
        <v>39536.59</v>
      </c>
    </row>
    <row r="183" customFormat="false" ht="15" hidden="false" customHeight="false" outlineLevel="0" collapsed="false">
      <c r="A183" s="12" t="s">
        <v>185</v>
      </c>
      <c r="B183" s="13" t="n">
        <f aca="false">'Jan-26'!B177</f>
        <v>5046.71</v>
      </c>
      <c r="C183" s="13"/>
      <c r="D183" s="13"/>
      <c r="E183" s="13"/>
      <c r="F183" s="13"/>
      <c r="G183" s="13" t="n">
        <f aca="false">'Jun-26'!B146</f>
        <v>1413.46</v>
      </c>
      <c r="H183" s="13"/>
      <c r="I183" s="13"/>
      <c r="J183" s="13" t="n">
        <f aca="false">SUM(B183:I183)</f>
        <v>6460.17</v>
      </c>
    </row>
    <row r="184" customFormat="false" ht="15" hidden="false" customHeight="false" outlineLevel="0" collapsed="false">
      <c r="A184" s="12" t="s">
        <v>186</v>
      </c>
      <c r="B184" s="13" t="n">
        <f aca="false">'Jan-26'!B178</f>
        <v>3139.7</v>
      </c>
      <c r="C184" s="13" t="n">
        <f aca="false">'Fev-26'!B139</f>
        <v>73.41</v>
      </c>
      <c r="D184" s="13" t="n">
        <f aca="false">'Mar-26'!B148</f>
        <v>185.5</v>
      </c>
      <c r="E184" s="13"/>
      <c r="F184" s="13"/>
      <c r="G184" s="13" t="n">
        <f aca="false">'Jun-26'!B147</f>
        <v>86.77</v>
      </c>
      <c r="H184" s="13"/>
      <c r="I184" s="13"/>
      <c r="J184" s="13" t="n">
        <f aca="false">SUM(B184:I184)</f>
        <v>3485.38</v>
      </c>
    </row>
    <row r="185" customFormat="false" ht="15" hidden="false" customHeight="false" outlineLevel="0" collapsed="false">
      <c r="A185" s="7" t="s">
        <v>187</v>
      </c>
      <c r="B185" s="8" t="n">
        <f aca="false">'Jan-26'!B179</f>
        <v>-228707.96</v>
      </c>
      <c r="C185" s="8" t="n">
        <f aca="false">'Fev-26'!B140</f>
        <v>-774</v>
      </c>
      <c r="D185" s="8" t="n">
        <f aca="false">'Mar-26'!B149</f>
        <v>-22022.25</v>
      </c>
      <c r="E185" s="8" t="n">
        <f aca="false">'Abr-26'!B147</f>
        <v>-18630.78</v>
      </c>
      <c r="F185" s="8" t="n">
        <f aca="false">'Mai-26'!B151</f>
        <v>-7252.44</v>
      </c>
      <c r="G185" s="8" t="n">
        <f aca="false">'Jun-26'!B148</f>
        <v>-1629.77</v>
      </c>
      <c r="H185" s="8" t="n">
        <f aca="false">'Jul-26'!B143</f>
        <v>-1515</v>
      </c>
      <c r="I185" s="8" t="n">
        <f aca="false">'Ago-26'!B144</f>
        <v>-14605.74</v>
      </c>
      <c r="J185" s="8" t="n">
        <f aca="false">SUM(B185:I185)</f>
        <v>-295137.94</v>
      </c>
    </row>
    <row r="186" customFormat="false" ht="15" hidden="false" customHeight="false" outlineLevel="0" collapsed="false">
      <c r="A186" s="9" t="s">
        <v>188</v>
      </c>
      <c r="B186" s="10" t="n">
        <f aca="false">'Jan-26'!B180</f>
        <v>228707.96</v>
      </c>
      <c r="C186" s="10" t="n">
        <f aca="false">'Fev-26'!B141</f>
        <v>774</v>
      </c>
      <c r="D186" s="10" t="n">
        <f aca="false">'Mar-26'!B150</f>
        <v>22022.25</v>
      </c>
      <c r="E186" s="10" t="n">
        <f aca="false">'Abr-26'!B148</f>
        <v>18630.78</v>
      </c>
      <c r="F186" s="10" t="n">
        <f aca="false">'Mai-26'!B152</f>
        <v>7252.44</v>
      </c>
      <c r="G186" s="10" t="n">
        <f aca="false">'Jun-26'!B149</f>
        <v>1629.77</v>
      </c>
      <c r="H186" s="10" t="n">
        <f aca="false">'Jul-26'!B144</f>
        <v>1515</v>
      </c>
      <c r="I186" s="10" t="n">
        <f aca="false">'Ago-26'!B145</f>
        <v>14605.74</v>
      </c>
      <c r="J186" s="10" t="n">
        <f aca="false">SUM(B186:I186)</f>
        <v>295137.94</v>
      </c>
    </row>
    <row r="187" customFormat="false" ht="15" hidden="false" customHeight="false" outlineLevel="0" collapsed="false">
      <c r="A187" s="11" t="s">
        <v>188</v>
      </c>
      <c r="B187" s="10" t="n">
        <f aca="false">'Jan-26'!B181</f>
        <v>228707.96</v>
      </c>
      <c r="C187" s="10" t="n">
        <f aca="false">'Fev-26'!B142</f>
        <v>774</v>
      </c>
      <c r="D187" s="10" t="n">
        <f aca="false">'Mar-26'!B151</f>
        <v>22022.25</v>
      </c>
      <c r="E187" s="10" t="n">
        <f aca="false">'Abr-26'!B149</f>
        <v>18630.78</v>
      </c>
      <c r="F187" s="10" t="n">
        <f aca="false">'Mai-26'!B153</f>
        <v>7252.44</v>
      </c>
      <c r="G187" s="10" t="n">
        <f aca="false">'Jun-26'!B150</f>
        <v>1629.77</v>
      </c>
      <c r="H187" s="10" t="n">
        <f aca="false">'Jul-26'!B145</f>
        <v>1515</v>
      </c>
      <c r="I187" s="10" t="n">
        <f aca="false">'Ago-26'!B146</f>
        <v>14605.74</v>
      </c>
      <c r="J187" s="10" t="n">
        <f aca="false">SUM(B187:I187)</f>
        <v>295137.94</v>
      </c>
    </row>
    <row r="188" customFormat="false" ht="15" hidden="false" customHeight="false" outlineLevel="0" collapsed="false">
      <c r="A188" s="12" t="s">
        <v>189</v>
      </c>
      <c r="B188" s="13" t="n">
        <f aca="false">'Jan-26'!B182</f>
        <v>99035.31</v>
      </c>
      <c r="C188" s="13"/>
      <c r="D188" s="13" t="n">
        <f aca="false">'Mar-26'!B152</f>
        <v>3119</v>
      </c>
      <c r="E188" s="13" t="n">
        <f aca="false">'Abr-26'!B150</f>
        <v>219</v>
      </c>
      <c r="F188" s="13" t="n">
        <f aca="false">'Mai-26'!B154</f>
        <v>724</v>
      </c>
      <c r="G188" s="13" t="n">
        <f aca="false">'Jun-26'!B151</f>
        <v>229</v>
      </c>
      <c r="H188" s="13" t="n">
        <f aca="false">'Jul-26'!B146</f>
        <v>476</v>
      </c>
      <c r="I188" s="13" t="n">
        <f aca="false">'Ago-26'!B147</f>
        <v>8418.4</v>
      </c>
      <c r="J188" s="13" t="n">
        <f aca="false">SUM(B188:I188)</f>
        <v>112220.71</v>
      </c>
    </row>
    <row r="189" customFormat="false" ht="15" hidden="false" customHeight="false" outlineLevel="0" collapsed="false">
      <c r="A189" s="12" t="s">
        <v>190</v>
      </c>
      <c r="B189" s="13" t="n">
        <f aca="false">'Jan-26'!B183</f>
        <v>36301.29</v>
      </c>
      <c r="C189" s="13" t="n">
        <f aca="false">'Fev-26'!B143</f>
        <v>474</v>
      </c>
      <c r="D189" s="13" t="n">
        <f aca="false">'Mar-26'!B153</f>
        <v>9716.25</v>
      </c>
      <c r="E189" s="13" t="n">
        <f aca="false">'Abr-26'!B151</f>
        <v>13711.78</v>
      </c>
      <c r="F189" s="13" t="n">
        <f aca="false">'Mai-26'!B155</f>
        <v>3573.44</v>
      </c>
      <c r="G189" s="13" t="n">
        <f aca="false">'Jun-26'!B152</f>
        <v>1400.77</v>
      </c>
      <c r="H189" s="13" t="n">
        <f aca="false">'Jul-26'!B147</f>
        <v>1039</v>
      </c>
      <c r="I189" s="13" t="n">
        <f aca="false">'Ago-26'!B148</f>
        <v>5750.34</v>
      </c>
      <c r="J189" s="13" t="n">
        <f aca="false">SUM(B189:I189)</f>
        <v>71966.87</v>
      </c>
    </row>
    <row r="190" customFormat="false" ht="15" hidden="false" customHeight="false" outlineLevel="0" collapsed="false">
      <c r="A190" s="12" t="s">
        <v>188</v>
      </c>
      <c r="B190" s="13" t="n">
        <f aca="false">'Jan-26'!B184</f>
        <v>93371.36</v>
      </c>
      <c r="C190" s="13" t="n">
        <f aca="false">'Fev-26'!B144</f>
        <v>300</v>
      </c>
      <c r="D190" s="13" t="n">
        <f aca="false">'Mar-26'!B154</f>
        <v>9187</v>
      </c>
      <c r="E190" s="13" t="n">
        <f aca="false">'Abr-26'!B152</f>
        <v>4700</v>
      </c>
      <c r="F190" s="13" t="n">
        <f aca="false">'Mai-26'!B156</f>
        <v>2955</v>
      </c>
      <c r="G190" s="13"/>
      <c r="H190" s="13"/>
      <c r="I190" s="13" t="n">
        <f aca="false">'Ago-26'!B149</f>
        <v>437</v>
      </c>
      <c r="J190" s="13" t="n">
        <f aca="false">SUM(B190:I190)</f>
        <v>110950.36</v>
      </c>
    </row>
    <row r="191" customFormat="false" ht="15" hidden="false" customHeight="false" outlineLevel="0" collapsed="false">
      <c r="A191" s="7" t="s">
        <v>191</v>
      </c>
      <c r="B191" s="8" t="n">
        <f aca="false">'Jan-26'!B185</f>
        <v>3286063.34</v>
      </c>
      <c r="C191" s="8" t="n">
        <f aca="false">'Fev-26'!B145</f>
        <v>-1242712.12</v>
      </c>
      <c r="D191" s="8" t="n">
        <f aca="false">'Mar-26'!B155</f>
        <v>-2982381.56</v>
      </c>
      <c r="E191" s="8" t="n">
        <f aca="false">'Abr-26'!B153</f>
        <v>-1010496.95</v>
      </c>
      <c r="F191" s="8" t="n">
        <f aca="false">'Mai-26'!B157</f>
        <v>-1117187.2</v>
      </c>
      <c r="G191" s="8" t="n">
        <f aca="false">'Jun-26'!B153</f>
        <v>-1131810.95</v>
      </c>
      <c r="H191" s="8" t="n">
        <f aca="false">'Jul-26'!B148</f>
        <v>-512205.13</v>
      </c>
      <c r="I191" s="8" t="n">
        <f aca="false">'Ago-26'!B150</f>
        <v>-60274.01</v>
      </c>
      <c r="J191" s="8" t="n">
        <f aca="false">SUM(B191:I191)</f>
        <v>-4771004.58</v>
      </c>
    </row>
    <row r="192" customFormat="false" ht="15" hidden="false" customHeight="false" outlineLevel="0" collapsed="false">
      <c r="A192" s="7" t="s">
        <v>192</v>
      </c>
      <c r="B192" s="8" t="n">
        <f aca="false">'Jan-26'!B186</f>
        <v>3286063.34</v>
      </c>
      <c r="C192" s="8" t="n">
        <f aca="false">'Fev-26'!B146</f>
        <v>-1242712.12</v>
      </c>
      <c r="D192" s="8" t="n">
        <f aca="false">'Mar-26'!B156</f>
        <v>-2982381.56</v>
      </c>
      <c r="E192" s="8" t="n">
        <f aca="false">'Abr-26'!B154</f>
        <v>-1010496.95</v>
      </c>
      <c r="F192" s="8" t="n">
        <f aca="false">'Mai-26'!B158</f>
        <v>-1117187.2</v>
      </c>
      <c r="G192" s="8" t="n">
        <f aca="false">'Jun-26'!B154</f>
        <v>-1131810.95</v>
      </c>
      <c r="H192" s="8" t="n">
        <f aca="false">'Jul-26'!B149</f>
        <v>-512205.13</v>
      </c>
      <c r="I192" s="8" t="n">
        <f aca="false">'Ago-26'!B151</f>
        <v>-60274.01</v>
      </c>
      <c r="J192" s="8" t="n">
        <f aca="false">SUM(B192:I192)</f>
        <v>-4771004.58</v>
      </c>
    </row>
    <row r="193" customFormat="false" ht="15" hidden="false" customHeight="false" outlineLevel="0" collapsed="false">
      <c r="A193" s="7" t="s">
        <v>193</v>
      </c>
      <c r="B193" s="8" t="n">
        <f aca="false">'Jan-26'!B187</f>
        <v>3286063.34</v>
      </c>
      <c r="C193" s="8" t="n">
        <f aca="false">'Fev-26'!B147</f>
        <v>-1242712.12</v>
      </c>
      <c r="D193" s="8" t="n">
        <f aca="false">'Mar-26'!B157</f>
        <v>-2982381.56</v>
      </c>
      <c r="E193" s="8" t="n">
        <f aca="false">'Abr-26'!B155</f>
        <v>-1010496.95</v>
      </c>
      <c r="F193" s="8" t="n">
        <f aca="false">'Mai-26'!B159</f>
        <v>-1117187.2</v>
      </c>
      <c r="G193" s="8" t="n">
        <f aca="false">'Jun-26'!B155</f>
        <v>-1131810.95</v>
      </c>
      <c r="H193" s="8" t="n">
        <f aca="false">'Jul-26'!B150</f>
        <v>-512205.13</v>
      </c>
      <c r="I193" s="8" t="n">
        <f aca="false">'Ago-26'!B152</f>
        <v>-60274.01</v>
      </c>
      <c r="J193" s="8" t="n">
        <f aca="false">SUM(B193:I193)</f>
        <v>-4771004.58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9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194</v>
      </c>
    </row>
    <row r="3" customFormat="false" ht="15" hidden="false" customHeight="false" outlineLevel="0" collapsed="false">
      <c r="A3" s="3" t="s">
        <v>195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196</v>
      </c>
    </row>
    <row r="8" customFormat="false" ht="15" hidden="false" customHeight="false" outlineLevel="0" collapsed="false">
      <c r="A8" s="7" t="s">
        <v>15</v>
      </c>
      <c r="B8" s="8" t="n">
        <v>65256171.15</v>
      </c>
    </row>
    <row r="9" customFormat="false" ht="15" hidden="false" customHeight="false" outlineLevel="0" collapsed="false">
      <c r="A9" s="9" t="s">
        <v>16</v>
      </c>
      <c r="B9" s="10" t="n">
        <v>66077105.63</v>
      </c>
    </row>
    <row r="10" customFormat="false" ht="15" hidden="false" customHeight="false" outlineLevel="0" collapsed="false">
      <c r="A10" s="11" t="s">
        <v>17</v>
      </c>
      <c r="B10" s="10" t="n">
        <v>66077105.63</v>
      </c>
    </row>
    <row r="11" customFormat="false" ht="15" hidden="false" customHeight="false" outlineLevel="0" collapsed="false">
      <c r="A11" s="12" t="s">
        <v>18</v>
      </c>
      <c r="B11" s="13" t="n">
        <v>36324919.69</v>
      </c>
    </row>
    <row r="12" customFormat="false" ht="15" hidden="false" customHeight="false" outlineLevel="0" collapsed="false">
      <c r="A12" s="12" t="s">
        <v>19</v>
      </c>
      <c r="B12" s="13" t="n">
        <v>29520870.19</v>
      </c>
    </row>
    <row r="13" customFormat="false" ht="15" hidden="false" customHeight="false" outlineLevel="0" collapsed="false">
      <c r="A13" s="12" t="s">
        <v>20</v>
      </c>
      <c r="B13" s="13" t="n">
        <v>231315.75</v>
      </c>
    </row>
    <row r="14" customFormat="false" ht="15" hidden="false" customHeight="false" outlineLevel="0" collapsed="false">
      <c r="A14" s="11" t="s">
        <v>21</v>
      </c>
      <c r="B14" s="10" t="n">
        <v>7093786.64</v>
      </c>
    </row>
    <row r="15" customFormat="false" ht="15" hidden="false" customHeight="false" outlineLevel="0" collapsed="false">
      <c r="A15" s="12" t="s">
        <v>22</v>
      </c>
      <c r="B15" s="13" t="n">
        <v>2527913.21</v>
      </c>
    </row>
    <row r="16" customFormat="false" ht="15" hidden="false" customHeight="false" outlineLevel="0" collapsed="false">
      <c r="A16" s="12" t="s">
        <v>23</v>
      </c>
      <c r="B16" s="13" t="n">
        <v>4475893.33</v>
      </c>
    </row>
    <row r="17" customFormat="false" ht="15" hidden="false" customHeight="false" outlineLevel="0" collapsed="false">
      <c r="A17" s="12" t="s">
        <v>24</v>
      </c>
      <c r="B17" s="13" t="n">
        <v>5265</v>
      </c>
    </row>
    <row r="18" customFormat="false" ht="15" hidden="false" customHeight="false" outlineLevel="0" collapsed="false">
      <c r="A18" s="12" t="s">
        <v>25</v>
      </c>
      <c r="B18" s="13" t="n">
        <v>84715.1</v>
      </c>
    </row>
    <row r="19" customFormat="false" ht="15" hidden="false" customHeight="false" outlineLevel="0" collapsed="false">
      <c r="A19" s="11" t="s">
        <v>26</v>
      </c>
      <c r="B19" s="10" t="n">
        <v>3083029.56</v>
      </c>
    </row>
    <row r="20" customFormat="false" ht="15" hidden="false" customHeight="false" outlineLevel="0" collapsed="false">
      <c r="A20" s="12" t="s">
        <v>27</v>
      </c>
      <c r="B20" s="13" t="n">
        <v>2617837.17</v>
      </c>
    </row>
    <row r="21" customFormat="false" ht="15" hidden="false" customHeight="false" outlineLevel="0" collapsed="false">
      <c r="A21" s="12" t="s">
        <v>28</v>
      </c>
      <c r="B21" s="13" t="n">
        <v>465192.39</v>
      </c>
    </row>
    <row r="22" customFormat="false" ht="15" hidden="false" customHeight="false" outlineLevel="0" collapsed="false">
      <c r="A22" s="11" t="s">
        <v>29</v>
      </c>
      <c r="B22" s="10" t="n">
        <v>10997750.68</v>
      </c>
    </row>
    <row r="23" customFormat="false" ht="15" hidden="false" customHeight="false" outlineLevel="0" collapsed="false">
      <c r="A23" s="12" t="s">
        <v>30</v>
      </c>
      <c r="B23" s="13" t="n">
        <v>486086.4</v>
      </c>
    </row>
    <row r="24" customFormat="false" ht="15" hidden="false" customHeight="false" outlineLevel="0" collapsed="false">
      <c r="A24" s="12" t="s">
        <v>31</v>
      </c>
      <c r="B24" s="13" t="n">
        <v>7816591.22</v>
      </c>
    </row>
    <row r="25" customFormat="false" ht="15" hidden="false" customHeight="false" outlineLevel="0" collapsed="false">
      <c r="A25" s="12" t="s">
        <v>32</v>
      </c>
      <c r="B25" s="13" t="n">
        <v>244816.06</v>
      </c>
    </row>
    <row r="26" customFormat="false" ht="15" hidden="false" customHeight="false" outlineLevel="0" collapsed="false">
      <c r="A26" s="12" t="s">
        <v>33</v>
      </c>
      <c r="B26" s="13" t="n">
        <v>1124298.74</v>
      </c>
    </row>
    <row r="27" customFormat="false" ht="15" hidden="false" customHeight="false" outlineLevel="0" collapsed="false">
      <c r="A27" s="12" t="s">
        <v>34</v>
      </c>
      <c r="B27" s="13" t="n">
        <v>13955.84</v>
      </c>
    </row>
    <row r="28" customFormat="false" ht="15" hidden="false" customHeight="false" outlineLevel="0" collapsed="false">
      <c r="A28" s="12" t="s">
        <v>35</v>
      </c>
      <c r="B28" s="13" t="n">
        <v>252215.84</v>
      </c>
    </row>
    <row r="29" customFormat="false" ht="15" hidden="false" customHeight="false" outlineLevel="0" collapsed="false">
      <c r="A29" s="12" t="s">
        <v>36</v>
      </c>
      <c r="B29" s="13" t="n">
        <v>1082.44</v>
      </c>
    </row>
    <row r="30" customFormat="false" ht="15" hidden="false" customHeight="false" outlineLevel="0" collapsed="false">
      <c r="A30" s="12" t="s">
        <v>37</v>
      </c>
      <c r="B30" s="13" t="n">
        <v>680737.75</v>
      </c>
    </row>
    <row r="31" customFormat="false" ht="15" hidden="false" customHeight="false" outlineLevel="0" collapsed="false">
      <c r="A31" s="12" t="s">
        <v>38</v>
      </c>
      <c r="B31" s="13" t="n">
        <v>377966.39</v>
      </c>
    </row>
    <row r="32" customFormat="false" ht="15" hidden="false" customHeight="false" outlineLevel="0" collapsed="false">
      <c r="A32" s="7" t="s">
        <v>39</v>
      </c>
      <c r="B32" s="8" t="n">
        <v>-445730.17</v>
      </c>
    </row>
    <row r="33" customFormat="false" ht="15" hidden="false" customHeight="false" outlineLevel="0" collapsed="false">
      <c r="A33" s="9" t="s">
        <v>40</v>
      </c>
      <c r="B33" s="10" t="n">
        <v>445730.17</v>
      </c>
    </row>
    <row r="34" customFormat="false" ht="15" hidden="false" customHeight="false" outlineLevel="0" collapsed="false">
      <c r="A34" s="11" t="s">
        <v>41</v>
      </c>
      <c r="B34" s="10" t="n">
        <v>445730.17</v>
      </c>
    </row>
    <row r="35" customFormat="false" ht="15" hidden="false" customHeight="false" outlineLevel="0" collapsed="false">
      <c r="A35" s="12" t="s">
        <v>42</v>
      </c>
      <c r="B35" s="13" t="n">
        <v>303435.11</v>
      </c>
    </row>
    <row r="36" customFormat="false" ht="15" hidden="false" customHeight="false" outlineLevel="0" collapsed="false">
      <c r="A36" s="12" t="s">
        <v>43</v>
      </c>
      <c r="B36" s="13" t="n">
        <v>6939</v>
      </c>
    </row>
    <row r="37" customFormat="false" ht="15" hidden="false" customHeight="false" outlineLevel="0" collapsed="false">
      <c r="A37" s="12" t="s">
        <v>44</v>
      </c>
      <c r="B37" s="13" t="n">
        <v>101572.91</v>
      </c>
    </row>
    <row r="38" customFormat="false" ht="15" hidden="false" customHeight="false" outlineLevel="0" collapsed="false">
      <c r="A38" s="12" t="s">
        <v>45</v>
      </c>
      <c r="B38" s="13" t="n">
        <v>33783.15</v>
      </c>
    </row>
    <row r="39" customFormat="false" ht="15" hidden="false" customHeight="false" outlineLevel="0" collapsed="false">
      <c r="A39" s="7" t="s">
        <v>46</v>
      </c>
      <c r="B39" s="8" t="n">
        <v>64810440.98</v>
      </c>
    </row>
    <row r="40" customFormat="false" ht="15" hidden="false" customHeight="false" outlineLevel="0" collapsed="false">
      <c r="A40" s="7" t="s">
        <v>47</v>
      </c>
      <c r="B40" s="8" t="n">
        <v>-43222401.12</v>
      </c>
    </row>
    <row r="41" customFormat="false" ht="15" hidden="false" customHeight="false" outlineLevel="0" collapsed="false">
      <c r="A41" s="9" t="s">
        <v>48</v>
      </c>
      <c r="B41" s="10" t="n">
        <v>43222401.12</v>
      </c>
    </row>
    <row r="42" customFormat="false" ht="15" hidden="false" customHeight="false" outlineLevel="0" collapsed="false">
      <c r="A42" s="11" t="s">
        <v>49</v>
      </c>
      <c r="B42" s="10" t="n">
        <v>30146592.49</v>
      </c>
    </row>
    <row r="43" customFormat="false" ht="15" hidden="false" customHeight="false" outlineLevel="0" collapsed="false">
      <c r="A43" s="12" t="s">
        <v>50</v>
      </c>
      <c r="B43" s="13" t="n">
        <v>5219.26</v>
      </c>
    </row>
    <row r="44" customFormat="false" ht="15" hidden="false" customHeight="false" outlineLevel="0" collapsed="false">
      <c r="A44" s="12" t="s">
        <v>51</v>
      </c>
      <c r="B44" s="13" t="n">
        <v>28929083.49</v>
      </c>
    </row>
    <row r="45" customFormat="false" ht="15" hidden="false" customHeight="false" outlineLevel="0" collapsed="false">
      <c r="A45" s="12" t="s">
        <v>52</v>
      </c>
      <c r="B45" s="13" t="n">
        <v>40452.82</v>
      </c>
    </row>
    <row r="46" customFormat="false" ht="15" hidden="false" customHeight="false" outlineLevel="0" collapsed="false">
      <c r="A46" s="12" t="s">
        <v>53</v>
      </c>
      <c r="B46" s="13" t="n">
        <v>1182275.44</v>
      </c>
    </row>
    <row r="47" customFormat="false" ht="15" hidden="false" customHeight="false" outlineLevel="0" collapsed="false">
      <c r="A47" s="11" t="s">
        <v>54</v>
      </c>
      <c r="B47" s="10" t="n">
        <v>2204984.43</v>
      </c>
    </row>
    <row r="48" customFormat="false" ht="15" hidden="false" customHeight="false" outlineLevel="0" collapsed="false">
      <c r="A48" s="12" t="s">
        <v>54</v>
      </c>
      <c r="B48" s="13" t="n">
        <v>2204984.43</v>
      </c>
    </row>
    <row r="49" customFormat="false" ht="15" hidden="false" customHeight="false" outlineLevel="0" collapsed="false">
      <c r="A49" s="12" t="s">
        <v>55</v>
      </c>
      <c r="B49" s="13" t="n">
        <v>1119229.55</v>
      </c>
    </row>
    <row r="50" customFormat="false" ht="15" hidden="false" customHeight="false" outlineLevel="0" collapsed="false">
      <c r="A50" s="12" t="s">
        <v>56</v>
      </c>
      <c r="B50" s="13" t="n">
        <v>517643.94</v>
      </c>
    </row>
    <row r="51" customFormat="false" ht="15" hidden="false" customHeight="false" outlineLevel="0" collapsed="false">
      <c r="A51" s="12" t="s">
        <v>57</v>
      </c>
      <c r="B51" s="13" t="n">
        <v>277642.76</v>
      </c>
    </row>
    <row r="52" customFormat="false" ht="15" hidden="false" customHeight="false" outlineLevel="0" collapsed="false">
      <c r="A52" s="12" t="s">
        <v>58</v>
      </c>
      <c r="B52" s="13" t="n">
        <v>290468.18</v>
      </c>
    </row>
    <row r="53" customFormat="false" ht="15" hidden="false" customHeight="false" outlineLevel="0" collapsed="false">
      <c r="A53" s="11" t="s">
        <v>59</v>
      </c>
      <c r="B53" s="10" t="n">
        <v>10870824.2</v>
      </c>
    </row>
    <row r="54" customFormat="false" ht="15" hidden="false" customHeight="false" outlineLevel="0" collapsed="false">
      <c r="A54" s="12" t="s">
        <v>60</v>
      </c>
      <c r="B54" s="13" t="n">
        <v>6796883.03</v>
      </c>
    </row>
    <row r="55" customFormat="false" ht="15" hidden="false" customHeight="false" outlineLevel="0" collapsed="false">
      <c r="A55" s="12" t="s">
        <v>61</v>
      </c>
      <c r="B55" s="13" t="n">
        <v>73548</v>
      </c>
    </row>
    <row r="56" customFormat="false" ht="15" hidden="false" customHeight="false" outlineLevel="0" collapsed="false">
      <c r="A56" s="12" t="s">
        <v>62</v>
      </c>
      <c r="B56" s="13" t="n">
        <v>1524.58</v>
      </c>
    </row>
    <row r="57" customFormat="false" ht="15" hidden="false" customHeight="false" outlineLevel="0" collapsed="false">
      <c r="A57" s="12" t="s">
        <v>63</v>
      </c>
      <c r="B57" s="13" t="n">
        <v>501.12</v>
      </c>
    </row>
    <row r="58" customFormat="false" ht="15" hidden="false" customHeight="false" outlineLevel="0" collapsed="false">
      <c r="A58" s="12" t="s">
        <v>64</v>
      </c>
      <c r="B58" s="13" t="n">
        <v>23557.31</v>
      </c>
    </row>
    <row r="59" customFormat="false" ht="15" hidden="false" customHeight="false" outlineLevel="0" collapsed="false">
      <c r="A59" s="12" t="s">
        <v>65</v>
      </c>
      <c r="B59" s="13" t="n">
        <v>745851.7</v>
      </c>
    </row>
    <row r="60" customFormat="false" ht="15" hidden="false" customHeight="false" outlineLevel="0" collapsed="false">
      <c r="A60" s="12" t="s">
        <v>66</v>
      </c>
      <c r="B60" s="13" t="n">
        <v>641072.21</v>
      </c>
    </row>
    <row r="61" customFormat="false" ht="15" hidden="false" customHeight="false" outlineLevel="0" collapsed="false">
      <c r="A61" s="12" t="s">
        <v>67</v>
      </c>
      <c r="B61" s="13" t="n">
        <v>577092.55</v>
      </c>
    </row>
    <row r="62" customFormat="false" ht="15" hidden="false" customHeight="false" outlineLevel="0" collapsed="false">
      <c r="A62" s="12" t="s">
        <v>68</v>
      </c>
      <c r="B62" s="13" t="n">
        <v>1338508.58</v>
      </c>
    </row>
    <row r="63" customFormat="false" ht="15" hidden="false" customHeight="false" outlineLevel="0" collapsed="false">
      <c r="A63" s="12" t="s">
        <v>69</v>
      </c>
      <c r="B63" s="13" t="n">
        <v>471146.04</v>
      </c>
    </row>
    <row r="64" customFormat="false" ht="15" hidden="false" customHeight="false" outlineLevel="0" collapsed="false">
      <c r="A64" s="12" t="s">
        <v>70</v>
      </c>
      <c r="B64" s="13" t="n">
        <v>92431.77</v>
      </c>
    </row>
    <row r="65" customFormat="false" ht="15" hidden="false" customHeight="false" outlineLevel="0" collapsed="false">
      <c r="A65" s="12" t="s">
        <v>72</v>
      </c>
      <c r="B65" s="13" t="n">
        <v>59364.12</v>
      </c>
    </row>
    <row r="66" customFormat="false" ht="15" hidden="false" customHeight="false" outlineLevel="0" collapsed="false">
      <c r="A66" s="12" t="s">
        <v>73</v>
      </c>
      <c r="B66" s="13" t="n">
        <v>49343.19</v>
      </c>
    </row>
    <row r="67" customFormat="false" ht="15" hidden="false" customHeight="false" outlineLevel="0" collapsed="false">
      <c r="A67" s="7" t="s">
        <v>75</v>
      </c>
      <c r="B67" s="8" t="n">
        <v>21588039.86</v>
      </c>
    </row>
    <row r="68" customFormat="false" ht="15" hidden="false" customHeight="false" outlineLevel="0" collapsed="false">
      <c r="A68" s="7" t="s">
        <v>76</v>
      </c>
      <c r="B68" s="8" t="n">
        <v>-16969981.07</v>
      </c>
    </row>
    <row r="69" customFormat="false" ht="15" hidden="false" customHeight="false" outlineLevel="0" collapsed="false">
      <c r="A69" s="9" t="s">
        <v>77</v>
      </c>
      <c r="B69" s="10" t="n">
        <v>5101902.98</v>
      </c>
    </row>
    <row r="70" customFormat="false" ht="15" hidden="false" customHeight="false" outlineLevel="0" collapsed="false">
      <c r="A70" s="11" t="s">
        <v>78</v>
      </c>
      <c r="B70" s="10" t="n">
        <v>5101902.98</v>
      </c>
    </row>
    <row r="71" customFormat="false" ht="15" hidden="false" customHeight="false" outlineLevel="0" collapsed="false">
      <c r="A71" s="12" t="s">
        <v>79</v>
      </c>
      <c r="B71" s="13" t="n">
        <v>1296704.21</v>
      </c>
    </row>
    <row r="72" customFormat="false" ht="15" hidden="false" customHeight="false" outlineLevel="0" collapsed="false">
      <c r="A72" s="12" t="s">
        <v>80</v>
      </c>
      <c r="B72" s="13" t="n">
        <v>1795690.87</v>
      </c>
    </row>
    <row r="73" customFormat="false" ht="15" hidden="false" customHeight="false" outlineLevel="0" collapsed="false">
      <c r="A73" s="12" t="s">
        <v>82</v>
      </c>
      <c r="B73" s="13" t="n">
        <v>71216.51</v>
      </c>
    </row>
    <row r="74" customFormat="false" ht="15" hidden="false" customHeight="false" outlineLevel="0" collapsed="false">
      <c r="A74" s="12" t="s">
        <v>83</v>
      </c>
      <c r="B74" s="13" t="n">
        <v>116539.93</v>
      </c>
    </row>
    <row r="75" customFormat="false" ht="15" hidden="false" customHeight="false" outlineLevel="0" collapsed="false">
      <c r="A75" s="12" t="s">
        <v>84</v>
      </c>
      <c r="B75" s="13" t="n">
        <v>160213.96</v>
      </c>
    </row>
    <row r="76" customFormat="false" ht="15" hidden="false" customHeight="false" outlineLevel="0" collapsed="false">
      <c r="A76" s="12" t="s">
        <v>85</v>
      </c>
      <c r="B76" s="13" t="n">
        <v>62475.58</v>
      </c>
    </row>
    <row r="77" customFormat="false" ht="15" hidden="false" customHeight="false" outlineLevel="0" collapsed="false">
      <c r="A77" s="12" t="s">
        <v>86</v>
      </c>
      <c r="B77" s="13" t="n">
        <v>179773.49</v>
      </c>
    </row>
    <row r="78" customFormat="false" ht="15" hidden="false" customHeight="false" outlineLevel="0" collapsed="false">
      <c r="A78" s="12" t="s">
        <v>87</v>
      </c>
      <c r="B78" s="13" t="n">
        <v>12449.68</v>
      </c>
    </row>
    <row r="79" customFormat="false" ht="15" hidden="false" customHeight="false" outlineLevel="0" collapsed="false">
      <c r="A79" s="12" t="s">
        <v>88</v>
      </c>
      <c r="B79" s="13" t="n">
        <v>13104</v>
      </c>
    </row>
    <row r="80" customFormat="false" ht="15" hidden="false" customHeight="false" outlineLevel="0" collapsed="false">
      <c r="A80" s="12" t="s">
        <v>89</v>
      </c>
      <c r="B80" s="13" t="n">
        <v>197679.34</v>
      </c>
    </row>
    <row r="81" customFormat="false" ht="15" hidden="false" customHeight="false" outlineLevel="0" collapsed="false">
      <c r="A81" s="12" t="s">
        <v>90</v>
      </c>
      <c r="B81" s="13" t="n">
        <v>158211.95</v>
      </c>
    </row>
    <row r="82" customFormat="false" ht="15" hidden="false" customHeight="false" outlineLevel="0" collapsed="false">
      <c r="A82" s="12" t="s">
        <v>91</v>
      </c>
      <c r="B82" s="13" t="n">
        <v>781842</v>
      </c>
    </row>
    <row r="83" customFormat="false" ht="15" hidden="false" customHeight="false" outlineLevel="0" collapsed="false">
      <c r="A83" s="12" t="s">
        <v>92</v>
      </c>
      <c r="B83" s="13" t="n">
        <v>18809.54</v>
      </c>
    </row>
    <row r="84" customFormat="false" ht="15" hidden="false" customHeight="false" outlineLevel="0" collapsed="false">
      <c r="A84" s="12" t="s">
        <v>93</v>
      </c>
      <c r="B84" s="13" t="n">
        <v>102537.92</v>
      </c>
    </row>
    <row r="85" customFormat="false" ht="15" hidden="false" customHeight="false" outlineLevel="0" collapsed="false">
      <c r="A85" s="12" t="s">
        <v>94</v>
      </c>
      <c r="B85" s="13" t="n">
        <v>134654</v>
      </c>
    </row>
    <row r="86" customFormat="false" ht="15" hidden="false" customHeight="false" outlineLevel="0" collapsed="false">
      <c r="A86" s="11" t="s">
        <v>95</v>
      </c>
      <c r="B86" s="10" t="n">
        <v>808261.2</v>
      </c>
    </row>
    <row r="87" customFormat="false" ht="15" hidden="false" customHeight="false" outlineLevel="0" collapsed="false">
      <c r="A87" s="12" t="s">
        <v>96</v>
      </c>
      <c r="B87" s="13" t="n">
        <v>129610.73</v>
      </c>
    </row>
    <row r="88" customFormat="false" ht="15" hidden="false" customHeight="false" outlineLevel="0" collapsed="false">
      <c r="A88" s="12" t="s">
        <v>97</v>
      </c>
      <c r="B88" s="13" t="n">
        <v>316798.59</v>
      </c>
    </row>
    <row r="89" customFormat="false" ht="15" hidden="false" customHeight="false" outlineLevel="0" collapsed="false">
      <c r="A89" s="12" t="s">
        <v>98</v>
      </c>
      <c r="B89" s="13" t="n">
        <v>124151.78</v>
      </c>
    </row>
    <row r="90" customFormat="false" ht="15" hidden="false" customHeight="false" outlineLevel="0" collapsed="false">
      <c r="A90" s="12" t="s">
        <v>99</v>
      </c>
      <c r="B90" s="13" t="n">
        <v>25912.1</v>
      </c>
    </row>
    <row r="91" customFormat="false" ht="15" hidden="false" customHeight="false" outlineLevel="0" collapsed="false">
      <c r="A91" s="12" t="s">
        <v>101</v>
      </c>
      <c r="B91" s="13" t="n">
        <v>12940.81</v>
      </c>
    </row>
    <row r="92" customFormat="false" ht="15" hidden="false" customHeight="false" outlineLevel="0" collapsed="false">
      <c r="A92" s="12" t="s">
        <v>102</v>
      </c>
      <c r="B92" s="13" t="n">
        <v>11288.58</v>
      </c>
    </row>
    <row r="93" customFormat="false" ht="15" hidden="false" customHeight="false" outlineLevel="0" collapsed="false">
      <c r="A93" s="12" t="s">
        <v>103</v>
      </c>
      <c r="B93" s="13" t="n">
        <v>187558.61</v>
      </c>
    </row>
    <row r="94" customFormat="false" ht="15" hidden="false" customHeight="false" outlineLevel="0" collapsed="false">
      <c r="A94" s="9" t="s">
        <v>104</v>
      </c>
      <c r="B94" s="10" t="n">
        <v>11059816.89</v>
      </c>
    </row>
    <row r="95" customFormat="false" ht="15" hidden="false" customHeight="false" outlineLevel="0" collapsed="false">
      <c r="A95" s="11" t="s">
        <v>105</v>
      </c>
      <c r="B95" s="10" t="n">
        <v>11059816.89</v>
      </c>
    </row>
    <row r="96" customFormat="false" ht="15" hidden="false" customHeight="false" outlineLevel="0" collapsed="false">
      <c r="A96" s="12" t="s">
        <v>106</v>
      </c>
      <c r="B96" s="13" t="n">
        <v>149646.08</v>
      </c>
    </row>
    <row r="97" customFormat="false" ht="15" hidden="false" customHeight="false" outlineLevel="0" collapsed="false">
      <c r="A97" s="12" t="s">
        <v>107</v>
      </c>
      <c r="B97" s="13" t="n">
        <v>480437.67</v>
      </c>
    </row>
    <row r="98" customFormat="false" ht="15" hidden="false" customHeight="false" outlineLevel="0" collapsed="false">
      <c r="A98" s="12" t="s">
        <v>108</v>
      </c>
      <c r="B98" s="13" t="n">
        <v>35740.97</v>
      </c>
    </row>
    <row r="99" customFormat="false" ht="15" hidden="false" customHeight="false" outlineLevel="0" collapsed="false">
      <c r="A99" s="12" t="s">
        <v>109</v>
      </c>
      <c r="B99" s="13" t="n">
        <v>3404335.25</v>
      </c>
    </row>
    <row r="100" customFormat="false" ht="15" hidden="false" customHeight="false" outlineLevel="0" collapsed="false">
      <c r="A100" s="12" t="s">
        <v>110</v>
      </c>
      <c r="B100" s="13" t="n">
        <v>173100.38</v>
      </c>
    </row>
    <row r="101" customFormat="false" ht="15" hidden="false" customHeight="false" outlineLevel="0" collapsed="false">
      <c r="A101" s="12" t="s">
        <v>111</v>
      </c>
      <c r="B101" s="13" t="n">
        <v>33324.7</v>
      </c>
    </row>
    <row r="102" customFormat="false" ht="15" hidden="false" customHeight="false" outlineLevel="0" collapsed="false">
      <c r="A102" s="12" t="s">
        <v>112</v>
      </c>
      <c r="B102" s="13" t="n">
        <v>1272984.51</v>
      </c>
    </row>
    <row r="103" customFormat="false" ht="15" hidden="false" customHeight="false" outlineLevel="0" collapsed="false">
      <c r="A103" s="12" t="s">
        <v>113</v>
      </c>
      <c r="B103" s="13" t="n">
        <v>233678.24</v>
      </c>
    </row>
    <row r="104" customFormat="false" ht="15" hidden="false" customHeight="false" outlineLevel="0" collapsed="false">
      <c r="A104" s="12" t="s">
        <v>114</v>
      </c>
      <c r="B104" s="13" t="n">
        <v>104190.69</v>
      </c>
    </row>
    <row r="105" customFormat="false" ht="15" hidden="false" customHeight="false" outlineLevel="0" collapsed="false">
      <c r="A105" s="12" t="s">
        <v>115</v>
      </c>
      <c r="B105" s="13" t="n">
        <v>101331.79</v>
      </c>
    </row>
    <row r="106" customFormat="false" ht="15" hidden="false" customHeight="false" outlineLevel="0" collapsed="false">
      <c r="A106" s="12" t="s">
        <v>116</v>
      </c>
      <c r="B106" s="13" t="n">
        <v>58958.79</v>
      </c>
    </row>
    <row r="107" customFormat="false" ht="15" hidden="false" customHeight="false" outlineLevel="0" collapsed="false">
      <c r="A107" s="12" t="s">
        <v>117</v>
      </c>
      <c r="B107" s="13" t="n">
        <v>544248.29</v>
      </c>
    </row>
    <row r="108" customFormat="false" ht="15" hidden="false" customHeight="false" outlineLevel="0" collapsed="false">
      <c r="A108" s="12" t="s">
        <v>118</v>
      </c>
      <c r="B108" s="13" t="n">
        <v>34943.74</v>
      </c>
    </row>
    <row r="109" customFormat="false" ht="15" hidden="false" customHeight="false" outlineLevel="0" collapsed="false">
      <c r="A109" s="12" t="s">
        <v>119</v>
      </c>
      <c r="B109" s="13" t="n">
        <v>133480</v>
      </c>
    </row>
    <row r="110" customFormat="false" ht="15" hidden="false" customHeight="false" outlineLevel="0" collapsed="false">
      <c r="A110" s="12" t="s">
        <v>121</v>
      </c>
      <c r="B110" s="13" t="n">
        <v>2044.4</v>
      </c>
    </row>
    <row r="111" customFormat="false" ht="15" hidden="false" customHeight="false" outlineLevel="0" collapsed="false">
      <c r="A111" s="12" t="s">
        <v>122</v>
      </c>
      <c r="B111" s="13" t="n">
        <v>25966.12</v>
      </c>
    </row>
    <row r="112" customFormat="false" ht="15" hidden="false" customHeight="false" outlineLevel="0" collapsed="false">
      <c r="A112" s="12" t="s">
        <v>123</v>
      </c>
      <c r="B112" s="13" t="n">
        <v>20422.33</v>
      </c>
    </row>
    <row r="113" customFormat="false" ht="15" hidden="false" customHeight="false" outlineLevel="0" collapsed="false">
      <c r="A113" s="12" t="s">
        <v>124</v>
      </c>
      <c r="B113" s="13" t="n">
        <v>54751.19</v>
      </c>
    </row>
    <row r="114" customFormat="false" ht="15" hidden="false" customHeight="false" outlineLevel="0" collapsed="false">
      <c r="A114" s="12" t="s">
        <v>125</v>
      </c>
      <c r="B114" s="13" t="n">
        <v>48628.04</v>
      </c>
    </row>
    <row r="115" customFormat="false" ht="15" hidden="false" customHeight="false" outlineLevel="0" collapsed="false">
      <c r="A115" s="12" t="s">
        <v>126</v>
      </c>
      <c r="B115" s="13" t="n">
        <v>25459.77</v>
      </c>
    </row>
    <row r="116" customFormat="false" ht="15" hidden="false" customHeight="false" outlineLevel="0" collapsed="false">
      <c r="A116" s="12" t="s">
        <v>127</v>
      </c>
      <c r="B116" s="13" t="n">
        <v>29547.89</v>
      </c>
    </row>
    <row r="117" customFormat="false" ht="15" hidden="false" customHeight="false" outlineLevel="0" collapsed="false">
      <c r="A117" s="12" t="s">
        <v>128</v>
      </c>
      <c r="B117" s="13" t="n">
        <v>4502.37</v>
      </c>
    </row>
    <row r="118" customFormat="false" ht="15" hidden="false" customHeight="false" outlineLevel="0" collapsed="false">
      <c r="A118" s="12" t="s">
        <v>129</v>
      </c>
      <c r="B118" s="13" t="n">
        <v>66979.56</v>
      </c>
    </row>
    <row r="119" customFormat="false" ht="15" hidden="false" customHeight="false" outlineLevel="0" collapsed="false">
      <c r="A119" s="12" t="s">
        <v>130</v>
      </c>
      <c r="B119" s="13" t="n">
        <v>2112.25</v>
      </c>
    </row>
    <row r="120" customFormat="false" ht="15" hidden="false" customHeight="false" outlineLevel="0" collapsed="false">
      <c r="A120" s="12" t="s">
        <v>131</v>
      </c>
      <c r="B120" s="13" t="n">
        <v>91927.32</v>
      </c>
    </row>
    <row r="121" customFormat="false" ht="15" hidden="false" customHeight="false" outlineLevel="0" collapsed="false">
      <c r="A121" s="12" t="s">
        <v>132</v>
      </c>
      <c r="B121" s="13" t="n">
        <v>67145.48</v>
      </c>
    </row>
    <row r="122" customFormat="false" ht="15" hidden="false" customHeight="false" outlineLevel="0" collapsed="false">
      <c r="A122" s="12" t="s">
        <v>133</v>
      </c>
      <c r="B122" s="13" t="n">
        <v>146389.46</v>
      </c>
    </row>
    <row r="123" customFormat="false" ht="15" hidden="false" customHeight="false" outlineLevel="0" collapsed="false">
      <c r="A123" s="12" t="s">
        <v>134</v>
      </c>
      <c r="B123" s="13" t="n">
        <v>27692.3</v>
      </c>
    </row>
    <row r="124" customFormat="false" ht="15" hidden="false" customHeight="false" outlineLevel="0" collapsed="false">
      <c r="A124" s="12" t="s">
        <v>135</v>
      </c>
      <c r="B124" s="13" t="n">
        <v>34617.87</v>
      </c>
    </row>
    <row r="125" customFormat="false" ht="15" hidden="false" customHeight="false" outlineLevel="0" collapsed="false">
      <c r="A125" s="12" t="s">
        <v>136</v>
      </c>
      <c r="B125" s="13" t="n">
        <v>152797.07</v>
      </c>
    </row>
    <row r="126" customFormat="false" ht="15" hidden="false" customHeight="false" outlineLevel="0" collapsed="false">
      <c r="A126" s="12" t="s">
        <v>137</v>
      </c>
      <c r="B126" s="13" t="n">
        <v>14029</v>
      </c>
    </row>
    <row r="127" customFormat="false" ht="15" hidden="false" customHeight="false" outlineLevel="0" collapsed="false">
      <c r="A127" s="12" t="s">
        <v>138</v>
      </c>
      <c r="B127" s="13" t="n">
        <v>26445.25</v>
      </c>
    </row>
    <row r="128" customFormat="false" ht="15" hidden="false" customHeight="false" outlineLevel="0" collapsed="false">
      <c r="A128" s="12" t="s">
        <v>139</v>
      </c>
      <c r="B128" s="13" t="n">
        <v>11740.91</v>
      </c>
    </row>
    <row r="129" customFormat="false" ht="15" hidden="false" customHeight="false" outlineLevel="0" collapsed="false">
      <c r="A129" s="12" t="s">
        <v>140</v>
      </c>
      <c r="B129" s="13" t="n">
        <v>10301.26</v>
      </c>
    </row>
    <row r="130" customFormat="false" ht="15" hidden="false" customHeight="false" outlineLevel="0" collapsed="false">
      <c r="A130" s="12" t="s">
        <v>142</v>
      </c>
      <c r="B130" s="13" t="n">
        <v>13934.73</v>
      </c>
    </row>
    <row r="131" customFormat="false" ht="15" hidden="false" customHeight="false" outlineLevel="0" collapsed="false">
      <c r="A131" s="12" t="s">
        <v>143</v>
      </c>
      <c r="B131" s="13" t="n">
        <v>161.86</v>
      </c>
    </row>
    <row r="132" customFormat="false" ht="15" hidden="false" customHeight="false" outlineLevel="0" collapsed="false">
      <c r="A132" s="12" t="s">
        <v>144</v>
      </c>
      <c r="B132" s="13" t="n">
        <v>930889.66</v>
      </c>
    </row>
    <row r="133" customFormat="false" ht="15" hidden="false" customHeight="false" outlineLevel="0" collapsed="false">
      <c r="A133" s="12" t="s">
        <v>145</v>
      </c>
      <c r="B133" s="13" t="n">
        <v>1629184.58</v>
      </c>
    </row>
    <row r="134" customFormat="false" ht="15" hidden="false" customHeight="false" outlineLevel="0" collapsed="false">
      <c r="A134" s="12" t="s">
        <v>146</v>
      </c>
      <c r="B134" s="13" t="n">
        <v>10172.47</v>
      </c>
    </row>
    <row r="135" customFormat="false" ht="15" hidden="false" customHeight="false" outlineLevel="0" collapsed="false">
      <c r="A135" s="12" t="s">
        <v>147</v>
      </c>
      <c r="B135" s="13" t="n">
        <v>31505</v>
      </c>
    </row>
    <row r="136" customFormat="false" ht="15" hidden="false" customHeight="false" outlineLevel="0" collapsed="false">
      <c r="A136" s="12" t="s">
        <v>148</v>
      </c>
      <c r="B136" s="13" t="n">
        <v>320205.51</v>
      </c>
    </row>
    <row r="137" customFormat="false" ht="15" hidden="false" customHeight="false" outlineLevel="0" collapsed="false">
      <c r="A137" s="12" t="s">
        <v>149</v>
      </c>
      <c r="B137" s="13" t="n">
        <v>96738.4</v>
      </c>
    </row>
    <row r="138" customFormat="false" ht="15" hidden="false" customHeight="false" outlineLevel="0" collapsed="false">
      <c r="A138" s="12" t="s">
        <v>150</v>
      </c>
      <c r="B138" s="13" t="n">
        <v>37781.77</v>
      </c>
    </row>
    <row r="139" customFormat="false" ht="15" hidden="false" customHeight="false" outlineLevel="0" collapsed="false">
      <c r="A139" s="12" t="s">
        <v>151</v>
      </c>
      <c r="B139" s="13" t="n">
        <v>45793.4</v>
      </c>
    </row>
    <row r="140" customFormat="false" ht="15" hidden="false" customHeight="false" outlineLevel="0" collapsed="false">
      <c r="A140" s="12" t="s">
        <v>152</v>
      </c>
      <c r="B140" s="13" t="n">
        <v>51099.27</v>
      </c>
    </row>
    <row r="141" customFormat="false" ht="15" hidden="false" customHeight="false" outlineLevel="0" collapsed="false">
      <c r="A141" s="12" t="s">
        <v>153</v>
      </c>
      <c r="B141" s="13" t="n">
        <v>31492.74</v>
      </c>
    </row>
    <row r="142" customFormat="false" ht="15" hidden="false" customHeight="false" outlineLevel="0" collapsed="false">
      <c r="A142" s="12" t="s">
        <v>154</v>
      </c>
      <c r="B142" s="13" t="n">
        <v>29991.72</v>
      </c>
    </row>
    <row r="143" customFormat="false" ht="15" hidden="false" customHeight="false" outlineLevel="0" collapsed="false">
      <c r="A143" s="12" t="s">
        <v>155</v>
      </c>
      <c r="B143" s="13" t="n">
        <v>27602.42</v>
      </c>
    </row>
    <row r="144" customFormat="false" ht="15" hidden="false" customHeight="false" outlineLevel="0" collapsed="false">
      <c r="A144" s="12" t="s">
        <v>156</v>
      </c>
      <c r="B144" s="13" t="n">
        <v>160692.35</v>
      </c>
    </row>
    <row r="145" customFormat="false" ht="15" hidden="false" customHeight="false" outlineLevel="0" collapsed="false">
      <c r="A145" s="12" t="s">
        <v>157</v>
      </c>
      <c r="B145" s="13" t="n">
        <v>18670.07</v>
      </c>
    </row>
    <row r="146" customFormat="false" ht="15" hidden="false" customHeight="false" outlineLevel="0" collapsed="false">
      <c r="A146" s="7" t="s">
        <v>158</v>
      </c>
      <c r="B146" s="8" t="n">
        <v>4618058.79</v>
      </c>
    </row>
    <row r="147" customFormat="false" ht="15" hidden="false" customHeight="false" outlineLevel="0" collapsed="false">
      <c r="A147" s="7" t="s">
        <v>159</v>
      </c>
      <c r="B147" s="8" t="n">
        <v>407263.43</v>
      </c>
    </row>
    <row r="148" customFormat="false" ht="15" hidden="false" customHeight="false" outlineLevel="0" collapsed="false">
      <c r="A148" s="9" t="s">
        <v>160</v>
      </c>
      <c r="B148" s="10" t="n">
        <v>407263.43</v>
      </c>
    </row>
    <row r="149" customFormat="false" ht="15" hidden="false" customHeight="false" outlineLevel="0" collapsed="false">
      <c r="A149" s="11" t="s">
        <v>159</v>
      </c>
      <c r="B149" s="10" t="n">
        <v>407263.43</v>
      </c>
    </row>
    <row r="150" customFormat="false" ht="15" hidden="false" customHeight="false" outlineLevel="0" collapsed="false">
      <c r="A150" s="12" t="s">
        <v>161</v>
      </c>
      <c r="B150" s="13" t="n">
        <v>108253.73</v>
      </c>
    </row>
    <row r="151" customFormat="false" ht="15" hidden="false" customHeight="false" outlineLevel="0" collapsed="false">
      <c r="A151" s="12" t="s">
        <v>162</v>
      </c>
      <c r="B151" s="13" t="n">
        <v>11113.32</v>
      </c>
    </row>
    <row r="152" customFormat="false" ht="15" hidden="false" customHeight="false" outlineLevel="0" collapsed="false">
      <c r="A152" s="12" t="s">
        <v>163</v>
      </c>
      <c r="B152" s="13" t="n">
        <v>197819.42</v>
      </c>
    </row>
    <row r="153" customFormat="false" ht="15" hidden="false" customHeight="false" outlineLevel="0" collapsed="false">
      <c r="A153" s="12" t="s">
        <v>164</v>
      </c>
      <c r="B153" s="13" t="n">
        <v>54563.27</v>
      </c>
    </row>
    <row r="154" customFormat="false" ht="15" hidden="false" customHeight="false" outlineLevel="0" collapsed="false">
      <c r="A154" s="12" t="s">
        <v>165</v>
      </c>
      <c r="B154" s="13" t="n">
        <v>496.27</v>
      </c>
    </row>
    <row r="155" customFormat="false" ht="15" hidden="false" customHeight="false" outlineLevel="0" collapsed="false">
      <c r="A155" s="12" t="s">
        <v>166</v>
      </c>
      <c r="B155" s="13" t="n">
        <v>35017.42</v>
      </c>
    </row>
    <row r="156" customFormat="false" ht="15" hidden="false" customHeight="false" outlineLevel="0" collapsed="false">
      <c r="A156" s="7" t="s">
        <v>167</v>
      </c>
      <c r="B156" s="8" t="n">
        <v>-1513307.33</v>
      </c>
    </row>
    <row r="157" customFormat="false" ht="15" hidden="false" customHeight="false" outlineLevel="0" collapsed="false">
      <c r="A157" s="9" t="s">
        <v>160</v>
      </c>
      <c r="B157" s="10" t="n">
        <v>1513307.33</v>
      </c>
    </row>
    <row r="158" customFormat="false" ht="15" hidden="false" customHeight="false" outlineLevel="0" collapsed="false">
      <c r="A158" s="11" t="s">
        <v>167</v>
      </c>
      <c r="B158" s="10" t="n">
        <v>1513307.33</v>
      </c>
    </row>
    <row r="159" customFormat="false" ht="15" hidden="false" customHeight="false" outlineLevel="0" collapsed="false">
      <c r="A159" s="12" t="s">
        <v>168</v>
      </c>
      <c r="B159" s="13" t="n">
        <v>801319.11</v>
      </c>
    </row>
    <row r="160" customFormat="false" ht="15" hidden="false" customHeight="false" outlineLevel="0" collapsed="false">
      <c r="A160" s="12" t="s">
        <v>169</v>
      </c>
      <c r="B160" s="13" t="n">
        <v>27536.46</v>
      </c>
    </row>
    <row r="161" customFormat="false" ht="15" hidden="false" customHeight="false" outlineLevel="0" collapsed="false">
      <c r="A161" s="12" t="s">
        <v>170</v>
      </c>
      <c r="B161" s="13" t="n">
        <v>127138.14</v>
      </c>
    </row>
    <row r="162" customFormat="false" ht="15" hidden="false" customHeight="false" outlineLevel="0" collapsed="false">
      <c r="A162" s="12" t="s">
        <v>171</v>
      </c>
      <c r="B162" s="13" t="n">
        <v>530024.85</v>
      </c>
    </row>
    <row r="163" customFormat="false" ht="15" hidden="false" customHeight="false" outlineLevel="0" collapsed="false">
      <c r="A163" s="12" t="s">
        <v>172</v>
      </c>
      <c r="B163" s="13" t="n">
        <v>4061.24</v>
      </c>
    </row>
    <row r="164" customFormat="false" ht="15" hidden="false" customHeight="false" outlineLevel="0" collapsed="false">
      <c r="A164" s="12" t="s">
        <v>173</v>
      </c>
      <c r="B164" s="13" t="n">
        <v>1858.86</v>
      </c>
    </row>
    <row r="165" customFormat="false" ht="15" hidden="false" customHeight="false" outlineLevel="0" collapsed="false">
      <c r="A165" s="12" t="s">
        <v>174</v>
      </c>
      <c r="B165" s="13" t="n">
        <v>8677.15</v>
      </c>
    </row>
    <row r="166" customFormat="false" ht="15" hidden="false" customHeight="false" outlineLevel="0" collapsed="false">
      <c r="A166" s="12" t="s">
        <v>175</v>
      </c>
      <c r="B166" s="13" t="n">
        <v>6364.16</v>
      </c>
    </row>
    <row r="167" customFormat="false" ht="15" hidden="false" customHeight="false" outlineLevel="0" collapsed="false">
      <c r="A167" s="12" t="s">
        <v>176</v>
      </c>
      <c r="B167" s="13" t="n">
        <v>6327.36</v>
      </c>
    </row>
    <row r="168" customFormat="false" ht="15" hidden="false" customHeight="false" outlineLevel="0" collapsed="false">
      <c r="A168" s="7" t="s">
        <v>177</v>
      </c>
      <c r="B168" s="8" t="n">
        <v>2756.41</v>
      </c>
    </row>
    <row r="169" customFormat="false" ht="15" hidden="false" customHeight="false" outlineLevel="0" collapsed="false">
      <c r="A169" s="9" t="s">
        <v>178</v>
      </c>
      <c r="B169" s="10" t="n">
        <v>2756.41</v>
      </c>
    </row>
    <row r="170" customFormat="false" ht="15" hidden="false" customHeight="false" outlineLevel="0" collapsed="false">
      <c r="A170" s="11" t="s">
        <v>179</v>
      </c>
      <c r="B170" s="10" t="n">
        <v>49388.51</v>
      </c>
    </row>
    <row r="171" customFormat="false" ht="15" hidden="false" customHeight="false" outlineLevel="0" collapsed="false">
      <c r="A171" s="12" t="s">
        <v>180</v>
      </c>
      <c r="B171" s="13" t="n">
        <v>509000</v>
      </c>
    </row>
    <row r="172" customFormat="false" ht="15" hidden="false" customHeight="false" outlineLevel="0" collapsed="false">
      <c r="A172" s="12" t="s">
        <v>181</v>
      </c>
      <c r="B172" s="13" t="n">
        <v>555137.27</v>
      </c>
    </row>
    <row r="173" customFormat="false" ht="15" hidden="false" customHeight="false" outlineLevel="0" collapsed="false">
      <c r="A173" s="12" t="s">
        <v>182</v>
      </c>
      <c r="B173" s="13" t="n">
        <v>3251.24</v>
      </c>
    </row>
    <row r="174" customFormat="false" ht="15" hidden="false" customHeight="false" outlineLevel="0" collapsed="false">
      <c r="A174" s="11" t="s">
        <v>178</v>
      </c>
      <c r="B174" s="10" t="n">
        <v>52144.92</v>
      </c>
    </row>
    <row r="175" customFormat="false" ht="15" hidden="false" customHeight="false" outlineLevel="0" collapsed="false">
      <c r="A175" s="12" t="s">
        <v>183</v>
      </c>
      <c r="B175" s="13" t="n">
        <v>16700</v>
      </c>
    </row>
    <row r="176" customFormat="false" ht="15" hidden="false" customHeight="false" outlineLevel="0" collapsed="false">
      <c r="A176" s="12" t="s">
        <v>184</v>
      </c>
      <c r="B176" s="13" t="n">
        <v>27258.51</v>
      </c>
    </row>
    <row r="177" customFormat="false" ht="15" hidden="false" customHeight="false" outlineLevel="0" collapsed="false">
      <c r="A177" s="12" t="s">
        <v>185</v>
      </c>
      <c r="B177" s="13" t="n">
        <v>5046.71</v>
      </c>
    </row>
    <row r="178" customFormat="false" ht="15" hidden="false" customHeight="false" outlineLevel="0" collapsed="false">
      <c r="A178" s="12" t="s">
        <v>186</v>
      </c>
      <c r="B178" s="13" t="n">
        <v>3139.7</v>
      </c>
    </row>
    <row r="179" customFormat="false" ht="15" hidden="false" customHeight="false" outlineLevel="0" collapsed="false">
      <c r="A179" s="7" t="s">
        <v>187</v>
      </c>
      <c r="B179" s="8" t="n">
        <v>-228707.96</v>
      </c>
    </row>
    <row r="180" customFormat="false" ht="15" hidden="false" customHeight="false" outlineLevel="0" collapsed="false">
      <c r="A180" s="9" t="s">
        <v>188</v>
      </c>
      <c r="B180" s="10" t="n">
        <v>228707.96</v>
      </c>
    </row>
    <row r="181" customFormat="false" ht="15" hidden="false" customHeight="false" outlineLevel="0" collapsed="false">
      <c r="A181" s="11" t="s">
        <v>188</v>
      </c>
      <c r="B181" s="10" t="n">
        <v>228707.96</v>
      </c>
    </row>
    <row r="182" customFormat="false" ht="15" hidden="false" customHeight="false" outlineLevel="0" collapsed="false">
      <c r="A182" s="12" t="s">
        <v>189</v>
      </c>
      <c r="B182" s="13" t="n">
        <v>99035.31</v>
      </c>
    </row>
    <row r="183" customFormat="false" ht="15" hidden="false" customHeight="false" outlineLevel="0" collapsed="false">
      <c r="A183" s="12" t="s">
        <v>190</v>
      </c>
      <c r="B183" s="13" t="n">
        <v>36301.29</v>
      </c>
    </row>
    <row r="184" customFormat="false" ht="15" hidden="false" customHeight="false" outlineLevel="0" collapsed="false">
      <c r="A184" s="12" t="s">
        <v>188</v>
      </c>
      <c r="B184" s="13" t="n">
        <v>93371.36</v>
      </c>
    </row>
    <row r="185" customFormat="false" ht="15" hidden="false" customHeight="false" outlineLevel="0" collapsed="false">
      <c r="A185" s="7" t="s">
        <v>191</v>
      </c>
      <c r="B185" s="8" t="n">
        <v>3286063.34</v>
      </c>
    </row>
    <row r="186" customFormat="false" ht="15" hidden="false" customHeight="false" outlineLevel="0" collapsed="false">
      <c r="A186" s="7" t="s">
        <v>192</v>
      </c>
      <c r="B186" s="8" t="n">
        <v>3286063.34</v>
      </c>
    </row>
    <row r="187" customFormat="false" ht="15" hidden="false" customHeight="false" outlineLevel="0" collapsed="false">
      <c r="A187" s="7" t="s">
        <v>193</v>
      </c>
      <c r="B187" s="8" t="n">
        <v>3286063.34</v>
      </c>
    </row>
    <row r="189" customFormat="false" ht="15" hidden="false" customHeight="true" outlineLevel="0" collapsed="false">
      <c r="A189" s="14" t="s">
        <v>197</v>
      </c>
      <c r="B189" s="14"/>
    </row>
    <row r="191" customFormat="false" ht="15" hidden="false" customHeight="false" outlineLevel="0" collapsed="false">
      <c r="A191" s="15" t="s">
        <v>198</v>
      </c>
      <c r="B191" s="15" t="s">
        <v>199</v>
      </c>
    </row>
    <row r="192" customFormat="false" ht="15" hidden="false" customHeight="false" outlineLevel="0" collapsed="false">
      <c r="A192" s="16" t="s">
        <v>200</v>
      </c>
      <c r="B192" s="16" t="s">
        <v>201</v>
      </c>
    </row>
    <row r="193" customFormat="false" ht="15" hidden="false" customHeight="false" outlineLevel="0" collapsed="false">
      <c r="A193" s="16" t="s">
        <v>202</v>
      </c>
      <c r="B193" s="16" t="s">
        <v>203</v>
      </c>
    </row>
  </sheetData>
  <mergeCells count="1">
    <mergeCell ref="A189:B189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9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194</v>
      </c>
    </row>
    <row r="3" customFormat="false" ht="15" hidden="false" customHeight="false" outlineLevel="0" collapsed="false">
      <c r="A3" s="3" t="s">
        <v>204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196</v>
      </c>
    </row>
    <row r="8" customFormat="false" ht="15" hidden="false" customHeight="false" outlineLevel="0" collapsed="false">
      <c r="A8" s="7" t="s">
        <v>15</v>
      </c>
      <c r="B8" s="8" t="n">
        <v>4421800.73</v>
      </c>
    </row>
    <row r="9" customFormat="false" ht="15" hidden="false" customHeight="false" outlineLevel="0" collapsed="false">
      <c r="A9" s="9" t="s">
        <v>16</v>
      </c>
      <c r="B9" s="10" t="n">
        <v>4726850.45</v>
      </c>
    </row>
    <row r="10" customFormat="false" ht="15" hidden="false" customHeight="false" outlineLevel="0" collapsed="false">
      <c r="A10" s="11" t="s">
        <v>17</v>
      </c>
      <c r="B10" s="10" t="n">
        <v>4726850.45</v>
      </c>
    </row>
    <row r="11" customFormat="false" ht="15" hidden="false" customHeight="false" outlineLevel="0" collapsed="false">
      <c r="A11" s="12" t="s">
        <v>18</v>
      </c>
      <c r="B11" s="13" t="n">
        <v>4710051.04</v>
      </c>
    </row>
    <row r="12" customFormat="false" ht="15" hidden="false" customHeight="false" outlineLevel="0" collapsed="false">
      <c r="A12" s="12" t="s">
        <v>20</v>
      </c>
      <c r="B12" s="13" t="n">
        <v>16799.41</v>
      </c>
    </row>
    <row r="13" customFormat="false" ht="15" hidden="false" customHeight="false" outlineLevel="0" collapsed="false">
      <c r="A13" s="11" t="s">
        <v>21</v>
      </c>
      <c r="B13" s="10" t="n">
        <v>211332.15</v>
      </c>
    </row>
    <row r="14" customFormat="false" ht="15" hidden="false" customHeight="false" outlineLevel="0" collapsed="false">
      <c r="A14" s="12" t="s">
        <v>22</v>
      </c>
      <c r="B14" s="13" t="n">
        <v>199345.15</v>
      </c>
    </row>
    <row r="15" customFormat="false" ht="15" hidden="false" customHeight="false" outlineLevel="0" collapsed="false">
      <c r="A15" s="12" t="s">
        <v>23</v>
      </c>
      <c r="B15" s="13" t="n">
        <v>11987</v>
      </c>
    </row>
    <row r="16" customFormat="false" ht="15" hidden="false" customHeight="false" outlineLevel="0" collapsed="false">
      <c r="A16" s="11" t="s">
        <v>26</v>
      </c>
      <c r="B16" s="10" t="n">
        <v>189429.19</v>
      </c>
    </row>
    <row r="17" customFormat="false" ht="15" hidden="false" customHeight="false" outlineLevel="0" collapsed="false">
      <c r="A17" s="12" t="s">
        <v>27</v>
      </c>
      <c r="B17" s="13" t="n">
        <v>152965.49</v>
      </c>
    </row>
    <row r="18" customFormat="false" ht="15" hidden="false" customHeight="false" outlineLevel="0" collapsed="false">
      <c r="A18" s="12" t="s">
        <v>28</v>
      </c>
      <c r="B18" s="13" t="n">
        <v>36463.7</v>
      </c>
    </row>
    <row r="19" customFormat="false" ht="15" hidden="false" customHeight="false" outlineLevel="0" collapsed="false">
      <c r="A19" s="11" t="s">
        <v>29</v>
      </c>
      <c r="B19" s="10" t="n">
        <v>705811.06</v>
      </c>
    </row>
    <row r="20" customFormat="false" ht="15" hidden="false" customHeight="false" outlineLevel="0" collapsed="false">
      <c r="A20" s="12" t="s">
        <v>30</v>
      </c>
      <c r="B20" s="13" t="n">
        <v>35801.85</v>
      </c>
    </row>
    <row r="21" customFormat="false" ht="15" hidden="false" customHeight="false" outlineLevel="0" collapsed="false">
      <c r="A21" s="12" t="s">
        <v>31</v>
      </c>
      <c r="B21" s="13" t="n">
        <v>562883.31</v>
      </c>
    </row>
    <row r="22" customFormat="false" ht="15" hidden="false" customHeight="false" outlineLevel="0" collapsed="false">
      <c r="A22" s="12" t="s">
        <v>32</v>
      </c>
      <c r="B22" s="13" t="n">
        <v>15080.93</v>
      </c>
    </row>
    <row r="23" customFormat="false" ht="15" hidden="false" customHeight="false" outlineLevel="0" collapsed="false">
      <c r="A23" s="12" t="s">
        <v>33</v>
      </c>
      <c r="B23" s="13" t="n">
        <v>69604.27</v>
      </c>
    </row>
    <row r="24" customFormat="false" ht="15" hidden="false" customHeight="false" outlineLevel="0" collapsed="false">
      <c r="A24" s="12" t="s">
        <v>34</v>
      </c>
      <c r="B24" s="13" t="n">
        <v>1093.89</v>
      </c>
    </row>
    <row r="25" customFormat="false" ht="15" hidden="false" customHeight="false" outlineLevel="0" collapsed="false">
      <c r="A25" s="12" t="s">
        <v>35</v>
      </c>
      <c r="B25" s="13" t="n">
        <v>21186.4</v>
      </c>
    </row>
    <row r="26" customFormat="false" ht="15" hidden="false" customHeight="false" outlineLevel="0" collapsed="false">
      <c r="A26" s="12" t="s">
        <v>36</v>
      </c>
      <c r="B26" s="13" t="n">
        <v>160.41</v>
      </c>
    </row>
    <row r="27" customFormat="false" ht="15" hidden="false" customHeight="false" outlineLevel="0" collapsed="false">
      <c r="A27" s="7" t="s">
        <v>39</v>
      </c>
      <c r="B27" s="8" t="n">
        <v>-45725.46</v>
      </c>
    </row>
    <row r="28" customFormat="false" ht="15" hidden="false" customHeight="false" outlineLevel="0" collapsed="false">
      <c r="A28" s="9" t="s">
        <v>40</v>
      </c>
      <c r="B28" s="10" t="n">
        <v>45725.46</v>
      </c>
    </row>
    <row r="29" customFormat="false" ht="15" hidden="false" customHeight="false" outlineLevel="0" collapsed="false">
      <c r="A29" s="11" t="s">
        <v>41</v>
      </c>
      <c r="B29" s="10" t="n">
        <v>45725.46</v>
      </c>
    </row>
    <row r="30" customFormat="false" ht="15" hidden="false" customHeight="false" outlineLevel="0" collapsed="false">
      <c r="A30" s="12" t="s">
        <v>42</v>
      </c>
      <c r="B30" s="13" t="n">
        <v>42575.8</v>
      </c>
    </row>
    <row r="31" customFormat="false" ht="15" hidden="false" customHeight="false" outlineLevel="0" collapsed="false">
      <c r="A31" s="12" t="s">
        <v>44</v>
      </c>
      <c r="B31" s="13" t="n">
        <v>3149.66</v>
      </c>
    </row>
    <row r="32" customFormat="false" ht="15" hidden="false" customHeight="false" outlineLevel="0" collapsed="false">
      <c r="A32" s="7" t="s">
        <v>46</v>
      </c>
      <c r="B32" s="8" t="n">
        <v>4376075.27</v>
      </c>
    </row>
    <row r="33" customFormat="false" ht="15" hidden="false" customHeight="false" outlineLevel="0" collapsed="false">
      <c r="A33" s="7" t="s">
        <v>47</v>
      </c>
      <c r="B33" s="8" t="n">
        <v>-4756213.78</v>
      </c>
    </row>
    <row r="34" customFormat="false" ht="15" hidden="false" customHeight="false" outlineLevel="0" collapsed="false">
      <c r="A34" s="9" t="s">
        <v>48</v>
      </c>
      <c r="B34" s="10" t="n">
        <v>4756213.78</v>
      </c>
    </row>
    <row r="35" customFormat="false" ht="15" hidden="false" customHeight="false" outlineLevel="0" collapsed="false">
      <c r="A35" s="11" t="s">
        <v>49</v>
      </c>
      <c r="B35" s="10" t="n">
        <v>3427773.26</v>
      </c>
    </row>
    <row r="36" customFormat="false" ht="15" hidden="false" customHeight="false" outlineLevel="0" collapsed="false">
      <c r="A36" s="12" t="s">
        <v>51</v>
      </c>
      <c r="B36" s="13" t="n">
        <v>3369397.76</v>
      </c>
    </row>
    <row r="37" customFormat="false" ht="15" hidden="false" customHeight="false" outlineLevel="0" collapsed="false">
      <c r="A37" s="12" t="s">
        <v>53</v>
      </c>
      <c r="B37" s="13" t="n">
        <v>58375.5</v>
      </c>
    </row>
    <row r="38" customFormat="false" ht="15" hidden="false" customHeight="false" outlineLevel="0" collapsed="false">
      <c r="A38" s="11" t="s">
        <v>54</v>
      </c>
      <c r="B38" s="10" t="n">
        <v>331944.53</v>
      </c>
    </row>
    <row r="39" customFormat="false" ht="15" hidden="false" customHeight="false" outlineLevel="0" collapsed="false">
      <c r="A39" s="12" t="s">
        <v>54</v>
      </c>
      <c r="B39" s="13" t="n">
        <v>331944.53</v>
      </c>
    </row>
    <row r="40" customFormat="false" ht="15" hidden="false" customHeight="false" outlineLevel="0" collapsed="false">
      <c r="A40" s="12" t="s">
        <v>55</v>
      </c>
      <c r="B40" s="13" t="n">
        <v>98203.54</v>
      </c>
    </row>
    <row r="41" customFormat="false" ht="15" hidden="false" customHeight="false" outlineLevel="0" collapsed="false">
      <c r="A41" s="12" t="s">
        <v>56</v>
      </c>
      <c r="B41" s="13" t="n">
        <v>30019.13</v>
      </c>
    </row>
    <row r="42" customFormat="false" ht="15" hidden="false" customHeight="false" outlineLevel="0" collapsed="false">
      <c r="A42" s="12" t="s">
        <v>57</v>
      </c>
      <c r="B42" s="13" t="n">
        <v>25899.16</v>
      </c>
    </row>
    <row r="43" customFormat="false" ht="15" hidden="false" customHeight="false" outlineLevel="0" collapsed="false">
      <c r="A43" s="12" t="s">
        <v>58</v>
      </c>
      <c r="B43" s="13" t="n">
        <v>177822.7</v>
      </c>
    </row>
    <row r="44" customFormat="false" ht="15" hidden="false" customHeight="false" outlineLevel="0" collapsed="false">
      <c r="A44" s="11" t="s">
        <v>59</v>
      </c>
      <c r="B44" s="10" t="n">
        <v>996495.99</v>
      </c>
    </row>
    <row r="45" customFormat="false" ht="15" hidden="false" customHeight="false" outlineLevel="0" collapsed="false">
      <c r="A45" s="12" t="s">
        <v>60</v>
      </c>
      <c r="B45" s="13" t="n">
        <v>609113.42</v>
      </c>
    </row>
    <row r="46" customFormat="false" ht="15" hidden="false" customHeight="false" outlineLevel="0" collapsed="false">
      <c r="A46" s="12" t="s">
        <v>61</v>
      </c>
      <c r="B46" s="13" t="n">
        <v>13624</v>
      </c>
    </row>
    <row r="47" customFormat="false" ht="15" hidden="false" customHeight="false" outlineLevel="0" collapsed="false">
      <c r="A47" s="12" t="s">
        <v>64</v>
      </c>
      <c r="B47" s="13" t="n">
        <v>4149.89</v>
      </c>
    </row>
    <row r="48" customFormat="false" ht="15" hidden="false" customHeight="false" outlineLevel="0" collapsed="false">
      <c r="A48" s="12" t="s">
        <v>65</v>
      </c>
      <c r="B48" s="13" t="n">
        <v>56258.05</v>
      </c>
    </row>
    <row r="49" customFormat="false" ht="15" hidden="false" customHeight="false" outlineLevel="0" collapsed="false">
      <c r="A49" s="12" t="s">
        <v>66</v>
      </c>
      <c r="B49" s="13" t="n">
        <v>41733.09</v>
      </c>
    </row>
    <row r="50" customFormat="false" ht="15" hidden="false" customHeight="false" outlineLevel="0" collapsed="false">
      <c r="A50" s="12" t="s">
        <v>67</v>
      </c>
      <c r="B50" s="13" t="n">
        <v>52457.44</v>
      </c>
    </row>
    <row r="51" customFormat="false" ht="15" hidden="false" customHeight="false" outlineLevel="0" collapsed="false">
      <c r="A51" s="12" t="s">
        <v>68</v>
      </c>
      <c r="B51" s="13" t="n">
        <v>197568.71</v>
      </c>
    </row>
    <row r="52" customFormat="false" ht="15" hidden="false" customHeight="false" outlineLevel="0" collapsed="false">
      <c r="A52" s="12" t="s">
        <v>70</v>
      </c>
      <c r="B52" s="13" t="n">
        <v>6113.54</v>
      </c>
    </row>
    <row r="53" customFormat="false" ht="15" hidden="false" customHeight="false" outlineLevel="0" collapsed="false">
      <c r="A53" s="12" t="s">
        <v>72</v>
      </c>
      <c r="B53" s="13" t="n">
        <v>12139.36</v>
      </c>
    </row>
    <row r="54" customFormat="false" ht="15" hidden="false" customHeight="false" outlineLevel="0" collapsed="false">
      <c r="A54" s="12" t="s">
        <v>73</v>
      </c>
      <c r="B54" s="13" t="n">
        <v>3338.49</v>
      </c>
    </row>
    <row r="55" customFormat="false" ht="15" hidden="false" customHeight="false" outlineLevel="0" collapsed="false">
      <c r="A55" s="7" t="s">
        <v>75</v>
      </c>
      <c r="B55" s="8" t="n">
        <v>-380138.51</v>
      </c>
    </row>
    <row r="56" customFormat="false" ht="15" hidden="false" customHeight="false" outlineLevel="0" collapsed="false">
      <c r="A56" s="7" t="s">
        <v>76</v>
      </c>
      <c r="B56" s="8" t="n">
        <v>-1179795.17</v>
      </c>
    </row>
    <row r="57" customFormat="false" ht="15" hidden="false" customHeight="false" outlineLevel="0" collapsed="false">
      <c r="A57" s="9" t="s">
        <v>77</v>
      </c>
      <c r="B57" s="10" t="n">
        <v>316792.55</v>
      </c>
    </row>
    <row r="58" customFormat="false" ht="15" hidden="false" customHeight="false" outlineLevel="0" collapsed="false">
      <c r="A58" s="11" t="s">
        <v>78</v>
      </c>
      <c r="B58" s="10" t="n">
        <v>316792.55</v>
      </c>
    </row>
    <row r="59" customFormat="false" ht="15" hidden="false" customHeight="false" outlineLevel="0" collapsed="false">
      <c r="A59" s="12" t="s">
        <v>79</v>
      </c>
      <c r="B59" s="13" t="n">
        <v>53824.48</v>
      </c>
    </row>
    <row r="60" customFormat="false" ht="15" hidden="false" customHeight="false" outlineLevel="0" collapsed="false">
      <c r="A60" s="12" t="s">
        <v>80</v>
      </c>
      <c r="B60" s="13" t="n">
        <v>109331.11</v>
      </c>
    </row>
    <row r="61" customFormat="false" ht="15" hidden="false" customHeight="false" outlineLevel="0" collapsed="false">
      <c r="A61" s="12" t="s">
        <v>82</v>
      </c>
      <c r="B61" s="13" t="n">
        <v>3324</v>
      </c>
    </row>
    <row r="62" customFormat="false" ht="15" hidden="false" customHeight="false" outlineLevel="0" collapsed="false">
      <c r="A62" s="12" t="s">
        <v>83</v>
      </c>
      <c r="B62" s="13" t="n">
        <v>15073.89</v>
      </c>
    </row>
    <row r="63" customFormat="false" ht="15" hidden="false" customHeight="false" outlineLevel="0" collapsed="false">
      <c r="A63" s="12" t="s">
        <v>84</v>
      </c>
      <c r="B63" s="13" t="n">
        <v>12311.4</v>
      </c>
    </row>
    <row r="64" customFormat="false" ht="15" hidden="false" customHeight="false" outlineLevel="0" collapsed="false">
      <c r="A64" s="12" t="s">
        <v>85</v>
      </c>
      <c r="B64" s="13" t="n">
        <v>893.35</v>
      </c>
    </row>
    <row r="65" customFormat="false" ht="15" hidden="false" customHeight="false" outlineLevel="0" collapsed="false">
      <c r="A65" s="12" t="s">
        <v>86</v>
      </c>
      <c r="B65" s="13" t="n">
        <v>9626.1</v>
      </c>
    </row>
    <row r="66" customFormat="false" ht="15" hidden="false" customHeight="false" outlineLevel="0" collapsed="false">
      <c r="A66" s="12" t="s">
        <v>88</v>
      </c>
      <c r="B66" s="13" t="n">
        <v>1008</v>
      </c>
    </row>
    <row r="67" customFormat="false" ht="15" hidden="false" customHeight="false" outlineLevel="0" collapsed="false">
      <c r="A67" s="12" t="s">
        <v>89</v>
      </c>
      <c r="B67" s="13" t="n">
        <v>14428.83</v>
      </c>
    </row>
    <row r="68" customFormat="false" ht="15" hidden="false" customHeight="false" outlineLevel="0" collapsed="false">
      <c r="A68" s="12" t="s">
        <v>90</v>
      </c>
      <c r="B68" s="13" t="n">
        <v>10787.95</v>
      </c>
    </row>
    <row r="69" customFormat="false" ht="15" hidden="false" customHeight="false" outlineLevel="0" collapsed="false">
      <c r="A69" s="12" t="s">
        <v>91</v>
      </c>
      <c r="B69" s="13" t="n">
        <v>75077</v>
      </c>
    </row>
    <row r="70" customFormat="false" ht="15" hidden="false" customHeight="false" outlineLevel="0" collapsed="false">
      <c r="A70" s="12" t="s">
        <v>92</v>
      </c>
      <c r="B70" s="13" t="n">
        <v>748.44</v>
      </c>
    </row>
    <row r="71" customFormat="false" ht="15" hidden="false" customHeight="false" outlineLevel="0" collapsed="false">
      <c r="A71" s="12" t="s">
        <v>94</v>
      </c>
      <c r="B71" s="13" t="n">
        <v>10358</v>
      </c>
    </row>
    <row r="72" customFormat="false" ht="15" hidden="false" customHeight="false" outlineLevel="0" collapsed="false">
      <c r="A72" s="11" t="s">
        <v>95</v>
      </c>
      <c r="B72" s="10" t="n">
        <v>82134.35</v>
      </c>
    </row>
    <row r="73" customFormat="false" ht="15" hidden="false" customHeight="false" outlineLevel="0" collapsed="false">
      <c r="A73" s="12" t="s">
        <v>96</v>
      </c>
      <c r="B73" s="13" t="n">
        <v>9975.6</v>
      </c>
    </row>
    <row r="74" customFormat="false" ht="15" hidden="false" customHeight="false" outlineLevel="0" collapsed="false">
      <c r="A74" s="12" t="s">
        <v>97</v>
      </c>
      <c r="B74" s="13" t="n">
        <v>41596.32</v>
      </c>
    </row>
    <row r="75" customFormat="false" ht="15" hidden="false" customHeight="false" outlineLevel="0" collapsed="false">
      <c r="A75" s="12" t="s">
        <v>99</v>
      </c>
      <c r="B75" s="13" t="n">
        <v>1290.48</v>
      </c>
    </row>
    <row r="76" customFormat="false" ht="15" hidden="false" customHeight="false" outlineLevel="0" collapsed="false">
      <c r="A76" s="12" t="s">
        <v>101</v>
      </c>
      <c r="B76" s="13" t="n">
        <v>3149.36</v>
      </c>
    </row>
    <row r="77" customFormat="false" ht="15" hidden="false" customHeight="false" outlineLevel="0" collapsed="false">
      <c r="A77" s="12" t="s">
        <v>102</v>
      </c>
      <c r="B77" s="13" t="n">
        <v>843.1</v>
      </c>
    </row>
    <row r="78" customFormat="false" ht="15" hidden="false" customHeight="false" outlineLevel="0" collapsed="false">
      <c r="A78" s="12" t="s">
        <v>103</v>
      </c>
      <c r="B78" s="13" t="n">
        <v>25279.49</v>
      </c>
    </row>
    <row r="79" customFormat="false" ht="15" hidden="false" customHeight="false" outlineLevel="0" collapsed="false">
      <c r="A79" s="9" t="s">
        <v>104</v>
      </c>
      <c r="B79" s="10" t="n">
        <v>780868.27</v>
      </c>
    </row>
    <row r="80" customFormat="false" ht="15" hidden="false" customHeight="false" outlineLevel="0" collapsed="false">
      <c r="A80" s="11" t="s">
        <v>105</v>
      </c>
      <c r="B80" s="10" t="n">
        <v>780868.27</v>
      </c>
    </row>
    <row r="81" customFormat="false" ht="15" hidden="false" customHeight="false" outlineLevel="0" collapsed="false">
      <c r="A81" s="12" t="s">
        <v>106</v>
      </c>
      <c r="B81" s="13" t="n">
        <v>14503.04</v>
      </c>
    </row>
    <row r="82" customFormat="false" ht="15" hidden="false" customHeight="false" outlineLevel="0" collapsed="false">
      <c r="A82" s="12" t="s">
        <v>107</v>
      </c>
      <c r="B82" s="13" t="n">
        <v>26733.22</v>
      </c>
    </row>
    <row r="83" customFormat="false" ht="15" hidden="false" customHeight="false" outlineLevel="0" collapsed="false">
      <c r="A83" s="12" t="s">
        <v>108</v>
      </c>
      <c r="B83" s="13" t="n">
        <v>3602.25</v>
      </c>
    </row>
    <row r="84" customFormat="false" ht="15" hidden="false" customHeight="false" outlineLevel="0" collapsed="false">
      <c r="A84" s="12" t="s">
        <v>109</v>
      </c>
      <c r="B84" s="13" t="n">
        <v>180967.38</v>
      </c>
    </row>
    <row r="85" customFormat="false" ht="15" hidden="false" customHeight="false" outlineLevel="0" collapsed="false">
      <c r="A85" s="12" t="s">
        <v>110</v>
      </c>
      <c r="B85" s="13" t="n">
        <v>23776.72</v>
      </c>
    </row>
    <row r="86" customFormat="false" ht="15" hidden="false" customHeight="false" outlineLevel="0" collapsed="false">
      <c r="A86" s="12" t="s">
        <v>111</v>
      </c>
      <c r="B86" s="13" t="n">
        <v>1220</v>
      </c>
    </row>
    <row r="87" customFormat="false" ht="15" hidden="false" customHeight="false" outlineLevel="0" collapsed="false">
      <c r="A87" s="12" t="s">
        <v>112</v>
      </c>
      <c r="B87" s="13" t="n">
        <v>93351.8</v>
      </c>
    </row>
    <row r="88" customFormat="false" ht="15" hidden="false" customHeight="false" outlineLevel="0" collapsed="false">
      <c r="A88" s="12" t="s">
        <v>113</v>
      </c>
      <c r="B88" s="13" t="n">
        <v>9776.8</v>
      </c>
    </row>
    <row r="89" customFormat="false" ht="15" hidden="false" customHeight="false" outlineLevel="0" collapsed="false">
      <c r="A89" s="12" t="s">
        <v>114</v>
      </c>
      <c r="B89" s="13" t="n">
        <v>11316.16</v>
      </c>
    </row>
    <row r="90" customFormat="false" ht="15" hidden="false" customHeight="false" outlineLevel="0" collapsed="false">
      <c r="A90" s="12" t="s">
        <v>115</v>
      </c>
      <c r="B90" s="13" t="n">
        <v>7174.31</v>
      </c>
    </row>
    <row r="91" customFormat="false" ht="15" hidden="false" customHeight="false" outlineLevel="0" collapsed="false">
      <c r="A91" s="12" t="s">
        <v>116</v>
      </c>
      <c r="B91" s="13" t="n">
        <v>25224.13</v>
      </c>
    </row>
    <row r="92" customFormat="false" ht="15" hidden="false" customHeight="false" outlineLevel="0" collapsed="false">
      <c r="A92" s="12" t="s">
        <v>117</v>
      </c>
      <c r="B92" s="13" t="n">
        <v>42205.94</v>
      </c>
    </row>
    <row r="93" customFormat="false" ht="15" hidden="false" customHeight="false" outlineLevel="0" collapsed="false">
      <c r="A93" s="12" t="s">
        <v>118</v>
      </c>
      <c r="B93" s="13" t="n">
        <v>719.14</v>
      </c>
    </row>
    <row r="94" customFormat="false" ht="15" hidden="false" customHeight="false" outlineLevel="0" collapsed="false">
      <c r="A94" s="12" t="s">
        <v>119</v>
      </c>
      <c r="B94" s="13" t="n">
        <v>1150</v>
      </c>
    </row>
    <row r="95" customFormat="false" ht="15" hidden="false" customHeight="false" outlineLevel="0" collapsed="false">
      <c r="A95" s="12" t="s">
        <v>122</v>
      </c>
      <c r="B95" s="13" t="n">
        <v>777.75</v>
      </c>
    </row>
    <row r="96" customFormat="false" ht="15" hidden="false" customHeight="false" outlineLevel="0" collapsed="false">
      <c r="A96" s="12" t="s">
        <v>124</v>
      </c>
      <c r="B96" s="13" t="n">
        <v>5418.8</v>
      </c>
    </row>
    <row r="97" customFormat="false" ht="15" hidden="false" customHeight="false" outlineLevel="0" collapsed="false">
      <c r="A97" s="12" t="s">
        <v>125</v>
      </c>
      <c r="B97" s="13" t="n">
        <v>7325.7</v>
      </c>
    </row>
    <row r="98" customFormat="false" ht="15" hidden="false" customHeight="false" outlineLevel="0" collapsed="false">
      <c r="A98" s="12" t="s">
        <v>127</v>
      </c>
      <c r="B98" s="13" t="n">
        <v>2670.22</v>
      </c>
    </row>
    <row r="99" customFormat="false" ht="15" hidden="false" customHeight="false" outlineLevel="0" collapsed="false">
      <c r="A99" s="12" t="s">
        <v>129</v>
      </c>
      <c r="B99" s="13" t="n">
        <v>8700.89</v>
      </c>
    </row>
    <row r="100" customFormat="false" ht="15" hidden="false" customHeight="false" outlineLevel="0" collapsed="false">
      <c r="A100" s="12" t="s">
        <v>131</v>
      </c>
      <c r="B100" s="13" t="n">
        <v>5873.84</v>
      </c>
    </row>
    <row r="101" customFormat="false" ht="15" hidden="false" customHeight="false" outlineLevel="0" collapsed="false">
      <c r="A101" s="12" t="s">
        <v>133</v>
      </c>
      <c r="B101" s="13" t="n">
        <v>1852.23</v>
      </c>
    </row>
    <row r="102" customFormat="false" ht="15" hidden="false" customHeight="false" outlineLevel="0" collapsed="false">
      <c r="A102" s="12" t="s">
        <v>135</v>
      </c>
      <c r="B102" s="13" t="n">
        <v>2876.15</v>
      </c>
    </row>
    <row r="103" customFormat="false" ht="15" hidden="false" customHeight="false" outlineLevel="0" collapsed="false">
      <c r="A103" s="12" t="s">
        <v>136</v>
      </c>
      <c r="B103" s="13" t="n">
        <v>7431.03</v>
      </c>
    </row>
    <row r="104" customFormat="false" ht="15" hidden="false" customHeight="false" outlineLevel="0" collapsed="false">
      <c r="A104" s="12" t="s">
        <v>137</v>
      </c>
      <c r="B104" s="13" t="n">
        <v>1170</v>
      </c>
    </row>
    <row r="105" customFormat="false" ht="15" hidden="false" customHeight="false" outlineLevel="0" collapsed="false">
      <c r="A105" s="12" t="s">
        <v>138</v>
      </c>
      <c r="B105" s="13" t="n">
        <v>1550.96</v>
      </c>
    </row>
    <row r="106" customFormat="false" ht="15" hidden="false" customHeight="false" outlineLevel="0" collapsed="false">
      <c r="A106" s="12" t="s">
        <v>139</v>
      </c>
      <c r="B106" s="13" t="n">
        <v>611.01</v>
      </c>
    </row>
    <row r="107" customFormat="false" ht="15" hidden="false" customHeight="false" outlineLevel="0" collapsed="false">
      <c r="A107" s="12" t="s">
        <v>142</v>
      </c>
      <c r="B107" s="13" t="n">
        <v>803.38</v>
      </c>
    </row>
    <row r="108" customFormat="false" ht="15" hidden="false" customHeight="false" outlineLevel="0" collapsed="false">
      <c r="A108" s="12" t="s">
        <v>143</v>
      </c>
      <c r="B108" s="13" t="n">
        <v>13.99</v>
      </c>
    </row>
    <row r="109" customFormat="false" ht="15" hidden="false" customHeight="false" outlineLevel="0" collapsed="false">
      <c r="A109" s="12" t="s">
        <v>144</v>
      </c>
      <c r="B109" s="13" t="n">
        <v>237762.81</v>
      </c>
    </row>
    <row r="110" customFormat="false" ht="15" hidden="false" customHeight="false" outlineLevel="0" collapsed="false">
      <c r="A110" s="12" t="s">
        <v>145</v>
      </c>
      <c r="B110" s="13" t="n">
        <v>4080</v>
      </c>
    </row>
    <row r="111" customFormat="false" ht="15" hidden="false" customHeight="false" outlineLevel="0" collapsed="false">
      <c r="A111" s="12" t="s">
        <v>146</v>
      </c>
      <c r="B111" s="13" t="n">
        <v>447.54</v>
      </c>
    </row>
    <row r="112" customFormat="false" ht="15" hidden="false" customHeight="false" outlineLevel="0" collapsed="false">
      <c r="A112" s="12" t="s">
        <v>148</v>
      </c>
      <c r="B112" s="13" t="n">
        <v>10135.8</v>
      </c>
    </row>
    <row r="113" customFormat="false" ht="15" hidden="false" customHeight="false" outlineLevel="0" collapsed="false">
      <c r="A113" s="12" t="s">
        <v>149</v>
      </c>
      <c r="B113" s="13" t="n">
        <v>2287</v>
      </c>
    </row>
    <row r="114" customFormat="false" ht="15" hidden="false" customHeight="false" outlineLevel="0" collapsed="false">
      <c r="A114" s="12" t="s">
        <v>150</v>
      </c>
      <c r="B114" s="13" t="n">
        <v>3173.3</v>
      </c>
    </row>
    <row r="115" customFormat="false" ht="15" hidden="false" customHeight="false" outlineLevel="0" collapsed="false">
      <c r="A115" s="12" t="s">
        <v>151</v>
      </c>
      <c r="B115" s="13" t="n">
        <v>4825.47</v>
      </c>
    </row>
    <row r="116" customFormat="false" ht="15" hidden="false" customHeight="false" outlineLevel="0" collapsed="false">
      <c r="A116" s="12" t="s">
        <v>152</v>
      </c>
      <c r="B116" s="13" t="n">
        <v>1016.22</v>
      </c>
    </row>
    <row r="117" customFormat="false" ht="15" hidden="false" customHeight="false" outlineLevel="0" collapsed="false">
      <c r="A117" s="12" t="s">
        <v>153</v>
      </c>
      <c r="B117" s="13" t="n">
        <v>20757.63</v>
      </c>
    </row>
    <row r="118" customFormat="false" ht="15" hidden="false" customHeight="false" outlineLevel="0" collapsed="false">
      <c r="A118" s="12" t="s">
        <v>157</v>
      </c>
      <c r="B118" s="13" t="n">
        <v>7585.66</v>
      </c>
    </row>
    <row r="119" customFormat="false" ht="15" hidden="false" customHeight="false" outlineLevel="0" collapsed="false">
      <c r="A119" s="7" t="s">
        <v>158</v>
      </c>
      <c r="B119" s="8" t="n">
        <v>-1559933.68</v>
      </c>
    </row>
    <row r="120" customFormat="false" ht="15" hidden="false" customHeight="false" outlineLevel="0" collapsed="false">
      <c r="A120" s="7" t="s">
        <v>159</v>
      </c>
      <c r="B120" s="8" t="n">
        <v>365526.55</v>
      </c>
    </row>
    <row r="121" customFormat="false" ht="15" hidden="false" customHeight="false" outlineLevel="0" collapsed="false">
      <c r="A121" s="9" t="s">
        <v>160</v>
      </c>
      <c r="B121" s="10" t="n">
        <v>365526.55</v>
      </c>
    </row>
    <row r="122" customFormat="false" ht="15" hidden="false" customHeight="false" outlineLevel="0" collapsed="false">
      <c r="A122" s="11" t="s">
        <v>159</v>
      </c>
      <c r="B122" s="10" t="n">
        <v>365526.55</v>
      </c>
    </row>
    <row r="123" customFormat="false" ht="15" hidden="false" customHeight="false" outlineLevel="0" collapsed="false">
      <c r="A123" s="12" t="s">
        <v>161</v>
      </c>
      <c r="B123" s="13" t="n">
        <v>4133.79</v>
      </c>
    </row>
    <row r="124" customFormat="false" ht="15" hidden="false" customHeight="false" outlineLevel="0" collapsed="false">
      <c r="A124" s="12" t="s">
        <v>162</v>
      </c>
      <c r="B124" s="13" t="n">
        <v>13861.86</v>
      </c>
    </row>
    <row r="125" customFormat="false" ht="15" hidden="false" customHeight="false" outlineLevel="0" collapsed="false">
      <c r="A125" s="12" t="s">
        <v>163</v>
      </c>
      <c r="B125" s="13" t="n">
        <v>347530.9</v>
      </c>
    </row>
    <row r="126" customFormat="false" ht="15" hidden="false" customHeight="false" outlineLevel="0" collapsed="false">
      <c r="A126" s="7" t="s">
        <v>167</v>
      </c>
      <c r="B126" s="8" t="n">
        <v>-58581.62</v>
      </c>
    </row>
    <row r="127" customFormat="false" ht="15" hidden="false" customHeight="false" outlineLevel="0" collapsed="false">
      <c r="A127" s="9" t="s">
        <v>160</v>
      </c>
      <c r="B127" s="10" t="n">
        <v>58581.62</v>
      </c>
    </row>
    <row r="128" customFormat="false" ht="15" hidden="false" customHeight="false" outlineLevel="0" collapsed="false">
      <c r="A128" s="11" t="s">
        <v>167</v>
      </c>
      <c r="B128" s="10" t="n">
        <v>58581.62</v>
      </c>
    </row>
    <row r="129" customFormat="false" ht="15" hidden="false" customHeight="false" outlineLevel="0" collapsed="false">
      <c r="A129" s="12" t="s">
        <v>168</v>
      </c>
      <c r="B129" s="13" t="n">
        <v>47139.61</v>
      </c>
    </row>
    <row r="130" customFormat="false" ht="15" hidden="false" customHeight="false" outlineLevel="0" collapsed="false">
      <c r="A130" s="12" t="s">
        <v>169</v>
      </c>
      <c r="B130" s="13" t="n">
        <v>3676.05</v>
      </c>
    </row>
    <row r="131" customFormat="false" ht="15" hidden="false" customHeight="false" outlineLevel="0" collapsed="false">
      <c r="A131" s="12" t="s">
        <v>170</v>
      </c>
      <c r="B131" s="13" t="n">
        <v>4784.36</v>
      </c>
    </row>
    <row r="132" customFormat="false" ht="15" hidden="false" customHeight="false" outlineLevel="0" collapsed="false">
      <c r="A132" s="12" t="s">
        <v>171</v>
      </c>
      <c r="B132" s="13" t="n">
        <v>1732.52</v>
      </c>
    </row>
    <row r="133" customFormat="false" ht="15" hidden="false" customHeight="false" outlineLevel="0" collapsed="false">
      <c r="A133" s="12" t="s">
        <v>175</v>
      </c>
      <c r="B133" s="13" t="n">
        <v>1249.08</v>
      </c>
    </row>
    <row r="134" customFormat="false" ht="15" hidden="false" customHeight="false" outlineLevel="0" collapsed="false">
      <c r="A134" s="7" t="s">
        <v>177</v>
      </c>
      <c r="B134" s="8" t="n">
        <v>11050.63</v>
      </c>
    </row>
    <row r="135" customFormat="false" ht="15" hidden="false" customHeight="false" outlineLevel="0" collapsed="false">
      <c r="A135" s="9" t="s">
        <v>178</v>
      </c>
      <c r="B135" s="10" t="n">
        <v>11050.63</v>
      </c>
    </row>
    <row r="136" customFormat="false" ht="15" hidden="false" customHeight="false" outlineLevel="0" collapsed="false">
      <c r="A136" s="11" t="s">
        <v>178</v>
      </c>
      <c r="B136" s="10" t="n">
        <v>11050.63</v>
      </c>
    </row>
    <row r="137" customFormat="false" ht="15" hidden="false" customHeight="false" outlineLevel="0" collapsed="false">
      <c r="A137" s="12" t="s">
        <v>183</v>
      </c>
      <c r="B137" s="13" t="n">
        <v>9720</v>
      </c>
    </row>
    <row r="138" customFormat="false" ht="15" hidden="false" customHeight="false" outlineLevel="0" collapsed="false">
      <c r="A138" s="12" t="s">
        <v>184</v>
      </c>
      <c r="B138" s="13" t="n">
        <v>1257.22</v>
      </c>
    </row>
    <row r="139" customFormat="false" ht="15" hidden="false" customHeight="false" outlineLevel="0" collapsed="false">
      <c r="A139" s="12" t="s">
        <v>186</v>
      </c>
      <c r="B139" s="13" t="n">
        <v>73.41</v>
      </c>
    </row>
    <row r="140" customFormat="false" ht="15" hidden="false" customHeight="false" outlineLevel="0" collapsed="false">
      <c r="A140" s="7" t="s">
        <v>187</v>
      </c>
      <c r="B140" s="8" t="n">
        <v>-774</v>
      </c>
    </row>
    <row r="141" customFormat="false" ht="15" hidden="false" customHeight="false" outlineLevel="0" collapsed="false">
      <c r="A141" s="9" t="s">
        <v>188</v>
      </c>
      <c r="B141" s="10" t="n">
        <v>774</v>
      </c>
    </row>
    <row r="142" customFormat="false" ht="15" hidden="false" customHeight="false" outlineLevel="0" collapsed="false">
      <c r="A142" s="11" t="s">
        <v>188</v>
      </c>
      <c r="B142" s="10" t="n">
        <v>774</v>
      </c>
    </row>
    <row r="143" customFormat="false" ht="15" hidden="false" customHeight="false" outlineLevel="0" collapsed="false">
      <c r="A143" s="12" t="s">
        <v>190</v>
      </c>
      <c r="B143" s="13" t="n">
        <v>474</v>
      </c>
    </row>
    <row r="144" customFormat="false" ht="15" hidden="false" customHeight="false" outlineLevel="0" collapsed="false">
      <c r="A144" s="12" t="s">
        <v>188</v>
      </c>
      <c r="B144" s="13" t="n">
        <v>300</v>
      </c>
    </row>
    <row r="145" customFormat="false" ht="15" hidden="false" customHeight="false" outlineLevel="0" collapsed="false">
      <c r="A145" s="7" t="s">
        <v>191</v>
      </c>
      <c r="B145" s="8" t="n">
        <v>-1242712.12</v>
      </c>
    </row>
    <row r="146" customFormat="false" ht="15" hidden="false" customHeight="false" outlineLevel="0" collapsed="false">
      <c r="A146" s="7" t="s">
        <v>192</v>
      </c>
      <c r="B146" s="8" t="n">
        <v>-1242712.12</v>
      </c>
    </row>
    <row r="147" customFormat="false" ht="15" hidden="false" customHeight="false" outlineLevel="0" collapsed="false">
      <c r="A147" s="7" t="s">
        <v>193</v>
      </c>
      <c r="B147" s="8" t="n">
        <v>-1242712.12</v>
      </c>
    </row>
    <row r="149" customFormat="false" ht="15" hidden="false" customHeight="true" outlineLevel="0" collapsed="false">
      <c r="A149" s="14" t="s">
        <v>205</v>
      </c>
      <c r="B149" s="14"/>
    </row>
    <row r="151" customFormat="false" ht="15" hidden="false" customHeight="false" outlineLevel="0" collapsed="false">
      <c r="A151" s="15" t="s">
        <v>198</v>
      </c>
      <c r="B151" s="15" t="s">
        <v>199</v>
      </c>
    </row>
    <row r="152" customFormat="false" ht="15" hidden="false" customHeight="false" outlineLevel="0" collapsed="false">
      <c r="A152" s="16" t="s">
        <v>200</v>
      </c>
      <c r="B152" s="16" t="s">
        <v>201</v>
      </c>
    </row>
    <row r="153" customFormat="false" ht="15" hidden="false" customHeight="false" outlineLevel="0" collapsed="false">
      <c r="A153" s="16" t="s">
        <v>202</v>
      </c>
      <c r="B153" s="16" t="s">
        <v>203</v>
      </c>
    </row>
  </sheetData>
  <mergeCells count="1">
    <mergeCell ref="A149:B149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9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194</v>
      </c>
    </row>
    <row r="3" customFormat="false" ht="15" hidden="false" customHeight="false" outlineLevel="0" collapsed="false">
      <c r="A3" s="3" t="s">
        <v>206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196</v>
      </c>
    </row>
    <row r="8" customFormat="false" ht="15" hidden="false" customHeight="false" outlineLevel="0" collapsed="false">
      <c r="A8" s="7" t="s">
        <v>15</v>
      </c>
      <c r="B8" s="8" t="n">
        <v>5895674.11</v>
      </c>
    </row>
    <row r="9" customFormat="false" ht="15" hidden="false" customHeight="false" outlineLevel="0" collapsed="false">
      <c r="A9" s="9" t="s">
        <v>16</v>
      </c>
      <c r="B9" s="10" t="n">
        <v>6009654.54</v>
      </c>
    </row>
    <row r="10" customFormat="false" ht="15" hidden="false" customHeight="false" outlineLevel="0" collapsed="false">
      <c r="A10" s="11" t="s">
        <v>17</v>
      </c>
      <c r="B10" s="10" t="n">
        <v>6009654.54</v>
      </c>
    </row>
    <row r="11" customFormat="false" ht="15" hidden="false" customHeight="false" outlineLevel="0" collapsed="false">
      <c r="A11" s="12" t="s">
        <v>18</v>
      </c>
      <c r="B11" s="13" t="n">
        <v>5991540.54</v>
      </c>
    </row>
    <row r="12" customFormat="false" ht="15" hidden="false" customHeight="false" outlineLevel="0" collapsed="false">
      <c r="A12" s="12" t="s">
        <v>20</v>
      </c>
      <c r="B12" s="13" t="n">
        <v>18114</v>
      </c>
    </row>
    <row r="13" customFormat="false" ht="15" hidden="false" customHeight="false" outlineLevel="0" collapsed="false">
      <c r="A13" s="11" t="s">
        <v>21</v>
      </c>
      <c r="B13" s="10" t="n">
        <v>714871.99</v>
      </c>
    </row>
    <row r="14" customFormat="false" ht="15" hidden="false" customHeight="false" outlineLevel="0" collapsed="false">
      <c r="A14" s="12" t="s">
        <v>22</v>
      </c>
      <c r="B14" s="13" t="n">
        <v>185945.39</v>
      </c>
    </row>
    <row r="15" customFormat="false" ht="15" hidden="false" customHeight="false" outlineLevel="0" collapsed="false">
      <c r="A15" s="12" t="s">
        <v>23</v>
      </c>
      <c r="B15" s="13" t="n">
        <v>528926.6</v>
      </c>
    </row>
    <row r="16" customFormat="false" ht="15" hidden="false" customHeight="false" outlineLevel="0" collapsed="false">
      <c r="A16" s="11" t="s">
        <v>26</v>
      </c>
      <c r="B16" s="10" t="n">
        <v>292393.44</v>
      </c>
    </row>
    <row r="17" customFormat="false" ht="15" hidden="false" customHeight="false" outlineLevel="0" collapsed="false">
      <c r="A17" s="12" t="s">
        <v>27</v>
      </c>
      <c r="B17" s="13" t="n">
        <v>168743.86</v>
      </c>
    </row>
    <row r="18" customFormat="false" ht="15" hidden="false" customHeight="false" outlineLevel="0" collapsed="false">
      <c r="A18" s="12" t="s">
        <v>28</v>
      </c>
      <c r="B18" s="13" t="n">
        <v>123649.58</v>
      </c>
    </row>
    <row r="19" customFormat="false" ht="15" hidden="false" customHeight="false" outlineLevel="0" collapsed="false">
      <c r="A19" s="11" t="s">
        <v>29</v>
      </c>
      <c r="B19" s="10" t="n">
        <v>1121245.86</v>
      </c>
    </row>
    <row r="20" customFormat="false" ht="15" hidden="false" customHeight="false" outlineLevel="0" collapsed="false">
      <c r="A20" s="12" t="s">
        <v>30</v>
      </c>
      <c r="B20" s="13" t="n">
        <v>39340.04</v>
      </c>
    </row>
    <row r="21" customFormat="false" ht="15" hidden="false" customHeight="false" outlineLevel="0" collapsed="false">
      <c r="A21" s="12" t="s">
        <v>31</v>
      </c>
      <c r="B21" s="13" t="n">
        <v>709755.95</v>
      </c>
    </row>
    <row r="22" customFormat="false" ht="15" hidden="false" customHeight="false" outlineLevel="0" collapsed="false">
      <c r="A22" s="12" t="s">
        <v>32</v>
      </c>
      <c r="B22" s="13" t="n">
        <v>18368.97</v>
      </c>
    </row>
    <row r="23" customFormat="false" ht="15" hidden="false" customHeight="false" outlineLevel="0" collapsed="false">
      <c r="A23" s="12" t="s">
        <v>33</v>
      </c>
      <c r="B23" s="13" t="n">
        <v>84795.93</v>
      </c>
    </row>
    <row r="24" customFormat="false" ht="15" hidden="false" customHeight="false" outlineLevel="0" collapsed="false">
      <c r="A24" s="12" t="s">
        <v>34</v>
      </c>
      <c r="B24" s="13" t="n">
        <v>3709.48</v>
      </c>
    </row>
    <row r="25" customFormat="false" ht="15" hidden="false" customHeight="false" outlineLevel="0" collapsed="false">
      <c r="A25" s="12" t="s">
        <v>35</v>
      </c>
      <c r="B25" s="13" t="n">
        <v>23751.57</v>
      </c>
    </row>
    <row r="26" customFormat="false" ht="15" hidden="false" customHeight="false" outlineLevel="0" collapsed="false">
      <c r="A26" s="12" t="s">
        <v>36</v>
      </c>
      <c r="B26" s="13" t="n">
        <v>142.28</v>
      </c>
    </row>
    <row r="27" customFormat="false" ht="15" hidden="false" customHeight="false" outlineLevel="0" collapsed="false">
      <c r="A27" s="12" t="s">
        <v>37</v>
      </c>
      <c r="B27" s="13" t="n">
        <v>159103.54</v>
      </c>
    </row>
    <row r="28" customFormat="false" ht="15" hidden="false" customHeight="false" outlineLevel="0" collapsed="false">
      <c r="A28" s="12" t="s">
        <v>38</v>
      </c>
      <c r="B28" s="13" t="n">
        <v>82278.1</v>
      </c>
    </row>
    <row r="29" customFormat="false" ht="15" hidden="false" customHeight="false" outlineLevel="0" collapsed="false">
      <c r="A29" s="7" t="s">
        <v>39</v>
      </c>
      <c r="B29" s="8" t="n">
        <v>-2385.15</v>
      </c>
    </row>
    <row r="30" customFormat="false" ht="15" hidden="false" customHeight="false" outlineLevel="0" collapsed="false">
      <c r="A30" s="9" t="s">
        <v>40</v>
      </c>
      <c r="B30" s="10" t="n">
        <v>2385.15</v>
      </c>
    </row>
    <row r="31" customFormat="false" ht="15" hidden="false" customHeight="false" outlineLevel="0" collapsed="false">
      <c r="A31" s="11" t="s">
        <v>41</v>
      </c>
      <c r="B31" s="10" t="n">
        <v>2385.15</v>
      </c>
    </row>
    <row r="32" customFormat="false" ht="15" hidden="false" customHeight="false" outlineLevel="0" collapsed="false">
      <c r="A32" s="12" t="s">
        <v>44</v>
      </c>
      <c r="B32" s="13" t="n">
        <v>2385.15</v>
      </c>
    </row>
    <row r="33" customFormat="false" ht="15" hidden="false" customHeight="false" outlineLevel="0" collapsed="false">
      <c r="A33" s="7" t="s">
        <v>46</v>
      </c>
      <c r="B33" s="8" t="n">
        <v>5893288.96</v>
      </c>
    </row>
    <row r="34" customFormat="false" ht="15" hidden="false" customHeight="false" outlineLevel="0" collapsed="false">
      <c r="A34" s="7" t="s">
        <v>47</v>
      </c>
      <c r="B34" s="8" t="n">
        <v>-7546765.74</v>
      </c>
    </row>
    <row r="35" customFormat="false" ht="15" hidden="false" customHeight="false" outlineLevel="0" collapsed="false">
      <c r="A35" s="9" t="s">
        <v>48</v>
      </c>
      <c r="B35" s="10" t="n">
        <v>7546765.74</v>
      </c>
    </row>
    <row r="36" customFormat="false" ht="15" hidden="false" customHeight="false" outlineLevel="0" collapsed="false">
      <c r="A36" s="11" t="s">
        <v>49</v>
      </c>
      <c r="B36" s="10" t="n">
        <v>5946277.6</v>
      </c>
    </row>
    <row r="37" customFormat="false" ht="15" hidden="false" customHeight="false" outlineLevel="0" collapsed="false">
      <c r="A37" s="12" t="s">
        <v>51</v>
      </c>
      <c r="B37" s="13" t="n">
        <v>5833100.71</v>
      </c>
    </row>
    <row r="38" customFormat="false" ht="15" hidden="false" customHeight="false" outlineLevel="0" collapsed="false">
      <c r="A38" s="12" t="s">
        <v>53</v>
      </c>
      <c r="B38" s="13" t="n">
        <v>113176.89</v>
      </c>
    </row>
    <row r="39" customFormat="false" ht="15" hidden="false" customHeight="false" outlineLevel="0" collapsed="false">
      <c r="A39" s="11" t="s">
        <v>54</v>
      </c>
      <c r="B39" s="10" t="n">
        <v>372255.56</v>
      </c>
    </row>
    <row r="40" customFormat="false" ht="15" hidden="false" customHeight="false" outlineLevel="0" collapsed="false">
      <c r="A40" s="12" t="s">
        <v>54</v>
      </c>
      <c r="B40" s="13" t="n">
        <v>372255.56</v>
      </c>
    </row>
    <row r="41" customFormat="false" ht="15" hidden="false" customHeight="false" outlineLevel="0" collapsed="false">
      <c r="A41" s="12" t="s">
        <v>55</v>
      </c>
      <c r="B41" s="13" t="n">
        <v>87965.18</v>
      </c>
    </row>
    <row r="42" customFormat="false" ht="15" hidden="false" customHeight="false" outlineLevel="0" collapsed="false">
      <c r="A42" s="12" t="s">
        <v>56</v>
      </c>
      <c r="B42" s="13" t="n">
        <v>44957.03</v>
      </c>
    </row>
    <row r="43" customFormat="false" ht="15" hidden="false" customHeight="false" outlineLevel="0" collapsed="false">
      <c r="A43" s="12" t="s">
        <v>57</v>
      </c>
      <c r="B43" s="13" t="n">
        <v>37457.61</v>
      </c>
    </row>
    <row r="44" customFormat="false" ht="15" hidden="false" customHeight="false" outlineLevel="0" collapsed="false">
      <c r="A44" s="12" t="s">
        <v>58</v>
      </c>
      <c r="B44" s="13" t="n">
        <v>201875.74</v>
      </c>
    </row>
    <row r="45" customFormat="false" ht="15" hidden="false" customHeight="false" outlineLevel="0" collapsed="false">
      <c r="A45" s="11" t="s">
        <v>59</v>
      </c>
      <c r="B45" s="10" t="n">
        <v>1228232.58</v>
      </c>
    </row>
    <row r="46" customFormat="false" ht="15" hidden="false" customHeight="false" outlineLevel="0" collapsed="false">
      <c r="A46" s="12" t="s">
        <v>60</v>
      </c>
      <c r="B46" s="13" t="n">
        <v>640251.74</v>
      </c>
    </row>
    <row r="47" customFormat="false" ht="15" hidden="false" customHeight="false" outlineLevel="0" collapsed="false">
      <c r="A47" s="12" t="s">
        <v>61</v>
      </c>
      <c r="B47" s="13" t="n">
        <v>3764.13</v>
      </c>
    </row>
    <row r="48" customFormat="false" ht="15" hidden="false" customHeight="false" outlineLevel="0" collapsed="false">
      <c r="A48" s="12" t="s">
        <v>65</v>
      </c>
      <c r="B48" s="13" t="n">
        <v>137066.72</v>
      </c>
    </row>
    <row r="49" customFormat="false" ht="15" hidden="false" customHeight="false" outlineLevel="0" collapsed="false">
      <c r="A49" s="12" t="s">
        <v>66</v>
      </c>
      <c r="B49" s="13" t="n">
        <v>102122.9</v>
      </c>
    </row>
    <row r="50" customFormat="false" ht="15" hidden="false" customHeight="false" outlineLevel="0" collapsed="false">
      <c r="A50" s="12" t="s">
        <v>67</v>
      </c>
      <c r="B50" s="13" t="n">
        <v>50355.81</v>
      </c>
    </row>
    <row r="51" customFormat="false" ht="15" hidden="false" customHeight="false" outlineLevel="0" collapsed="false">
      <c r="A51" s="12" t="s">
        <v>68</v>
      </c>
      <c r="B51" s="13" t="n">
        <v>186318.8</v>
      </c>
    </row>
    <row r="52" customFormat="false" ht="15" hidden="false" customHeight="false" outlineLevel="0" collapsed="false">
      <c r="A52" s="12" t="s">
        <v>70</v>
      </c>
      <c r="B52" s="13" t="n">
        <v>11136.46</v>
      </c>
    </row>
    <row r="53" customFormat="false" ht="15" hidden="false" customHeight="false" outlineLevel="0" collapsed="false">
      <c r="A53" s="12" t="s">
        <v>71</v>
      </c>
      <c r="B53" s="13" t="n">
        <v>40959.43</v>
      </c>
    </row>
    <row r="54" customFormat="false" ht="15" hidden="false" customHeight="false" outlineLevel="0" collapsed="false">
      <c r="A54" s="12" t="s">
        <v>72</v>
      </c>
      <c r="B54" s="13" t="n">
        <v>30087.67</v>
      </c>
    </row>
    <row r="55" customFormat="false" ht="15" hidden="false" customHeight="false" outlineLevel="0" collapsed="false">
      <c r="A55" s="12" t="s">
        <v>73</v>
      </c>
      <c r="B55" s="13" t="n">
        <v>8168.92</v>
      </c>
    </row>
    <row r="56" customFormat="false" ht="15" hidden="false" customHeight="false" outlineLevel="0" collapsed="false">
      <c r="A56" s="12" t="s">
        <v>74</v>
      </c>
      <c r="B56" s="13" t="n">
        <v>18000</v>
      </c>
    </row>
    <row r="57" customFormat="false" ht="15" hidden="false" customHeight="false" outlineLevel="0" collapsed="false">
      <c r="A57" s="7" t="s">
        <v>75</v>
      </c>
      <c r="B57" s="8" t="n">
        <v>-1653476.78</v>
      </c>
    </row>
    <row r="58" customFormat="false" ht="15" hidden="false" customHeight="false" outlineLevel="0" collapsed="false">
      <c r="A58" s="7" t="s">
        <v>76</v>
      </c>
      <c r="B58" s="8" t="n">
        <v>-1352282.19</v>
      </c>
    </row>
    <row r="59" customFormat="false" ht="15" hidden="false" customHeight="false" outlineLevel="0" collapsed="false">
      <c r="A59" s="9" t="s">
        <v>77</v>
      </c>
      <c r="B59" s="10" t="n">
        <v>367874.74</v>
      </c>
    </row>
    <row r="60" customFormat="false" ht="15" hidden="false" customHeight="false" outlineLevel="0" collapsed="false">
      <c r="A60" s="11" t="s">
        <v>78</v>
      </c>
      <c r="B60" s="10" t="n">
        <v>367874.74</v>
      </c>
    </row>
    <row r="61" customFormat="false" ht="15" hidden="false" customHeight="false" outlineLevel="0" collapsed="false">
      <c r="A61" s="12" t="s">
        <v>79</v>
      </c>
      <c r="B61" s="13" t="n">
        <v>77832.42</v>
      </c>
    </row>
    <row r="62" customFormat="false" ht="15" hidden="false" customHeight="false" outlineLevel="0" collapsed="false">
      <c r="A62" s="12" t="s">
        <v>80</v>
      </c>
      <c r="B62" s="13" t="n">
        <v>127758</v>
      </c>
    </row>
    <row r="63" customFormat="false" ht="15" hidden="false" customHeight="false" outlineLevel="0" collapsed="false">
      <c r="A63" s="12" t="s">
        <v>83</v>
      </c>
      <c r="B63" s="13" t="n">
        <v>5606.02</v>
      </c>
    </row>
    <row r="64" customFormat="false" ht="15" hidden="false" customHeight="false" outlineLevel="0" collapsed="false">
      <c r="A64" s="12" t="s">
        <v>84</v>
      </c>
      <c r="B64" s="13" t="n">
        <v>9026.96</v>
      </c>
    </row>
    <row r="65" customFormat="false" ht="15" hidden="false" customHeight="false" outlineLevel="0" collapsed="false">
      <c r="A65" s="12" t="s">
        <v>85</v>
      </c>
      <c r="B65" s="13" t="n">
        <v>17172.88</v>
      </c>
    </row>
    <row r="66" customFormat="false" ht="15" hidden="false" customHeight="false" outlineLevel="0" collapsed="false">
      <c r="A66" s="12" t="s">
        <v>86</v>
      </c>
      <c r="B66" s="13" t="n">
        <v>9943.6</v>
      </c>
    </row>
    <row r="67" customFormat="false" ht="15" hidden="false" customHeight="false" outlineLevel="0" collapsed="false">
      <c r="A67" s="12" t="s">
        <v>87</v>
      </c>
      <c r="B67" s="13" t="n">
        <v>4149.89</v>
      </c>
    </row>
    <row r="68" customFormat="false" ht="15" hidden="false" customHeight="false" outlineLevel="0" collapsed="false">
      <c r="A68" s="12" t="s">
        <v>88</v>
      </c>
      <c r="B68" s="13" t="n">
        <v>1088</v>
      </c>
    </row>
    <row r="69" customFormat="false" ht="15" hidden="false" customHeight="false" outlineLevel="0" collapsed="false">
      <c r="A69" s="12" t="s">
        <v>89</v>
      </c>
      <c r="B69" s="13" t="n">
        <v>13401.84</v>
      </c>
    </row>
    <row r="70" customFormat="false" ht="15" hidden="false" customHeight="false" outlineLevel="0" collapsed="false">
      <c r="A70" s="12" t="s">
        <v>90</v>
      </c>
      <c r="B70" s="13" t="n">
        <v>10271.77</v>
      </c>
    </row>
    <row r="71" customFormat="false" ht="15" hidden="false" customHeight="false" outlineLevel="0" collapsed="false">
      <c r="A71" s="12" t="s">
        <v>91</v>
      </c>
      <c r="B71" s="13" t="n">
        <v>78921</v>
      </c>
    </row>
    <row r="72" customFormat="false" ht="15" hidden="false" customHeight="false" outlineLevel="0" collapsed="false">
      <c r="A72" s="12" t="s">
        <v>92</v>
      </c>
      <c r="B72" s="13" t="n">
        <v>941.57</v>
      </c>
    </row>
    <row r="73" customFormat="false" ht="15" hidden="false" customHeight="false" outlineLevel="0" collapsed="false">
      <c r="A73" s="12" t="s">
        <v>93</v>
      </c>
      <c r="B73" s="13" t="n">
        <v>1402.79</v>
      </c>
    </row>
    <row r="74" customFormat="false" ht="15" hidden="false" customHeight="false" outlineLevel="0" collapsed="false">
      <c r="A74" s="12" t="s">
        <v>94</v>
      </c>
      <c r="B74" s="13" t="n">
        <v>10358</v>
      </c>
    </row>
    <row r="75" customFormat="false" ht="15" hidden="false" customHeight="false" outlineLevel="0" collapsed="false">
      <c r="A75" s="11" t="s">
        <v>95</v>
      </c>
      <c r="B75" s="10" t="n">
        <v>76376.26</v>
      </c>
    </row>
    <row r="76" customFormat="false" ht="15" hidden="false" customHeight="false" outlineLevel="0" collapsed="false">
      <c r="A76" s="12" t="s">
        <v>96</v>
      </c>
      <c r="B76" s="13" t="n">
        <v>9992.57</v>
      </c>
    </row>
    <row r="77" customFormat="false" ht="15" hidden="false" customHeight="false" outlineLevel="0" collapsed="false">
      <c r="A77" s="12" t="s">
        <v>97</v>
      </c>
      <c r="B77" s="13" t="n">
        <v>39407.43</v>
      </c>
    </row>
    <row r="78" customFormat="false" ht="15" hidden="false" customHeight="false" outlineLevel="0" collapsed="false">
      <c r="A78" s="12" t="s">
        <v>99</v>
      </c>
      <c r="B78" s="13" t="n">
        <v>1047.5</v>
      </c>
    </row>
    <row r="79" customFormat="false" ht="15" hidden="false" customHeight="false" outlineLevel="0" collapsed="false">
      <c r="A79" s="12" t="s">
        <v>100</v>
      </c>
      <c r="B79" s="13" t="n">
        <v>3923.68</v>
      </c>
    </row>
    <row r="80" customFormat="false" ht="15" hidden="false" customHeight="false" outlineLevel="0" collapsed="false">
      <c r="A80" s="12" t="s">
        <v>101</v>
      </c>
      <c r="B80" s="13" t="n">
        <v>3002.9</v>
      </c>
    </row>
    <row r="81" customFormat="false" ht="15" hidden="false" customHeight="false" outlineLevel="0" collapsed="false">
      <c r="A81" s="12" t="s">
        <v>102</v>
      </c>
      <c r="B81" s="13" t="n">
        <v>803.23</v>
      </c>
    </row>
    <row r="82" customFormat="false" ht="15" hidden="false" customHeight="false" outlineLevel="0" collapsed="false">
      <c r="A82" s="12" t="s">
        <v>103</v>
      </c>
      <c r="B82" s="13" t="n">
        <v>18198.95</v>
      </c>
    </row>
    <row r="83" customFormat="false" ht="15" hidden="false" customHeight="false" outlineLevel="0" collapsed="false">
      <c r="A83" s="9" t="s">
        <v>104</v>
      </c>
      <c r="B83" s="10" t="n">
        <v>908031.19</v>
      </c>
    </row>
    <row r="84" customFormat="false" ht="15" hidden="false" customHeight="false" outlineLevel="0" collapsed="false">
      <c r="A84" s="11" t="s">
        <v>105</v>
      </c>
      <c r="B84" s="10" t="n">
        <v>908031.19</v>
      </c>
    </row>
    <row r="85" customFormat="false" ht="15" hidden="false" customHeight="false" outlineLevel="0" collapsed="false">
      <c r="A85" s="12" t="s">
        <v>106</v>
      </c>
      <c r="B85" s="13" t="n">
        <v>14503.33</v>
      </c>
    </row>
    <row r="86" customFormat="false" ht="15" hidden="false" customHeight="false" outlineLevel="0" collapsed="false">
      <c r="A86" s="12" t="s">
        <v>107</v>
      </c>
      <c r="B86" s="13" t="n">
        <v>40641.89</v>
      </c>
    </row>
    <row r="87" customFormat="false" ht="15" hidden="false" customHeight="false" outlineLevel="0" collapsed="false">
      <c r="A87" s="12" t="s">
        <v>108</v>
      </c>
      <c r="B87" s="13" t="n">
        <v>3447.87</v>
      </c>
    </row>
    <row r="88" customFormat="false" ht="15" hidden="false" customHeight="false" outlineLevel="0" collapsed="false">
      <c r="A88" s="12" t="s">
        <v>109</v>
      </c>
      <c r="B88" s="13" t="n">
        <v>243074.74</v>
      </c>
    </row>
    <row r="89" customFormat="false" ht="15" hidden="false" customHeight="false" outlineLevel="0" collapsed="false">
      <c r="A89" s="12" t="s">
        <v>110</v>
      </c>
      <c r="B89" s="13" t="n">
        <v>23087.54</v>
      </c>
    </row>
    <row r="90" customFormat="false" ht="15" hidden="false" customHeight="false" outlineLevel="0" collapsed="false">
      <c r="A90" s="12" t="s">
        <v>111</v>
      </c>
      <c r="B90" s="13" t="n">
        <v>375</v>
      </c>
    </row>
    <row r="91" customFormat="false" ht="15" hidden="false" customHeight="false" outlineLevel="0" collapsed="false">
      <c r="A91" s="12" t="s">
        <v>112</v>
      </c>
      <c r="B91" s="13" t="n">
        <v>49779.52</v>
      </c>
    </row>
    <row r="92" customFormat="false" ht="15" hidden="false" customHeight="false" outlineLevel="0" collapsed="false">
      <c r="A92" s="12" t="s">
        <v>113</v>
      </c>
      <c r="B92" s="13" t="n">
        <v>17304.98</v>
      </c>
    </row>
    <row r="93" customFormat="false" ht="15" hidden="false" customHeight="false" outlineLevel="0" collapsed="false">
      <c r="A93" s="12" t="s">
        <v>114</v>
      </c>
      <c r="B93" s="13" t="n">
        <v>19538.09</v>
      </c>
    </row>
    <row r="94" customFormat="false" ht="15" hidden="false" customHeight="false" outlineLevel="0" collapsed="false">
      <c r="A94" s="12" t="s">
        <v>115</v>
      </c>
      <c r="B94" s="13" t="n">
        <v>7174.31</v>
      </c>
    </row>
    <row r="95" customFormat="false" ht="15" hidden="false" customHeight="false" outlineLevel="0" collapsed="false">
      <c r="A95" s="12" t="s">
        <v>116</v>
      </c>
      <c r="B95" s="13" t="n">
        <v>32765.67</v>
      </c>
    </row>
    <row r="96" customFormat="false" ht="15" hidden="false" customHeight="false" outlineLevel="0" collapsed="false">
      <c r="A96" s="12" t="s">
        <v>117</v>
      </c>
      <c r="B96" s="13" t="n">
        <v>55147.35</v>
      </c>
    </row>
    <row r="97" customFormat="false" ht="15" hidden="false" customHeight="false" outlineLevel="0" collapsed="false">
      <c r="A97" s="12" t="s">
        <v>118</v>
      </c>
      <c r="B97" s="13" t="n">
        <v>40732.21</v>
      </c>
    </row>
    <row r="98" customFormat="false" ht="15" hidden="false" customHeight="false" outlineLevel="0" collapsed="false">
      <c r="A98" s="12" t="s">
        <v>119</v>
      </c>
      <c r="B98" s="13" t="n">
        <v>1500</v>
      </c>
    </row>
    <row r="99" customFormat="false" ht="15" hidden="false" customHeight="false" outlineLevel="0" collapsed="false">
      <c r="A99" s="12" t="s">
        <v>122</v>
      </c>
      <c r="B99" s="13" t="n">
        <v>148.87</v>
      </c>
    </row>
    <row r="100" customFormat="false" ht="15" hidden="false" customHeight="false" outlineLevel="0" collapsed="false">
      <c r="A100" s="12" t="s">
        <v>123</v>
      </c>
      <c r="B100" s="13" t="n">
        <v>80.25</v>
      </c>
    </row>
    <row r="101" customFormat="false" ht="15" hidden="false" customHeight="false" outlineLevel="0" collapsed="false">
      <c r="A101" s="12" t="s">
        <v>124</v>
      </c>
      <c r="B101" s="13" t="n">
        <v>6271.88</v>
      </c>
    </row>
    <row r="102" customFormat="false" ht="15" hidden="false" customHeight="false" outlineLevel="0" collapsed="false">
      <c r="A102" s="12" t="s">
        <v>125</v>
      </c>
      <c r="B102" s="13" t="n">
        <v>4409.88</v>
      </c>
    </row>
    <row r="103" customFormat="false" ht="15" hidden="false" customHeight="false" outlineLevel="0" collapsed="false">
      <c r="A103" s="12" t="s">
        <v>127</v>
      </c>
      <c r="B103" s="13" t="n">
        <v>4657.93</v>
      </c>
    </row>
    <row r="104" customFormat="false" ht="15" hidden="false" customHeight="false" outlineLevel="0" collapsed="false">
      <c r="A104" s="12" t="s">
        <v>128</v>
      </c>
      <c r="B104" s="13" t="n">
        <v>130.16</v>
      </c>
    </row>
    <row r="105" customFormat="false" ht="15" hidden="false" customHeight="false" outlineLevel="0" collapsed="false">
      <c r="A105" s="12" t="s">
        <v>129</v>
      </c>
      <c r="B105" s="13" t="n">
        <v>6318.78</v>
      </c>
    </row>
    <row r="106" customFormat="false" ht="15" hidden="false" customHeight="false" outlineLevel="0" collapsed="false">
      <c r="A106" s="12" t="s">
        <v>131</v>
      </c>
      <c r="B106" s="13" t="n">
        <v>5873.84</v>
      </c>
    </row>
    <row r="107" customFormat="false" ht="15" hidden="false" customHeight="false" outlineLevel="0" collapsed="false">
      <c r="A107" s="12" t="s">
        <v>133</v>
      </c>
      <c r="B107" s="13" t="n">
        <v>9996.51</v>
      </c>
    </row>
    <row r="108" customFormat="false" ht="15" hidden="false" customHeight="false" outlineLevel="0" collapsed="false">
      <c r="A108" s="12" t="s">
        <v>134</v>
      </c>
      <c r="B108" s="13" t="n">
        <v>22975.16</v>
      </c>
    </row>
    <row r="109" customFormat="false" ht="15" hidden="false" customHeight="false" outlineLevel="0" collapsed="false">
      <c r="A109" s="12" t="s">
        <v>135</v>
      </c>
      <c r="B109" s="13" t="n">
        <v>2888.57</v>
      </c>
    </row>
    <row r="110" customFormat="false" ht="15" hidden="false" customHeight="false" outlineLevel="0" collapsed="false">
      <c r="A110" s="12" t="s">
        <v>136</v>
      </c>
      <c r="B110" s="13" t="n">
        <v>14179.46</v>
      </c>
    </row>
    <row r="111" customFormat="false" ht="15" hidden="false" customHeight="false" outlineLevel="0" collapsed="false">
      <c r="A111" s="12" t="s">
        <v>137</v>
      </c>
      <c r="B111" s="13" t="n">
        <v>1170</v>
      </c>
    </row>
    <row r="112" customFormat="false" ht="15" hidden="false" customHeight="false" outlineLevel="0" collapsed="false">
      <c r="A112" s="12" t="s">
        <v>138</v>
      </c>
      <c r="B112" s="13" t="n">
        <v>2451.14</v>
      </c>
    </row>
    <row r="113" customFormat="false" ht="15" hidden="false" customHeight="false" outlineLevel="0" collapsed="false">
      <c r="A113" s="12" t="s">
        <v>139</v>
      </c>
      <c r="B113" s="13" t="n">
        <v>761.84</v>
      </c>
    </row>
    <row r="114" customFormat="false" ht="15" hidden="false" customHeight="false" outlineLevel="0" collapsed="false">
      <c r="A114" s="12" t="s">
        <v>140</v>
      </c>
      <c r="B114" s="13" t="n">
        <v>1526.1</v>
      </c>
    </row>
    <row r="115" customFormat="false" ht="15" hidden="false" customHeight="false" outlineLevel="0" collapsed="false">
      <c r="A115" s="12" t="s">
        <v>142</v>
      </c>
      <c r="B115" s="13" t="n">
        <v>840.8</v>
      </c>
    </row>
    <row r="116" customFormat="false" ht="15" hidden="false" customHeight="false" outlineLevel="0" collapsed="false">
      <c r="A116" s="12" t="s">
        <v>143</v>
      </c>
      <c r="B116" s="13" t="n">
        <v>17.99</v>
      </c>
    </row>
    <row r="117" customFormat="false" ht="15" hidden="false" customHeight="false" outlineLevel="0" collapsed="false">
      <c r="A117" s="12" t="s">
        <v>144</v>
      </c>
      <c r="B117" s="13" t="n">
        <v>219376.01</v>
      </c>
    </row>
    <row r="118" customFormat="false" ht="15" hidden="false" customHeight="false" outlineLevel="0" collapsed="false">
      <c r="A118" s="12" t="s">
        <v>145</v>
      </c>
      <c r="B118" s="13" t="n">
        <v>4080</v>
      </c>
    </row>
    <row r="119" customFormat="false" ht="15" hidden="false" customHeight="false" outlineLevel="0" collapsed="false">
      <c r="A119" s="12" t="s">
        <v>146</v>
      </c>
      <c r="B119" s="13" t="n">
        <v>544.6</v>
      </c>
    </row>
    <row r="120" customFormat="false" ht="15" hidden="false" customHeight="false" outlineLevel="0" collapsed="false">
      <c r="A120" s="12" t="s">
        <v>149</v>
      </c>
      <c r="B120" s="13" t="n">
        <v>2287</v>
      </c>
    </row>
    <row r="121" customFormat="false" ht="15" hidden="false" customHeight="false" outlineLevel="0" collapsed="false">
      <c r="A121" s="12" t="s">
        <v>150</v>
      </c>
      <c r="B121" s="13" t="n">
        <v>2961.15</v>
      </c>
    </row>
    <row r="122" customFormat="false" ht="15" hidden="false" customHeight="false" outlineLevel="0" collapsed="false">
      <c r="A122" s="12" t="s">
        <v>151</v>
      </c>
      <c r="B122" s="13" t="n">
        <v>8210.5</v>
      </c>
    </row>
    <row r="123" customFormat="false" ht="15" hidden="false" customHeight="false" outlineLevel="0" collapsed="false">
      <c r="A123" s="12" t="s">
        <v>152</v>
      </c>
      <c r="B123" s="13" t="n">
        <v>759</v>
      </c>
    </row>
    <row r="124" customFormat="false" ht="15" hidden="false" customHeight="false" outlineLevel="0" collapsed="false">
      <c r="A124" s="12" t="s">
        <v>153</v>
      </c>
      <c r="B124" s="13" t="n">
        <v>24706.92</v>
      </c>
    </row>
    <row r="125" customFormat="false" ht="15" hidden="false" customHeight="false" outlineLevel="0" collapsed="false">
      <c r="A125" s="12" t="s">
        <v>155</v>
      </c>
      <c r="B125" s="13" t="n">
        <v>840.97</v>
      </c>
    </row>
    <row r="126" customFormat="false" ht="15" hidden="false" customHeight="false" outlineLevel="0" collapsed="false">
      <c r="A126" s="12" t="s">
        <v>156</v>
      </c>
      <c r="B126" s="13" t="n">
        <v>259.98</v>
      </c>
    </row>
    <row r="127" customFormat="false" ht="15" hidden="false" customHeight="false" outlineLevel="0" collapsed="false">
      <c r="A127" s="12" t="s">
        <v>157</v>
      </c>
      <c r="B127" s="13" t="n">
        <v>10233.4</v>
      </c>
    </row>
    <row r="128" customFormat="false" ht="15" hidden="false" customHeight="false" outlineLevel="0" collapsed="false">
      <c r="A128" s="7" t="s">
        <v>158</v>
      </c>
      <c r="B128" s="8" t="n">
        <v>-3005758.97</v>
      </c>
    </row>
    <row r="129" customFormat="false" ht="15" hidden="false" customHeight="false" outlineLevel="0" collapsed="false">
      <c r="A129" s="7" t="s">
        <v>159</v>
      </c>
      <c r="B129" s="8" t="n">
        <v>93335.53</v>
      </c>
    </row>
    <row r="130" customFormat="false" ht="15" hidden="false" customHeight="false" outlineLevel="0" collapsed="false">
      <c r="A130" s="9" t="s">
        <v>160</v>
      </c>
      <c r="B130" s="10" t="n">
        <v>93335.53</v>
      </c>
    </row>
    <row r="131" customFormat="false" ht="15" hidden="false" customHeight="false" outlineLevel="0" collapsed="false">
      <c r="A131" s="11" t="s">
        <v>159</v>
      </c>
      <c r="B131" s="10" t="n">
        <v>93335.53</v>
      </c>
    </row>
    <row r="132" customFormat="false" ht="15" hidden="false" customHeight="false" outlineLevel="0" collapsed="false">
      <c r="A132" s="12" t="s">
        <v>161</v>
      </c>
      <c r="B132" s="13" t="n">
        <v>7762.05</v>
      </c>
    </row>
    <row r="133" customFormat="false" ht="15" hidden="false" customHeight="false" outlineLevel="0" collapsed="false">
      <c r="A133" s="12" t="s">
        <v>162</v>
      </c>
      <c r="B133" s="13" t="n">
        <v>371.15</v>
      </c>
    </row>
    <row r="134" customFormat="false" ht="15" hidden="false" customHeight="false" outlineLevel="0" collapsed="false">
      <c r="A134" s="12" t="s">
        <v>163</v>
      </c>
      <c r="B134" s="13" t="n">
        <v>60587.05</v>
      </c>
    </row>
    <row r="135" customFormat="false" ht="15" hidden="false" customHeight="false" outlineLevel="0" collapsed="false">
      <c r="A135" s="12" t="s">
        <v>164</v>
      </c>
      <c r="B135" s="13" t="n">
        <v>24615.28</v>
      </c>
    </row>
    <row r="136" customFormat="false" ht="15" hidden="false" customHeight="false" outlineLevel="0" collapsed="false">
      <c r="A136" s="7" t="s">
        <v>167</v>
      </c>
      <c r="B136" s="8" t="n">
        <v>-49328.37</v>
      </c>
    </row>
    <row r="137" customFormat="false" ht="15" hidden="false" customHeight="false" outlineLevel="0" collapsed="false">
      <c r="A137" s="9" t="s">
        <v>160</v>
      </c>
      <c r="B137" s="10" t="n">
        <v>49328.37</v>
      </c>
    </row>
    <row r="138" customFormat="false" ht="15" hidden="false" customHeight="false" outlineLevel="0" collapsed="false">
      <c r="A138" s="11" t="s">
        <v>167</v>
      </c>
      <c r="B138" s="10" t="n">
        <v>49328.37</v>
      </c>
    </row>
    <row r="139" customFormat="false" ht="15" hidden="false" customHeight="false" outlineLevel="0" collapsed="false">
      <c r="A139" s="12" t="s">
        <v>168</v>
      </c>
      <c r="B139" s="13" t="n">
        <v>43227.64</v>
      </c>
    </row>
    <row r="140" customFormat="false" ht="15" hidden="false" customHeight="false" outlineLevel="0" collapsed="false">
      <c r="A140" s="12" t="s">
        <v>169</v>
      </c>
      <c r="B140" s="13" t="n">
        <v>791.64</v>
      </c>
    </row>
    <row r="141" customFormat="false" ht="15" hidden="false" customHeight="false" outlineLevel="0" collapsed="false">
      <c r="A141" s="12" t="s">
        <v>170</v>
      </c>
      <c r="B141" s="13" t="n">
        <v>3627.73</v>
      </c>
    </row>
    <row r="142" customFormat="false" ht="15" hidden="false" customHeight="false" outlineLevel="0" collapsed="false">
      <c r="A142" s="12" t="s">
        <v>175</v>
      </c>
      <c r="B142" s="13" t="n">
        <v>1248.3</v>
      </c>
    </row>
    <row r="143" customFormat="false" ht="15" hidden="false" customHeight="false" outlineLevel="0" collapsed="false">
      <c r="A143" s="12" t="s">
        <v>176</v>
      </c>
      <c r="B143" s="13" t="n">
        <v>433.06</v>
      </c>
    </row>
    <row r="144" customFormat="false" ht="15" hidden="false" customHeight="false" outlineLevel="0" collapsed="false">
      <c r="A144" s="7" t="s">
        <v>177</v>
      </c>
      <c r="B144" s="8" t="n">
        <v>1392.5</v>
      </c>
    </row>
    <row r="145" customFormat="false" ht="15" hidden="false" customHeight="false" outlineLevel="0" collapsed="false">
      <c r="A145" s="9" t="s">
        <v>178</v>
      </c>
      <c r="B145" s="10" t="n">
        <v>1392.5</v>
      </c>
    </row>
    <row r="146" customFormat="false" ht="15" hidden="false" customHeight="false" outlineLevel="0" collapsed="false">
      <c r="A146" s="11" t="s">
        <v>178</v>
      </c>
      <c r="B146" s="10" t="n">
        <v>1392.5</v>
      </c>
    </row>
    <row r="147" customFormat="false" ht="15" hidden="false" customHeight="false" outlineLevel="0" collapsed="false">
      <c r="A147" s="12" t="s">
        <v>184</v>
      </c>
      <c r="B147" s="13" t="n">
        <v>1207</v>
      </c>
    </row>
    <row r="148" customFormat="false" ht="15" hidden="false" customHeight="false" outlineLevel="0" collapsed="false">
      <c r="A148" s="12" t="s">
        <v>186</v>
      </c>
      <c r="B148" s="13" t="n">
        <v>185.5</v>
      </c>
    </row>
    <row r="149" customFormat="false" ht="15" hidden="false" customHeight="false" outlineLevel="0" collapsed="false">
      <c r="A149" s="7" t="s">
        <v>187</v>
      </c>
      <c r="B149" s="8" t="n">
        <v>-22022.25</v>
      </c>
    </row>
    <row r="150" customFormat="false" ht="15" hidden="false" customHeight="false" outlineLevel="0" collapsed="false">
      <c r="A150" s="9" t="s">
        <v>188</v>
      </c>
      <c r="B150" s="10" t="n">
        <v>22022.25</v>
      </c>
    </row>
    <row r="151" customFormat="false" ht="15" hidden="false" customHeight="false" outlineLevel="0" collapsed="false">
      <c r="A151" s="11" t="s">
        <v>188</v>
      </c>
      <c r="B151" s="10" t="n">
        <v>22022.25</v>
      </c>
    </row>
    <row r="152" customFormat="false" ht="15" hidden="false" customHeight="false" outlineLevel="0" collapsed="false">
      <c r="A152" s="12" t="s">
        <v>189</v>
      </c>
      <c r="B152" s="13" t="n">
        <v>3119</v>
      </c>
    </row>
    <row r="153" customFormat="false" ht="15" hidden="false" customHeight="false" outlineLevel="0" collapsed="false">
      <c r="A153" s="12" t="s">
        <v>190</v>
      </c>
      <c r="B153" s="13" t="n">
        <v>9716.25</v>
      </c>
    </row>
    <row r="154" customFormat="false" ht="15" hidden="false" customHeight="false" outlineLevel="0" collapsed="false">
      <c r="A154" s="12" t="s">
        <v>188</v>
      </c>
      <c r="B154" s="13" t="n">
        <v>9187</v>
      </c>
    </row>
    <row r="155" customFormat="false" ht="15" hidden="false" customHeight="false" outlineLevel="0" collapsed="false">
      <c r="A155" s="7" t="s">
        <v>191</v>
      </c>
      <c r="B155" s="8" t="n">
        <v>-2982381.56</v>
      </c>
    </row>
    <row r="156" customFormat="false" ht="15" hidden="false" customHeight="false" outlineLevel="0" collapsed="false">
      <c r="A156" s="7" t="s">
        <v>192</v>
      </c>
      <c r="B156" s="8" t="n">
        <v>-2982381.56</v>
      </c>
    </row>
    <row r="157" customFormat="false" ht="15" hidden="false" customHeight="false" outlineLevel="0" collapsed="false">
      <c r="A157" s="7" t="s">
        <v>193</v>
      </c>
      <c r="B157" s="8" t="n">
        <v>-2982381.56</v>
      </c>
    </row>
    <row r="159" customFormat="false" ht="15" hidden="false" customHeight="true" outlineLevel="0" collapsed="false">
      <c r="A159" s="14" t="s">
        <v>207</v>
      </c>
      <c r="B159" s="14"/>
    </row>
    <row r="161" customFormat="false" ht="15" hidden="false" customHeight="false" outlineLevel="0" collapsed="false">
      <c r="A161" s="15" t="s">
        <v>198</v>
      </c>
      <c r="B161" s="15" t="s">
        <v>199</v>
      </c>
    </row>
    <row r="162" customFormat="false" ht="15" hidden="false" customHeight="false" outlineLevel="0" collapsed="false">
      <c r="A162" s="16" t="s">
        <v>200</v>
      </c>
      <c r="B162" s="16" t="s">
        <v>201</v>
      </c>
    </row>
    <row r="163" customFormat="false" ht="15" hidden="false" customHeight="false" outlineLevel="0" collapsed="false">
      <c r="A163" s="16" t="s">
        <v>202</v>
      </c>
      <c r="B163" s="16" t="s">
        <v>203</v>
      </c>
    </row>
  </sheetData>
  <mergeCells count="1">
    <mergeCell ref="A159:B159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9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194</v>
      </c>
    </row>
    <row r="3" customFormat="false" ht="15" hidden="false" customHeight="false" outlineLevel="0" collapsed="false">
      <c r="A3" s="3" t="s">
        <v>208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196</v>
      </c>
    </row>
    <row r="8" customFormat="false" ht="15" hidden="false" customHeight="false" outlineLevel="0" collapsed="false">
      <c r="A8" s="7" t="s">
        <v>15</v>
      </c>
      <c r="B8" s="8" t="n">
        <v>4724378.42</v>
      </c>
    </row>
    <row r="9" customFormat="false" ht="15" hidden="false" customHeight="false" outlineLevel="0" collapsed="false">
      <c r="A9" s="9" t="s">
        <v>16</v>
      </c>
      <c r="B9" s="10" t="n">
        <v>4736464.58</v>
      </c>
    </row>
    <row r="10" customFormat="false" ht="15" hidden="false" customHeight="false" outlineLevel="0" collapsed="false">
      <c r="A10" s="11" t="s">
        <v>17</v>
      </c>
      <c r="B10" s="10" t="n">
        <v>4736464.58</v>
      </c>
    </row>
    <row r="11" customFormat="false" ht="15" hidden="false" customHeight="false" outlineLevel="0" collapsed="false">
      <c r="A11" s="12" t="s">
        <v>18</v>
      </c>
      <c r="B11" s="13" t="n">
        <v>4715511.09</v>
      </c>
    </row>
    <row r="12" customFormat="false" ht="15" hidden="false" customHeight="false" outlineLevel="0" collapsed="false">
      <c r="A12" s="12" t="s">
        <v>20</v>
      </c>
      <c r="B12" s="13" t="n">
        <v>20953.49</v>
      </c>
    </row>
    <row r="13" customFormat="false" ht="15" hidden="false" customHeight="false" outlineLevel="0" collapsed="false">
      <c r="A13" s="11" t="s">
        <v>21</v>
      </c>
      <c r="B13" s="10" t="n">
        <v>605033.01</v>
      </c>
    </row>
    <row r="14" customFormat="false" ht="15" hidden="false" customHeight="false" outlineLevel="0" collapsed="false">
      <c r="A14" s="12" t="s">
        <v>22</v>
      </c>
      <c r="B14" s="13" t="n">
        <v>237498.65</v>
      </c>
    </row>
    <row r="15" customFormat="false" ht="15" hidden="false" customHeight="false" outlineLevel="0" collapsed="false">
      <c r="A15" s="12" t="s">
        <v>23</v>
      </c>
      <c r="B15" s="13" t="n">
        <v>367534.36</v>
      </c>
    </row>
    <row r="16" customFormat="false" ht="15" hidden="false" customHeight="false" outlineLevel="0" collapsed="false">
      <c r="A16" s="11" t="s">
        <v>26</v>
      </c>
      <c r="B16" s="10" t="n">
        <v>324413.42</v>
      </c>
    </row>
    <row r="17" customFormat="false" ht="15" hidden="false" customHeight="false" outlineLevel="0" collapsed="false">
      <c r="A17" s="12" t="s">
        <v>27</v>
      </c>
      <c r="B17" s="13" t="n">
        <v>214665.07</v>
      </c>
    </row>
    <row r="18" customFormat="false" ht="15" hidden="false" customHeight="false" outlineLevel="0" collapsed="false">
      <c r="A18" s="12" t="s">
        <v>28</v>
      </c>
      <c r="B18" s="13" t="n">
        <v>109748.35</v>
      </c>
    </row>
    <row r="19" customFormat="false" ht="15" hidden="false" customHeight="false" outlineLevel="0" collapsed="false">
      <c r="A19" s="11" t="s">
        <v>29</v>
      </c>
      <c r="B19" s="10" t="n">
        <v>941532.59</v>
      </c>
    </row>
    <row r="20" customFormat="false" ht="15" hidden="false" customHeight="false" outlineLevel="0" collapsed="false">
      <c r="A20" s="12" t="s">
        <v>30</v>
      </c>
      <c r="B20" s="13" t="n">
        <v>27921.59</v>
      </c>
    </row>
    <row r="21" customFormat="false" ht="15" hidden="false" customHeight="false" outlineLevel="0" collapsed="false">
      <c r="A21" s="12" t="s">
        <v>31</v>
      </c>
      <c r="B21" s="13" t="n">
        <v>742405.23</v>
      </c>
    </row>
    <row r="22" customFormat="false" ht="15" hidden="false" customHeight="false" outlineLevel="0" collapsed="false">
      <c r="A22" s="12" t="s">
        <v>32</v>
      </c>
      <c r="B22" s="13" t="n">
        <v>26434</v>
      </c>
    </row>
    <row r="23" customFormat="false" ht="15" hidden="false" customHeight="false" outlineLevel="0" collapsed="false">
      <c r="A23" s="12" t="s">
        <v>33</v>
      </c>
      <c r="B23" s="13" t="n">
        <v>122002.84</v>
      </c>
    </row>
    <row r="24" customFormat="false" ht="15" hidden="false" customHeight="false" outlineLevel="0" collapsed="false">
      <c r="A24" s="12" t="s">
        <v>34</v>
      </c>
      <c r="B24" s="13" t="n">
        <v>3292.44</v>
      </c>
    </row>
    <row r="25" customFormat="false" ht="15" hidden="false" customHeight="false" outlineLevel="0" collapsed="false">
      <c r="A25" s="12" t="s">
        <v>35</v>
      </c>
      <c r="B25" s="13" t="n">
        <v>19437.86</v>
      </c>
    </row>
    <row r="26" customFormat="false" ht="15" hidden="false" customHeight="false" outlineLevel="0" collapsed="false">
      <c r="A26" s="12" t="s">
        <v>36</v>
      </c>
      <c r="B26" s="13" t="n">
        <v>38.63</v>
      </c>
    </row>
    <row r="27" customFormat="false" ht="15" hidden="false" customHeight="false" outlineLevel="0" collapsed="false">
      <c r="A27" s="7" t="s">
        <v>39</v>
      </c>
      <c r="B27" s="8" t="n">
        <v>-9701.07</v>
      </c>
    </row>
    <row r="28" customFormat="false" ht="15" hidden="false" customHeight="false" outlineLevel="0" collapsed="false">
      <c r="A28" s="9" t="s">
        <v>40</v>
      </c>
      <c r="B28" s="10" t="n">
        <v>9701.07</v>
      </c>
    </row>
    <row r="29" customFormat="false" ht="15" hidden="false" customHeight="false" outlineLevel="0" collapsed="false">
      <c r="A29" s="11" t="s">
        <v>41</v>
      </c>
      <c r="B29" s="10" t="n">
        <v>9701.07</v>
      </c>
    </row>
    <row r="30" customFormat="false" ht="15" hidden="false" customHeight="false" outlineLevel="0" collapsed="false">
      <c r="A30" s="12" t="s">
        <v>42</v>
      </c>
      <c r="B30" s="13" t="n">
        <v>4389.57</v>
      </c>
    </row>
    <row r="31" customFormat="false" ht="15" hidden="false" customHeight="false" outlineLevel="0" collapsed="false">
      <c r="A31" s="12" t="s">
        <v>44</v>
      </c>
      <c r="B31" s="13" t="n">
        <v>5311.5</v>
      </c>
    </row>
    <row r="32" customFormat="false" ht="15" hidden="false" customHeight="false" outlineLevel="0" collapsed="false">
      <c r="A32" s="7" t="s">
        <v>46</v>
      </c>
      <c r="B32" s="8" t="n">
        <v>4714677.35</v>
      </c>
    </row>
    <row r="33" customFormat="false" ht="15" hidden="false" customHeight="false" outlineLevel="0" collapsed="false">
      <c r="A33" s="7" t="s">
        <v>47</v>
      </c>
      <c r="B33" s="8" t="n">
        <v>-4933376.04</v>
      </c>
    </row>
    <row r="34" customFormat="false" ht="15" hidden="false" customHeight="false" outlineLevel="0" collapsed="false">
      <c r="A34" s="9" t="s">
        <v>48</v>
      </c>
      <c r="B34" s="10" t="n">
        <v>4933376.04</v>
      </c>
    </row>
    <row r="35" customFormat="false" ht="15" hidden="false" customHeight="false" outlineLevel="0" collapsed="false">
      <c r="A35" s="11" t="s">
        <v>49</v>
      </c>
      <c r="B35" s="10" t="n">
        <v>3349307.06</v>
      </c>
    </row>
    <row r="36" customFormat="false" ht="15" hidden="false" customHeight="false" outlineLevel="0" collapsed="false">
      <c r="A36" s="12" t="s">
        <v>51</v>
      </c>
      <c r="B36" s="13" t="n">
        <v>3255247.02</v>
      </c>
    </row>
    <row r="37" customFormat="false" ht="15" hidden="false" customHeight="false" outlineLevel="0" collapsed="false">
      <c r="A37" s="12" t="s">
        <v>53</v>
      </c>
      <c r="B37" s="13" t="n">
        <v>94060.04</v>
      </c>
    </row>
    <row r="38" customFormat="false" ht="15" hidden="false" customHeight="false" outlineLevel="0" collapsed="false">
      <c r="A38" s="11" t="s">
        <v>54</v>
      </c>
      <c r="B38" s="10" t="n">
        <v>501384.07</v>
      </c>
    </row>
    <row r="39" customFormat="false" ht="15" hidden="false" customHeight="false" outlineLevel="0" collapsed="false">
      <c r="A39" s="12" t="s">
        <v>54</v>
      </c>
      <c r="B39" s="13" t="n">
        <v>501384.07</v>
      </c>
    </row>
    <row r="40" customFormat="false" ht="15" hidden="false" customHeight="false" outlineLevel="0" collapsed="false">
      <c r="A40" s="12" t="s">
        <v>55</v>
      </c>
      <c r="B40" s="13" t="n">
        <v>75710.68</v>
      </c>
    </row>
    <row r="41" customFormat="false" ht="15" hidden="false" customHeight="false" outlineLevel="0" collapsed="false">
      <c r="A41" s="12" t="s">
        <v>56</v>
      </c>
      <c r="B41" s="13" t="n">
        <v>38900.44</v>
      </c>
    </row>
    <row r="42" customFormat="false" ht="15" hidden="false" customHeight="false" outlineLevel="0" collapsed="false">
      <c r="A42" s="12" t="s">
        <v>57</v>
      </c>
      <c r="B42" s="13" t="n">
        <v>37374.88</v>
      </c>
    </row>
    <row r="43" customFormat="false" ht="15" hidden="false" customHeight="false" outlineLevel="0" collapsed="false">
      <c r="A43" s="12" t="s">
        <v>58</v>
      </c>
      <c r="B43" s="13" t="n">
        <v>349398.07</v>
      </c>
    </row>
    <row r="44" customFormat="false" ht="15" hidden="false" customHeight="false" outlineLevel="0" collapsed="false">
      <c r="A44" s="11" t="s">
        <v>59</v>
      </c>
      <c r="B44" s="10" t="n">
        <v>1082684.91</v>
      </c>
    </row>
    <row r="45" customFormat="false" ht="15" hidden="false" customHeight="false" outlineLevel="0" collapsed="false">
      <c r="A45" s="12" t="s">
        <v>60</v>
      </c>
      <c r="B45" s="13" t="n">
        <v>625118.23</v>
      </c>
    </row>
    <row r="46" customFormat="false" ht="15" hidden="false" customHeight="false" outlineLevel="0" collapsed="false">
      <c r="A46" s="12" t="s">
        <v>61</v>
      </c>
      <c r="B46" s="13" t="n">
        <v>8782.77</v>
      </c>
    </row>
    <row r="47" customFormat="false" ht="15" hidden="false" customHeight="false" outlineLevel="0" collapsed="false">
      <c r="A47" s="12" t="s">
        <v>64</v>
      </c>
      <c r="B47" s="13" t="n">
        <v>3516.04</v>
      </c>
    </row>
    <row r="48" customFormat="false" ht="15" hidden="false" customHeight="false" outlineLevel="0" collapsed="false">
      <c r="A48" s="12" t="s">
        <v>65</v>
      </c>
      <c r="B48" s="13" t="n">
        <v>71521.6</v>
      </c>
    </row>
    <row r="49" customFormat="false" ht="15" hidden="false" customHeight="false" outlineLevel="0" collapsed="false">
      <c r="A49" s="12" t="s">
        <v>66</v>
      </c>
      <c r="B49" s="13" t="n">
        <v>53386.82</v>
      </c>
    </row>
    <row r="50" customFormat="false" ht="15" hidden="false" customHeight="false" outlineLevel="0" collapsed="false">
      <c r="A50" s="12" t="s">
        <v>67</v>
      </c>
      <c r="B50" s="13" t="n">
        <v>52000.6</v>
      </c>
    </row>
    <row r="51" customFormat="false" ht="15" hidden="false" customHeight="false" outlineLevel="0" collapsed="false">
      <c r="A51" s="12" t="s">
        <v>68</v>
      </c>
      <c r="B51" s="13" t="n">
        <v>190801.82</v>
      </c>
    </row>
    <row r="52" customFormat="false" ht="15" hidden="false" customHeight="false" outlineLevel="0" collapsed="false">
      <c r="A52" s="12" t="s">
        <v>70</v>
      </c>
      <c r="B52" s="13" t="n">
        <v>5720.75</v>
      </c>
    </row>
    <row r="53" customFormat="false" ht="15" hidden="false" customHeight="false" outlineLevel="0" collapsed="false">
      <c r="A53" s="12" t="s">
        <v>71</v>
      </c>
      <c r="B53" s="13" t="n">
        <v>20938.25</v>
      </c>
    </row>
    <row r="54" customFormat="false" ht="15" hidden="false" customHeight="false" outlineLevel="0" collapsed="false">
      <c r="A54" s="12" t="s">
        <v>72</v>
      </c>
      <c r="B54" s="13" t="n">
        <v>15628.07</v>
      </c>
    </row>
    <row r="55" customFormat="false" ht="15" hidden="false" customHeight="false" outlineLevel="0" collapsed="false">
      <c r="A55" s="12" t="s">
        <v>73</v>
      </c>
      <c r="B55" s="13" t="n">
        <v>4269.96</v>
      </c>
    </row>
    <row r="56" customFormat="false" ht="15" hidden="false" customHeight="false" outlineLevel="0" collapsed="false">
      <c r="A56" s="12" t="s">
        <v>74</v>
      </c>
      <c r="B56" s="13" t="n">
        <v>31000</v>
      </c>
    </row>
    <row r="57" customFormat="false" ht="15" hidden="false" customHeight="false" outlineLevel="0" collapsed="false">
      <c r="A57" s="7" t="s">
        <v>75</v>
      </c>
      <c r="B57" s="8" t="n">
        <v>-218698.69</v>
      </c>
    </row>
    <row r="58" customFormat="false" ht="15" hidden="false" customHeight="false" outlineLevel="0" collapsed="false">
      <c r="A58" s="7" t="s">
        <v>76</v>
      </c>
      <c r="B58" s="8" t="n">
        <v>-1142219.21</v>
      </c>
    </row>
    <row r="59" customFormat="false" ht="15" hidden="false" customHeight="false" outlineLevel="0" collapsed="false">
      <c r="A59" s="9" t="s">
        <v>77</v>
      </c>
      <c r="B59" s="10" t="n">
        <v>328077.09</v>
      </c>
    </row>
    <row r="60" customFormat="false" ht="15" hidden="false" customHeight="false" outlineLevel="0" collapsed="false">
      <c r="A60" s="11" t="s">
        <v>78</v>
      </c>
      <c r="B60" s="10" t="n">
        <v>328077.09</v>
      </c>
    </row>
    <row r="61" customFormat="false" ht="15" hidden="false" customHeight="false" outlineLevel="0" collapsed="false">
      <c r="A61" s="12" t="s">
        <v>79</v>
      </c>
      <c r="B61" s="13" t="n">
        <v>1402.33</v>
      </c>
    </row>
    <row r="62" customFormat="false" ht="15" hidden="false" customHeight="false" outlineLevel="0" collapsed="false">
      <c r="A62" s="12" t="s">
        <v>80</v>
      </c>
      <c r="B62" s="13" t="n">
        <v>143302</v>
      </c>
    </row>
    <row r="63" customFormat="false" ht="15" hidden="false" customHeight="false" outlineLevel="0" collapsed="false">
      <c r="A63" s="12" t="s">
        <v>82</v>
      </c>
      <c r="B63" s="13" t="n">
        <v>8639.41</v>
      </c>
    </row>
    <row r="64" customFormat="false" ht="15" hidden="false" customHeight="false" outlineLevel="0" collapsed="false">
      <c r="A64" s="12" t="s">
        <v>83</v>
      </c>
      <c r="B64" s="13" t="n">
        <v>7311.69</v>
      </c>
    </row>
    <row r="65" customFormat="false" ht="15" hidden="false" customHeight="false" outlineLevel="0" collapsed="false">
      <c r="A65" s="12" t="s">
        <v>84</v>
      </c>
      <c r="B65" s="13" t="n">
        <v>16248.49</v>
      </c>
    </row>
    <row r="66" customFormat="false" ht="15" hidden="false" customHeight="false" outlineLevel="0" collapsed="false">
      <c r="A66" s="12" t="s">
        <v>85</v>
      </c>
      <c r="B66" s="13" t="n">
        <v>515.53</v>
      </c>
    </row>
    <row r="67" customFormat="false" ht="15" hidden="false" customHeight="false" outlineLevel="0" collapsed="false">
      <c r="A67" s="12" t="s">
        <v>86</v>
      </c>
      <c r="B67" s="13" t="n">
        <v>34326.1</v>
      </c>
    </row>
    <row r="68" customFormat="false" ht="15" hidden="false" customHeight="false" outlineLevel="0" collapsed="false">
      <c r="A68" s="12" t="s">
        <v>87</v>
      </c>
      <c r="B68" s="13" t="n">
        <v>633.85</v>
      </c>
    </row>
    <row r="69" customFormat="false" ht="15" hidden="false" customHeight="false" outlineLevel="0" collapsed="false">
      <c r="A69" s="12" t="s">
        <v>88</v>
      </c>
      <c r="B69" s="13" t="n">
        <v>1028</v>
      </c>
    </row>
    <row r="70" customFormat="false" ht="15" hidden="false" customHeight="false" outlineLevel="0" collapsed="false">
      <c r="A70" s="12" t="s">
        <v>89</v>
      </c>
      <c r="B70" s="13" t="n">
        <v>13373.4</v>
      </c>
    </row>
    <row r="71" customFormat="false" ht="15" hidden="false" customHeight="false" outlineLevel="0" collapsed="false">
      <c r="A71" s="12" t="s">
        <v>90</v>
      </c>
      <c r="B71" s="13" t="n">
        <v>10053.13</v>
      </c>
    </row>
    <row r="72" customFormat="false" ht="15" hidden="false" customHeight="false" outlineLevel="0" collapsed="false">
      <c r="A72" s="12" t="s">
        <v>91</v>
      </c>
      <c r="B72" s="13" t="n">
        <v>78928</v>
      </c>
    </row>
    <row r="73" customFormat="false" ht="15" hidden="false" customHeight="false" outlineLevel="0" collapsed="false">
      <c r="A73" s="12" t="s">
        <v>92</v>
      </c>
      <c r="B73" s="13" t="n">
        <v>398.16</v>
      </c>
    </row>
    <row r="74" customFormat="false" ht="15" hidden="false" customHeight="false" outlineLevel="0" collapsed="false">
      <c r="A74" s="12" t="s">
        <v>93</v>
      </c>
      <c r="B74" s="13" t="n">
        <v>1559</v>
      </c>
    </row>
    <row r="75" customFormat="false" ht="15" hidden="false" customHeight="false" outlineLevel="0" collapsed="false">
      <c r="A75" s="12" t="s">
        <v>94</v>
      </c>
      <c r="B75" s="13" t="n">
        <v>10358</v>
      </c>
    </row>
    <row r="76" customFormat="false" ht="15" hidden="false" customHeight="false" outlineLevel="0" collapsed="false">
      <c r="A76" s="11" t="s">
        <v>95</v>
      </c>
      <c r="B76" s="10" t="n">
        <v>79224.68</v>
      </c>
    </row>
    <row r="77" customFormat="false" ht="15" hidden="false" customHeight="false" outlineLevel="0" collapsed="false">
      <c r="A77" s="12" t="s">
        <v>96</v>
      </c>
      <c r="B77" s="13" t="n">
        <v>9228.62</v>
      </c>
    </row>
    <row r="78" customFormat="false" ht="15" hidden="false" customHeight="false" outlineLevel="0" collapsed="false">
      <c r="A78" s="12" t="s">
        <v>97</v>
      </c>
      <c r="B78" s="13" t="n">
        <v>38149.57</v>
      </c>
    </row>
    <row r="79" customFormat="false" ht="15" hidden="false" customHeight="false" outlineLevel="0" collapsed="false">
      <c r="A79" s="12" t="s">
        <v>99</v>
      </c>
      <c r="B79" s="13" t="n">
        <v>1042.36</v>
      </c>
    </row>
    <row r="80" customFormat="false" ht="15" hidden="false" customHeight="false" outlineLevel="0" collapsed="false">
      <c r="A80" s="12" t="s">
        <v>100</v>
      </c>
      <c r="B80" s="13" t="n">
        <v>3917.87</v>
      </c>
    </row>
    <row r="81" customFormat="false" ht="15" hidden="false" customHeight="false" outlineLevel="0" collapsed="false">
      <c r="A81" s="12" t="s">
        <v>101</v>
      </c>
      <c r="B81" s="13" t="n">
        <v>2945.35</v>
      </c>
    </row>
    <row r="82" customFormat="false" ht="15" hidden="false" customHeight="false" outlineLevel="0" collapsed="false">
      <c r="A82" s="12" t="s">
        <v>102</v>
      </c>
      <c r="B82" s="13" t="n">
        <v>783.61</v>
      </c>
    </row>
    <row r="83" customFormat="false" ht="15" hidden="false" customHeight="false" outlineLevel="0" collapsed="false">
      <c r="A83" s="12" t="s">
        <v>103</v>
      </c>
      <c r="B83" s="13" t="n">
        <v>23157.3</v>
      </c>
    </row>
    <row r="84" customFormat="false" ht="15" hidden="false" customHeight="false" outlineLevel="0" collapsed="false">
      <c r="A84" s="9" t="s">
        <v>104</v>
      </c>
      <c r="B84" s="10" t="n">
        <v>734917.44</v>
      </c>
    </row>
    <row r="85" customFormat="false" ht="15" hidden="false" customHeight="false" outlineLevel="0" collapsed="false">
      <c r="A85" s="11" t="s">
        <v>105</v>
      </c>
      <c r="B85" s="10" t="n">
        <v>734917.44</v>
      </c>
    </row>
    <row r="86" customFormat="false" ht="15" hidden="false" customHeight="false" outlineLevel="0" collapsed="false">
      <c r="A86" s="12" t="s">
        <v>106</v>
      </c>
      <c r="B86" s="13" t="n">
        <v>52.56</v>
      </c>
    </row>
    <row r="87" customFormat="false" ht="15" hidden="false" customHeight="false" outlineLevel="0" collapsed="false">
      <c r="A87" s="12" t="s">
        <v>107</v>
      </c>
      <c r="B87" s="13" t="n">
        <v>47574.25</v>
      </c>
    </row>
    <row r="88" customFormat="false" ht="15" hidden="false" customHeight="false" outlineLevel="0" collapsed="false">
      <c r="A88" s="12" t="s">
        <v>108</v>
      </c>
      <c r="B88" s="13" t="n">
        <v>3431.16</v>
      </c>
    </row>
    <row r="89" customFormat="false" ht="15" hidden="false" customHeight="false" outlineLevel="0" collapsed="false">
      <c r="A89" s="12" t="s">
        <v>109</v>
      </c>
      <c r="B89" s="13" t="n">
        <v>161730.52</v>
      </c>
    </row>
    <row r="90" customFormat="false" ht="15" hidden="false" customHeight="false" outlineLevel="0" collapsed="false">
      <c r="A90" s="12" t="s">
        <v>110</v>
      </c>
      <c r="B90" s="13" t="n">
        <v>15572.7</v>
      </c>
    </row>
    <row r="91" customFormat="false" ht="15" hidden="false" customHeight="false" outlineLevel="0" collapsed="false">
      <c r="A91" s="12" t="s">
        <v>111</v>
      </c>
      <c r="B91" s="13" t="n">
        <v>425</v>
      </c>
    </row>
    <row r="92" customFormat="false" ht="15" hidden="false" customHeight="false" outlineLevel="0" collapsed="false">
      <c r="A92" s="12" t="s">
        <v>112</v>
      </c>
      <c r="B92" s="13" t="n">
        <v>120949.01</v>
      </c>
    </row>
    <row r="93" customFormat="false" ht="15" hidden="false" customHeight="false" outlineLevel="0" collapsed="false">
      <c r="A93" s="12" t="s">
        <v>113</v>
      </c>
      <c r="B93" s="13" t="n">
        <v>30842.14</v>
      </c>
    </row>
    <row r="94" customFormat="false" ht="15" hidden="false" customHeight="false" outlineLevel="0" collapsed="false">
      <c r="A94" s="12" t="s">
        <v>114</v>
      </c>
      <c r="B94" s="13" t="n">
        <v>8520.95</v>
      </c>
    </row>
    <row r="95" customFormat="false" ht="15" hidden="false" customHeight="false" outlineLevel="0" collapsed="false">
      <c r="A95" s="12" t="s">
        <v>115</v>
      </c>
      <c r="B95" s="13" t="n">
        <v>5073.21</v>
      </c>
    </row>
    <row r="96" customFormat="false" ht="15" hidden="false" customHeight="false" outlineLevel="0" collapsed="false">
      <c r="A96" s="12" t="s">
        <v>116</v>
      </c>
      <c r="B96" s="13" t="n">
        <v>5330.98</v>
      </c>
    </row>
    <row r="97" customFormat="false" ht="15" hidden="false" customHeight="false" outlineLevel="0" collapsed="false">
      <c r="A97" s="12" t="s">
        <v>117</v>
      </c>
      <c r="B97" s="13" t="n">
        <v>40767.51</v>
      </c>
    </row>
    <row r="98" customFormat="false" ht="15" hidden="false" customHeight="false" outlineLevel="0" collapsed="false">
      <c r="A98" s="12" t="s">
        <v>118</v>
      </c>
      <c r="B98" s="13" t="n">
        <v>73382.83</v>
      </c>
    </row>
    <row r="99" customFormat="false" ht="15" hidden="false" customHeight="false" outlineLevel="0" collapsed="false">
      <c r="A99" s="12" t="s">
        <v>119</v>
      </c>
      <c r="B99" s="13" t="n">
        <v>150</v>
      </c>
    </row>
    <row r="100" customFormat="false" ht="15" hidden="false" customHeight="false" outlineLevel="0" collapsed="false">
      <c r="A100" s="12" t="s">
        <v>122</v>
      </c>
      <c r="B100" s="13" t="n">
        <v>2828.01</v>
      </c>
    </row>
    <row r="101" customFormat="false" ht="15" hidden="false" customHeight="false" outlineLevel="0" collapsed="false">
      <c r="A101" s="12" t="s">
        <v>124</v>
      </c>
      <c r="B101" s="13" t="n">
        <v>3067.12</v>
      </c>
    </row>
    <row r="102" customFormat="false" ht="15" hidden="false" customHeight="false" outlineLevel="0" collapsed="false">
      <c r="A102" s="12" t="s">
        <v>125</v>
      </c>
      <c r="B102" s="13" t="n">
        <v>3123.01</v>
      </c>
    </row>
    <row r="103" customFormat="false" ht="15" hidden="false" customHeight="false" outlineLevel="0" collapsed="false">
      <c r="A103" s="12" t="s">
        <v>127</v>
      </c>
      <c r="B103" s="13" t="n">
        <v>6461.79</v>
      </c>
    </row>
    <row r="104" customFormat="false" ht="15" hidden="false" customHeight="false" outlineLevel="0" collapsed="false">
      <c r="A104" s="12" t="s">
        <v>129</v>
      </c>
      <c r="B104" s="13" t="n">
        <v>5321.83</v>
      </c>
    </row>
    <row r="105" customFormat="false" ht="15" hidden="false" customHeight="false" outlineLevel="0" collapsed="false">
      <c r="A105" s="12" t="s">
        <v>131</v>
      </c>
      <c r="B105" s="13" t="n">
        <v>5873.83</v>
      </c>
    </row>
    <row r="106" customFormat="false" ht="15" hidden="false" customHeight="false" outlineLevel="0" collapsed="false">
      <c r="A106" s="12" t="s">
        <v>133</v>
      </c>
      <c r="B106" s="13" t="n">
        <v>966.9</v>
      </c>
    </row>
    <row r="107" customFormat="false" ht="15" hidden="false" customHeight="false" outlineLevel="0" collapsed="false">
      <c r="A107" s="12" t="s">
        <v>135</v>
      </c>
      <c r="B107" s="13" t="n">
        <v>2888.59</v>
      </c>
    </row>
    <row r="108" customFormat="false" ht="15" hidden="false" customHeight="false" outlineLevel="0" collapsed="false">
      <c r="A108" s="12" t="s">
        <v>136</v>
      </c>
      <c r="B108" s="13" t="n">
        <v>7665.52</v>
      </c>
    </row>
    <row r="109" customFormat="false" ht="15" hidden="false" customHeight="false" outlineLevel="0" collapsed="false">
      <c r="A109" s="12" t="s">
        <v>137</v>
      </c>
      <c r="B109" s="13" t="n">
        <v>1170</v>
      </c>
    </row>
    <row r="110" customFormat="false" ht="15" hidden="false" customHeight="false" outlineLevel="0" collapsed="false">
      <c r="A110" s="12" t="s">
        <v>138</v>
      </c>
      <c r="B110" s="13" t="n">
        <v>1919.54</v>
      </c>
    </row>
    <row r="111" customFormat="false" ht="15" hidden="false" customHeight="false" outlineLevel="0" collapsed="false">
      <c r="A111" s="12" t="s">
        <v>139</v>
      </c>
      <c r="B111" s="13" t="n">
        <v>440.09</v>
      </c>
    </row>
    <row r="112" customFormat="false" ht="15" hidden="false" customHeight="false" outlineLevel="0" collapsed="false">
      <c r="A112" s="12" t="s">
        <v>140</v>
      </c>
      <c r="B112" s="13" t="n">
        <v>534.76</v>
      </c>
    </row>
    <row r="113" customFormat="false" ht="15" hidden="false" customHeight="false" outlineLevel="0" collapsed="false">
      <c r="A113" s="12" t="s">
        <v>142</v>
      </c>
      <c r="B113" s="13" t="n">
        <v>671.92</v>
      </c>
    </row>
    <row r="114" customFormat="false" ht="15" hidden="false" customHeight="false" outlineLevel="0" collapsed="false">
      <c r="A114" s="12" t="s">
        <v>144</v>
      </c>
      <c r="B114" s="13" t="n">
        <v>140979.93</v>
      </c>
    </row>
    <row r="115" customFormat="false" ht="15" hidden="false" customHeight="false" outlineLevel="0" collapsed="false">
      <c r="A115" s="12" t="s">
        <v>145</v>
      </c>
      <c r="B115" s="13" t="n">
        <v>4080</v>
      </c>
    </row>
    <row r="116" customFormat="false" ht="15" hidden="false" customHeight="false" outlineLevel="0" collapsed="false">
      <c r="A116" s="12" t="s">
        <v>146</v>
      </c>
      <c r="B116" s="13" t="n">
        <v>813.24</v>
      </c>
    </row>
    <row r="117" customFormat="false" ht="15" hidden="false" customHeight="false" outlineLevel="0" collapsed="false">
      <c r="A117" s="12" t="s">
        <v>147</v>
      </c>
      <c r="B117" s="13" t="n">
        <v>1400</v>
      </c>
    </row>
    <row r="118" customFormat="false" ht="15" hidden="false" customHeight="false" outlineLevel="0" collapsed="false">
      <c r="A118" s="12" t="s">
        <v>149</v>
      </c>
      <c r="B118" s="13" t="n">
        <v>2287</v>
      </c>
    </row>
    <row r="119" customFormat="false" ht="15" hidden="false" customHeight="false" outlineLevel="0" collapsed="false">
      <c r="A119" s="12" t="s">
        <v>150</v>
      </c>
      <c r="B119" s="13" t="n">
        <v>2408.53</v>
      </c>
    </row>
    <row r="120" customFormat="false" ht="15" hidden="false" customHeight="false" outlineLevel="0" collapsed="false">
      <c r="A120" s="12" t="s">
        <v>151</v>
      </c>
      <c r="B120" s="13" t="n">
        <v>878.93</v>
      </c>
    </row>
    <row r="121" customFormat="false" ht="15" hidden="false" customHeight="false" outlineLevel="0" collapsed="false">
      <c r="A121" s="12" t="s">
        <v>152</v>
      </c>
      <c r="B121" s="13" t="n">
        <v>1531.1</v>
      </c>
    </row>
    <row r="122" customFormat="false" ht="15" hidden="false" customHeight="false" outlineLevel="0" collapsed="false">
      <c r="A122" s="12" t="s">
        <v>153</v>
      </c>
      <c r="B122" s="13" t="n">
        <v>22602.98</v>
      </c>
    </row>
    <row r="123" customFormat="false" ht="15" hidden="false" customHeight="false" outlineLevel="0" collapsed="false">
      <c r="A123" s="12" t="s">
        <v>155</v>
      </c>
      <c r="B123" s="13" t="n">
        <v>1200</v>
      </c>
    </row>
    <row r="124" customFormat="false" ht="15" hidden="false" customHeight="false" outlineLevel="0" collapsed="false">
      <c r="A124" s="7" t="s">
        <v>158</v>
      </c>
      <c r="B124" s="8" t="n">
        <v>-1360917.9</v>
      </c>
    </row>
    <row r="125" customFormat="false" ht="15" hidden="false" customHeight="false" outlineLevel="0" collapsed="false">
      <c r="A125" s="7" t="s">
        <v>159</v>
      </c>
      <c r="B125" s="8" t="n">
        <v>418871.89</v>
      </c>
    </row>
    <row r="126" customFormat="false" ht="15" hidden="false" customHeight="false" outlineLevel="0" collapsed="false">
      <c r="A126" s="9" t="s">
        <v>160</v>
      </c>
      <c r="B126" s="10" t="n">
        <v>418871.89</v>
      </c>
    </row>
    <row r="127" customFormat="false" ht="15" hidden="false" customHeight="false" outlineLevel="0" collapsed="false">
      <c r="A127" s="11" t="s">
        <v>159</v>
      </c>
      <c r="B127" s="10" t="n">
        <v>418871.89</v>
      </c>
    </row>
    <row r="128" customFormat="false" ht="15" hidden="false" customHeight="false" outlineLevel="0" collapsed="false">
      <c r="A128" s="12" t="s">
        <v>161</v>
      </c>
      <c r="B128" s="13" t="n">
        <v>2996.95</v>
      </c>
    </row>
    <row r="129" customFormat="false" ht="15" hidden="false" customHeight="false" outlineLevel="0" collapsed="false">
      <c r="A129" s="12" t="s">
        <v>162</v>
      </c>
      <c r="B129" s="13" t="n">
        <v>16.01</v>
      </c>
    </row>
    <row r="130" customFormat="false" ht="15" hidden="false" customHeight="false" outlineLevel="0" collapsed="false">
      <c r="A130" s="12" t="s">
        <v>163</v>
      </c>
      <c r="B130" s="13" t="n">
        <v>408211.88</v>
      </c>
    </row>
    <row r="131" customFormat="false" ht="15" hidden="false" customHeight="false" outlineLevel="0" collapsed="false">
      <c r="A131" s="12" t="s">
        <v>164</v>
      </c>
      <c r="B131" s="13" t="n">
        <v>7647.05</v>
      </c>
    </row>
    <row r="132" customFormat="false" ht="15" hidden="false" customHeight="false" outlineLevel="0" collapsed="false">
      <c r="A132" s="7" t="s">
        <v>167</v>
      </c>
      <c r="B132" s="8" t="n">
        <v>-51216.14</v>
      </c>
    </row>
    <row r="133" customFormat="false" ht="15" hidden="false" customHeight="false" outlineLevel="0" collapsed="false">
      <c r="A133" s="9" t="s">
        <v>160</v>
      </c>
      <c r="B133" s="10" t="n">
        <v>51216.14</v>
      </c>
    </row>
    <row r="134" customFormat="false" ht="15" hidden="false" customHeight="false" outlineLevel="0" collapsed="false">
      <c r="A134" s="11" t="s">
        <v>167</v>
      </c>
      <c r="B134" s="10" t="n">
        <v>51216.14</v>
      </c>
    </row>
    <row r="135" customFormat="false" ht="15" hidden="false" customHeight="false" outlineLevel="0" collapsed="false">
      <c r="A135" s="12" t="s">
        <v>168</v>
      </c>
      <c r="B135" s="13" t="n">
        <v>44770.68</v>
      </c>
    </row>
    <row r="136" customFormat="false" ht="15" hidden="false" customHeight="false" outlineLevel="0" collapsed="false">
      <c r="A136" s="12" t="s">
        <v>169</v>
      </c>
      <c r="B136" s="13" t="n">
        <v>338</v>
      </c>
    </row>
    <row r="137" customFormat="false" ht="15" hidden="false" customHeight="false" outlineLevel="0" collapsed="false">
      <c r="A137" s="12" t="s">
        <v>170</v>
      </c>
      <c r="B137" s="13" t="n">
        <v>2806.47</v>
      </c>
    </row>
    <row r="138" customFormat="false" ht="15" hidden="false" customHeight="false" outlineLevel="0" collapsed="false">
      <c r="A138" s="12" t="s">
        <v>171</v>
      </c>
      <c r="B138" s="13" t="n">
        <v>2052.25</v>
      </c>
    </row>
    <row r="139" customFormat="false" ht="15" hidden="false" customHeight="false" outlineLevel="0" collapsed="false">
      <c r="A139" s="12" t="s">
        <v>175</v>
      </c>
      <c r="B139" s="13" t="n">
        <v>1248.74</v>
      </c>
    </row>
    <row r="140" customFormat="false" ht="15" hidden="false" customHeight="false" outlineLevel="0" collapsed="false">
      <c r="A140" s="7" t="s">
        <v>177</v>
      </c>
      <c r="B140" s="8" t="n">
        <v>1395.98</v>
      </c>
    </row>
    <row r="141" customFormat="false" ht="15" hidden="false" customHeight="false" outlineLevel="0" collapsed="false">
      <c r="A141" s="9" t="s">
        <v>178</v>
      </c>
      <c r="B141" s="10" t="n">
        <v>1395.98</v>
      </c>
    </row>
    <row r="142" customFormat="false" ht="15" hidden="false" customHeight="false" outlineLevel="0" collapsed="false">
      <c r="A142" s="11" t="s">
        <v>179</v>
      </c>
      <c r="B142" s="10" t="n">
        <v>1000</v>
      </c>
    </row>
    <row r="143" customFormat="false" ht="15" hidden="false" customHeight="false" outlineLevel="0" collapsed="false">
      <c r="A143" s="12" t="s">
        <v>180</v>
      </c>
      <c r="B143" s="13" t="n">
        <v>3000</v>
      </c>
    </row>
    <row r="144" customFormat="false" ht="15" hidden="false" customHeight="false" outlineLevel="0" collapsed="false">
      <c r="A144" s="12" t="s">
        <v>182</v>
      </c>
      <c r="B144" s="13" t="n">
        <v>2000</v>
      </c>
    </row>
    <row r="145" customFormat="false" ht="15" hidden="false" customHeight="false" outlineLevel="0" collapsed="false">
      <c r="A145" s="11" t="s">
        <v>178</v>
      </c>
      <c r="B145" s="10" t="n">
        <v>395.98</v>
      </c>
    </row>
    <row r="146" customFormat="false" ht="15" hidden="false" customHeight="false" outlineLevel="0" collapsed="false">
      <c r="A146" s="12" t="s">
        <v>184</v>
      </c>
      <c r="B146" s="13" t="n">
        <v>395.98</v>
      </c>
    </row>
    <row r="147" customFormat="false" ht="15" hidden="false" customHeight="false" outlineLevel="0" collapsed="false">
      <c r="A147" s="7" t="s">
        <v>187</v>
      </c>
      <c r="B147" s="8" t="n">
        <v>-18630.78</v>
      </c>
    </row>
    <row r="148" customFormat="false" ht="15" hidden="false" customHeight="false" outlineLevel="0" collapsed="false">
      <c r="A148" s="9" t="s">
        <v>188</v>
      </c>
      <c r="B148" s="10" t="n">
        <v>18630.78</v>
      </c>
    </row>
    <row r="149" customFormat="false" ht="15" hidden="false" customHeight="false" outlineLevel="0" collapsed="false">
      <c r="A149" s="11" t="s">
        <v>188</v>
      </c>
      <c r="B149" s="10" t="n">
        <v>18630.78</v>
      </c>
    </row>
    <row r="150" customFormat="false" ht="15" hidden="false" customHeight="false" outlineLevel="0" collapsed="false">
      <c r="A150" s="12" t="s">
        <v>189</v>
      </c>
      <c r="B150" s="13" t="n">
        <v>219</v>
      </c>
    </row>
    <row r="151" customFormat="false" ht="15" hidden="false" customHeight="false" outlineLevel="0" collapsed="false">
      <c r="A151" s="12" t="s">
        <v>190</v>
      </c>
      <c r="B151" s="13" t="n">
        <v>13711.78</v>
      </c>
    </row>
    <row r="152" customFormat="false" ht="15" hidden="false" customHeight="false" outlineLevel="0" collapsed="false">
      <c r="A152" s="12" t="s">
        <v>188</v>
      </c>
      <c r="B152" s="13" t="n">
        <v>4700</v>
      </c>
    </row>
    <row r="153" customFormat="false" ht="15" hidden="false" customHeight="false" outlineLevel="0" collapsed="false">
      <c r="A153" s="7" t="s">
        <v>191</v>
      </c>
      <c r="B153" s="8" t="n">
        <v>-1010496.95</v>
      </c>
    </row>
    <row r="154" customFormat="false" ht="15" hidden="false" customHeight="false" outlineLevel="0" collapsed="false">
      <c r="A154" s="7" t="s">
        <v>192</v>
      </c>
      <c r="B154" s="8" t="n">
        <v>-1010496.95</v>
      </c>
    </row>
    <row r="155" customFormat="false" ht="15" hidden="false" customHeight="false" outlineLevel="0" collapsed="false">
      <c r="A155" s="7" t="s">
        <v>193</v>
      </c>
      <c r="B155" s="8" t="n">
        <v>-1010496.95</v>
      </c>
    </row>
    <row r="157" customFormat="false" ht="15" hidden="false" customHeight="true" outlineLevel="0" collapsed="false">
      <c r="A157" s="14" t="s">
        <v>209</v>
      </c>
      <c r="B157" s="14"/>
    </row>
    <row r="159" customFormat="false" ht="15" hidden="false" customHeight="false" outlineLevel="0" collapsed="false">
      <c r="A159" s="15" t="s">
        <v>198</v>
      </c>
      <c r="B159" s="15" t="s">
        <v>199</v>
      </c>
    </row>
    <row r="160" customFormat="false" ht="15" hidden="false" customHeight="false" outlineLevel="0" collapsed="false">
      <c r="A160" s="16" t="s">
        <v>200</v>
      </c>
      <c r="B160" s="16" t="s">
        <v>201</v>
      </c>
    </row>
    <row r="161" customFormat="false" ht="15" hidden="false" customHeight="false" outlineLevel="0" collapsed="false">
      <c r="A161" s="16" t="s">
        <v>202</v>
      </c>
      <c r="B161" s="16" t="s">
        <v>203</v>
      </c>
    </row>
  </sheetData>
  <mergeCells count="1">
    <mergeCell ref="A157:B157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9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194</v>
      </c>
    </row>
    <row r="3" customFormat="false" ht="15" hidden="false" customHeight="false" outlineLevel="0" collapsed="false">
      <c r="A3" s="3" t="s">
        <v>210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196</v>
      </c>
    </row>
    <row r="8" customFormat="false" ht="15" hidden="false" customHeight="false" outlineLevel="0" collapsed="false">
      <c r="A8" s="7" t="s">
        <v>15</v>
      </c>
      <c r="B8" s="8" t="n">
        <v>4982408.96</v>
      </c>
    </row>
    <row r="9" customFormat="false" ht="15" hidden="false" customHeight="false" outlineLevel="0" collapsed="false">
      <c r="A9" s="9" t="s">
        <v>16</v>
      </c>
      <c r="B9" s="10" t="n">
        <v>4698899.2</v>
      </c>
    </row>
    <row r="10" customFormat="false" ht="15" hidden="false" customHeight="false" outlineLevel="0" collapsed="false">
      <c r="A10" s="11" t="s">
        <v>17</v>
      </c>
      <c r="B10" s="10" t="n">
        <v>4698899.2</v>
      </c>
    </row>
    <row r="11" customFormat="false" ht="15" hidden="false" customHeight="false" outlineLevel="0" collapsed="false">
      <c r="A11" s="12" t="s">
        <v>18</v>
      </c>
      <c r="B11" s="13" t="n">
        <v>4682776.2</v>
      </c>
    </row>
    <row r="12" customFormat="false" ht="15" hidden="false" customHeight="false" outlineLevel="0" collapsed="false">
      <c r="A12" s="12" t="s">
        <v>20</v>
      </c>
      <c r="B12" s="13" t="n">
        <v>16123</v>
      </c>
    </row>
    <row r="13" customFormat="false" ht="15" hidden="false" customHeight="false" outlineLevel="0" collapsed="false">
      <c r="A13" s="11" t="s">
        <v>21</v>
      </c>
      <c r="B13" s="10" t="n">
        <v>720828.08</v>
      </c>
    </row>
    <row r="14" customFormat="false" ht="15" hidden="false" customHeight="false" outlineLevel="0" collapsed="false">
      <c r="A14" s="12" t="s">
        <v>22</v>
      </c>
      <c r="B14" s="13" t="n">
        <v>104523.32</v>
      </c>
    </row>
    <row r="15" customFormat="false" ht="15" hidden="false" customHeight="false" outlineLevel="0" collapsed="false">
      <c r="A15" s="12" t="s">
        <v>23</v>
      </c>
      <c r="B15" s="13" t="n">
        <v>616304.76</v>
      </c>
    </row>
    <row r="16" customFormat="false" ht="15" hidden="false" customHeight="false" outlineLevel="0" collapsed="false">
      <c r="A16" s="11" t="s">
        <v>26</v>
      </c>
      <c r="B16" s="10" t="n">
        <v>323104.2</v>
      </c>
    </row>
    <row r="17" customFormat="false" ht="15" hidden="false" customHeight="false" outlineLevel="0" collapsed="false">
      <c r="A17" s="12" t="s">
        <v>27</v>
      </c>
      <c r="B17" s="13" t="n">
        <v>194366.82</v>
      </c>
    </row>
    <row r="18" customFormat="false" ht="15" hidden="false" customHeight="false" outlineLevel="0" collapsed="false">
      <c r="A18" s="12" t="s">
        <v>28</v>
      </c>
      <c r="B18" s="13" t="n">
        <v>128737.38</v>
      </c>
    </row>
    <row r="19" customFormat="false" ht="15" hidden="false" customHeight="false" outlineLevel="0" collapsed="false">
      <c r="A19" s="11" t="s">
        <v>29</v>
      </c>
      <c r="B19" s="10" t="n">
        <v>760422.52</v>
      </c>
    </row>
    <row r="20" customFormat="false" ht="15" hidden="false" customHeight="false" outlineLevel="0" collapsed="false">
      <c r="A20" s="12" t="s">
        <v>30</v>
      </c>
      <c r="B20" s="13" t="n">
        <v>34455.93</v>
      </c>
    </row>
    <row r="21" customFormat="false" ht="15" hidden="false" customHeight="false" outlineLevel="0" collapsed="false">
      <c r="A21" s="12" t="s">
        <v>31</v>
      </c>
      <c r="B21" s="13" t="n">
        <v>545460.16</v>
      </c>
    </row>
    <row r="22" customFormat="false" ht="15" hidden="false" customHeight="false" outlineLevel="0" collapsed="false">
      <c r="A22" s="12" t="s">
        <v>32</v>
      </c>
      <c r="B22" s="13" t="n">
        <v>26300.24</v>
      </c>
    </row>
    <row r="23" customFormat="false" ht="15" hidden="false" customHeight="false" outlineLevel="0" collapsed="false">
      <c r="A23" s="12" t="s">
        <v>33</v>
      </c>
      <c r="B23" s="13" t="n">
        <v>121387.11</v>
      </c>
    </row>
    <row r="24" customFormat="false" ht="15" hidden="false" customHeight="false" outlineLevel="0" collapsed="false">
      <c r="A24" s="12" t="s">
        <v>34</v>
      </c>
      <c r="B24" s="13" t="n">
        <v>3862.14</v>
      </c>
    </row>
    <row r="25" customFormat="false" ht="15" hidden="false" customHeight="false" outlineLevel="0" collapsed="false">
      <c r="A25" s="12" t="s">
        <v>35</v>
      </c>
      <c r="B25" s="13" t="n">
        <v>28674.19</v>
      </c>
    </row>
    <row r="26" customFormat="false" ht="15" hidden="false" customHeight="false" outlineLevel="0" collapsed="false">
      <c r="A26" s="12" t="s">
        <v>36</v>
      </c>
      <c r="B26" s="13" t="n">
        <v>282.75</v>
      </c>
    </row>
    <row r="27" customFormat="false" ht="15" hidden="false" customHeight="false" outlineLevel="0" collapsed="false">
      <c r="A27" s="7" t="s">
        <v>39</v>
      </c>
      <c r="B27" s="8" t="n">
        <v>-2190.96</v>
      </c>
    </row>
    <row r="28" customFormat="false" ht="15" hidden="false" customHeight="false" outlineLevel="0" collapsed="false">
      <c r="A28" s="9" t="s">
        <v>40</v>
      </c>
      <c r="B28" s="10" t="n">
        <v>2190.96</v>
      </c>
    </row>
    <row r="29" customFormat="false" ht="15" hidden="false" customHeight="false" outlineLevel="0" collapsed="false">
      <c r="A29" s="11" t="s">
        <v>41</v>
      </c>
      <c r="B29" s="10" t="n">
        <v>2190.96</v>
      </c>
    </row>
    <row r="30" customFormat="false" ht="15" hidden="false" customHeight="false" outlineLevel="0" collapsed="false">
      <c r="A30" s="12" t="s">
        <v>42</v>
      </c>
      <c r="B30" s="13" t="n">
        <v>1315.14</v>
      </c>
    </row>
    <row r="31" customFormat="false" ht="15" hidden="false" customHeight="false" outlineLevel="0" collapsed="false">
      <c r="A31" s="12" t="s">
        <v>44</v>
      </c>
      <c r="B31" s="13" t="n">
        <v>875.82</v>
      </c>
    </row>
    <row r="32" customFormat="false" ht="15" hidden="false" customHeight="false" outlineLevel="0" collapsed="false">
      <c r="A32" s="7" t="s">
        <v>46</v>
      </c>
      <c r="B32" s="8" t="n">
        <v>4980218</v>
      </c>
    </row>
    <row r="33" customFormat="false" ht="15" hidden="false" customHeight="false" outlineLevel="0" collapsed="false">
      <c r="A33" s="7" t="s">
        <v>47</v>
      </c>
      <c r="B33" s="8" t="n">
        <v>-5181524.66</v>
      </c>
    </row>
    <row r="34" customFormat="false" ht="15" hidden="false" customHeight="false" outlineLevel="0" collapsed="false">
      <c r="A34" s="9" t="s">
        <v>48</v>
      </c>
      <c r="B34" s="10" t="n">
        <v>5181524.66</v>
      </c>
    </row>
    <row r="35" customFormat="false" ht="15" hidden="false" customHeight="false" outlineLevel="0" collapsed="false">
      <c r="A35" s="11" t="s">
        <v>49</v>
      </c>
      <c r="B35" s="10" t="n">
        <v>3594072.82</v>
      </c>
    </row>
    <row r="36" customFormat="false" ht="15" hidden="false" customHeight="false" outlineLevel="0" collapsed="false">
      <c r="A36" s="12" t="s">
        <v>51</v>
      </c>
      <c r="B36" s="13" t="n">
        <v>3493708.88</v>
      </c>
    </row>
    <row r="37" customFormat="false" ht="15" hidden="false" customHeight="false" outlineLevel="0" collapsed="false">
      <c r="A37" s="12" t="s">
        <v>52</v>
      </c>
      <c r="B37" s="13" t="n">
        <v>7048.83</v>
      </c>
    </row>
    <row r="38" customFormat="false" ht="15" hidden="false" customHeight="false" outlineLevel="0" collapsed="false">
      <c r="A38" s="12" t="s">
        <v>53</v>
      </c>
      <c r="B38" s="13" t="n">
        <v>93315.11</v>
      </c>
    </row>
    <row r="39" customFormat="false" ht="15" hidden="false" customHeight="false" outlineLevel="0" collapsed="false">
      <c r="A39" s="11" t="s">
        <v>54</v>
      </c>
      <c r="B39" s="10" t="n">
        <v>512261.92</v>
      </c>
    </row>
    <row r="40" customFormat="false" ht="15" hidden="false" customHeight="false" outlineLevel="0" collapsed="false">
      <c r="A40" s="12" t="s">
        <v>54</v>
      </c>
      <c r="B40" s="13" t="n">
        <v>512261.92</v>
      </c>
    </row>
    <row r="41" customFormat="false" ht="15" hidden="false" customHeight="false" outlineLevel="0" collapsed="false">
      <c r="A41" s="12" t="s">
        <v>55</v>
      </c>
      <c r="B41" s="13" t="n">
        <v>77769.13</v>
      </c>
    </row>
    <row r="42" customFormat="false" ht="15" hidden="false" customHeight="false" outlineLevel="0" collapsed="false">
      <c r="A42" s="12" t="s">
        <v>56</v>
      </c>
      <c r="B42" s="13" t="n">
        <v>30456.15</v>
      </c>
    </row>
    <row r="43" customFormat="false" ht="15" hidden="false" customHeight="false" outlineLevel="0" collapsed="false">
      <c r="A43" s="12" t="s">
        <v>57</v>
      </c>
      <c r="B43" s="13" t="n">
        <v>23476.58</v>
      </c>
    </row>
    <row r="44" customFormat="false" ht="15" hidden="false" customHeight="false" outlineLevel="0" collapsed="false">
      <c r="A44" s="12" t="s">
        <v>58</v>
      </c>
      <c r="B44" s="13" t="n">
        <v>380560.06</v>
      </c>
    </row>
    <row r="45" customFormat="false" ht="15" hidden="false" customHeight="false" outlineLevel="0" collapsed="false">
      <c r="A45" s="11" t="s">
        <v>59</v>
      </c>
      <c r="B45" s="10" t="n">
        <v>1075189.92</v>
      </c>
    </row>
    <row r="46" customFormat="false" ht="15" hidden="false" customHeight="false" outlineLevel="0" collapsed="false">
      <c r="A46" s="12" t="s">
        <v>60</v>
      </c>
      <c r="B46" s="13" t="n">
        <v>650673.48</v>
      </c>
    </row>
    <row r="47" customFormat="false" ht="15" hidden="false" customHeight="false" outlineLevel="0" collapsed="false">
      <c r="A47" s="12" t="s">
        <v>61</v>
      </c>
      <c r="B47" s="13" t="n">
        <v>2217.81</v>
      </c>
    </row>
    <row r="48" customFormat="false" ht="15" hidden="false" customHeight="false" outlineLevel="0" collapsed="false">
      <c r="A48" s="12" t="s">
        <v>65</v>
      </c>
      <c r="B48" s="13" t="n">
        <v>69778.97</v>
      </c>
    </row>
    <row r="49" customFormat="false" ht="15" hidden="false" customHeight="false" outlineLevel="0" collapsed="false">
      <c r="A49" s="12" t="s">
        <v>66</v>
      </c>
      <c r="B49" s="13" t="n">
        <v>52037.43</v>
      </c>
    </row>
    <row r="50" customFormat="false" ht="15" hidden="false" customHeight="false" outlineLevel="0" collapsed="false">
      <c r="A50" s="12" t="s">
        <v>67</v>
      </c>
      <c r="B50" s="13" t="n">
        <v>52057.86</v>
      </c>
    </row>
    <row r="51" customFormat="false" ht="15" hidden="false" customHeight="false" outlineLevel="0" collapsed="false">
      <c r="A51" s="12" t="s">
        <v>68</v>
      </c>
      <c r="B51" s="13" t="n">
        <v>191885.32</v>
      </c>
    </row>
    <row r="52" customFormat="false" ht="15" hidden="false" customHeight="false" outlineLevel="0" collapsed="false">
      <c r="A52" s="12" t="s">
        <v>70</v>
      </c>
      <c r="B52" s="13" t="n">
        <v>5581.41</v>
      </c>
    </row>
    <row r="53" customFormat="false" ht="15" hidden="false" customHeight="false" outlineLevel="0" collapsed="false">
      <c r="A53" s="12" t="s">
        <v>71</v>
      </c>
      <c r="B53" s="13" t="n">
        <v>20434.29</v>
      </c>
    </row>
    <row r="54" customFormat="false" ht="15" hidden="false" customHeight="false" outlineLevel="0" collapsed="false">
      <c r="A54" s="12" t="s">
        <v>72</v>
      </c>
      <c r="B54" s="13" t="n">
        <v>15237.35</v>
      </c>
    </row>
    <row r="55" customFormat="false" ht="15" hidden="false" customHeight="false" outlineLevel="0" collapsed="false">
      <c r="A55" s="12" t="s">
        <v>73</v>
      </c>
      <c r="B55" s="13" t="n">
        <v>4162.08</v>
      </c>
    </row>
    <row r="56" customFormat="false" ht="15" hidden="false" customHeight="false" outlineLevel="0" collapsed="false">
      <c r="A56" s="12" t="s">
        <v>74</v>
      </c>
      <c r="B56" s="13" t="n">
        <v>15559.54</v>
      </c>
    </row>
    <row r="57" customFormat="false" ht="15" hidden="false" customHeight="false" outlineLevel="0" collapsed="false">
      <c r="A57" s="7" t="s">
        <v>75</v>
      </c>
      <c r="B57" s="8" t="n">
        <v>-201306.66</v>
      </c>
    </row>
    <row r="58" customFormat="false" ht="15" hidden="false" customHeight="false" outlineLevel="0" collapsed="false">
      <c r="A58" s="7" t="s">
        <v>76</v>
      </c>
      <c r="B58" s="8" t="n">
        <v>-1082135.4</v>
      </c>
    </row>
    <row r="59" customFormat="false" ht="15" hidden="false" customHeight="false" outlineLevel="0" collapsed="false">
      <c r="A59" s="9" t="s">
        <v>77</v>
      </c>
      <c r="B59" s="10" t="n">
        <v>522096.79</v>
      </c>
    </row>
    <row r="60" customFormat="false" ht="15" hidden="false" customHeight="false" outlineLevel="0" collapsed="false">
      <c r="A60" s="11" t="s">
        <v>78</v>
      </c>
      <c r="B60" s="10" t="n">
        <v>522096.79</v>
      </c>
    </row>
    <row r="61" customFormat="false" ht="15" hidden="false" customHeight="false" outlineLevel="0" collapsed="false">
      <c r="A61" s="12" t="s">
        <v>79</v>
      </c>
      <c r="B61" s="13" t="n">
        <v>89936.98</v>
      </c>
    </row>
    <row r="62" customFormat="false" ht="15" hidden="false" customHeight="false" outlineLevel="0" collapsed="false">
      <c r="A62" s="12" t="s">
        <v>80</v>
      </c>
      <c r="B62" s="13" t="n">
        <v>135239.22</v>
      </c>
    </row>
    <row r="63" customFormat="false" ht="15" hidden="false" customHeight="false" outlineLevel="0" collapsed="false">
      <c r="A63" s="12" t="s">
        <v>83</v>
      </c>
      <c r="B63" s="13" t="n">
        <v>16856.04</v>
      </c>
    </row>
    <row r="64" customFormat="false" ht="15" hidden="false" customHeight="false" outlineLevel="0" collapsed="false">
      <c r="A64" s="12" t="s">
        <v>84</v>
      </c>
      <c r="B64" s="13" t="n">
        <v>74657.69</v>
      </c>
    </row>
    <row r="65" customFormat="false" ht="15" hidden="false" customHeight="false" outlineLevel="0" collapsed="false">
      <c r="A65" s="12" t="s">
        <v>85</v>
      </c>
      <c r="B65" s="13" t="n">
        <v>1507.14</v>
      </c>
    </row>
    <row r="66" customFormat="false" ht="15" hidden="false" customHeight="false" outlineLevel="0" collapsed="false">
      <c r="A66" s="12" t="s">
        <v>86</v>
      </c>
      <c r="B66" s="13" t="n">
        <v>10572.35</v>
      </c>
    </row>
    <row r="67" customFormat="false" ht="15" hidden="false" customHeight="false" outlineLevel="0" collapsed="false">
      <c r="A67" s="12" t="s">
        <v>87</v>
      </c>
      <c r="B67" s="13" t="n">
        <v>4297</v>
      </c>
    </row>
    <row r="68" customFormat="false" ht="15" hidden="false" customHeight="false" outlineLevel="0" collapsed="false">
      <c r="A68" s="12" t="s">
        <v>88</v>
      </c>
      <c r="B68" s="13" t="n">
        <v>1008</v>
      </c>
    </row>
    <row r="69" customFormat="false" ht="15" hidden="false" customHeight="false" outlineLevel="0" collapsed="false">
      <c r="A69" s="12" t="s">
        <v>89</v>
      </c>
      <c r="B69" s="13" t="n">
        <v>13309.34</v>
      </c>
    </row>
    <row r="70" customFormat="false" ht="15" hidden="false" customHeight="false" outlineLevel="0" collapsed="false">
      <c r="A70" s="12" t="s">
        <v>90</v>
      </c>
      <c r="B70" s="13" t="n">
        <v>10006.94</v>
      </c>
    </row>
    <row r="71" customFormat="false" ht="15" hidden="false" customHeight="false" outlineLevel="0" collapsed="false">
      <c r="A71" s="12" t="s">
        <v>91</v>
      </c>
      <c r="B71" s="13" t="n">
        <v>154111</v>
      </c>
    </row>
    <row r="72" customFormat="false" ht="15" hidden="false" customHeight="false" outlineLevel="0" collapsed="false">
      <c r="A72" s="12" t="s">
        <v>92</v>
      </c>
      <c r="B72" s="13" t="n">
        <v>237.09</v>
      </c>
    </row>
    <row r="73" customFormat="false" ht="15" hidden="false" customHeight="false" outlineLevel="0" collapsed="false">
      <c r="A73" s="12" t="s">
        <v>94</v>
      </c>
      <c r="B73" s="13" t="n">
        <v>10358</v>
      </c>
    </row>
    <row r="74" customFormat="false" ht="15" hidden="false" customHeight="false" outlineLevel="0" collapsed="false">
      <c r="A74" s="11" t="s">
        <v>95</v>
      </c>
      <c r="B74" s="10" t="n">
        <v>56407.89</v>
      </c>
    </row>
    <row r="75" customFormat="false" ht="15" hidden="false" customHeight="false" outlineLevel="0" collapsed="false">
      <c r="A75" s="12" t="s">
        <v>96</v>
      </c>
      <c r="B75" s="13" t="n">
        <v>9508.61</v>
      </c>
    </row>
    <row r="76" customFormat="false" ht="15" hidden="false" customHeight="false" outlineLevel="0" collapsed="false">
      <c r="A76" s="12" t="s">
        <v>97</v>
      </c>
      <c r="B76" s="13" t="n">
        <v>38247.88</v>
      </c>
    </row>
    <row r="77" customFormat="false" ht="15" hidden="false" customHeight="false" outlineLevel="0" collapsed="false">
      <c r="A77" s="12" t="s">
        <v>99</v>
      </c>
      <c r="B77" s="13" t="n">
        <v>1037.25</v>
      </c>
    </row>
    <row r="78" customFormat="false" ht="15" hidden="false" customHeight="false" outlineLevel="0" collapsed="false">
      <c r="A78" s="12" t="s">
        <v>100</v>
      </c>
      <c r="B78" s="13" t="n">
        <v>3901.08</v>
      </c>
    </row>
    <row r="79" customFormat="false" ht="15" hidden="false" customHeight="false" outlineLevel="0" collapsed="false">
      <c r="A79" s="12" t="s">
        <v>101</v>
      </c>
      <c r="B79" s="13" t="n">
        <v>2933.15</v>
      </c>
    </row>
    <row r="80" customFormat="false" ht="15" hidden="false" customHeight="false" outlineLevel="0" collapsed="false">
      <c r="A80" s="12" t="s">
        <v>102</v>
      </c>
      <c r="B80" s="13" t="n">
        <v>779.92</v>
      </c>
    </row>
    <row r="81" customFormat="false" ht="15" hidden="false" customHeight="false" outlineLevel="0" collapsed="false">
      <c r="A81" s="9" t="s">
        <v>104</v>
      </c>
      <c r="B81" s="10" t="n">
        <v>503630.72</v>
      </c>
    </row>
    <row r="82" customFormat="false" ht="15" hidden="false" customHeight="false" outlineLevel="0" collapsed="false">
      <c r="A82" s="11" t="s">
        <v>105</v>
      </c>
      <c r="B82" s="10" t="n">
        <v>503630.72</v>
      </c>
    </row>
    <row r="83" customFormat="false" ht="15" hidden="false" customHeight="false" outlineLevel="0" collapsed="false">
      <c r="A83" s="12" t="s">
        <v>106</v>
      </c>
      <c r="B83" s="13" t="n">
        <v>52.54</v>
      </c>
    </row>
    <row r="84" customFormat="false" ht="15" hidden="false" customHeight="false" outlineLevel="0" collapsed="false">
      <c r="A84" s="12" t="s">
        <v>107</v>
      </c>
      <c r="B84" s="13" t="n">
        <v>44474.15</v>
      </c>
    </row>
    <row r="85" customFormat="false" ht="15" hidden="false" customHeight="false" outlineLevel="0" collapsed="false">
      <c r="A85" s="12" t="s">
        <v>108</v>
      </c>
      <c r="B85" s="13" t="n">
        <v>3484.96</v>
      </c>
    </row>
    <row r="86" customFormat="false" ht="15" hidden="false" customHeight="false" outlineLevel="0" collapsed="false">
      <c r="A86" s="12" t="s">
        <v>109</v>
      </c>
      <c r="B86" s="13" t="n">
        <v>111891.62</v>
      </c>
    </row>
    <row r="87" customFormat="false" ht="15" hidden="false" customHeight="false" outlineLevel="0" collapsed="false">
      <c r="A87" s="12" t="s">
        <v>110</v>
      </c>
      <c r="B87" s="13" t="n">
        <v>10111.7</v>
      </c>
    </row>
    <row r="88" customFormat="false" ht="15" hidden="false" customHeight="false" outlineLevel="0" collapsed="false">
      <c r="A88" s="12" t="s">
        <v>111</v>
      </c>
      <c r="B88" s="13" t="n">
        <v>3194.2</v>
      </c>
    </row>
    <row r="89" customFormat="false" ht="15" hidden="false" customHeight="false" outlineLevel="0" collapsed="false">
      <c r="A89" s="12" t="s">
        <v>112</v>
      </c>
      <c r="B89" s="13" t="n">
        <v>98143.85</v>
      </c>
    </row>
    <row r="90" customFormat="false" ht="15" hidden="false" customHeight="false" outlineLevel="0" collapsed="false">
      <c r="A90" s="12" t="s">
        <v>113</v>
      </c>
      <c r="B90" s="13" t="n">
        <v>15870.68</v>
      </c>
    </row>
    <row r="91" customFormat="false" ht="15" hidden="false" customHeight="false" outlineLevel="0" collapsed="false">
      <c r="A91" s="12" t="s">
        <v>114</v>
      </c>
      <c r="B91" s="13" t="n">
        <v>27293.58</v>
      </c>
    </row>
    <row r="92" customFormat="false" ht="15" hidden="false" customHeight="false" outlineLevel="0" collapsed="false">
      <c r="A92" s="12" t="s">
        <v>115</v>
      </c>
      <c r="B92" s="13" t="n">
        <v>7678.57</v>
      </c>
    </row>
    <row r="93" customFormat="false" ht="15" hidden="false" customHeight="false" outlineLevel="0" collapsed="false">
      <c r="A93" s="12" t="s">
        <v>116</v>
      </c>
      <c r="B93" s="13" t="n">
        <v>4060.58</v>
      </c>
    </row>
    <row r="94" customFormat="false" ht="15" hidden="false" customHeight="false" outlineLevel="0" collapsed="false">
      <c r="A94" s="12" t="s">
        <v>117</v>
      </c>
      <c r="B94" s="13" t="n">
        <v>34956.14</v>
      </c>
    </row>
    <row r="95" customFormat="false" ht="15" hidden="false" customHeight="false" outlineLevel="0" collapsed="false">
      <c r="A95" s="12" t="s">
        <v>118</v>
      </c>
      <c r="B95" s="13" t="n">
        <v>31090.49</v>
      </c>
    </row>
    <row r="96" customFormat="false" ht="15" hidden="false" customHeight="false" outlineLevel="0" collapsed="false">
      <c r="A96" s="12" t="s">
        <v>119</v>
      </c>
      <c r="B96" s="13" t="n">
        <v>150</v>
      </c>
    </row>
    <row r="97" customFormat="false" ht="15" hidden="false" customHeight="false" outlineLevel="0" collapsed="false">
      <c r="A97" s="12" t="s">
        <v>122</v>
      </c>
      <c r="B97" s="13" t="n">
        <v>1887.37</v>
      </c>
    </row>
    <row r="98" customFormat="false" ht="15" hidden="false" customHeight="false" outlineLevel="0" collapsed="false">
      <c r="A98" s="12" t="s">
        <v>123</v>
      </c>
      <c r="B98" s="13" t="n">
        <v>1899.65</v>
      </c>
    </row>
    <row r="99" customFormat="false" ht="15" hidden="false" customHeight="false" outlineLevel="0" collapsed="false">
      <c r="A99" s="12" t="s">
        <v>124</v>
      </c>
      <c r="B99" s="13" t="n">
        <v>3870.29</v>
      </c>
    </row>
    <row r="100" customFormat="false" ht="15" hidden="false" customHeight="false" outlineLevel="0" collapsed="false">
      <c r="A100" s="12" t="s">
        <v>125</v>
      </c>
      <c r="B100" s="13" t="n">
        <v>4054.28</v>
      </c>
    </row>
    <row r="101" customFormat="false" ht="15" hidden="false" customHeight="false" outlineLevel="0" collapsed="false">
      <c r="A101" s="12" t="s">
        <v>127</v>
      </c>
      <c r="B101" s="13" t="n">
        <v>3616.01</v>
      </c>
    </row>
    <row r="102" customFormat="false" ht="15" hidden="false" customHeight="false" outlineLevel="0" collapsed="false">
      <c r="A102" s="12" t="s">
        <v>129</v>
      </c>
      <c r="B102" s="13" t="n">
        <v>6523.84</v>
      </c>
    </row>
    <row r="103" customFormat="false" ht="15" hidden="false" customHeight="false" outlineLevel="0" collapsed="false">
      <c r="A103" s="12" t="s">
        <v>131</v>
      </c>
      <c r="B103" s="13" t="n">
        <v>5558.26</v>
      </c>
    </row>
    <row r="104" customFormat="false" ht="15" hidden="false" customHeight="false" outlineLevel="0" collapsed="false">
      <c r="A104" s="12" t="s">
        <v>133</v>
      </c>
      <c r="B104" s="13" t="n">
        <v>138.63</v>
      </c>
    </row>
    <row r="105" customFormat="false" ht="15" hidden="false" customHeight="false" outlineLevel="0" collapsed="false">
      <c r="A105" s="12" t="s">
        <v>135</v>
      </c>
      <c r="B105" s="13" t="n">
        <v>2890.5</v>
      </c>
    </row>
    <row r="106" customFormat="false" ht="15" hidden="false" customHeight="false" outlineLevel="0" collapsed="false">
      <c r="A106" s="12" t="s">
        <v>136</v>
      </c>
      <c r="B106" s="13" t="n">
        <v>8132.08</v>
      </c>
    </row>
    <row r="107" customFormat="false" ht="15" hidden="false" customHeight="false" outlineLevel="0" collapsed="false">
      <c r="A107" s="12" t="s">
        <v>137</v>
      </c>
      <c r="B107" s="13" t="n">
        <v>1170</v>
      </c>
    </row>
    <row r="108" customFormat="false" ht="15" hidden="false" customHeight="false" outlineLevel="0" collapsed="false">
      <c r="A108" s="12" t="s">
        <v>138</v>
      </c>
      <c r="B108" s="13" t="n">
        <v>1998.01</v>
      </c>
    </row>
    <row r="109" customFormat="false" ht="15" hidden="false" customHeight="false" outlineLevel="0" collapsed="false">
      <c r="A109" s="12" t="s">
        <v>139</v>
      </c>
      <c r="B109" s="13" t="n">
        <v>326.93</v>
      </c>
    </row>
    <row r="110" customFormat="false" ht="15" hidden="false" customHeight="false" outlineLevel="0" collapsed="false">
      <c r="A110" s="12" t="s">
        <v>140</v>
      </c>
      <c r="B110" s="13" t="n">
        <v>4310.34</v>
      </c>
    </row>
    <row r="111" customFormat="false" ht="15" hidden="false" customHeight="false" outlineLevel="0" collapsed="false">
      <c r="A111" s="12" t="s">
        <v>141</v>
      </c>
      <c r="B111" s="13" t="n">
        <v>7081.19</v>
      </c>
    </row>
    <row r="112" customFormat="false" ht="15" hidden="false" customHeight="false" outlineLevel="0" collapsed="false">
      <c r="A112" s="12" t="s">
        <v>142</v>
      </c>
      <c r="B112" s="13" t="n">
        <v>883.65</v>
      </c>
    </row>
    <row r="113" customFormat="false" ht="15" hidden="false" customHeight="false" outlineLevel="0" collapsed="false">
      <c r="A113" s="12" t="s">
        <v>143</v>
      </c>
      <c r="B113" s="13" t="n">
        <v>75.96</v>
      </c>
    </row>
    <row r="114" customFormat="false" ht="15" hidden="false" customHeight="false" outlineLevel="0" collapsed="false">
      <c r="A114" s="12" t="s">
        <v>144</v>
      </c>
      <c r="B114" s="13" t="n">
        <v>12000</v>
      </c>
    </row>
    <row r="115" customFormat="false" ht="15" hidden="false" customHeight="false" outlineLevel="0" collapsed="false">
      <c r="A115" s="12" t="s">
        <v>145</v>
      </c>
      <c r="B115" s="13" t="n">
        <v>4080</v>
      </c>
    </row>
    <row r="116" customFormat="false" ht="15" hidden="false" customHeight="false" outlineLevel="0" collapsed="false">
      <c r="A116" s="12" t="s">
        <v>146</v>
      </c>
      <c r="B116" s="13" t="n">
        <v>746.78</v>
      </c>
    </row>
    <row r="117" customFormat="false" ht="15" hidden="false" customHeight="false" outlineLevel="0" collapsed="false">
      <c r="A117" s="12" t="s">
        <v>149</v>
      </c>
      <c r="B117" s="13" t="n">
        <v>2287</v>
      </c>
    </row>
    <row r="118" customFormat="false" ht="15" hidden="false" customHeight="false" outlineLevel="0" collapsed="false">
      <c r="A118" s="12" t="s">
        <v>150</v>
      </c>
      <c r="B118" s="13" t="n">
        <v>5252.09</v>
      </c>
    </row>
    <row r="119" customFormat="false" ht="15" hidden="false" customHeight="false" outlineLevel="0" collapsed="false">
      <c r="A119" s="12" t="s">
        <v>151</v>
      </c>
      <c r="B119" s="13" t="n">
        <v>4807.84</v>
      </c>
    </row>
    <row r="120" customFormat="false" ht="15" hidden="false" customHeight="false" outlineLevel="0" collapsed="false">
      <c r="A120" s="12" t="s">
        <v>152</v>
      </c>
      <c r="B120" s="13" t="n">
        <v>1453.9</v>
      </c>
    </row>
    <row r="121" customFormat="false" ht="15" hidden="false" customHeight="false" outlineLevel="0" collapsed="false">
      <c r="A121" s="12" t="s">
        <v>153</v>
      </c>
      <c r="B121" s="13" t="n">
        <v>23161.94</v>
      </c>
    </row>
    <row r="122" customFormat="false" ht="15" hidden="false" customHeight="false" outlineLevel="0" collapsed="false">
      <c r="A122" s="12" t="s">
        <v>155</v>
      </c>
      <c r="B122" s="13" t="n">
        <v>671.25</v>
      </c>
    </row>
    <row r="123" customFormat="false" ht="15" hidden="false" customHeight="false" outlineLevel="0" collapsed="false">
      <c r="A123" s="12" t="s">
        <v>157</v>
      </c>
      <c r="B123" s="13" t="n">
        <v>2299.87</v>
      </c>
    </row>
    <row r="124" customFormat="false" ht="15" hidden="false" customHeight="false" outlineLevel="0" collapsed="false">
      <c r="A124" s="7" t="s">
        <v>158</v>
      </c>
      <c r="B124" s="8" t="n">
        <v>-1283442.06</v>
      </c>
    </row>
    <row r="125" customFormat="false" ht="15" hidden="false" customHeight="false" outlineLevel="0" collapsed="false">
      <c r="A125" s="7" t="s">
        <v>159</v>
      </c>
      <c r="B125" s="8" t="n">
        <v>358576.1</v>
      </c>
    </row>
    <row r="126" customFormat="false" ht="15" hidden="false" customHeight="false" outlineLevel="0" collapsed="false">
      <c r="A126" s="9" t="s">
        <v>160</v>
      </c>
      <c r="B126" s="10" t="n">
        <v>358576.1</v>
      </c>
    </row>
    <row r="127" customFormat="false" ht="15" hidden="false" customHeight="false" outlineLevel="0" collapsed="false">
      <c r="A127" s="11" t="s">
        <v>159</v>
      </c>
      <c r="B127" s="10" t="n">
        <v>358576.1</v>
      </c>
    </row>
    <row r="128" customFormat="false" ht="15" hidden="false" customHeight="false" outlineLevel="0" collapsed="false">
      <c r="A128" s="12" t="s">
        <v>161</v>
      </c>
      <c r="B128" s="13" t="n">
        <v>8460.11</v>
      </c>
    </row>
    <row r="129" customFormat="false" ht="15" hidden="false" customHeight="false" outlineLevel="0" collapsed="false">
      <c r="A129" s="12" t="s">
        <v>162</v>
      </c>
      <c r="B129" s="13" t="n">
        <v>16</v>
      </c>
    </row>
    <row r="130" customFormat="false" ht="15" hidden="false" customHeight="false" outlineLevel="0" collapsed="false">
      <c r="A130" s="12" t="s">
        <v>163</v>
      </c>
      <c r="B130" s="13" t="n">
        <v>348907.45</v>
      </c>
    </row>
    <row r="131" customFormat="false" ht="15" hidden="false" customHeight="false" outlineLevel="0" collapsed="false">
      <c r="A131" s="12" t="s">
        <v>165</v>
      </c>
      <c r="B131" s="13" t="n">
        <v>431.44</v>
      </c>
    </row>
    <row r="132" customFormat="false" ht="15" hidden="false" customHeight="false" outlineLevel="0" collapsed="false">
      <c r="A132" s="12" t="s">
        <v>166</v>
      </c>
      <c r="B132" s="13" t="n">
        <v>761.1</v>
      </c>
    </row>
    <row r="133" customFormat="false" ht="15" hidden="false" customHeight="false" outlineLevel="0" collapsed="false">
      <c r="A133" s="7" t="s">
        <v>167</v>
      </c>
      <c r="B133" s="8" t="n">
        <v>-181558.29</v>
      </c>
    </row>
    <row r="134" customFormat="false" ht="15" hidden="false" customHeight="false" outlineLevel="0" collapsed="false">
      <c r="A134" s="9" t="s">
        <v>160</v>
      </c>
      <c r="B134" s="10" t="n">
        <v>181558.29</v>
      </c>
    </row>
    <row r="135" customFormat="false" ht="15" hidden="false" customHeight="false" outlineLevel="0" collapsed="false">
      <c r="A135" s="11" t="s">
        <v>167</v>
      </c>
      <c r="B135" s="10" t="n">
        <v>181558.29</v>
      </c>
    </row>
    <row r="136" customFormat="false" ht="15" hidden="false" customHeight="false" outlineLevel="0" collapsed="false">
      <c r="A136" s="12" t="s">
        <v>168</v>
      </c>
      <c r="B136" s="13" t="n">
        <v>43801</v>
      </c>
    </row>
    <row r="137" customFormat="false" ht="15" hidden="false" customHeight="false" outlineLevel="0" collapsed="false">
      <c r="A137" s="12" t="s">
        <v>169</v>
      </c>
      <c r="B137" s="13" t="n">
        <v>2811.35</v>
      </c>
    </row>
    <row r="138" customFormat="false" ht="15" hidden="false" customHeight="false" outlineLevel="0" collapsed="false">
      <c r="A138" s="12" t="s">
        <v>170</v>
      </c>
      <c r="B138" s="13" t="n">
        <v>15784.83</v>
      </c>
    </row>
    <row r="139" customFormat="false" ht="15" hidden="false" customHeight="false" outlineLevel="0" collapsed="false">
      <c r="A139" s="12" t="s">
        <v>171</v>
      </c>
      <c r="B139" s="13" t="n">
        <v>11.71</v>
      </c>
    </row>
    <row r="140" customFormat="false" ht="15" hidden="false" customHeight="false" outlineLevel="0" collapsed="false">
      <c r="A140" s="12" t="s">
        <v>172</v>
      </c>
      <c r="B140" s="13" t="n">
        <v>4000</v>
      </c>
    </row>
    <row r="141" customFormat="false" ht="15" hidden="false" customHeight="false" outlineLevel="0" collapsed="false">
      <c r="A141" s="12" t="s">
        <v>173</v>
      </c>
      <c r="B141" s="13" t="n">
        <v>99369.22</v>
      </c>
    </row>
    <row r="142" customFormat="false" ht="15" hidden="false" customHeight="false" outlineLevel="0" collapsed="false">
      <c r="A142" s="12" t="s">
        <v>175</v>
      </c>
      <c r="B142" s="13" t="n">
        <v>1248.82</v>
      </c>
    </row>
    <row r="143" customFormat="false" ht="15" hidden="false" customHeight="false" outlineLevel="0" collapsed="false">
      <c r="A143" s="12" t="s">
        <v>176</v>
      </c>
      <c r="B143" s="13" t="n">
        <v>14531.36</v>
      </c>
    </row>
    <row r="144" customFormat="false" ht="15" hidden="false" customHeight="false" outlineLevel="0" collapsed="false">
      <c r="A144" s="7" t="s">
        <v>177</v>
      </c>
      <c r="B144" s="8" t="n">
        <v>-3510.51</v>
      </c>
    </row>
    <row r="145" customFormat="false" ht="15" hidden="false" customHeight="false" outlineLevel="0" collapsed="false">
      <c r="A145" s="9" t="s">
        <v>178</v>
      </c>
      <c r="B145" s="10" t="n">
        <v>3510.51</v>
      </c>
    </row>
    <row r="146" customFormat="false" ht="15" hidden="false" customHeight="false" outlineLevel="0" collapsed="false">
      <c r="A146" s="11" t="s">
        <v>179</v>
      </c>
      <c r="B146" s="10" t="n">
        <v>3537.77</v>
      </c>
    </row>
    <row r="147" customFormat="false" ht="15" hidden="false" customHeight="false" outlineLevel="0" collapsed="false">
      <c r="A147" s="12" t="s">
        <v>180</v>
      </c>
      <c r="B147" s="13" t="n">
        <v>8000</v>
      </c>
    </row>
    <row r="148" customFormat="false" ht="15" hidden="false" customHeight="false" outlineLevel="0" collapsed="false">
      <c r="A148" s="12" t="s">
        <v>181</v>
      </c>
      <c r="B148" s="13" t="n">
        <v>11537.77</v>
      </c>
    </row>
    <row r="149" customFormat="false" ht="15" hidden="false" customHeight="false" outlineLevel="0" collapsed="false">
      <c r="A149" s="11" t="s">
        <v>178</v>
      </c>
      <c r="B149" s="10" t="n">
        <v>27.26</v>
      </c>
    </row>
    <row r="150" customFormat="false" ht="15" hidden="false" customHeight="false" outlineLevel="0" collapsed="false">
      <c r="A150" s="12" t="s">
        <v>184</v>
      </c>
      <c r="B150" s="13" t="n">
        <v>27.26</v>
      </c>
    </row>
    <row r="151" customFormat="false" ht="15" hidden="false" customHeight="false" outlineLevel="0" collapsed="false">
      <c r="A151" s="7" t="s">
        <v>187</v>
      </c>
      <c r="B151" s="8" t="n">
        <v>-7252.44</v>
      </c>
    </row>
    <row r="152" customFormat="false" ht="15" hidden="false" customHeight="false" outlineLevel="0" collapsed="false">
      <c r="A152" s="9" t="s">
        <v>188</v>
      </c>
      <c r="B152" s="10" t="n">
        <v>7252.44</v>
      </c>
    </row>
    <row r="153" customFormat="false" ht="15" hidden="false" customHeight="false" outlineLevel="0" collapsed="false">
      <c r="A153" s="11" t="s">
        <v>188</v>
      </c>
      <c r="B153" s="10" t="n">
        <v>7252.44</v>
      </c>
    </row>
    <row r="154" customFormat="false" ht="15" hidden="false" customHeight="false" outlineLevel="0" collapsed="false">
      <c r="A154" s="12" t="s">
        <v>189</v>
      </c>
      <c r="B154" s="13" t="n">
        <v>724</v>
      </c>
    </row>
    <row r="155" customFormat="false" ht="15" hidden="false" customHeight="false" outlineLevel="0" collapsed="false">
      <c r="A155" s="12" t="s">
        <v>190</v>
      </c>
      <c r="B155" s="13" t="n">
        <v>3573.44</v>
      </c>
    </row>
    <row r="156" customFormat="false" ht="15" hidden="false" customHeight="false" outlineLevel="0" collapsed="false">
      <c r="A156" s="12" t="s">
        <v>188</v>
      </c>
      <c r="B156" s="13" t="n">
        <v>2955</v>
      </c>
    </row>
    <row r="157" customFormat="false" ht="15" hidden="false" customHeight="false" outlineLevel="0" collapsed="false">
      <c r="A157" s="7" t="s">
        <v>191</v>
      </c>
      <c r="B157" s="8" t="n">
        <v>-1117187.2</v>
      </c>
    </row>
    <row r="158" customFormat="false" ht="15" hidden="false" customHeight="false" outlineLevel="0" collapsed="false">
      <c r="A158" s="7" t="s">
        <v>192</v>
      </c>
      <c r="B158" s="8" t="n">
        <v>-1117187.2</v>
      </c>
    </row>
    <row r="159" customFormat="false" ht="15" hidden="false" customHeight="false" outlineLevel="0" collapsed="false">
      <c r="A159" s="7" t="s">
        <v>193</v>
      </c>
      <c r="B159" s="8" t="n">
        <v>-1117187.2</v>
      </c>
    </row>
    <row r="161" customFormat="false" ht="15" hidden="false" customHeight="true" outlineLevel="0" collapsed="false">
      <c r="A161" s="14" t="s">
        <v>211</v>
      </c>
      <c r="B161" s="14"/>
    </row>
    <row r="163" customFormat="false" ht="15" hidden="false" customHeight="false" outlineLevel="0" collapsed="false">
      <c r="A163" s="15" t="s">
        <v>198</v>
      </c>
      <c r="B163" s="15" t="s">
        <v>199</v>
      </c>
    </row>
    <row r="164" customFormat="false" ht="15" hidden="false" customHeight="false" outlineLevel="0" collapsed="false">
      <c r="A164" s="16" t="s">
        <v>200</v>
      </c>
      <c r="B164" s="16" t="s">
        <v>201</v>
      </c>
    </row>
    <row r="165" customFormat="false" ht="15" hidden="false" customHeight="false" outlineLevel="0" collapsed="false">
      <c r="A165" s="16" t="s">
        <v>202</v>
      </c>
      <c r="B165" s="16" t="s">
        <v>203</v>
      </c>
    </row>
  </sheetData>
  <mergeCells count="1">
    <mergeCell ref="A161:B161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9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194</v>
      </c>
    </row>
    <row r="3" customFormat="false" ht="15" hidden="false" customHeight="false" outlineLevel="0" collapsed="false">
      <c r="A3" s="3" t="s">
        <v>212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196</v>
      </c>
    </row>
    <row r="8" customFormat="false" ht="15" hidden="false" customHeight="false" outlineLevel="0" collapsed="false">
      <c r="A8" s="7" t="s">
        <v>15</v>
      </c>
      <c r="B8" s="8" t="n">
        <v>5521005</v>
      </c>
    </row>
    <row r="9" customFormat="false" ht="15" hidden="false" customHeight="false" outlineLevel="0" collapsed="false">
      <c r="A9" s="9" t="s">
        <v>16</v>
      </c>
      <c r="B9" s="10" t="n">
        <v>6249304.5</v>
      </c>
    </row>
    <row r="10" customFormat="false" ht="15" hidden="false" customHeight="false" outlineLevel="0" collapsed="false">
      <c r="A10" s="11" t="s">
        <v>17</v>
      </c>
      <c r="B10" s="10" t="n">
        <v>6249304.5</v>
      </c>
    </row>
    <row r="11" customFormat="false" ht="15" hidden="false" customHeight="false" outlineLevel="0" collapsed="false">
      <c r="A11" s="12" t="s">
        <v>18</v>
      </c>
      <c r="B11" s="13" t="n">
        <v>6235791.5</v>
      </c>
    </row>
    <row r="12" customFormat="false" ht="15" hidden="false" customHeight="false" outlineLevel="0" collapsed="false">
      <c r="A12" s="12" t="s">
        <v>20</v>
      </c>
      <c r="B12" s="13" t="n">
        <v>13513</v>
      </c>
    </row>
    <row r="13" customFormat="false" ht="15" hidden="false" customHeight="false" outlineLevel="0" collapsed="false">
      <c r="A13" s="11" t="s">
        <v>21</v>
      </c>
      <c r="B13" s="10" t="n">
        <v>462652.85</v>
      </c>
    </row>
    <row r="14" customFormat="false" ht="15" hidden="false" customHeight="false" outlineLevel="0" collapsed="false">
      <c r="A14" s="12" t="s">
        <v>22</v>
      </c>
      <c r="B14" s="13" t="n">
        <v>322203.11</v>
      </c>
    </row>
    <row r="15" customFormat="false" ht="15" hidden="false" customHeight="false" outlineLevel="0" collapsed="false">
      <c r="A15" s="12" t="s">
        <v>23</v>
      </c>
      <c r="B15" s="13" t="n">
        <v>140449.74</v>
      </c>
    </row>
    <row r="16" customFormat="false" ht="15" hidden="false" customHeight="false" outlineLevel="0" collapsed="false">
      <c r="A16" s="11" t="s">
        <v>26</v>
      </c>
      <c r="B16" s="10" t="n">
        <v>425153.82</v>
      </c>
    </row>
    <row r="17" customFormat="false" ht="15" hidden="false" customHeight="false" outlineLevel="0" collapsed="false">
      <c r="A17" s="12" t="s">
        <v>27</v>
      </c>
      <c r="B17" s="13" t="n">
        <v>270329.01</v>
      </c>
    </row>
    <row r="18" customFormat="false" ht="15" hidden="false" customHeight="false" outlineLevel="0" collapsed="false">
      <c r="A18" s="12" t="s">
        <v>28</v>
      </c>
      <c r="B18" s="13" t="n">
        <v>154824.81</v>
      </c>
    </row>
    <row r="19" customFormat="false" ht="15" hidden="false" customHeight="false" outlineLevel="0" collapsed="false">
      <c r="A19" s="11" t="s">
        <v>29</v>
      </c>
      <c r="B19" s="10" t="n">
        <v>1616106.17</v>
      </c>
    </row>
    <row r="20" customFormat="false" ht="15" hidden="false" customHeight="false" outlineLevel="0" collapsed="false">
      <c r="A20" s="12" t="s">
        <v>30</v>
      </c>
      <c r="B20" s="13" t="n">
        <v>41102.4</v>
      </c>
    </row>
    <row r="21" customFormat="false" ht="15" hidden="false" customHeight="false" outlineLevel="0" collapsed="false">
      <c r="A21" s="12" t="s">
        <v>31</v>
      </c>
      <c r="B21" s="13" t="n">
        <v>807399.58</v>
      </c>
    </row>
    <row r="22" customFormat="false" ht="15" hidden="false" customHeight="false" outlineLevel="0" collapsed="false">
      <c r="A22" s="12" t="s">
        <v>32</v>
      </c>
      <c r="B22" s="13" t="n">
        <v>33146.27</v>
      </c>
    </row>
    <row r="23" customFormat="false" ht="15" hidden="false" customHeight="false" outlineLevel="0" collapsed="false">
      <c r="A23" s="12" t="s">
        <v>33</v>
      </c>
      <c r="B23" s="13" t="n">
        <v>152982.81</v>
      </c>
    </row>
    <row r="24" customFormat="false" ht="15" hidden="false" customHeight="false" outlineLevel="0" collapsed="false">
      <c r="A24" s="12" t="s">
        <v>34</v>
      </c>
      <c r="B24" s="13" t="n">
        <v>4644.74</v>
      </c>
    </row>
    <row r="25" customFormat="false" ht="15" hidden="false" customHeight="false" outlineLevel="0" collapsed="false">
      <c r="A25" s="12" t="s">
        <v>35</v>
      </c>
      <c r="B25" s="13" t="n">
        <v>25831.69</v>
      </c>
    </row>
    <row r="26" customFormat="false" ht="15" hidden="false" customHeight="false" outlineLevel="0" collapsed="false">
      <c r="A26" s="12" t="s">
        <v>36</v>
      </c>
      <c r="B26" s="13" t="n">
        <v>453.21</v>
      </c>
    </row>
    <row r="27" customFormat="false" ht="15" hidden="false" customHeight="false" outlineLevel="0" collapsed="false">
      <c r="A27" s="12" t="s">
        <v>37</v>
      </c>
      <c r="B27" s="13" t="n">
        <v>327175.48</v>
      </c>
    </row>
    <row r="28" customFormat="false" ht="15" hidden="false" customHeight="false" outlineLevel="0" collapsed="false">
      <c r="A28" s="12" t="s">
        <v>38</v>
      </c>
      <c r="B28" s="13" t="n">
        <v>223369.99</v>
      </c>
    </row>
    <row r="29" customFormat="false" ht="15" hidden="false" customHeight="false" outlineLevel="0" collapsed="false">
      <c r="A29" s="7" t="s">
        <v>39</v>
      </c>
      <c r="B29" s="8" t="n">
        <v>-864.34</v>
      </c>
    </row>
    <row r="30" customFormat="false" ht="15" hidden="false" customHeight="false" outlineLevel="0" collapsed="false">
      <c r="A30" s="9" t="s">
        <v>40</v>
      </c>
      <c r="B30" s="10" t="n">
        <v>864.34</v>
      </c>
    </row>
    <row r="31" customFormat="false" ht="15" hidden="false" customHeight="false" outlineLevel="0" collapsed="false">
      <c r="A31" s="11" t="s">
        <v>41</v>
      </c>
      <c r="B31" s="10" t="n">
        <v>864.34</v>
      </c>
    </row>
    <row r="32" customFormat="false" ht="15" hidden="false" customHeight="false" outlineLevel="0" collapsed="false">
      <c r="A32" s="12" t="s">
        <v>44</v>
      </c>
      <c r="B32" s="13" t="n">
        <v>864.34</v>
      </c>
    </row>
    <row r="33" customFormat="false" ht="15" hidden="false" customHeight="false" outlineLevel="0" collapsed="false">
      <c r="A33" s="7" t="s">
        <v>46</v>
      </c>
      <c r="B33" s="8" t="n">
        <v>5520140.66</v>
      </c>
    </row>
    <row r="34" customFormat="false" ht="15" hidden="false" customHeight="false" outlineLevel="0" collapsed="false">
      <c r="A34" s="7" t="s">
        <v>47</v>
      </c>
      <c r="B34" s="8" t="n">
        <v>-5538137.25</v>
      </c>
    </row>
    <row r="35" customFormat="false" ht="15" hidden="false" customHeight="false" outlineLevel="0" collapsed="false">
      <c r="A35" s="9" t="s">
        <v>48</v>
      </c>
      <c r="B35" s="10" t="n">
        <v>5538137.25</v>
      </c>
    </row>
    <row r="36" customFormat="false" ht="15" hidden="false" customHeight="false" outlineLevel="0" collapsed="false">
      <c r="A36" s="11" t="s">
        <v>49</v>
      </c>
      <c r="B36" s="10" t="n">
        <v>3912428.95</v>
      </c>
    </row>
    <row r="37" customFormat="false" ht="15" hidden="false" customHeight="false" outlineLevel="0" collapsed="false">
      <c r="A37" s="12" t="s">
        <v>51</v>
      </c>
      <c r="B37" s="13" t="n">
        <v>3844973.3</v>
      </c>
    </row>
    <row r="38" customFormat="false" ht="15" hidden="false" customHeight="false" outlineLevel="0" collapsed="false">
      <c r="A38" s="12" t="s">
        <v>52</v>
      </c>
      <c r="B38" s="13" t="n">
        <v>2758.87</v>
      </c>
    </row>
    <row r="39" customFormat="false" ht="15" hidden="false" customHeight="false" outlineLevel="0" collapsed="false">
      <c r="A39" s="12" t="s">
        <v>53</v>
      </c>
      <c r="B39" s="13" t="n">
        <v>64696.78</v>
      </c>
    </row>
    <row r="40" customFormat="false" ht="15" hidden="false" customHeight="false" outlineLevel="0" collapsed="false">
      <c r="A40" s="11" t="s">
        <v>54</v>
      </c>
      <c r="B40" s="10" t="n">
        <v>573521.93</v>
      </c>
    </row>
    <row r="41" customFormat="false" ht="15" hidden="false" customHeight="false" outlineLevel="0" collapsed="false">
      <c r="A41" s="12" t="s">
        <v>54</v>
      </c>
      <c r="B41" s="13" t="n">
        <v>573521.93</v>
      </c>
    </row>
    <row r="42" customFormat="false" ht="15" hidden="false" customHeight="false" outlineLevel="0" collapsed="false">
      <c r="A42" s="12" t="s">
        <v>55</v>
      </c>
      <c r="B42" s="13" t="n">
        <v>124340.65</v>
      </c>
    </row>
    <row r="43" customFormat="false" ht="15" hidden="false" customHeight="false" outlineLevel="0" collapsed="false">
      <c r="A43" s="12" t="s">
        <v>56</v>
      </c>
      <c r="B43" s="13" t="n">
        <v>39688.93</v>
      </c>
    </row>
    <row r="44" customFormat="false" ht="15" hidden="false" customHeight="false" outlineLevel="0" collapsed="false">
      <c r="A44" s="12" t="s">
        <v>57</v>
      </c>
      <c r="B44" s="13" t="n">
        <v>30338.15</v>
      </c>
    </row>
    <row r="45" customFormat="false" ht="15" hidden="false" customHeight="false" outlineLevel="0" collapsed="false">
      <c r="A45" s="12" t="s">
        <v>58</v>
      </c>
      <c r="B45" s="13" t="n">
        <v>379154.2</v>
      </c>
    </row>
    <row r="46" customFormat="false" ht="15" hidden="false" customHeight="false" outlineLevel="0" collapsed="false">
      <c r="A46" s="11" t="s">
        <v>59</v>
      </c>
      <c r="B46" s="10" t="n">
        <v>1052186.37</v>
      </c>
    </row>
    <row r="47" customFormat="false" ht="15" hidden="false" customHeight="false" outlineLevel="0" collapsed="false">
      <c r="A47" s="12" t="s">
        <v>60</v>
      </c>
      <c r="B47" s="13" t="n">
        <v>628132.38</v>
      </c>
    </row>
    <row r="48" customFormat="false" ht="15" hidden="false" customHeight="false" outlineLevel="0" collapsed="false">
      <c r="A48" s="12" t="s">
        <v>61</v>
      </c>
      <c r="B48" s="13" t="n">
        <v>7970.78</v>
      </c>
    </row>
    <row r="49" customFormat="false" ht="15" hidden="false" customHeight="false" outlineLevel="0" collapsed="false">
      <c r="A49" s="12" t="s">
        <v>65</v>
      </c>
      <c r="B49" s="13" t="n">
        <v>69629.37</v>
      </c>
    </row>
    <row r="50" customFormat="false" ht="15" hidden="false" customHeight="false" outlineLevel="0" collapsed="false">
      <c r="A50" s="12" t="s">
        <v>66</v>
      </c>
      <c r="B50" s="13" t="n">
        <v>52234.6</v>
      </c>
    </row>
    <row r="51" customFormat="false" ht="15" hidden="false" customHeight="false" outlineLevel="0" collapsed="false">
      <c r="A51" s="12" t="s">
        <v>67</v>
      </c>
      <c r="B51" s="13" t="n">
        <v>49411.85</v>
      </c>
    </row>
    <row r="52" customFormat="false" ht="15" hidden="false" customHeight="false" outlineLevel="0" collapsed="false">
      <c r="A52" s="12" t="s">
        <v>68</v>
      </c>
      <c r="B52" s="13" t="n">
        <v>184381.6</v>
      </c>
    </row>
    <row r="53" customFormat="false" ht="15" hidden="false" customHeight="false" outlineLevel="0" collapsed="false">
      <c r="A53" s="12" t="s">
        <v>70</v>
      </c>
      <c r="B53" s="13" t="n">
        <v>5569.44</v>
      </c>
    </row>
    <row r="54" customFormat="false" ht="15" hidden="false" customHeight="false" outlineLevel="0" collapsed="false">
      <c r="A54" s="12" t="s">
        <v>71</v>
      </c>
      <c r="B54" s="13" t="n">
        <v>20386.38</v>
      </c>
    </row>
    <row r="55" customFormat="false" ht="15" hidden="false" customHeight="false" outlineLevel="0" collapsed="false">
      <c r="A55" s="12" t="s">
        <v>72</v>
      </c>
      <c r="B55" s="13" t="n">
        <v>15292.04</v>
      </c>
    </row>
    <row r="56" customFormat="false" ht="15" hidden="false" customHeight="false" outlineLevel="0" collapsed="false">
      <c r="A56" s="12" t="s">
        <v>73</v>
      </c>
      <c r="B56" s="13" t="n">
        <v>4177.93</v>
      </c>
    </row>
    <row r="57" customFormat="false" ht="15" hidden="false" customHeight="false" outlineLevel="0" collapsed="false">
      <c r="A57" s="12" t="s">
        <v>74</v>
      </c>
      <c r="B57" s="13" t="n">
        <v>15000</v>
      </c>
    </row>
    <row r="58" customFormat="false" ht="15" hidden="false" customHeight="false" outlineLevel="0" collapsed="false">
      <c r="A58" s="7" t="s">
        <v>75</v>
      </c>
      <c r="B58" s="8" t="n">
        <v>-17996.59</v>
      </c>
    </row>
    <row r="59" customFormat="false" ht="15" hidden="false" customHeight="false" outlineLevel="0" collapsed="false">
      <c r="A59" s="7" t="s">
        <v>76</v>
      </c>
      <c r="B59" s="8" t="n">
        <v>-1101105.17</v>
      </c>
    </row>
    <row r="60" customFormat="false" ht="15" hidden="false" customHeight="false" outlineLevel="0" collapsed="false">
      <c r="A60" s="9" t="s">
        <v>77</v>
      </c>
      <c r="B60" s="10" t="n">
        <v>424739.14</v>
      </c>
    </row>
    <row r="61" customFormat="false" ht="15" hidden="false" customHeight="false" outlineLevel="0" collapsed="false">
      <c r="A61" s="11" t="s">
        <v>78</v>
      </c>
      <c r="B61" s="10" t="n">
        <v>424739.14</v>
      </c>
    </row>
    <row r="62" customFormat="false" ht="15" hidden="false" customHeight="false" outlineLevel="0" collapsed="false">
      <c r="A62" s="12" t="s">
        <v>79</v>
      </c>
      <c r="B62" s="13" t="n">
        <v>106845.44</v>
      </c>
    </row>
    <row r="63" customFormat="false" ht="15" hidden="false" customHeight="false" outlineLevel="0" collapsed="false">
      <c r="A63" s="12" t="s">
        <v>80</v>
      </c>
      <c r="B63" s="13" t="n">
        <v>130436.51</v>
      </c>
    </row>
    <row r="64" customFormat="false" ht="15" hidden="false" customHeight="false" outlineLevel="0" collapsed="false">
      <c r="A64" s="12" t="s">
        <v>83</v>
      </c>
      <c r="B64" s="13" t="n">
        <v>10679.96</v>
      </c>
    </row>
    <row r="65" customFormat="false" ht="15" hidden="false" customHeight="false" outlineLevel="0" collapsed="false">
      <c r="A65" s="12" t="s">
        <v>84</v>
      </c>
      <c r="B65" s="13" t="n">
        <v>13056.24</v>
      </c>
    </row>
    <row r="66" customFormat="false" ht="15" hidden="false" customHeight="false" outlineLevel="0" collapsed="false">
      <c r="A66" s="12" t="s">
        <v>85</v>
      </c>
      <c r="B66" s="13" t="n">
        <v>31162.25</v>
      </c>
    </row>
    <row r="67" customFormat="false" ht="15" hidden="false" customHeight="false" outlineLevel="0" collapsed="false">
      <c r="A67" s="12" t="s">
        <v>86</v>
      </c>
      <c r="B67" s="13" t="n">
        <v>10511.1</v>
      </c>
    </row>
    <row r="68" customFormat="false" ht="15" hidden="false" customHeight="false" outlineLevel="0" collapsed="false">
      <c r="A68" s="12" t="s">
        <v>87</v>
      </c>
      <c r="B68" s="13" t="n">
        <v>4297.01</v>
      </c>
    </row>
    <row r="69" customFormat="false" ht="15" hidden="false" customHeight="false" outlineLevel="0" collapsed="false">
      <c r="A69" s="12" t="s">
        <v>88</v>
      </c>
      <c r="B69" s="13" t="n">
        <v>1008</v>
      </c>
    </row>
    <row r="70" customFormat="false" ht="15" hidden="false" customHeight="false" outlineLevel="0" collapsed="false">
      <c r="A70" s="12" t="s">
        <v>89</v>
      </c>
      <c r="B70" s="13" t="n">
        <v>13307.89</v>
      </c>
    </row>
    <row r="71" customFormat="false" ht="15" hidden="false" customHeight="false" outlineLevel="0" collapsed="false">
      <c r="A71" s="12" t="s">
        <v>90</v>
      </c>
      <c r="B71" s="13" t="n">
        <v>10027.84</v>
      </c>
    </row>
    <row r="72" customFormat="false" ht="15" hidden="false" customHeight="false" outlineLevel="0" collapsed="false">
      <c r="A72" s="12" t="s">
        <v>91</v>
      </c>
      <c r="B72" s="13" t="n">
        <v>82929</v>
      </c>
    </row>
    <row r="73" customFormat="false" ht="15" hidden="false" customHeight="false" outlineLevel="0" collapsed="false">
      <c r="A73" s="12" t="s">
        <v>93</v>
      </c>
      <c r="B73" s="13" t="n">
        <v>119.9</v>
      </c>
    </row>
    <row r="74" customFormat="false" ht="15" hidden="false" customHeight="false" outlineLevel="0" collapsed="false">
      <c r="A74" s="12" t="s">
        <v>94</v>
      </c>
      <c r="B74" s="13" t="n">
        <v>10358</v>
      </c>
    </row>
    <row r="75" customFormat="false" ht="15" hidden="false" customHeight="false" outlineLevel="0" collapsed="false">
      <c r="A75" s="11" t="s">
        <v>95</v>
      </c>
      <c r="B75" s="10" t="n">
        <v>75095.58</v>
      </c>
    </row>
    <row r="76" customFormat="false" ht="15" hidden="false" customHeight="false" outlineLevel="0" collapsed="false">
      <c r="A76" s="12" t="s">
        <v>96</v>
      </c>
      <c r="B76" s="13" t="n">
        <v>9291.47</v>
      </c>
    </row>
    <row r="77" customFormat="false" ht="15" hidden="false" customHeight="false" outlineLevel="0" collapsed="false">
      <c r="A77" s="12" t="s">
        <v>97</v>
      </c>
      <c r="B77" s="13" t="n">
        <v>36986.81</v>
      </c>
    </row>
    <row r="78" customFormat="false" ht="15" hidden="false" customHeight="false" outlineLevel="0" collapsed="false">
      <c r="A78" s="12" t="s">
        <v>99</v>
      </c>
      <c r="B78" s="13" t="n">
        <v>1037.14</v>
      </c>
    </row>
    <row r="79" customFormat="false" ht="15" hidden="false" customHeight="false" outlineLevel="0" collapsed="false">
      <c r="A79" s="12" t="s">
        <v>100</v>
      </c>
      <c r="B79" s="13" t="n">
        <v>3900.64</v>
      </c>
    </row>
    <row r="80" customFormat="false" ht="15" hidden="false" customHeight="false" outlineLevel="0" collapsed="false">
      <c r="A80" s="12" t="s">
        <v>101</v>
      </c>
      <c r="B80" s="13" t="n">
        <v>2939.44</v>
      </c>
    </row>
    <row r="81" customFormat="false" ht="15" hidden="false" customHeight="false" outlineLevel="0" collapsed="false">
      <c r="A81" s="12" t="s">
        <v>102</v>
      </c>
      <c r="B81" s="13" t="n">
        <v>781.61</v>
      </c>
    </row>
    <row r="82" customFormat="false" ht="15" hidden="false" customHeight="false" outlineLevel="0" collapsed="false">
      <c r="A82" s="12" t="s">
        <v>103</v>
      </c>
      <c r="B82" s="13" t="n">
        <v>20158.47</v>
      </c>
    </row>
    <row r="83" customFormat="false" ht="15" hidden="false" customHeight="false" outlineLevel="0" collapsed="false">
      <c r="A83" s="9" t="s">
        <v>104</v>
      </c>
      <c r="B83" s="10" t="n">
        <v>601270.45</v>
      </c>
    </row>
    <row r="84" customFormat="false" ht="15" hidden="false" customHeight="false" outlineLevel="0" collapsed="false">
      <c r="A84" s="11" t="s">
        <v>105</v>
      </c>
      <c r="B84" s="10" t="n">
        <v>601270.45</v>
      </c>
    </row>
    <row r="85" customFormat="false" ht="15" hidden="false" customHeight="false" outlineLevel="0" collapsed="false">
      <c r="A85" s="12" t="s">
        <v>107</v>
      </c>
      <c r="B85" s="13" t="n">
        <v>40866.91</v>
      </c>
    </row>
    <row r="86" customFormat="false" ht="15" hidden="false" customHeight="false" outlineLevel="0" collapsed="false">
      <c r="A86" s="12" t="s">
        <v>108</v>
      </c>
      <c r="B86" s="13" t="n">
        <v>2654.72</v>
      </c>
    </row>
    <row r="87" customFormat="false" ht="15" hidden="false" customHeight="false" outlineLevel="0" collapsed="false">
      <c r="A87" s="12" t="s">
        <v>109</v>
      </c>
      <c r="B87" s="13" t="n">
        <v>148507.79</v>
      </c>
    </row>
    <row r="88" customFormat="false" ht="15" hidden="false" customHeight="false" outlineLevel="0" collapsed="false">
      <c r="A88" s="12" t="s">
        <v>110</v>
      </c>
      <c r="B88" s="13" t="n">
        <v>12728.64</v>
      </c>
    </row>
    <row r="89" customFormat="false" ht="15" hidden="false" customHeight="false" outlineLevel="0" collapsed="false">
      <c r="A89" s="12" t="s">
        <v>111</v>
      </c>
      <c r="B89" s="13" t="n">
        <v>1932.1</v>
      </c>
    </row>
    <row r="90" customFormat="false" ht="15" hidden="false" customHeight="false" outlineLevel="0" collapsed="false">
      <c r="A90" s="12" t="s">
        <v>112</v>
      </c>
      <c r="B90" s="13" t="n">
        <v>67121.87</v>
      </c>
    </row>
    <row r="91" customFormat="false" ht="15" hidden="false" customHeight="false" outlineLevel="0" collapsed="false">
      <c r="A91" s="12" t="s">
        <v>113</v>
      </c>
      <c r="B91" s="13" t="n">
        <v>24141.04</v>
      </c>
    </row>
    <row r="92" customFormat="false" ht="15" hidden="false" customHeight="false" outlineLevel="0" collapsed="false">
      <c r="A92" s="12" t="s">
        <v>114</v>
      </c>
      <c r="B92" s="13" t="n">
        <v>7030.98</v>
      </c>
    </row>
    <row r="93" customFormat="false" ht="15" hidden="false" customHeight="false" outlineLevel="0" collapsed="false">
      <c r="A93" s="12" t="s">
        <v>115</v>
      </c>
      <c r="B93" s="13" t="n">
        <v>6081.73</v>
      </c>
    </row>
    <row r="94" customFormat="false" ht="15" hidden="false" customHeight="false" outlineLevel="0" collapsed="false">
      <c r="A94" s="12" t="s">
        <v>116</v>
      </c>
      <c r="B94" s="13" t="n">
        <v>13772.46</v>
      </c>
    </row>
    <row r="95" customFormat="false" ht="15" hidden="false" customHeight="false" outlineLevel="0" collapsed="false">
      <c r="A95" s="12" t="s">
        <v>117</v>
      </c>
      <c r="B95" s="13" t="n">
        <v>40914.14</v>
      </c>
    </row>
    <row r="96" customFormat="false" ht="15" hidden="false" customHeight="false" outlineLevel="0" collapsed="false">
      <c r="A96" s="12" t="s">
        <v>118</v>
      </c>
      <c r="B96" s="13" t="n">
        <v>126621.83</v>
      </c>
    </row>
    <row r="97" customFormat="false" ht="15" hidden="false" customHeight="false" outlineLevel="0" collapsed="false">
      <c r="A97" s="12" t="s">
        <v>119</v>
      </c>
      <c r="B97" s="13" t="n">
        <v>575</v>
      </c>
    </row>
    <row r="98" customFormat="false" ht="15" hidden="false" customHeight="false" outlineLevel="0" collapsed="false">
      <c r="A98" s="12" t="s">
        <v>122</v>
      </c>
      <c r="B98" s="13" t="n">
        <v>3073.33</v>
      </c>
    </row>
    <row r="99" customFormat="false" ht="15" hidden="false" customHeight="false" outlineLevel="0" collapsed="false">
      <c r="A99" s="12" t="s">
        <v>124</v>
      </c>
      <c r="B99" s="13" t="n">
        <v>3147.47</v>
      </c>
    </row>
    <row r="100" customFormat="false" ht="15" hidden="false" customHeight="false" outlineLevel="0" collapsed="false">
      <c r="A100" s="12" t="s">
        <v>125</v>
      </c>
      <c r="B100" s="13" t="n">
        <v>3579.6</v>
      </c>
    </row>
    <row r="101" customFormat="false" ht="15" hidden="false" customHeight="false" outlineLevel="0" collapsed="false">
      <c r="A101" s="12" t="s">
        <v>127</v>
      </c>
      <c r="B101" s="13" t="n">
        <v>5077.82</v>
      </c>
    </row>
    <row r="102" customFormat="false" ht="15" hidden="false" customHeight="false" outlineLevel="0" collapsed="false">
      <c r="A102" s="12" t="s">
        <v>128</v>
      </c>
      <c r="B102" s="13" t="n">
        <v>498.5</v>
      </c>
    </row>
    <row r="103" customFormat="false" ht="15" hidden="false" customHeight="false" outlineLevel="0" collapsed="false">
      <c r="A103" s="12" t="s">
        <v>129</v>
      </c>
      <c r="B103" s="13" t="n">
        <v>3263.09</v>
      </c>
    </row>
    <row r="104" customFormat="false" ht="15" hidden="false" customHeight="false" outlineLevel="0" collapsed="false">
      <c r="A104" s="12" t="s">
        <v>131</v>
      </c>
      <c r="B104" s="13" t="n">
        <v>5558.32</v>
      </c>
    </row>
    <row r="105" customFormat="false" ht="15" hidden="false" customHeight="false" outlineLevel="0" collapsed="false">
      <c r="A105" s="12" t="s">
        <v>133</v>
      </c>
      <c r="B105" s="13" t="n">
        <v>10545</v>
      </c>
    </row>
    <row r="106" customFormat="false" ht="15" hidden="false" customHeight="false" outlineLevel="0" collapsed="false">
      <c r="A106" s="12" t="s">
        <v>134</v>
      </c>
      <c r="B106" s="13" t="n">
        <v>358.96</v>
      </c>
    </row>
    <row r="107" customFormat="false" ht="15" hidden="false" customHeight="false" outlineLevel="0" collapsed="false">
      <c r="A107" s="12" t="s">
        <v>135</v>
      </c>
      <c r="B107" s="13" t="n">
        <v>2888.35</v>
      </c>
    </row>
    <row r="108" customFormat="false" ht="15" hidden="false" customHeight="false" outlineLevel="0" collapsed="false">
      <c r="A108" s="12" t="s">
        <v>136</v>
      </c>
      <c r="B108" s="13" t="n">
        <v>8160.23</v>
      </c>
    </row>
    <row r="109" customFormat="false" ht="15" hidden="false" customHeight="false" outlineLevel="0" collapsed="false">
      <c r="A109" s="12" t="s">
        <v>137</v>
      </c>
      <c r="B109" s="13" t="n">
        <v>1170</v>
      </c>
    </row>
    <row r="110" customFormat="false" ht="15" hidden="false" customHeight="false" outlineLevel="0" collapsed="false">
      <c r="A110" s="12" t="s">
        <v>138</v>
      </c>
      <c r="B110" s="13" t="n">
        <v>2107.8</v>
      </c>
    </row>
    <row r="111" customFormat="false" ht="15" hidden="false" customHeight="false" outlineLevel="0" collapsed="false">
      <c r="A111" s="12" t="s">
        <v>139</v>
      </c>
      <c r="B111" s="13" t="n">
        <v>506.35</v>
      </c>
    </row>
    <row r="112" customFormat="false" ht="15" hidden="false" customHeight="false" outlineLevel="0" collapsed="false">
      <c r="A112" s="12" t="s">
        <v>140</v>
      </c>
      <c r="B112" s="13" t="n">
        <v>66.9</v>
      </c>
    </row>
    <row r="113" customFormat="false" ht="15" hidden="false" customHeight="false" outlineLevel="0" collapsed="false">
      <c r="A113" s="12" t="s">
        <v>141</v>
      </c>
      <c r="B113" s="13" t="n">
        <v>5820.07</v>
      </c>
    </row>
    <row r="114" customFormat="false" ht="15" hidden="false" customHeight="false" outlineLevel="0" collapsed="false">
      <c r="A114" s="12" t="s">
        <v>142</v>
      </c>
      <c r="B114" s="13" t="n">
        <v>1249.44</v>
      </c>
    </row>
    <row r="115" customFormat="false" ht="15" hidden="false" customHeight="false" outlineLevel="0" collapsed="false">
      <c r="A115" s="12" t="s">
        <v>143</v>
      </c>
      <c r="B115" s="13" t="n">
        <v>70.95</v>
      </c>
    </row>
    <row r="116" customFormat="false" ht="15" hidden="false" customHeight="false" outlineLevel="0" collapsed="false">
      <c r="A116" s="12" t="s">
        <v>144</v>
      </c>
      <c r="B116" s="13" t="n">
        <v>12000</v>
      </c>
    </row>
    <row r="117" customFormat="false" ht="15" hidden="false" customHeight="false" outlineLevel="0" collapsed="false">
      <c r="A117" s="12" t="s">
        <v>145</v>
      </c>
      <c r="B117" s="13" t="n">
        <v>4080</v>
      </c>
    </row>
    <row r="118" customFormat="false" ht="15" hidden="false" customHeight="false" outlineLevel="0" collapsed="false">
      <c r="A118" s="12" t="s">
        <v>146</v>
      </c>
      <c r="B118" s="13" t="n">
        <v>690.63</v>
      </c>
    </row>
    <row r="119" customFormat="false" ht="15" hidden="false" customHeight="false" outlineLevel="0" collapsed="false">
      <c r="A119" s="12" t="s">
        <v>149</v>
      </c>
      <c r="B119" s="13" t="n">
        <v>2287</v>
      </c>
    </row>
    <row r="120" customFormat="false" ht="15" hidden="false" customHeight="false" outlineLevel="0" collapsed="false">
      <c r="A120" s="12" t="s">
        <v>150</v>
      </c>
      <c r="B120" s="13" t="n">
        <v>2875.01</v>
      </c>
    </row>
    <row r="121" customFormat="false" ht="15" hidden="false" customHeight="false" outlineLevel="0" collapsed="false">
      <c r="A121" s="12" t="s">
        <v>151</v>
      </c>
      <c r="B121" s="13" t="n">
        <v>6143.4</v>
      </c>
    </row>
    <row r="122" customFormat="false" ht="15" hidden="false" customHeight="false" outlineLevel="0" collapsed="false">
      <c r="A122" s="12" t="s">
        <v>152</v>
      </c>
      <c r="B122" s="13" t="n">
        <v>930</v>
      </c>
    </row>
    <row r="123" customFormat="false" ht="15" hidden="false" customHeight="false" outlineLevel="0" collapsed="false">
      <c r="A123" s="12" t="s">
        <v>153</v>
      </c>
      <c r="B123" s="13" t="n">
        <v>21695.03</v>
      </c>
    </row>
    <row r="124" customFormat="false" ht="15" hidden="false" customHeight="false" outlineLevel="0" collapsed="false">
      <c r="A124" s="12" t="s">
        <v>155</v>
      </c>
      <c r="B124" s="13" t="n">
        <v>477.99</v>
      </c>
    </row>
    <row r="125" customFormat="false" ht="15" hidden="false" customHeight="false" outlineLevel="0" collapsed="false">
      <c r="A125" s="7" t="s">
        <v>158</v>
      </c>
      <c r="B125" s="8" t="n">
        <v>-1119101.76</v>
      </c>
    </row>
    <row r="126" customFormat="false" ht="15" hidden="false" customHeight="false" outlineLevel="0" collapsed="false">
      <c r="A126" s="7" t="s">
        <v>159</v>
      </c>
      <c r="B126" s="8" t="n">
        <v>93333.67</v>
      </c>
    </row>
    <row r="127" customFormat="false" ht="15" hidden="false" customHeight="false" outlineLevel="0" collapsed="false">
      <c r="A127" s="9" t="s">
        <v>160</v>
      </c>
      <c r="B127" s="10" t="n">
        <v>93333.67</v>
      </c>
    </row>
    <row r="128" customFormat="false" ht="15" hidden="false" customHeight="false" outlineLevel="0" collapsed="false">
      <c r="A128" s="11" t="s">
        <v>159</v>
      </c>
      <c r="B128" s="10" t="n">
        <v>93333.67</v>
      </c>
    </row>
    <row r="129" customFormat="false" ht="15" hidden="false" customHeight="false" outlineLevel="0" collapsed="false">
      <c r="A129" s="12" t="s">
        <v>161</v>
      </c>
      <c r="B129" s="13" t="n">
        <v>10559.06</v>
      </c>
    </row>
    <row r="130" customFormat="false" ht="15" hidden="false" customHeight="false" outlineLevel="0" collapsed="false">
      <c r="A130" s="12" t="s">
        <v>162</v>
      </c>
      <c r="B130" s="13" t="n">
        <v>16</v>
      </c>
    </row>
    <row r="131" customFormat="false" ht="15" hidden="false" customHeight="false" outlineLevel="0" collapsed="false">
      <c r="A131" s="12" t="s">
        <v>163</v>
      </c>
      <c r="B131" s="13" t="n">
        <v>82579.13</v>
      </c>
    </row>
    <row r="132" customFormat="false" ht="15" hidden="false" customHeight="false" outlineLevel="0" collapsed="false">
      <c r="A132" s="12" t="s">
        <v>164</v>
      </c>
      <c r="B132" s="13" t="n">
        <v>179.48</v>
      </c>
    </row>
    <row r="133" customFormat="false" ht="15" hidden="false" customHeight="false" outlineLevel="0" collapsed="false">
      <c r="A133" s="7" t="s">
        <v>167</v>
      </c>
      <c r="B133" s="8" t="n">
        <v>-106209.57</v>
      </c>
    </row>
    <row r="134" customFormat="false" ht="15" hidden="false" customHeight="false" outlineLevel="0" collapsed="false">
      <c r="A134" s="9" t="s">
        <v>160</v>
      </c>
      <c r="B134" s="10" t="n">
        <v>106209.57</v>
      </c>
    </row>
    <row r="135" customFormat="false" ht="15" hidden="false" customHeight="false" outlineLevel="0" collapsed="false">
      <c r="A135" s="11" t="s">
        <v>167</v>
      </c>
      <c r="B135" s="10" t="n">
        <v>106209.57</v>
      </c>
    </row>
    <row r="136" customFormat="false" ht="15" hidden="false" customHeight="false" outlineLevel="0" collapsed="false">
      <c r="A136" s="12" t="s">
        <v>168</v>
      </c>
      <c r="B136" s="13" t="n">
        <v>43933.99</v>
      </c>
    </row>
    <row r="137" customFormat="false" ht="15" hidden="false" customHeight="false" outlineLevel="0" collapsed="false">
      <c r="A137" s="12" t="s">
        <v>169</v>
      </c>
      <c r="B137" s="13" t="n">
        <v>3364.55</v>
      </c>
    </row>
    <row r="138" customFormat="false" ht="15" hidden="false" customHeight="false" outlineLevel="0" collapsed="false">
      <c r="A138" s="12" t="s">
        <v>170</v>
      </c>
      <c r="B138" s="13" t="n">
        <v>945.55</v>
      </c>
    </row>
    <row r="139" customFormat="false" ht="15" hidden="false" customHeight="false" outlineLevel="0" collapsed="false">
      <c r="A139" s="12" t="s">
        <v>171</v>
      </c>
      <c r="B139" s="13" t="n">
        <v>185.14</v>
      </c>
    </row>
    <row r="140" customFormat="false" ht="15" hidden="false" customHeight="false" outlineLevel="0" collapsed="false">
      <c r="A140" s="12" t="s">
        <v>175</v>
      </c>
      <c r="B140" s="13" t="n">
        <v>1249.04</v>
      </c>
    </row>
    <row r="141" customFormat="false" ht="15" hidden="false" customHeight="false" outlineLevel="0" collapsed="false">
      <c r="A141" s="12" t="s">
        <v>176</v>
      </c>
      <c r="B141" s="13" t="n">
        <v>56531.3</v>
      </c>
    </row>
    <row r="142" customFormat="false" ht="15" hidden="false" customHeight="false" outlineLevel="0" collapsed="false">
      <c r="A142" s="7" t="s">
        <v>177</v>
      </c>
      <c r="B142" s="8" t="n">
        <v>1796.48</v>
      </c>
    </row>
    <row r="143" customFormat="false" ht="15" hidden="false" customHeight="false" outlineLevel="0" collapsed="false">
      <c r="A143" s="9" t="s">
        <v>178</v>
      </c>
      <c r="B143" s="10" t="n">
        <v>1796.48</v>
      </c>
    </row>
    <row r="144" customFormat="false" ht="15" hidden="false" customHeight="false" outlineLevel="0" collapsed="false">
      <c r="A144" s="11" t="s">
        <v>178</v>
      </c>
      <c r="B144" s="10" t="n">
        <v>1796.48</v>
      </c>
    </row>
    <row r="145" customFormat="false" ht="15" hidden="false" customHeight="false" outlineLevel="0" collapsed="false">
      <c r="A145" s="12" t="s">
        <v>184</v>
      </c>
      <c r="B145" s="13" t="n">
        <v>296.25</v>
      </c>
    </row>
    <row r="146" customFormat="false" ht="15" hidden="false" customHeight="false" outlineLevel="0" collapsed="false">
      <c r="A146" s="12" t="s">
        <v>185</v>
      </c>
      <c r="B146" s="13" t="n">
        <v>1413.46</v>
      </c>
    </row>
    <row r="147" customFormat="false" ht="15" hidden="false" customHeight="false" outlineLevel="0" collapsed="false">
      <c r="A147" s="12" t="s">
        <v>186</v>
      </c>
      <c r="B147" s="13" t="n">
        <v>86.77</v>
      </c>
    </row>
    <row r="148" customFormat="false" ht="15" hidden="false" customHeight="false" outlineLevel="0" collapsed="false">
      <c r="A148" s="7" t="s">
        <v>187</v>
      </c>
      <c r="B148" s="8" t="n">
        <v>-1629.77</v>
      </c>
    </row>
    <row r="149" customFormat="false" ht="15" hidden="false" customHeight="false" outlineLevel="0" collapsed="false">
      <c r="A149" s="9" t="s">
        <v>188</v>
      </c>
      <c r="B149" s="10" t="n">
        <v>1629.77</v>
      </c>
    </row>
    <row r="150" customFormat="false" ht="15" hidden="false" customHeight="false" outlineLevel="0" collapsed="false">
      <c r="A150" s="11" t="s">
        <v>188</v>
      </c>
      <c r="B150" s="10" t="n">
        <v>1629.77</v>
      </c>
    </row>
    <row r="151" customFormat="false" ht="15" hidden="false" customHeight="false" outlineLevel="0" collapsed="false">
      <c r="A151" s="12" t="s">
        <v>189</v>
      </c>
      <c r="B151" s="13" t="n">
        <v>229</v>
      </c>
    </row>
    <row r="152" customFormat="false" ht="15" hidden="false" customHeight="false" outlineLevel="0" collapsed="false">
      <c r="A152" s="12" t="s">
        <v>190</v>
      </c>
      <c r="B152" s="13" t="n">
        <v>1400.77</v>
      </c>
    </row>
    <row r="153" customFormat="false" ht="15" hidden="false" customHeight="false" outlineLevel="0" collapsed="false">
      <c r="A153" s="7" t="s">
        <v>191</v>
      </c>
      <c r="B153" s="8" t="n">
        <v>-1131810.95</v>
      </c>
    </row>
    <row r="154" customFormat="false" ht="15" hidden="false" customHeight="false" outlineLevel="0" collapsed="false">
      <c r="A154" s="7" t="s">
        <v>192</v>
      </c>
      <c r="B154" s="8" t="n">
        <v>-1131810.95</v>
      </c>
    </row>
    <row r="155" customFormat="false" ht="15" hidden="false" customHeight="false" outlineLevel="0" collapsed="false">
      <c r="A155" s="7" t="s">
        <v>193</v>
      </c>
      <c r="B155" s="8" t="n">
        <v>-1131810.95</v>
      </c>
    </row>
    <row r="157" customFormat="false" ht="15" hidden="false" customHeight="true" outlineLevel="0" collapsed="false">
      <c r="A157" s="14" t="s">
        <v>213</v>
      </c>
      <c r="B157" s="14"/>
    </row>
    <row r="159" customFormat="false" ht="15" hidden="false" customHeight="false" outlineLevel="0" collapsed="false">
      <c r="A159" s="15" t="s">
        <v>198</v>
      </c>
      <c r="B159" s="15" t="s">
        <v>199</v>
      </c>
    </row>
    <row r="160" customFormat="false" ht="15" hidden="false" customHeight="false" outlineLevel="0" collapsed="false">
      <c r="A160" s="16" t="s">
        <v>200</v>
      </c>
      <c r="B160" s="16" t="s">
        <v>201</v>
      </c>
    </row>
    <row r="161" customFormat="false" ht="15" hidden="false" customHeight="false" outlineLevel="0" collapsed="false">
      <c r="A161" s="16" t="s">
        <v>202</v>
      </c>
      <c r="B161" s="16" t="s">
        <v>203</v>
      </c>
    </row>
  </sheetData>
  <mergeCells count="1">
    <mergeCell ref="A157:B157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9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194</v>
      </c>
    </row>
    <row r="3" customFormat="false" ht="15" hidden="false" customHeight="false" outlineLevel="0" collapsed="false">
      <c r="A3" s="3" t="s">
        <v>214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196</v>
      </c>
    </row>
    <row r="8" customFormat="false" ht="15" hidden="false" customHeight="false" outlineLevel="0" collapsed="false">
      <c r="A8" s="7" t="s">
        <v>15</v>
      </c>
      <c r="B8" s="8" t="n">
        <v>5702251.04</v>
      </c>
    </row>
    <row r="9" customFormat="false" ht="15" hidden="false" customHeight="false" outlineLevel="0" collapsed="false">
      <c r="A9" s="9" t="s">
        <v>16</v>
      </c>
      <c r="B9" s="10" t="n">
        <v>5895604.85</v>
      </c>
    </row>
    <row r="10" customFormat="false" ht="15" hidden="false" customHeight="false" outlineLevel="0" collapsed="false">
      <c r="A10" s="11" t="s">
        <v>17</v>
      </c>
      <c r="B10" s="10" t="n">
        <v>5895604.85</v>
      </c>
    </row>
    <row r="11" customFormat="false" ht="15" hidden="false" customHeight="false" outlineLevel="0" collapsed="false">
      <c r="A11" s="12" t="s">
        <v>18</v>
      </c>
      <c r="B11" s="13" t="n">
        <v>5863520.35</v>
      </c>
    </row>
    <row r="12" customFormat="false" ht="15" hidden="false" customHeight="false" outlineLevel="0" collapsed="false">
      <c r="A12" s="12" t="s">
        <v>20</v>
      </c>
      <c r="B12" s="13" t="n">
        <v>32084.5</v>
      </c>
    </row>
    <row r="13" customFormat="false" ht="15" hidden="false" customHeight="false" outlineLevel="0" collapsed="false">
      <c r="A13" s="11" t="s">
        <v>21</v>
      </c>
      <c r="B13" s="10" t="n">
        <v>390744.11</v>
      </c>
    </row>
    <row r="14" customFormat="false" ht="15" hidden="false" customHeight="false" outlineLevel="0" collapsed="false">
      <c r="A14" s="12" t="s">
        <v>22</v>
      </c>
      <c r="B14" s="13" t="n">
        <v>42378.34</v>
      </c>
    </row>
    <row r="15" customFormat="false" ht="15" hidden="false" customHeight="false" outlineLevel="0" collapsed="false">
      <c r="A15" s="12" t="s">
        <v>23</v>
      </c>
      <c r="B15" s="13" t="n">
        <v>348365.77</v>
      </c>
    </row>
    <row r="16" customFormat="false" ht="15" hidden="false" customHeight="false" outlineLevel="0" collapsed="false">
      <c r="A16" s="11" t="s">
        <v>26</v>
      </c>
      <c r="B16" s="10" t="n">
        <v>350984.55</v>
      </c>
    </row>
    <row r="17" customFormat="false" ht="15" hidden="false" customHeight="false" outlineLevel="0" collapsed="false">
      <c r="A17" s="12" t="s">
        <v>27</v>
      </c>
      <c r="B17" s="13" t="n">
        <v>203764.46</v>
      </c>
    </row>
    <row r="18" customFormat="false" ht="15" hidden="false" customHeight="false" outlineLevel="0" collapsed="false">
      <c r="A18" s="12" t="s">
        <v>28</v>
      </c>
      <c r="B18" s="13" t="n">
        <v>147220.09</v>
      </c>
    </row>
    <row r="19" customFormat="false" ht="15" hidden="false" customHeight="false" outlineLevel="0" collapsed="false">
      <c r="A19" s="11" t="s">
        <v>29</v>
      </c>
      <c r="B19" s="10" t="n">
        <v>935082.47</v>
      </c>
    </row>
    <row r="20" customFormat="false" ht="15" hidden="false" customHeight="false" outlineLevel="0" collapsed="false">
      <c r="A20" s="12" t="s">
        <v>30</v>
      </c>
      <c r="B20" s="13" t="n">
        <v>39049.03</v>
      </c>
    </row>
    <row r="21" customFormat="false" ht="15" hidden="false" customHeight="false" outlineLevel="0" collapsed="false">
      <c r="A21" s="12" t="s">
        <v>31</v>
      </c>
      <c r="B21" s="13" t="n">
        <v>691676.03</v>
      </c>
    </row>
    <row r="22" customFormat="false" ht="15" hidden="false" customHeight="false" outlineLevel="0" collapsed="false">
      <c r="A22" s="12" t="s">
        <v>32</v>
      </c>
      <c r="B22" s="13" t="n">
        <v>30270.24</v>
      </c>
    </row>
    <row r="23" customFormat="false" ht="15" hidden="false" customHeight="false" outlineLevel="0" collapsed="false">
      <c r="A23" s="12" t="s">
        <v>33</v>
      </c>
      <c r="B23" s="13" t="n">
        <v>139437.49</v>
      </c>
    </row>
    <row r="24" customFormat="false" ht="15" hidden="false" customHeight="false" outlineLevel="0" collapsed="false">
      <c r="A24" s="12" t="s">
        <v>34</v>
      </c>
      <c r="B24" s="13" t="n">
        <v>4416.6</v>
      </c>
    </row>
    <row r="25" customFormat="false" ht="15" hidden="false" customHeight="false" outlineLevel="0" collapsed="false">
      <c r="A25" s="12" t="s">
        <v>35</v>
      </c>
      <c r="B25" s="13" t="n">
        <v>29946.95</v>
      </c>
    </row>
    <row r="26" customFormat="false" ht="15" hidden="false" customHeight="false" outlineLevel="0" collapsed="false">
      <c r="A26" s="12" t="s">
        <v>36</v>
      </c>
      <c r="B26" s="13" t="n">
        <v>286.13</v>
      </c>
    </row>
    <row r="27" customFormat="false" ht="15" hidden="false" customHeight="false" outlineLevel="0" collapsed="false">
      <c r="A27" s="7" t="s">
        <v>39</v>
      </c>
      <c r="B27" s="8" t="n">
        <v>-4009.96</v>
      </c>
    </row>
    <row r="28" customFormat="false" ht="15" hidden="false" customHeight="false" outlineLevel="0" collapsed="false">
      <c r="A28" s="9" t="s">
        <v>40</v>
      </c>
      <c r="B28" s="10" t="n">
        <v>4009.96</v>
      </c>
    </row>
    <row r="29" customFormat="false" ht="15" hidden="false" customHeight="false" outlineLevel="0" collapsed="false">
      <c r="A29" s="11" t="s">
        <v>41</v>
      </c>
      <c r="B29" s="10" t="n">
        <v>4009.96</v>
      </c>
    </row>
    <row r="30" customFormat="false" ht="15" hidden="false" customHeight="false" outlineLevel="0" collapsed="false">
      <c r="A30" s="12" t="s">
        <v>42</v>
      </c>
      <c r="B30" s="13" t="n">
        <v>1338.6</v>
      </c>
    </row>
    <row r="31" customFormat="false" ht="15" hidden="false" customHeight="false" outlineLevel="0" collapsed="false">
      <c r="A31" s="12" t="s">
        <v>44</v>
      </c>
      <c r="B31" s="13" t="n">
        <v>2671.36</v>
      </c>
    </row>
    <row r="32" customFormat="false" ht="15" hidden="false" customHeight="false" outlineLevel="0" collapsed="false">
      <c r="A32" s="7" t="s">
        <v>46</v>
      </c>
      <c r="B32" s="8" t="n">
        <v>5698241.08</v>
      </c>
    </row>
    <row r="33" customFormat="false" ht="15" hidden="false" customHeight="false" outlineLevel="0" collapsed="false">
      <c r="A33" s="7" t="s">
        <v>47</v>
      </c>
      <c r="B33" s="8" t="n">
        <v>-4788917.27</v>
      </c>
    </row>
    <row r="34" customFormat="false" ht="15" hidden="false" customHeight="false" outlineLevel="0" collapsed="false">
      <c r="A34" s="9" t="s">
        <v>48</v>
      </c>
      <c r="B34" s="10" t="n">
        <v>4788917.27</v>
      </c>
    </row>
    <row r="35" customFormat="false" ht="15" hidden="false" customHeight="false" outlineLevel="0" collapsed="false">
      <c r="A35" s="11" t="s">
        <v>49</v>
      </c>
      <c r="B35" s="10" t="n">
        <v>3287213.96</v>
      </c>
    </row>
    <row r="36" customFormat="false" ht="15" hidden="false" customHeight="false" outlineLevel="0" collapsed="false">
      <c r="A36" s="12" t="s">
        <v>51</v>
      </c>
      <c r="B36" s="13" t="n">
        <v>3180895</v>
      </c>
    </row>
    <row r="37" customFormat="false" ht="15" hidden="false" customHeight="false" outlineLevel="0" collapsed="false">
      <c r="A37" s="12" t="s">
        <v>52</v>
      </c>
      <c r="B37" s="13" t="n">
        <v>2545.62</v>
      </c>
    </row>
    <row r="38" customFormat="false" ht="15" hidden="false" customHeight="false" outlineLevel="0" collapsed="false">
      <c r="A38" s="12" t="s">
        <v>53</v>
      </c>
      <c r="B38" s="13" t="n">
        <v>103773.34</v>
      </c>
    </row>
    <row r="39" customFormat="false" ht="15" hidden="false" customHeight="false" outlineLevel="0" collapsed="false">
      <c r="A39" s="11" t="s">
        <v>54</v>
      </c>
      <c r="B39" s="10" t="n">
        <v>498994.24</v>
      </c>
    </row>
    <row r="40" customFormat="false" ht="15" hidden="false" customHeight="false" outlineLevel="0" collapsed="false">
      <c r="A40" s="12" t="s">
        <v>54</v>
      </c>
      <c r="B40" s="13" t="n">
        <v>498994.24</v>
      </c>
    </row>
    <row r="41" customFormat="false" ht="15" hidden="false" customHeight="false" outlineLevel="0" collapsed="false">
      <c r="A41" s="12" t="s">
        <v>55</v>
      </c>
      <c r="B41" s="13" t="n">
        <v>62568.16</v>
      </c>
    </row>
    <row r="42" customFormat="false" ht="15" hidden="false" customHeight="false" outlineLevel="0" collapsed="false">
      <c r="A42" s="12" t="s">
        <v>56</v>
      </c>
      <c r="B42" s="13" t="n">
        <v>40767.68</v>
      </c>
    </row>
    <row r="43" customFormat="false" ht="15" hidden="false" customHeight="false" outlineLevel="0" collapsed="false">
      <c r="A43" s="12" t="s">
        <v>57</v>
      </c>
      <c r="B43" s="13" t="n">
        <v>32054.19</v>
      </c>
    </row>
    <row r="44" customFormat="false" ht="15" hidden="false" customHeight="false" outlineLevel="0" collapsed="false">
      <c r="A44" s="12" t="s">
        <v>58</v>
      </c>
      <c r="B44" s="13" t="n">
        <v>363604.21</v>
      </c>
    </row>
    <row r="45" customFormat="false" ht="15" hidden="false" customHeight="false" outlineLevel="0" collapsed="false">
      <c r="A45" s="11" t="s">
        <v>59</v>
      </c>
      <c r="B45" s="10" t="n">
        <v>1002709.07</v>
      </c>
    </row>
    <row r="46" customFormat="false" ht="15" hidden="false" customHeight="false" outlineLevel="0" collapsed="false">
      <c r="A46" s="12" t="s">
        <v>60</v>
      </c>
      <c r="B46" s="13" t="n">
        <v>593399.59</v>
      </c>
    </row>
    <row r="47" customFormat="false" ht="15" hidden="false" customHeight="false" outlineLevel="0" collapsed="false">
      <c r="A47" s="12" t="s">
        <v>61</v>
      </c>
      <c r="B47" s="13" t="n">
        <v>9426.13</v>
      </c>
    </row>
    <row r="48" customFormat="false" ht="15" hidden="false" customHeight="false" outlineLevel="0" collapsed="false">
      <c r="A48" s="12" t="s">
        <v>65</v>
      </c>
      <c r="B48" s="13" t="n">
        <v>69367.07</v>
      </c>
    </row>
    <row r="49" customFormat="false" ht="15" hidden="false" customHeight="false" outlineLevel="0" collapsed="false">
      <c r="A49" s="12" t="s">
        <v>66</v>
      </c>
      <c r="B49" s="13" t="n">
        <v>52057.77</v>
      </c>
    </row>
    <row r="50" customFormat="false" ht="15" hidden="false" customHeight="false" outlineLevel="0" collapsed="false">
      <c r="A50" s="12" t="s">
        <v>67</v>
      </c>
      <c r="B50" s="13" t="n">
        <v>49823.22</v>
      </c>
    </row>
    <row r="51" customFormat="false" ht="15" hidden="false" customHeight="false" outlineLevel="0" collapsed="false">
      <c r="A51" s="12" t="s">
        <v>68</v>
      </c>
      <c r="B51" s="13" t="n">
        <v>184252.44</v>
      </c>
    </row>
    <row r="52" customFormat="false" ht="15" hidden="false" customHeight="false" outlineLevel="0" collapsed="false">
      <c r="A52" s="12" t="s">
        <v>70</v>
      </c>
      <c r="B52" s="13" t="n">
        <v>4666.92</v>
      </c>
    </row>
    <row r="53" customFormat="false" ht="15" hidden="false" customHeight="false" outlineLevel="0" collapsed="false">
      <c r="A53" s="12" t="s">
        <v>71</v>
      </c>
      <c r="B53" s="13" t="n">
        <v>20310.86</v>
      </c>
    </row>
    <row r="54" customFormat="false" ht="15" hidden="false" customHeight="false" outlineLevel="0" collapsed="false">
      <c r="A54" s="12" t="s">
        <v>72</v>
      </c>
      <c r="B54" s="13" t="n">
        <v>15241.26</v>
      </c>
    </row>
    <row r="55" customFormat="false" ht="15" hidden="false" customHeight="false" outlineLevel="0" collapsed="false">
      <c r="A55" s="12" t="s">
        <v>73</v>
      </c>
      <c r="B55" s="13" t="n">
        <v>4163.81</v>
      </c>
    </row>
    <row r="56" customFormat="false" ht="15" hidden="false" customHeight="false" outlineLevel="0" collapsed="false">
      <c r="A56" s="7" t="s">
        <v>75</v>
      </c>
      <c r="B56" s="8" t="n">
        <v>909323.81</v>
      </c>
    </row>
    <row r="57" customFormat="false" ht="15" hidden="false" customHeight="false" outlineLevel="0" collapsed="false">
      <c r="A57" s="7" t="s">
        <v>76</v>
      </c>
      <c r="B57" s="8" t="n">
        <v>-1185503.13</v>
      </c>
    </row>
    <row r="58" customFormat="false" ht="15" hidden="false" customHeight="false" outlineLevel="0" collapsed="false">
      <c r="A58" s="9" t="s">
        <v>77</v>
      </c>
      <c r="B58" s="10" t="n">
        <v>352501.71</v>
      </c>
    </row>
    <row r="59" customFormat="false" ht="15" hidden="false" customHeight="false" outlineLevel="0" collapsed="false">
      <c r="A59" s="11" t="s">
        <v>78</v>
      </c>
      <c r="B59" s="10" t="n">
        <v>352501.71</v>
      </c>
    </row>
    <row r="60" customFormat="false" ht="15" hidden="false" customHeight="false" outlineLevel="0" collapsed="false">
      <c r="A60" s="12" t="s">
        <v>79</v>
      </c>
      <c r="B60" s="13" t="n">
        <v>81123.89</v>
      </c>
    </row>
    <row r="61" customFormat="false" ht="15" hidden="false" customHeight="false" outlineLevel="0" collapsed="false">
      <c r="A61" s="12" t="s">
        <v>80</v>
      </c>
      <c r="B61" s="13" t="n">
        <v>141574.34</v>
      </c>
    </row>
    <row r="62" customFormat="false" ht="15" hidden="false" customHeight="false" outlineLevel="0" collapsed="false">
      <c r="A62" s="12" t="s">
        <v>83</v>
      </c>
      <c r="B62" s="13" t="n">
        <v>11362.71</v>
      </c>
    </row>
    <row r="63" customFormat="false" ht="15" hidden="false" customHeight="false" outlineLevel="0" collapsed="false">
      <c r="A63" s="12" t="s">
        <v>84</v>
      </c>
      <c r="B63" s="13" t="n">
        <v>10081.05</v>
      </c>
    </row>
    <row r="64" customFormat="false" ht="15" hidden="false" customHeight="false" outlineLevel="0" collapsed="false">
      <c r="A64" s="12" t="s">
        <v>85</v>
      </c>
      <c r="B64" s="13" t="n">
        <v>683.06</v>
      </c>
    </row>
    <row r="65" customFormat="false" ht="15" hidden="false" customHeight="false" outlineLevel="0" collapsed="false">
      <c r="A65" s="12" t="s">
        <v>86</v>
      </c>
      <c r="B65" s="13" t="n">
        <v>12119.4</v>
      </c>
    </row>
    <row r="66" customFormat="false" ht="15" hidden="false" customHeight="false" outlineLevel="0" collapsed="false">
      <c r="A66" s="12" t="s">
        <v>87</v>
      </c>
      <c r="B66" s="13" t="n">
        <v>4297.01</v>
      </c>
    </row>
    <row r="67" customFormat="false" ht="15" hidden="false" customHeight="false" outlineLevel="0" collapsed="false">
      <c r="A67" s="12" t="s">
        <v>88</v>
      </c>
      <c r="B67" s="13" t="n">
        <v>1008</v>
      </c>
    </row>
    <row r="68" customFormat="false" ht="15" hidden="false" customHeight="false" outlineLevel="0" collapsed="false">
      <c r="A68" s="12" t="s">
        <v>89</v>
      </c>
      <c r="B68" s="13" t="n">
        <v>14117.23</v>
      </c>
    </row>
    <row r="69" customFormat="false" ht="15" hidden="false" customHeight="false" outlineLevel="0" collapsed="false">
      <c r="A69" s="12" t="s">
        <v>90</v>
      </c>
      <c r="B69" s="13" t="n">
        <v>10628.04</v>
      </c>
    </row>
    <row r="70" customFormat="false" ht="15" hidden="false" customHeight="false" outlineLevel="0" collapsed="false">
      <c r="A70" s="12" t="s">
        <v>91</v>
      </c>
      <c r="B70" s="13" t="n">
        <v>660</v>
      </c>
    </row>
    <row r="71" customFormat="false" ht="15" hidden="false" customHeight="false" outlineLevel="0" collapsed="false">
      <c r="A71" s="12" t="s">
        <v>93</v>
      </c>
      <c r="B71" s="13" t="n">
        <v>54488.98</v>
      </c>
    </row>
    <row r="72" customFormat="false" ht="15" hidden="false" customHeight="false" outlineLevel="0" collapsed="false">
      <c r="A72" s="12" t="s">
        <v>94</v>
      </c>
      <c r="B72" s="13" t="n">
        <v>10358</v>
      </c>
    </row>
    <row r="73" customFormat="false" ht="15" hidden="false" customHeight="false" outlineLevel="0" collapsed="false">
      <c r="A73" s="11" t="s">
        <v>95</v>
      </c>
      <c r="B73" s="10" t="n">
        <v>59195.61</v>
      </c>
    </row>
    <row r="74" customFormat="false" ht="15" hidden="false" customHeight="false" outlineLevel="0" collapsed="false">
      <c r="A74" s="12" t="s">
        <v>96</v>
      </c>
      <c r="B74" s="13" t="n">
        <v>9399.41</v>
      </c>
    </row>
    <row r="75" customFormat="false" ht="15" hidden="false" customHeight="false" outlineLevel="0" collapsed="false">
      <c r="A75" s="12" t="s">
        <v>97</v>
      </c>
      <c r="B75" s="13" t="n">
        <v>37250.21</v>
      </c>
    </row>
    <row r="76" customFormat="false" ht="15" hidden="false" customHeight="false" outlineLevel="0" collapsed="false">
      <c r="A76" s="12" t="s">
        <v>99</v>
      </c>
      <c r="B76" s="13" t="n">
        <v>1101.86</v>
      </c>
    </row>
    <row r="77" customFormat="false" ht="15" hidden="false" customHeight="false" outlineLevel="0" collapsed="false">
      <c r="A77" s="12" t="s">
        <v>100</v>
      </c>
      <c r="B77" s="13" t="n">
        <v>4121.37</v>
      </c>
    </row>
    <row r="78" customFormat="false" ht="15" hidden="false" customHeight="false" outlineLevel="0" collapsed="false">
      <c r="A78" s="12" t="s">
        <v>101</v>
      </c>
      <c r="B78" s="13" t="n">
        <v>3102.99</v>
      </c>
    </row>
    <row r="79" customFormat="false" ht="15" hidden="false" customHeight="false" outlineLevel="0" collapsed="false">
      <c r="A79" s="12" t="s">
        <v>102</v>
      </c>
      <c r="B79" s="13" t="n">
        <v>829.58</v>
      </c>
    </row>
    <row r="80" customFormat="false" ht="15" hidden="false" customHeight="false" outlineLevel="0" collapsed="false">
      <c r="A80" s="12" t="s">
        <v>103</v>
      </c>
      <c r="B80" s="13" t="n">
        <v>3390.19</v>
      </c>
    </row>
    <row r="81" customFormat="false" ht="15" hidden="false" customHeight="false" outlineLevel="0" collapsed="false">
      <c r="A81" s="9" t="s">
        <v>104</v>
      </c>
      <c r="B81" s="10" t="n">
        <v>773805.81</v>
      </c>
    </row>
    <row r="82" customFormat="false" ht="15" hidden="false" customHeight="false" outlineLevel="0" collapsed="false">
      <c r="A82" s="11" t="s">
        <v>105</v>
      </c>
      <c r="B82" s="10" t="n">
        <v>773805.81</v>
      </c>
    </row>
    <row r="83" customFormat="false" ht="15" hidden="false" customHeight="false" outlineLevel="0" collapsed="false">
      <c r="A83" s="12" t="s">
        <v>107</v>
      </c>
      <c r="B83" s="13" t="n">
        <v>43999.82</v>
      </c>
    </row>
    <row r="84" customFormat="false" ht="15" hidden="false" customHeight="false" outlineLevel="0" collapsed="false">
      <c r="A84" s="12" t="s">
        <v>108</v>
      </c>
      <c r="B84" s="13" t="n">
        <v>2740</v>
      </c>
    </row>
    <row r="85" customFormat="false" ht="15" hidden="false" customHeight="false" outlineLevel="0" collapsed="false">
      <c r="A85" s="12" t="s">
        <v>109</v>
      </c>
      <c r="B85" s="13" t="n">
        <v>244654.51</v>
      </c>
    </row>
    <row r="86" customFormat="false" ht="15" hidden="false" customHeight="false" outlineLevel="0" collapsed="false">
      <c r="A86" s="12" t="s">
        <v>110</v>
      </c>
      <c r="B86" s="13" t="n">
        <v>16821.33</v>
      </c>
    </row>
    <row r="87" customFormat="false" ht="15" hidden="false" customHeight="false" outlineLevel="0" collapsed="false">
      <c r="A87" s="12" t="s">
        <v>111</v>
      </c>
      <c r="B87" s="13" t="n">
        <v>5262.1</v>
      </c>
    </row>
    <row r="88" customFormat="false" ht="15" hidden="false" customHeight="false" outlineLevel="0" collapsed="false">
      <c r="A88" s="12" t="s">
        <v>112</v>
      </c>
      <c r="B88" s="13" t="n">
        <v>181399.37</v>
      </c>
    </row>
    <row r="89" customFormat="false" ht="15" hidden="false" customHeight="false" outlineLevel="0" collapsed="false">
      <c r="A89" s="12" t="s">
        <v>113</v>
      </c>
      <c r="B89" s="13" t="n">
        <v>23397.64</v>
      </c>
    </row>
    <row r="90" customFormat="false" ht="15" hidden="false" customHeight="false" outlineLevel="0" collapsed="false">
      <c r="A90" s="12" t="s">
        <v>114</v>
      </c>
      <c r="B90" s="13" t="n">
        <v>12471.24</v>
      </c>
    </row>
    <row r="91" customFormat="false" ht="15" hidden="false" customHeight="false" outlineLevel="0" collapsed="false">
      <c r="A91" s="12" t="s">
        <v>115</v>
      </c>
      <c r="B91" s="13" t="n">
        <v>7174.31</v>
      </c>
    </row>
    <row r="92" customFormat="false" ht="15" hidden="false" customHeight="false" outlineLevel="0" collapsed="false">
      <c r="A92" s="12" t="s">
        <v>116</v>
      </c>
      <c r="B92" s="13" t="n">
        <v>32452.11</v>
      </c>
    </row>
    <row r="93" customFormat="false" ht="15" hidden="false" customHeight="false" outlineLevel="0" collapsed="false">
      <c r="A93" s="12" t="s">
        <v>117</v>
      </c>
      <c r="B93" s="13" t="n">
        <v>49668.84</v>
      </c>
    </row>
    <row r="94" customFormat="false" ht="15" hidden="false" customHeight="false" outlineLevel="0" collapsed="false">
      <c r="A94" s="12" t="s">
        <v>118</v>
      </c>
      <c r="B94" s="13" t="n">
        <v>30037.36</v>
      </c>
    </row>
    <row r="95" customFormat="false" ht="15" hidden="false" customHeight="false" outlineLevel="0" collapsed="false">
      <c r="A95" s="12" t="s">
        <v>119</v>
      </c>
      <c r="B95" s="13" t="n">
        <v>150</v>
      </c>
    </row>
    <row r="96" customFormat="false" ht="15" hidden="false" customHeight="false" outlineLevel="0" collapsed="false">
      <c r="A96" s="12" t="s">
        <v>122</v>
      </c>
      <c r="B96" s="13" t="n">
        <v>3689.6</v>
      </c>
    </row>
    <row r="97" customFormat="false" ht="15" hidden="false" customHeight="false" outlineLevel="0" collapsed="false">
      <c r="A97" s="12" t="s">
        <v>124</v>
      </c>
      <c r="B97" s="13" t="n">
        <v>4495.56</v>
      </c>
    </row>
    <row r="98" customFormat="false" ht="15" hidden="false" customHeight="false" outlineLevel="0" collapsed="false">
      <c r="A98" s="12" t="s">
        <v>125</v>
      </c>
      <c r="B98" s="13" t="n">
        <v>4373.4</v>
      </c>
    </row>
    <row r="99" customFormat="false" ht="15" hidden="false" customHeight="false" outlineLevel="0" collapsed="false">
      <c r="A99" s="12" t="s">
        <v>127</v>
      </c>
      <c r="B99" s="13" t="n">
        <v>5068.73</v>
      </c>
    </row>
    <row r="100" customFormat="false" ht="15" hidden="false" customHeight="false" outlineLevel="0" collapsed="false">
      <c r="A100" s="12" t="s">
        <v>128</v>
      </c>
      <c r="B100" s="13" t="n">
        <v>104.13</v>
      </c>
    </row>
    <row r="101" customFormat="false" ht="15" hidden="false" customHeight="false" outlineLevel="0" collapsed="false">
      <c r="A101" s="12" t="s">
        <v>129</v>
      </c>
      <c r="B101" s="13" t="n">
        <v>5989.21</v>
      </c>
    </row>
    <row r="102" customFormat="false" ht="15" hidden="false" customHeight="false" outlineLevel="0" collapsed="false">
      <c r="A102" s="12" t="s">
        <v>131</v>
      </c>
      <c r="B102" s="13" t="n">
        <v>2579.73</v>
      </c>
    </row>
    <row r="103" customFormat="false" ht="15" hidden="false" customHeight="false" outlineLevel="0" collapsed="false">
      <c r="A103" s="12" t="s">
        <v>133</v>
      </c>
      <c r="B103" s="13" t="n">
        <v>5673.7</v>
      </c>
    </row>
    <row r="104" customFormat="false" ht="15" hidden="false" customHeight="false" outlineLevel="0" collapsed="false">
      <c r="A104" s="12" t="s">
        <v>134</v>
      </c>
      <c r="B104" s="13" t="n">
        <v>6210.88</v>
      </c>
    </row>
    <row r="105" customFormat="false" ht="15" hidden="false" customHeight="false" outlineLevel="0" collapsed="false">
      <c r="A105" s="12" t="s">
        <v>135</v>
      </c>
      <c r="B105" s="13" t="n">
        <v>2733.94</v>
      </c>
    </row>
    <row r="106" customFormat="false" ht="15" hidden="false" customHeight="false" outlineLevel="0" collapsed="false">
      <c r="A106" s="12" t="s">
        <v>136</v>
      </c>
      <c r="B106" s="13" t="n">
        <v>8347.43</v>
      </c>
    </row>
    <row r="107" customFormat="false" ht="15" hidden="false" customHeight="false" outlineLevel="0" collapsed="false">
      <c r="A107" s="12" t="s">
        <v>137</v>
      </c>
      <c r="B107" s="13" t="n">
        <v>1170</v>
      </c>
    </row>
    <row r="108" customFormat="false" ht="15" hidden="false" customHeight="false" outlineLevel="0" collapsed="false">
      <c r="A108" s="12" t="s">
        <v>138</v>
      </c>
      <c r="B108" s="13" t="n">
        <v>2178.58</v>
      </c>
    </row>
    <row r="109" customFormat="false" ht="15" hidden="false" customHeight="false" outlineLevel="0" collapsed="false">
      <c r="A109" s="12" t="s">
        <v>139</v>
      </c>
      <c r="B109" s="13" t="n">
        <v>759.9</v>
      </c>
    </row>
    <row r="110" customFormat="false" ht="15" hidden="false" customHeight="false" outlineLevel="0" collapsed="false">
      <c r="A110" s="12" t="s">
        <v>140</v>
      </c>
      <c r="B110" s="13" t="n">
        <v>127.66</v>
      </c>
    </row>
    <row r="111" customFormat="false" ht="15" hidden="false" customHeight="false" outlineLevel="0" collapsed="false">
      <c r="A111" s="12" t="s">
        <v>142</v>
      </c>
      <c r="B111" s="13" t="n">
        <v>703.98</v>
      </c>
    </row>
    <row r="112" customFormat="false" ht="15" hidden="false" customHeight="false" outlineLevel="0" collapsed="false">
      <c r="A112" s="12" t="s">
        <v>144</v>
      </c>
      <c r="B112" s="13" t="n">
        <v>12000</v>
      </c>
    </row>
    <row r="113" customFormat="false" ht="15" hidden="false" customHeight="false" outlineLevel="0" collapsed="false">
      <c r="A113" s="12" t="s">
        <v>146</v>
      </c>
      <c r="B113" s="13" t="n">
        <v>734.51</v>
      </c>
    </row>
    <row r="114" customFormat="false" ht="15" hidden="false" customHeight="false" outlineLevel="0" collapsed="false">
      <c r="A114" s="12" t="s">
        <v>149</v>
      </c>
      <c r="B114" s="13" t="n">
        <v>2287</v>
      </c>
    </row>
    <row r="115" customFormat="false" ht="15" hidden="false" customHeight="false" outlineLevel="0" collapsed="false">
      <c r="A115" s="12" t="s">
        <v>150</v>
      </c>
      <c r="B115" s="13" t="n">
        <v>5450.98</v>
      </c>
    </row>
    <row r="116" customFormat="false" ht="15" hidden="false" customHeight="false" outlineLevel="0" collapsed="false">
      <c r="A116" s="12" t="s">
        <v>151</v>
      </c>
      <c r="B116" s="13" t="n">
        <v>9509.61</v>
      </c>
    </row>
    <row r="117" customFormat="false" ht="15" hidden="false" customHeight="false" outlineLevel="0" collapsed="false">
      <c r="A117" s="12" t="s">
        <v>152</v>
      </c>
      <c r="B117" s="13" t="n">
        <v>3579.34</v>
      </c>
    </row>
    <row r="118" customFormat="false" ht="15" hidden="false" customHeight="false" outlineLevel="0" collapsed="false">
      <c r="A118" s="12" t="s">
        <v>153</v>
      </c>
      <c r="B118" s="13" t="n">
        <v>22543.09</v>
      </c>
    </row>
    <row r="119" customFormat="false" ht="15" hidden="false" customHeight="false" outlineLevel="0" collapsed="false">
      <c r="A119" s="12" t="s">
        <v>155</v>
      </c>
      <c r="B119" s="13" t="n">
        <v>13266.22</v>
      </c>
    </row>
    <row r="120" customFormat="false" ht="15" hidden="false" customHeight="false" outlineLevel="0" collapsed="false">
      <c r="A120" s="7" t="s">
        <v>158</v>
      </c>
      <c r="B120" s="8" t="n">
        <v>-276179.32</v>
      </c>
    </row>
    <row r="121" customFormat="false" ht="15" hidden="false" customHeight="false" outlineLevel="0" collapsed="false">
      <c r="A121" s="7" t="s">
        <v>159</v>
      </c>
      <c r="B121" s="8" t="n">
        <v>111374.3</v>
      </c>
    </row>
    <row r="122" customFormat="false" ht="15" hidden="false" customHeight="false" outlineLevel="0" collapsed="false">
      <c r="A122" s="9" t="s">
        <v>160</v>
      </c>
      <c r="B122" s="10" t="n">
        <v>111374.3</v>
      </c>
    </row>
    <row r="123" customFormat="false" ht="15" hidden="false" customHeight="false" outlineLevel="0" collapsed="false">
      <c r="A123" s="11" t="s">
        <v>159</v>
      </c>
      <c r="B123" s="10" t="n">
        <v>111374.3</v>
      </c>
    </row>
    <row r="124" customFormat="false" ht="15" hidden="false" customHeight="false" outlineLevel="0" collapsed="false">
      <c r="A124" s="12" t="s">
        <v>161</v>
      </c>
      <c r="B124" s="13" t="n">
        <v>11959.78</v>
      </c>
    </row>
    <row r="125" customFormat="false" ht="15" hidden="false" customHeight="false" outlineLevel="0" collapsed="false">
      <c r="A125" s="12" t="s">
        <v>162</v>
      </c>
      <c r="B125" s="13" t="n">
        <v>16</v>
      </c>
    </row>
    <row r="126" customFormat="false" ht="15" hidden="false" customHeight="false" outlineLevel="0" collapsed="false">
      <c r="A126" s="12" t="s">
        <v>163</v>
      </c>
      <c r="B126" s="13" t="n">
        <v>99398.52</v>
      </c>
    </row>
    <row r="127" customFormat="false" ht="15" hidden="false" customHeight="false" outlineLevel="0" collapsed="false">
      <c r="A127" s="7" t="s">
        <v>167</v>
      </c>
      <c r="B127" s="8" t="n">
        <v>-57969.15</v>
      </c>
    </row>
    <row r="128" customFormat="false" ht="15" hidden="false" customHeight="false" outlineLevel="0" collapsed="false">
      <c r="A128" s="9" t="s">
        <v>160</v>
      </c>
      <c r="B128" s="10" t="n">
        <v>57969.15</v>
      </c>
    </row>
    <row r="129" customFormat="false" ht="15" hidden="false" customHeight="false" outlineLevel="0" collapsed="false">
      <c r="A129" s="11" t="s">
        <v>167</v>
      </c>
      <c r="B129" s="10" t="n">
        <v>57969.15</v>
      </c>
    </row>
    <row r="130" customFormat="false" ht="15" hidden="false" customHeight="false" outlineLevel="0" collapsed="false">
      <c r="A130" s="12" t="s">
        <v>168</v>
      </c>
      <c r="B130" s="13" t="n">
        <v>31473.63</v>
      </c>
    </row>
    <row r="131" customFormat="false" ht="15" hidden="false" customHeight="false" outlineLevel="0" collapsed="false">
      <c r="A131" s="12" t="s">
        <v>169</v>
      </c>
      <c r="B131" s="13" t="n">
        <v>1259.2</v>
      </c>
    </row>
    <row r="132" customFormat="false" ht="15" hidden="false" customHeight="false" outlineLevel="0" collapsed="false">
      <c r="A132" s="12" t="s">
        <v>170</v>
      </c>
      <c r="B132" s="13" t="n">
        <v>0.02</v>
      </c>
    </row>
    <row r="133" customFormat="false" ht="15" hidden="false" customHeight="false" outlineLevel="0" collapsed="false">
      <c r="A133" s="12" t="s">
        <v>171</v>
      </c>
      <c r="B133" s="13" t="n">
        <v>43.04</v>
      </c>
    </row>
    <row r="134" customFormat="false" ht="15" hidden="false" customHeight="false" outlineLevel="0" collapsed="false">
      <c r="A134" s="12" t="s">
        <v>175</v>
      </c>
      <c r="B134" s="13" t="n">
        <v>1248.76</v>
      </c>
    </row>
    <row r="135" customFormat="false" ht="15" hidden="false" customHeight="false" outlineLevel="0" collapsed="false">
      <c r="A135" s="12" t="s">
        <v>176</v>
      </c>
      <c r="B135" s="13" t="n">
        <v>23944.5</v>
      </c>
    </row>
    <row r="136" customFormat="false" ht="15" hidden="false" customHeight="false" outlineLevel="0" collapsed="false">
      <c r="A136" s="7" t="s">
        <v>177</v>
      </c>
      <c r="B136" s="8" t="n">
        <v>-287915.96</v>
      </c>
    </row>
    <row r="137" customFormat="false" ht="15" hidden="false" customHeight="false" outlineLevel="0" collapsed="false">
      <c r="A137" s="9" t="s">
        <v>178</v>
      </c>
      <c r="B137" s="10" t="n">
        <v>287915.96</v>
      </c>
    </row>
    <row r="138" customFormat="false" ht="15" hidden="false" customHeight="false" outlineLevel="0" collapsed="false">
      <c r="A138" s="11" t="s">
        <v>179</v>
      </c>
      <c r="B138" s="10" t="n">
        <v>288000</v>
      </c>
    </row>
    <row r="139" customFormat="false" ht="15" hidden="false" customHeight="false" outlineLevel="0" collapsed="false">
      <c r="A139" s="12" t="s">
        <v>180</v>
      </c>
      <c r="B139" s="13" t="n">
        <v>27000</v>
      </c>
    </row>
    <row r="140" customFormat="false" ht="15" hidden="false" customHeight="false" outlineLevel="0" collapsed="false">
      <c r="A140" s="12" t="s">
        <v>181</v>
      </c>
      <c r="B140" s="13" t="n">
        <v>315000</v>
      </c>
    </row>
    <row r="141" customFormat="false" ht="15" hidden="false" customHeight="false" outlineLevel="0" collapsed="false">
      <c r="A141" s="11" t="s">
        <v>178</v>
      </c>
      <c r="B141" s="10" t="n">
        <v>84.04</v>
      </c>
    </row>
    <row r="142" customFormat="false" ht="15" hidden="false" customHeight="false" outlineLevel="0" collapsed="false">
      <c r="A142" s="12" t="s">
        <v>184</v>
      </c>
      <c r="B142" s="13" t="n">
        <v>84.04</v>
      </c>
    </row>
    <row r="143" customFormat="false" ht="15" hidden="false" customHeight="false" outlineLevel="0" collapsed="false">
      <c r="A143" s="7" t="s">
        <v>187</v>
      </c>
      <c r="B143" s="8" t="n">
        <v>-1515</v>
      </c>
    </row>
    <row r="144" customFormat="false" ht="15" hidden="false" customHeight="false" outlineLevel="0" collapsed="false">
      <c r="A144" s="9" t="s">
        <v>188</v>
      </c>
      <c r="B144" s="10" t="n">
        <v>1515</v>
      </c>
    </row>
    <row r="145" customFormat="false" ht="15" hidden="false" customHeight="false" outlineLevel="0" collapsed="false">
      <c r="A145" s="11" t="s">
        <v>188</v>
      </c>
      <c r="B145" s="10" t="n">
        <v>1515</v>
      </c>
    </row>
    <row r="146" customFormat="false" ht="15" hidden="false" customHeight="false" outlineLevel="0" collapsed="false">
      <c r="A146" s="12" t="s">
        <v>189</v>
      </c>
      <c r="B146" s="13" t="n">
        <v>476</v>
      </c>
    </row>
    <row r="147" customFormat="false" ht="15" hidden="false" customHeight="false" outlineLevel="0" collapsed="false">
      <c r="A147" s="12" t="s">
        <v>190</v>
      </c>
      <c r="B147" s="13" t="n">
        <v>1039</v>
      </c>
    </row>
    <row r="148" customFormat="false" ht="15" hidden="false" customHeight="false" outlineLevel="0" collapsed="false">
      <c r="A148" s="7" t="s">
        <v>191</v>
      </c>
      <c r="B148" s="8" t="n">
        <v>-512205.13</v>
      </c>
    </row>
    <row r="149" customFormat="false" ht="15" hidden="false" customHeight="false" outlineLevel="0" collapsed="false">
      <c r="A149" s="7" t="s">
        <v>192</v>
      </c>
      <c r="B149" s="8" t="n">
        <v>-512205.13</v>
      </c>
    </row>
    <row r="150" customFormat="false" ht="15" hidden="false" customHeight="false" outlineLevel="0" collapsed="false">
      <c r="A150" s="7" t="s">
        <v>193</v>
      </c>
      <c r="B150" s="8" t="n">
        <v>-512205.13</v>
      </c>
    </row>
    <row r="152" customFormat="false" ht="15" hidden="false" customHeight="true" outlineLevel="0" collapsed="false">
      <c r="A152" s="14" t="s">
        <v>215</v>
      </c>
      <c r="B152" s="14"/>
    </row>
    <row r="154" customFormat="false" ht="15" hidden="false" customHeight="false" outlineLevel="0" collapsed="false">
      <c r="A154" s="15" t="s">
        <v>198</v>
      </c>
      <c r="B154" s="15" t="s">
        <v>199</v>
      </c>
    </row>
    <row r="155" customFormat="false" ht="15" hidden="false" customHeight="false" outlineLevel="0" collapsed="false">
      <c r="A155" s="16" t="s">
        <v>200</v>
      </c>
      <c r="B155" s="16" t="s">
        <v>201</v>
      </c>
    </row>
    <row r="156" customFormat="false" ht="15" hidden="false" customHeight="false" outlineLevel="0" collapsed="false">
      <c r="A156" s="16" t="s">
        <v>202</v>
      </c>
      <c r="B156" s="16" t="s">
        <v>203</v>
      </c>
    </row>
  </sheetData>
  <mergeCells count="1">
    <mergeCell ref="A152:B152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9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194</v>
      </c>
    </row>
    <row r="3" customFormat="false" ht="15" hidden="false" customHeight="false" outlineLevel="0" collapsed="false">
      <c r="A3" s="3" t="s">
        <v>216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1.75" hidden="false" customHeight="true" outlineLevel="0" collapsed="false">
      <c r="A7" s="5" t="s">
        <v>5</v>
      </c>
      <c r="B7" s="6" t="s">
        <v>196</v>
      </c>
    </row>
    <row r="8" customFormat="false" ht="15" hidden="false" customHeight="false" outlineLevel="0" collapsed="false">
      <c r="A8" s="7" t="s">
        <v>15</v>
      </c>
      <c r="B8" s="8" t="n">
        <v>5448307.61</v>
      </c>
    </row>
    <row r="9" customFormat="false" ht="15" hidden="false" customHeight="false" outlineLevel="0" collapsed="false">
      <c r="A9" s="9" t="s">
        <v>16</v>
      </c>
      <c r="B9" s="10" t="n">
        <v>5683386.05</v>
      </c>
    </row>
    <row r="10" customFormat="false" ht="15" hidden="false" customHeight="false" outlineLevel="0" collapsed="false">
      <c r="A10" s="11" t="s">
        <v>17</v>
      </c>
      <c r="B10" s="10" t="n">
        <v>5683386.05</v>
      </c>
    </row>
    <row r="11" customFormat="false" ht="15" hidden="false" customHeight="false" outlineLevel="0" collapsed="false">
      <c r="A11" s="12" t="s">
        <v>18</v>
      </c>
      <c r="B11" s="13" t="n">
        <v>5667516.45</v>
      </c>
    </row>
    <row r="12" customFormat="false" ht="15" hidden="false" customHeight="false" outlineLevel="0" collapsed="false">
      <c r="A12" s="12" t="s">
        <v>20</v>
      </c>
      <c r="B12" s="13" t="n">
        <v>15869.6</v>
      </c>
    </row>
    <row r="13" customFormat="false" ht="15" hidden="false" customHeight="false" outlineLevel="0" collapsed="false">
      <c r="A13" s="11" t="s">
        <v>21</v>
      </c>
      <c r="B13" s="10" t="n">
        <v>308252.92</v>
      </c>
    </row>
    <row r="14" customFormat="false" ht="15" hidden="false" customHeight="false" outlineLevel="0" collapsed="false">
      <c r="A14" s="12" t="s">
        <v>22</v>
      </c>
      <c r="B14" s="13" t="n">
        <v>268734.72</v>
      </c>
    </row>
    <row r="15" customFormat="false" ht="15" hidden="false" customHeight="false" outlineLevel="0" collapsed="false">
      <c r="A15" s="12" t="s">
        <v>23</v>
      </c>
      <c r="B15" s="13" t="n">
        <v>39518.2</v>
      </c>
    </row>
    <row r="16" customFormat="false" ht="15" hidden="false" customHeight="false" outlineLevel="0" collapsed="false">
      <c r="A16" s="11" t="s">
        <v>26</v>
      </c>
      <c r="B16" s="10" t="n">
        <v>370038.22</v>
      </c>
    </row>
    <row r="17" customFormat="false" ht="15" hidden="false" customHeight="false" outlineLevel="0" collapsed="false">
      <c r="A17" s="12" t="s">
        <v>27</v>
      </c>
      <c r="B17" s="13" t="n">
        <v>234613.03</v>
      </c>
    </row>
    <row r="18" customFormat="false" ht="15" hidden="false" customHeight="false" outlineLevel="0" collapsed="false">
      <c r="A18" s="12" t="s">
        <v>28</v>
      </c>
      <c r="B18" s="13" t="n">
        <v>135425.19</v>
      </c>
    </row>
    <row r="19" customFormat="false" ht="15" hidden="false" customHeight="false" outlineLevel="0" collapsed="false">
      <c r="A19" s="11" t="s">
        <v>29</v>
      </c>
      <c r="B19" s="10" t="n">
        <v>913369.58</v>
      </c>
    </row>
    <row r="20" customFormat="false" ht="15" hidden="false" customHeight="false" outlineLevel="0" collapsed="false">
      <c r="A20" s="12" t="s">
        <v>30</v>
      </c>
      <c r="B20" s="13" t="n">
        <v>41557.42</v>
      </c>
    </row>
    <row r="21" customFormat="false" ht="15" hidden="false" customHeight="false" outlineLevel="0" collapsed="false">
      <c r="A21" s="12" t="s">
        <v>31</v>
      </c>
      <c r="B21" s="13" t="n">
        <v>669571.08</v>
      </c>
    </row>
    <row r="22" customFormat="false" ht="15" hidden="false" customHeight="false" outlineLevel="0" collapsed="false">
      <c r="A22" s="12" t="s">
        <v>32</v>
      </c>
      <c r="B22" s="13" t="n">
        <v>30453.6</v>
      </c>
    </row>
    <row r="23" customFormat="false" ht="15" hidden="false" customHeight="false" outlineLevel="0" collapsed="false">
      <c r="A23" s="12" t="s">
        <v>33</v>
      </c>
      <c r="B23" s="13" t="n">
        <v>140251.49</v>
      </c>
    </row>
    <row r="24" customFormat="false" ht="15" hidden="false" customHeight="false" outlineLevel="0" collapsed="false">
      <c r="A24" s="12" t="s">
        <v>34</v>
      </c>
      <c r="B24" s="13" t="n">
        <v>4062.76</v>
      </c>
    </row>
    <row r="25" customFormat="false" ht="15" hidden="false" customHeight="false" outlineLevel="0" collapsed="false">
      <c r="A25" s="12" t="s">
        <v>35</v>
      </c>
      <c r="B25" s="13" t="n">
        <v>27473.23</v>
      </c>
    </row>
    <row r="26" customFormat="false" ht="15" hidden="false" customHeight="false" outlineLevel="0" collapsed="false">
      <c r="A26" s="7" t="s">
        <v>39</v>
      </c>
      <c r="B26" s="8" t="n">
        <v>-1527.21</v>
      </c>
    </row>
    <row r="27" customFormat="false" ht="15" hidden="false" customHeight="false" outlineLevel="0" collapsed="false">
      <c r="A27" s="9" t="s">
        <v>40</v>
      </c>
      <c r="B27" s="10" t="n">
        <v>1527.21</v>
      </c>
    </row>
    <row r="28" customFormat="false" ht="15" hidden="false" customHeight="false" outlineLevel="0" collapsed="false">
      <c r="A28" s="11" t="s">
        <v>41</v>
      </c>
      <c r="B28" s="10" t="n">
        <v>1527.21</v>
      </c>
    </row>
    <row r="29" customFormat="false" ht="15" hidden="false" customHeight="false" outlineLevel="0" collapsed="false">
      <c r="A29" s="12" t="s">
        <v>44</v>
      </c>
      <c r="B29" s="13" t="n">
        <v>1527.21</v>
      </c>
    </row>
    <row r="30" customFormat="false" ht="15" hidden="false" customHeight="false" outlineLevel="0" collapsed="false">
      <c r="A30" s="7" t="s">
        <v>46</v>
      </c>
      <c r="B30" s="8" t="n">
        <v>5446780.4</v>
      </c>
    </row>
    <row r="31" customFormat="false" ht="15" hidden="false" customHeight="false" outlineLevel="0" collapsed="false">
      <c r="A31" s="7" t="s">
        <v>47</v>
      </c>
      <c r="B31" s="8" t="n">
        <v>-4398210.64</v>
      </c>
    </row>
    <row r="32" customFormat="false" ht="15" hidden="false" customHeight="false" outlineLevel="0" collapsed="false">
      <c r="A32" s="9" t="s">
        <v>48</v>
      </c>
      <c r="B32" s="10" t="n">
        <v>4398210.64</v>
      </c>
    </row>
    <row r="33" customFormat="false" ht="15" hidden="false" customHeight="false" outlineLevel="0" collapsed="false">
      <c r="A33" s="11" t="s">
        <v>49</v>
      </c>
      <c r="B33" s="10" t="n">
        <v>2697210.97</v>
      </c>
    </row>
    <row r="34" customFormat="false" ht="15" hidden="false" customHeight="false" outlineLevel="0" collapsed="false">
      <c r="A34" s="12" t="s">
        <v>51</v>
      </c>
      <c r="B34" s="13" t="n">
        <v>2590795.59</v>
      </c>
    </row>
    <row r="35" customFormat="false" ht="15" hidden="false" customHeight="false" outlineLevel="0" collapsed="false">
      <c r="A35" s="12" t="s">
        <v>53</v>
      </c>
      <c r="B35" s="13" t="n">
        <v>106415.38</v>
      </c>
    </row>
    <row r="36" customFormat="false" ht="15" hidden="false" customHeight="false" outlineLevel="0" collapsed="false">
      <c r="A36" s="11" t="s">
        <v>54</v>
      </c>
      <c r="B36" s="10" t="n">
        <v>579028.82</v>
      </c>
    </row>
    <row r="37" customFormat="false" ht="15" hidden="false" customHeight="false" outlineLevel="0" collapsed="false">
      <c r="A37" s="12" t="s">
        <v>54</v>
      </c>
      <c r="B37" s="13" t="n">
        <v>579028.82</v>
      </c>
    </row>
    <row r="38" customFormat="false" ht="15" hidden="false" customHeight="false" outlineLevel="0" collapsed="false">
      <c r="A38" s="12" t="s">
        <v>55</v>
      </c>
      <c r="B38" s="13" t="n">
        <v>98148.01</v>
      </c>
    </row>
    <row r="39" customFormat="false" ht="15" hidden="false" customHeight="false" outlineLevel="0" collapsed="false">
      <c r="A39" s="12" t="s">
        <v>56</v>
      </c>
      <c r="B39" s="13" t="n">
        <v>44237.43</v>
      </c>
    </row>
    <row r="40" customFormat="false" ht="15" hidden="false" customHeight="false" outlineLevel="0" collapsed="false">
      <c r="A40" s="12" t="s">
        <v>57</v>
      </c>
      <c r="B40" s="13" t="n">
        <v>29725.93</v>
      </c>
    </row>
    <row r="41" customFormat="false" ht="15" hidden="false" customHeight="false" outlineLevel="0" collapsed="false">
      <c r="A41" s="12" t="s">
        <v>58</v>
      </c>
      <c r="B41" s="13" t="n">
        <v>406917.45</v>
      </c>
    </row>
    <row r="42" customFormat="false" ht="15" hidden="false" customHeight="false" outlineLevel="0" collapsed="false">
      <c r="A42" s="11" t="s">
        <v>59</v>
      </c>
      <c r="B42" s="10" t="n">
        <v>1121970.85</v>
      </c>
    </row>
    <row r="43" customFormat="false" ht="15" hidden="false" customHeight="false" outlineLevel="0" collapsed="false">
      <c r="A43" s="12" t="s">
        <v>60</v>
      </c>
      <c r="B43" s="13" t="n">
        <v>690898.85</v>
      </c>
    </row>
    <row r="44" customFormat="false" ht="15" hidden="false" customHeight="false" outlineLevel="0" collapsed="false">
      <c r="A44" s="12" t="s">
        <v>61</v>
      </c>
      <c r="B44" s="13" t="n">
        <v>1476.02</v>
      </c>
    </row>
    <row r="45" customFormat="false" ht="15" hidden="false" customHeight="false" outlineLevel="0" collapsed="false">
      <c r="A45" s="12" t="s">
        <v>65</v>
      </c>
      <c r="B45" s="13" t="n">
        <v>71261.98</v>
      </c>
    </row>
    <row r="46" customFormat="false" ht="15" hidden="false" customHeight="false" outlineLevel="0" collapsed="false">
      <c r="A46" s="12" t="s">
        <v>66</v>
      </c>
      <c r="B46" s="13" t="n">
        <v>52768.65</v>
      </c>
    </row>
    <row r="47" customFormat="false" ht="15" hidden="false" customHeight="false" outlineLevel="0" collapsed="false">
      <c r="A47" s="12" t="s">
        <v>67</v>
      </c>
      <c r="B47" s="13" t="n">
        <v>55129.89</v>
      </c>
    </row>
    <row r="48" customFormat="false" ht="15" hidden="false" customHeight="false" outlineLevel="0" collapsed="false">
      <c r="A48" s="12" t="s">
        <v>68</v>
      </c>
      <c r="B48" s="13" t="n">
        <v>204205.94</v>
      </c>
    </row>
    <row r="49" customFormat="false" ht="15" hidden="false" customHeight="false" outlineLevel="0" collapsed="false">
      <c r="A49" s="12" t="s">
        <v>70</v>
      </c>
      <c r="B49" s="13" t="n">
        <v>5700</v>
      </c>
    </row>
    <row r="50" customFormat="false" ht="15" hidden="false" customHeight="false" outlineLevel="0" collapsed="false">
      <c r="A50" s="12" t="s">
        <v>71</v>
      </c>
      <c r="B50" s="13" t="n">
        <v>20862.99</v>
      </c>
    </row>
    <row r="51" customFormat="false" ht="15" hidden="false" customHeight="false" outlineLevel="0" collapsed="false">
      <c r="A51" s="12" t="s">
        <v>72</v>
      </c>
      <c r="B51" s="13" t="n">
        <v>15445.92</v>
      </c>
    </row>
    <row r="52" customFormat="false" ht="15" hidden="false" customHeight="false" outlineLevel="0" collapsed="false">
      <c r="A52" s="12" t="s">
        <v>73</v>
      </c>
      <c r="B52" s="13" t="n">
        <v>4220.61</v>
      </c>
    </row>
    <row r="53" customFormat="false" ht="15" hidden="false" customHeight="false" outlineLevel="0" collapsed="false">
      <c r="A53" s="7" t="s">
        <v>75</v>
      </c>
      <c r="B53" s="8" t="n">
        <v>1048569.76</v>
      </c>
    </row>
    <row r="54" customFormat="false" ht="15" hidden="false" customHeight="false" outlineLevel="0" collapsed="false">
      <c r="A54" s="7" t="s">
        <v>76</v>
      </c>
      <c r="B54" s="8" t="n">
        <v>-1144173.36</v>
      </c>
    </row>
    <row r="55" customFormat="false" ht="15" hidden="false" customHeight="false" outlineLevel="0" collapsed="false">
      <c r="A55" s="9" t="s">
        <v>77</v>
      </c>
      <c r="B55" s="10" t="n">
        <v>424693.59</v>
      </c>
    </row>
    <row r="56" customFormat="false" ht="15" hidden="false" customHeight="false" outlineLevel="0" collapsed="false">
      <c r="A56" s="11" t="s">
        <v>78</v>
      </c>
      <c r="B56" s="10" t="n">
        <v>424693.59</v>
      </c>
    </row>
    <row r="57" customFormat="false" ht="15" hidden="false" customHeight="false" outlineLevel="0" collapsed="false">
      <c r="A57" s="12" t="s">
        <v>79</v>
      </c>
      <c r="B57" s="13" t="n">
        <v>108844.35</v>
      </c>
    </row>
    <row r="58" customFormat="false" ht="15" hidden="false" customHeight="false" outlineLevel="0" collapsed="false">
      <c r="A58" s="12" t="s">
        <v>80</v>
      </c>
      <c r="B58" s="13" t="n">
        <v>140823</v>
      </c>
    </row>
    <row r="59" customFormat="false" ht="15" hidden="false" customHeight="false" outlineLevel="0" collapsed="false">
      <c r="A59" s="12" t="s">
        <v>81</v>
      </c>
      <c r="B59" s="13" t="n">
        <v>40</v>
      </c>
    </row>
    <row r="60" customFormat="false" ht="15" hidden="false" customHeight="false" outlineLevel="0" collapsed="false">
      <c r="A60" s="12" t="s">
        <v>83</v>
      </c>
      <c r="B60" s="13" t="n">
        <v>13067.36</v>
      </c>
    </row>
    <row r="61" customFormat="false" ht="15" hidden="false" customHeight="false" outlineLevel="0" collapsed="false">
      <c r="A61" s="12" t="s">
        <v>84</v>
      </c>
      <c r="B61" s="13" t="n">
        <v>15319.59</v>
      </c>
    </row>
    <row r="62" customFormat="false" ht="15" hidden="false" customHeight="false" outlineLevel="0" collapsed="false">
      <c r="A62" s="12" t="s">
        <v>85</v>
      </c>
      <c r="B62" s="13" t="n">
        <v>1572.06</v>
      </c>
    </row>
    <row r="63" customFormat="false" ht="15" hidden="false" customHeight="false" outlineLevel="0" collapsed="false">
      <c r="A63" s="12" t="s">
        <v>86</v>
      </c>
      <c r="B63" s="13" t="n">
        <v>14590.97</v>
      </c>
    </row>
    <row r="64" customFormat="false" ht="15" hidden="false" customHeight="false" outlineLevel="0" collapsed="false">
      <c r="A64" s="12" t="s">
        <v>87</v>
      </c>
      <c r="B64" s="13" t="n">
        <v>4494.9</v>
      </c>
    </row>
    <row r="65" customFormat="false" ht="15" hidden="false" customHeight="false" outlineLevel="0" collapsed="false">
      <c r="A65" s="12" t="s">
        <v>88</v>
      </c>
      <c r="B65" s="13" t="n">
        <v>1008</v>
      </c>
    </row>
    <row r="66" customFormat="false" ht="15" hidden="false" customHeight="false" outlineLevel="0" collapsed="false">
      <c r="A66" s="12" t="s">
        <v>89</v>
      </c>
      <c r="B66" s="13" t="n">
        <v>14497.02</v>
      </c>
    </row>
    <row r="67" customFormat="false" ht="15" hidden="false" customHeight="false" outlineLevel="0" collapsed="false">
      <c r="A67" s="12" t="s">
        <v>90</v>
      </c>
      <c r="B67" s="13" t="n">
        <v>10913.94</v>
      </c>
    </row>
    <row r="68" customFormat="false" ht="15" hidden="false" customHeight="false" outlineLevel="0" collapsed="false">
      <c r="A68" s="12" t="s">
        <v>91</v>
      </c>
      <c r="B68" s="13" t="n">
        <v>83896</v>
      </c>
    </row>
    <row r="69" customFormat="false" ht="15" hidden="false" customHeight="false" outlineLevel="0" collapsed="false">
      <c r="A69" s="12" t="s">
        <v>93</v>
      </c>
      <c r="B69" s="13" t="n">
        <v>5268.4</v>
      </c>
    </row>
    <row r="70" customFormat="false" ht="15" hidden="false" customHeight="false" outlineLevel="0" collapsed="false">
      <c r="A70" s="12" t="s">
        <v>94</v>
      </c>
      <c r="B70" s="13" t="n">
        <v>10358</v>
      </c>
    </row>
    <row r="71" customFormat="false" ht="15" hidden="false" customHeight="false" outlineLevel="0" collapsed="false">
      <c r="A71" s="11" t="s">
        <v>95</v>
      </c>
      <c r="B71" s="10" t="n">
        <v>71321.45</v>
      </c>
    </row>
    <row r="72" customFormat="false" ht="15" hidden="false" customHeight="false" outlineLevel="0" collapsed="false">
      <c r="A72" s="12" t="s">
        <v>96</v>
      </c>
      <c r="B72" s="13" t="n">
        <v>10152.27</v>
      </c>
    </row>
    <row r="73" customFormat="false" ht="15" hidden="false" customHeight="false" outlineLevel="0" collapsed="false">
      <c r="A73" s="12" t="s">
        <v>97</v>
      </c>
      <c r="B73" s="13" t="n">
        <v>39977.51</v>
      </c>
    </row>
    <row r="74" customFormat="false" ht="15" hidden="false" customHeight="false" outlineLevel="0" collapsed="false">
      <c r="A74" s="12" t="s">
        <v>99</v>
      </c>
      <c r="B74" s="13" t="n">
        <v>1132.25</v>
      </c>
    </row>
    <row r="75" customFormat="false" ht="15" hidden="false" customHeight="false" outlineLevel="0" collapsed="false">
      <c r="A75" s="12" t="s">
        <v>100</v>
      </c>
      <c r="B75" s="13" t="n">
        <v>4228.21</v>
      </c>
    </row>
    <row r="76" customFormat="false" ht="15" hidden="false" customHeight="false" outlineLevel="0" collapsed="false">
      <c r="A76" s="12" t="s">
        <v>101</v>
      </c>
      <c r="B76" s="13" t="n">
        <v>3183.49</v>
      </c>
    </row>
    <row r="77" customFormat="false" ht="15" hidden="false" customHeight="false" outlineLevel="0" collapsed="false">
      <c r="A77" s="12" t="s">
        <v>102</v>
      </c>
      <c r="B77" s="13" t="n">
        <v>852.47</v>
      </c>
    </row>
    <row r="78" customFormat="false" ht="15" hidden="false" customHeight="false" outlineLevel="0" collapsed="false">
      <c r="A78" s="12" t="s">
        <v>103</v>
      </c>
      <c r="B78" s="13" t="n">
        <v>11795.25</v>
      </c>
    </row>
    <row r="79" customFormat="false" ht="15" hidden="false" customHeight="false" outlineLevel="0" collapsed="false">
      <c r="A79" s="9" t="s">
        <v>104</v>
      </c>
      <c r="B79" s="10" t="n">
        <v>648158.32</v>
      </c>
    </row>
    <row r="80" customFormat="false" ht="15" hidden="false" customHeight="false" outlineLevel="0" collapsed="false">
      <c r="A80" s="11" t="s">
        <v>105</v>
      </c>
      <c r="B80" s="10" t="n">
        <v>648158.32</v>
      </c>
    </row>
    <row r="81" customFormat="false" ht="15" hidden="false" customHeight="false" outlineLevel="0" collapsed="false">
      <c r="A81" s="12" t="s">
        <v>107</v>
      </c>
      <c r="B81" s="13" t="n">
        <v>48563.29</v>
      </c>
    </row>
    <row r="82" customFormat="false" ht="15" hidden="false" customHeight="false" outlineLevel="0" collapsed="false">
      <c r="A82" s="12" t="s">
        <v>108</v>
      </c>
      <c r="B82" s="13" t="n">
        <v>3970</v>
      </c>
    </row>
    <row r="83" customFormat="false" ht="15" hidden="false" customHeight="false" outlineLevel="0" collapsed="false">
      <c r="A83" s="12" t="s">
        <v>109</v>
      </c>
      <c r="B83" s="13" t="n">
        <v>172945.14</v>
      </c>
    </row>
    <row r="84" customFormat="false" ht="15" hidden="false" customHeight="false" outlineLevel="0" collapsed="false">
      <c r="A84" s="12" t="s">
        <v>110</v>
      </c>
      <c r="B84" s="13" t="n">
        <v>20575.65</v>
      </c>
    </row>
    <row r="85" customFormat="false" ht="15" hidden="false" customHeight="false" outlineLevel="0" collapsed="false">
      <c r="A85" s="12" t="s">
        <v>111</v>
      </c>
      <c r="B85" s="13" t="n">
        <v>1797.1</v>
      </c>
    </row>
    <row r="86" customFormat="false" ht="15" hidden="false" customHeight="false" outlineLevel="0" collapsed="false">
      <c r="A86" s="12" t="s">
        <v>112</v>
      </c>
      <c r="B86" s="13" t="n">
        <v>105709.84</v>
      </c>
    </row>
    <row r="87" customFormat="false" ht="15" hidden="false" customHeight="false" outlineLevel="0" collapsed="false">
      <c r="A87" s="12" t="s">
        <v>113</v>
      </c>
      <c r="B87" s="13" t="n">
        <v>19147.54</v>
      </c>
    </row>
    <row r="88" customFormat="false" ht="15" hidden="false" customHeight="false" outlineLevel="0" collapsed="false">
      <c r="A88" s="12" t="s">
        <v>114</v>
      </c>
      <c r="B88" s="13" t="n">
        <v>23708.35</v>
      </c>
    </row>
    <row r="89" customFormat="false" ht="15" hidden="false" customHeight="false" outlineLevel="0" collapsed="false">
      <c r="A89" s="12" t="s">
        <v>115</v>
      </c>
      <c r="B89" s="13" t="n">
        <v>8434.97</v>
      </c>
    </row>
    <row r="90" customFormat="false" ht="15" hidden="false" customHeight="false" outlineLevel="0" collapsed="false">
      <c r="A90" s="12" t="s">
        <v>116</v>
      </c>
      <c r="B90" s="13" t="n">
        <v>16924.13</v>
      </c>
    </row>
    <row r="91" customFormat="false" ht="15" hidden="false" customHeight="false" outlineLevel="0" collapsed="false">
      <c r="A91" s="12" t="s">
        <v>117</v>
      </c>
      <c r="B91" s="13" t="n">
        <v>43282.01</v>
      </c>
    </row>
    <row r="92" customFormat="false" ht="15" hidden="false" customHeight="false" outlineLevel="0" collapsed="false">
      <c r="A92" s="12" t="s">
        <v>118</v>
      </c>
      <c r="B92" s="13" t="n">
        <v>72052.63</v>
      </c>
    </row>
    <row r="93" customFormat="false" ht="15" hidden="false" customHeight="false" outlineLevel="0" collapsed="false">
      <c r="A93" s="12" t="s">
        <v>119</v>
      </c>
      <c r="B93" s="13" t="n">
        <v>1430</v>
      </c>
    </row>
    <row r="94" customFormat="false" ht="15" hidden="false" customHeight="false" outlineLevel="0" collapsed="false">
      <c r="A94" s="12" t="s">
        <v>120</v>
      </c>
      <c r="B94" s="13" t="n">
        <v>6385.95</v>
      </c>
    </row>
    <row r="95" customFormat="false" ht="15" hidden="false" customHeight="false" outlineLevel="0" collapsed="false">
      <c r="A95" s="12" t="s">
        <v>122</v>
      </c>
      <c r="B95" s="13" t="n">
        <v>334.63</v>
      </c>
    </row>
    <row r="96" customFormat="false" ht="15" hidden="false" customHeight="false" outlineLevel="0" collapsed="false">
      <c r="A96" s="12" t="s">
        <v>124</v>
      </c>
      <c r="B96" s="13" t="n">
        <v>4610.26</v>
      </c>
    </row>
    <row r="97" customFormat="false" ht="15" hidden="false" customHeight="false" outlineLevel="0" collapsed="false">
      <c r="A97" s="12" t="s">
        <v>125</v>
      </c>
      <c r="B97" s="13" t="n">
        <v>4248.9</v>
      </c>
    </row>
    <row r="98" customFormat="false" ht="15" hidden="false" customHeight="false" outlineLevel="0" collapsed="false">
      <c r="A98" s="12" t="s">
        <v>127</v>
      </c>
      <c r="B98" s="13" t="n">
        <v>6166.97</v>
      </c>
    </row>
    <row r="99" customFormat="false" ht="15" hidden="false" customHeight="false" outlineLevel="0" collapsed="false">
      <c r="A99" s="12" t="s">
        <v>128</v>
      </c>
      <c r="B99" s="13" t="n">
        <v>823.8</v>
      </c>
    </row>
    <row r="100" customFormat="false" ht="15" hidden="false" customHeight="false" outlineLevel="0" collapsed="false">
      <c r="A100" s="12" t="s">
        <v>129</v>
      </c>
      <c r="B100" s="13" t="n">
        <v>4711.36</v>
      </c>
    </row>
    <row r="101" customFormat="false" ht="15" hidden="false" customHeight="false" outlineLevel="0" collapsed="false">
      <c r="A101" s="12" t="s">
        <v>131</v>
      </c>
      <c r="B101" s="13" t="n">
        <v>2579.73</v>
      </c>
    </row>
    <row r="102" customFormat="false" ht="15" hidden="false" customHeight="false" outlineLevel="0" collapsed="false">
      <c r="A102" s="12" t="s">
        <v>133</v>
      </c>
      <c r="B102" s="13" t="n">
        <v>5860.33</v>
      </c>
    </row>
    <row r="103" customFormat="false" ht="15" hidden="false" customHeight="false" outlineLevel="0" collapsed="false">
      <c r="A103" s="12" t="s">
        <v>135</v>
      </c>
      <c r="B103" s="13" t="n">
        <v>2601.65</v>
      </c>
    </row>
    <row r="104" customFormat="false" ht="15" hidden="false" customHeight="false" outlineLevel="0" collapsed="false">
      <c r="A104" s="12" t="s">
        <v>136</v>
      </c>
      <c r="B104" s="13" t="n">
        <v>8404.57</v>
      </c>
    </row>
    <row r="105" customFormat="false" ht="15" hidden="false" customHeight="false" outlineLevel="0" collapsed="false">
      <c r="A105" s="12" t="s">
        <v>137</v>
      </c>
      <c r="B105" s="13" t="n">
        <v>155</v>
      </c>
    </row>
    <row r="106" customFormat="false" ht="15" hidden="false" customHeight="false" outlineLevel="0" collapsed="false">
      <c r="A106" s="12" t="s">
        <v>138</v>
      </c>
      <c r="B106" s="13" t="n">
        <v>2821.11</v>
      </c>
    </row>
    <row r="107" customFormat="false" ht="15" hidden="false" customHeight="false" outlineLevel="0" collapsed="false">
      <c r="A107" s="12" t="s">
        <v>139</v>
      </c>
      <c r="B107" s="13" t="n">
        <v>410.21</v>
      </c>
    </row>
    <row r="108" customFormat="false" ht="15" hidden="false" customHeight="false" outlineLevel="0" collapsed="false">
      <c r="A108" s="12" t="s">
        <v>140</v>
      </c>
      <c r="B108" s="13" t="n">
        <v>3163.6</v>
      </c>
    </row>
    <row r="109" customFormat="false" ht="15" hidden="false" customHeight="false" outlineLevel="0" collapsed="false">
      <c r="A109" s="12" t="s">
        <v>141</v>
      </c>
      <c r="B109" s="13" t="n">
        <v>2511.67</v>
      </c>
    </row>
    <row r="110" customFormat="false" ht="15" hidden="false" customHeight="false" outlineLevel="0" collapsed="false">
      <c r="A110" s="12" t="s">
        <v>142</v>
      </c>
      <c r="B110" s="13" t="n">
        <v>1397.97</v>
      </c>
    </row>
    <row r="111" customFormat="false" ht="15" hidden="false" customHeight="false" outlineLevel="0" collapsed="false">
      <c r="A111" s="12" t="s">
        <v>144</v>
      </c>
      <c r="B111" s="13" t="n">
        <v>12000</v>
      </c>
    </row>
    <row r="112" customFormat="false" ht="15" hidden="false" customHeight="false" outlineLevel="0" collapsed="false">
      <c r="A112" s="12" t="s">
        <v>146</v>
      </c>
      <c r="B112" s="13" t="n">
        <v>2161.72</v>
      </c>
    </row>
    <row r="113" customFormat="false" ht="15" hidden="false" customHeight="false" outlineLevel="0" collapsed="false">
      <c r="A113" s="12" t="s">
        <v>149</v>
      </c>
      <c r="B113" s="13" t="n">
        <v>2287</v>
      </c>
    </row>
    <row r="114" customFormat="false" ht="15" hidden="false" customHeight="false" outlineLevel="0" collapsed="false">
      <c r="A114" s="12" t="s">
        <v>150</v>
      </c>
      <c r="B114" s="13" t="n">
        <v>3080.44</v>
      </c>
    </row>
    <row r="115" customFormat="false" ht="15" hidden="false" customHeight="false" outlineLevel="0" collapsed="false">
      <c r="A115" s="12" t="s">
        <v>151</v>
      </c>
      <c r="B115" s="13" t="n">
        <v>4867.72</v>
      </c>
    </row>
    <row r="116" customFormat="false" ht="15" hidden="false" customHeight="false" outlineLevel="0" collapsed="false">
      <c r="A116" s="12" t="s">
        <v>152</v>
      </c>
      <c r="B116" s="13" t="n">
        <v>1448</v>
      </c>
    </row>
    <row r="117" customFormat="false" ht="15" hidden="false" customHeight="false" outlineLevel="0" collapsed="false">
      <c r="A117" s="12" t="s">
        <v>153</v>
      </c>
      <c r="B117" s="13" t="n">
        <v>23517.6</v>
      </c>
    </row>
    <row r="118" customFormat="false" ht="15" hidden="false" customHeight="false" outlineLevel="0" collapsed="false">
      <c r="A118" s="12" t="s">
        <v>155</v>
      </c>
      <c r="B118" s="13" t="n">
        <v>2822.48</v>
      </c>
    </row>
    <row r="119" customFormat="false" ht="15" hidden="false" customHeight="false" outlineLevel="0" collapsed="false">
      <c r="A119" s="12" t="s">
        <v>157</v>
      </c>
      <c r="B119" s="13" t="n">
        <v>245</v>
      </c>
    </row>
    <row r="120" customFormat="false" ht="15" hidden="false" customHeight="false" outlineLevel="0" collapsed="false">
      <c r="A120" s="7" t="s">
        <v>158</v>
      </c>
      <c r="B120" s="8" t="n">
        <v>-95603.6</v>
      </c>
    </row>
    <row r="121" customFormat="false" ht="15" hidden="false" customHeight="false" outlineLevel="0" collapsed="false">
      <c r="A121" s="7" t="s">
        <v>159</v>
      </c>
      <c r="B121" s="8" t="n">
        <v>19937.03</v>
      </c>
    </row>
    <row r="122" customFormat="false" ht="15" hidden="false" customHeight="false" outlineLevel="0" collapsed="false">
      <c r="A122" s="9" t="s">
        <v>160</v>
      </c>
      <c r="B122" s="10" t="n">
        <v>19937.03</v>
      </c>
    </row>
    <row r="123" customFormat="false" ht="15" hidden="false" customHeight="false" outlineLevel="0" collapsed="false">
      <c r="A123" s="11" t="s">
        <v>159</v>
      </c>
      <c r="B123" s="10" t="n">
        <v>19937.03</v>
      </c>
    </row>
    <row r="124" customFormat="false" ht="15" hidden="false" customHeight="false" outlineLevel="0" collapsed="false">
      <c r="A124" s="12" t="s">
        <v>161</v>
      </c>
      <c r="B124" s="13" t="n">
        <v>3151.33</v>
      </c>
    </row>
    <row r="125" customFormat="false" ht="15" hidden="false" customHeight="false" outlineLevel="0" collapsed="false">
      <c r="A125" s="12" t="s">
        <v>162</v>
      </c>
      <c r="B125" s="13" t="n">
        <v>11</v>
      </c>
    </row>
    <row r="126" customFormat="false" ht="15" hidden="false" customHeight="false" outlineLevel="0" collapsed="false">
      <c r="A126" s="12" t="s">
        <v>163</v>
      </c>
      <c r="B126" s="13" t="n">
        <v>12417.47</v>
      </c>
    </row>
    <row r="127" customFormat="false" ht="15" hidden="false" customHeight="false" outlineLevel="0" collapsed="false">
      <c r="A127" s="12" t="s">
        <v>164</v>
      </c>
      <c r="B127" s="13" t="n">
        <v>4357.23</v>
      </c>
    </row>
    <row r="128" customFormat="false" ht="15" hidden="false" customHeight="false" outlineLevel="0" collapsed="false">
      <c r="A128" s="7" t="s">
        <v>167</v>
      </c>
      <c r="B128" s="8" t="n">
        <v>-97416.03</v>
      </c>
    </row>
    <row r="129" customFormat="false" ht="15" hidden="false" customHeight="false" outlineLevel="0" collapsed="false">
      <c r="A129" s="9" t="s">
        <v>160</v>
      </c>
      <c r="B129" s="10" t="n">
        <v>97416.03</v>
      </c>
    </row>
    <row r="130" customFormat="false" ht="15" hidden="false" customHeight="false" outlineLevel="0" collapsed="false">
      <c r="A130" s="11" t="s">
        <v>167</v>
      </c>
      <c r="B130" s="10" t="n">
        <v>97416.03</v>
      </c>
    </row>
    <row r="131" customFormat="false" ht="15" hidden="false" customHeight="false" outlineLevel="0" collapsed="false">
      <c r="A131" s="12" t="s">
        <v>168</v>
      </c>
      <c r="B131" s="13" t="n">
        <v>31241.06</v>
      </c>
    </row>
    <row r="132" customFormat="false" ht="15" hidden="false" customHeight="false" outlineLevel="0" collapsed="false">
      <c r="A132" s="12" t="s">
        <v>169</v>
      </c>
      <c r="B132" s="13" t="n">
        <v>1435.5</v>
      </c>
    </row>
    <row r="133" customFormat="false" ht="15" hidden="false" customHeight="false" outlineLevel="0" collapsed="false">
      <c r="A133" s="12" t="s">
        <v>170</v>
      </c>
      <c r="B133" s="13" t="n">
        <v>29.04</v>
      </c>
    </row>
    <row r="134" customFormat="false" ht="15" hidden="false" customHeight="false" outlineLevel="0" collapsed="false">
      <c r="A134" s="12" t="s">
        <v>171</v>
      </c>
      <c r="B134" s="13" t="n">
        <v>4031.84</v>
      </c>
    </row>
    <row r="135" customFormat="false" ht="15" hidden="false" customHeight="false" outlineLevel="0" collapsed="false">
      <c r="A135" s="12" t="s">
        <v>175</v>
      </c>
      <c r="B135" s="13" t="n">
        <v>1231.68</v>
      </c>
    </row>
    <row r="136" customFormat="false" ht="15" hidden="false" customHeight="false" outlineLevel="0" collapsed="false">
      <c r="A136" s="12" t="s">
        <v>176</v>
      </c>
      <c r="B136" s="13" t="n">
        <v>59446.91</v>
      </c>
    </row>
    <row r="137" customFormat="false" ht="15" hidden="false" customHeight="false" outlineLevel="0" collapsed="false">
      <c r="A137" s="7" t="s">
        <v>177</v>
      </c>
      <c r="B137" s="8" t="n">
        <v>127414.33</v>
      </c>
    </row>
    <row r="138" customFormat="false" ht="15" hidden="false" customHeight="false" outlineLevel="0" collapsed="false">
      <c r="A138" s="9" t="s">
        <v>178</v>
      </c>
      <c r="B138" s="10" t="n">
        <v>127414.33</v>
      </c>
    </row>
    <row r="139" customFormat="false" ht="15" hidden="false" customHeight="false" outlineLevel="0" collapsed="false">
      <c r="A139" s="11" t="s">
        <v>179</v>
      </c>
      <c r="B139" s="10" t="n">
        <v>118404</v>
      </c>
    </row>
    <row r="140" customFormat="false" ht="15" hidden="false" customHeight="false" outlineLevel="0" collapsed="false">
      <c r="A140" s="12" t="s">
        <v>180</v>
      </c>
      <c r="B140" s="13" t="n">
        <v>120000</v>
      </c>
    </row>
    <row r="141" customFormat="false" ht="15" hidden="false" customHeight="false" outlineLevel="0" collapsed="false">
      <c r="A141" s="12" t="s">
        <v>182</v>
      </c>
      <c r="B141" s="13" t="n">
        <v>1596</v>
      </c>
    </row>
    <row r="142" customFormat="false" ht="15" hidden="false" customHeight="false" outlineLevel="0" collapsed="false">
      <c r="A142" s="11" t="s">
        <v>178</v>
      </c>
      <c r="B142" s="10" t="n">
        <v>9010.33</v>
      </c>
    </row>
    <row r="143" customFormat="false" ht="15" hidden="false" customHeight="false" outlineLevel="0" collapsed="false">
      <c r="A143" s="12" t="s">
        <v>184</v>
      </c>
      <c r="B143" s="13" t="n">
        <v>9010.33</v>
      </c>
    </row>
    <row r="144" customFormat="false" ht="15" hidden="false" customHeight="false" outlineLevel="0" collapsed="false">
      <c r="A144" s="7" t="s">
        <v>187</v>
      </c>
      <c r="B144" s="8" t="n">
        <v>-14605.74</v>
      </c>
    </row>
    <row r="145" customFormat="false" ht="15" hidden="false" customHeight="false" outlineLevel="0" collapsed="false">
      <c r="A145" s="9" t="s">
        <v>188</v>
      </c>
      <c r="B145" s="10" t="n">
        <v>14605.74</v>
      </c>
    </row>
    <row r="146" customFormat="false" ht="15" hidden="false" customHeight="false" outlineLevel="0" collapsed="false">
      <c r="A146" s="11" t="s">
        <v>188</v>
      </c>
      <c r="B146" s="10" t="n">
        <v>14605.74</v>
      </c>
    </row>
    <row r="147" customFormat="false" ht="15" hidden="false" customHeight="false" outlineLevel="0" collapsed="false">
      <c r="A147" s="12" t="s">
        <v>189</v>
      </c>
      <c r="B147" s="13" t="n">
        <v>8418.4</v>
      </c>
    </row>
    <row r="148" customFormat="false" ht="15" hidden="false" customHeight="false" outlineLevel="0" collapsed="false">
      <c r="A148" s="12" t="s">
        <v>190</v>
      </c>
      <c r="B148" s="13" t="n">
        <v>5750.34</v>
      </c>
    </row>
    <row r="149" customFormat="false" ht="15" hidden="false" customHeight="false" outlineLevel="0" collapsed="false">
      <c r="A149" s="12" t="s">
        <v>188</v>
      </c>
      <c r="B149" s="13" t="n">
        <v>437</v>
      </c>
    </row>
    <row r="150" customFormat="false" ht="15" hidden="false" customHeight="false" outlineLevel="0" collapsed="false">
      <c r="A150" s="7" t="s">
        <v>191</v>
      </c>
      <c r="B150" s="8" t="n">
        <v>-60274.01</v>
      </c>
    </row>
    <row r="151" customFormat="false" ht="15" hidden="false" customHeight="false" outlineLevel="0" collapsed="false">
      <c r="A151" s="7" t="s">
        <v>192</v>
      </c>
      <c r="B151" s="8" t="n">
        <v>-60274.01</v>
      </c>
    </row>
    <row r="152" customFormat="false" ht="15" hidden="false" customHeight="false" outlineLevel="0" collapsed="false">
      <c r="A152" s="7" t="s">
        <v>193</v>
      </c>
      <c r="B152" s="8" t="n">
        <v>-60274.01</v>
      </c>
    </row>
    <row r="154" customFormat="false" ht="15" hidden="false" customHeight="true" outlineLevel="0" collapsed="false">
      <c r="A154" s="14" t="s">
        <v>217</v>
      </c>
      <c r="B154" s="14"/>
    </row>
    <row r="156" customFormat="false" ht="15" hidden="false" customHeight="false" outlineLevel="0" collapsed="false">
      <c r="A156" s="15" t="s">
        <v>198</v>
      </c>
      <c r="B156" s="15" t="s">
        <v>199</v>
      </c>
    </row>
    <row r="157" customFormat="false" ht="15" hidden="false" customHeight="false" outlineLevel="0" collapsed="false">
      <c r="A157" s="16" t="s">
        <v>200</v>
      </c>
      <c r="B157" s="16" t="s">
        <v>201</v>
      </c>
    </row>
    <row r="158" customFormat="false" ht="15" hidden="false" customHeight="false" outlineLevel="0" collapsed="false">
      <c r="A158" s="16" t="s">
        <v>202</v>
      </c>
      <c r="B158" s="16" t="s">
        <v>203</v>
      </c>
    </row>
  </sheetData>
  <mergeCells count="1">
    <mergeCell ref="A154:B154"/>
  </mergeCells>
  <printOptions headings="false" gridLines="false" gridLinesSet="true" horizontalCentered="false" verticalCentered="false"/>
  <pageMargins left="0.5" right="0.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Folha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2026-09-30T21:58:39Z</dcterms:created>
  <dc:creator>openpyxl</dc:creator>
  <dc:description/>
  <dc:language>en-US</dc:language>
  <cp:lastModifiedBy/>
  <dcterms:modified xsi:type="dcterms:W3CDTF">2026-09-30T21:58:40Z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