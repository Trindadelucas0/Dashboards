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atriz 01" sheetId="2" state="visible" r:id="rId4"/>
    <sheet name="Matriz 02" sheetId="3" state="visible" r:id="rId5"/>
    <sheet name="Matriz 03" sheetId="4" state="visible" r:id="rId6"/>
    <sheet name="Matriz 04" sheetId="5" state="visible" r:id="rId7"/>
    <sheet name="Matriz 05" sheetId="6" state="visible" r:id="rId8"/>
    <sheet name="Matriz 06" sheetId="7" state="visible" r:id="rId9"/>
    <sheet name="Matriz 07" sheetId="8" state="visible" r:id="rId10"/>
    <sheet name="Matriz 08" sheetId="9" state="visible" r:id="rId11"/>
    <sheet name="Filial 01" sheetId="10" state="visible" r:id="rId12"/>
    <sheet name="Filial 02" sheetId="11" state="visible" r:id="rId13"/>
    <sheet name="Filial 03" sheetId="12" state="visible" r:id="rId14"/>
    <sheet name="Filial 04" sheetId="13" state="visible" r:id="rId15"/>
    <sheet name="Filial 05" sheetId="14" state="visible" r:id="rId16"/>
    <sheet name="Filial 06" sheetId="15" state="visible" r:id="rId17"/>
    <sheet name="Filial 07" sheetId="16" state="visible" r:id="rId18"/>
    <sheet name="Filial 08" sheetId="17" state="visible" r:id="rId19"/>
  </sheets>
  <definedNames>
    <definedName function="false" hidden="false" localSheetId="9" name="_xlnm.Print_Titles" vbProcedure="false">'Filial 01'!$5:$5</definedName>
    <definedName function="false" hidden="true" localSheetId="9" name="_xlnm._FilterDatabase" vbProcedure="false">'Filial 01'!$A$5:$M$58</definedName>
    <definedName function="false" hidden="false" localSheetId="10" name="_xlnm.Print_Titles" vbProcedure="false">'Filial 02'!$5:$5</definedName>
    <definedName function="false" hidden="true" localSheetId="10" name="_xlnm._FilterDatabase" vbProcedure="false">'Filial 02'!$A$5:$M$78</definedName>
    <definedName function="false" hidden="false" localSheetId="11" name="_xlnm.Print_Titles" vbProcedure="false">'Filial 03'!$5:$5</definedName>
    <definedName function="false" hidden="true" localSheetId="11" name="_xlnm._FilterDatabase" vbProcedure="false">'Filial 03'!$A$5:$M$82</definedName>
    <definedName function="false" hidden="false" localSheetId="12" name="_xlnm.Print_Titles" vbProcedure="false">'Filial 04'!$5:$5</definedName>
    <definedName function="false" hidden="true" localSheetId="12" name="_xlnm._FilterDatabase" vbProcedure="false">'Filial 04'!$A$5:$M$85</definedName>
    <definedName function="false" hidden="false" localSheetId="13" name="_xlnm.Print_Titles" vbProcedure="false">'Filial 05'!$5:$5</definedName>
    <definedName function="false" hidden="true" localSheetId="13" name="_xlnm._FilterDatabase" vbProcedure="false">'Filial 05'!$A$5:$M$75</definedName>
    <definedName function="false" hidden="false" localSheetId="14" name="_xlnm.Print_Titles" vbProcedure="false">'Filial 06'!$5:$5</definedName>
    <definedName function="false" hidden="true" localSheetId="14" name="_xlnm._FilterDatabase" vbProcedure="false">'Filial 06'!$A$5:$M$72</definedName>
    <definedName function="false" hidden="false" localSheetId="15" name="_xlnm.Print_Titles" vbProcedure="false">'Filial 07'!$5:$5</definedName>
    <definedName function="false" hidden="true" localSheetId="15" name="_xlnm._FilterDatabase" vbProcedure="false">'Filial 07'!$A$5:$M$75</definedName>
    <definedName function="false" hidden="false" localSheetId="16" name="_xlnm.Print_Titles" vbProcedure="false">'Filial 08'!$5:$5</definedName>
    <definedName function="false" hidden="true" localSheetId="16" name="_xlnm._FilterDatabase" vbProcedure="false">'Filial 08'!$A$5:$M$69</definedName>
    <definedName function="false" hidden="false" localSheetId="1" name="_xlnm.Print_Titles" vbProcedure="false">'Matriz 01'!$5:$5</definedName>
    <definedName function="false" hidden="true" localSheetId="1" name="_xlnm._FilterDatabase" vbProcedure="false">'Matriz 01'!$A$5:$M$249</definedName>
    <definedName function="false" hidden="false" localSheetId="2" name="_xlnm.Print_Titles" vbProcedure="false">'Matriz 02'!$5:$5</definedName>
    <definedName function="false" hidden="true" localSheetId="2" name="_xlnm._FilterDatabase" vbProcedure="false">'Matriz 02'!$A$5:$M$253</definedName>
    <definedName function="false" hidden="false" localSheetId="3" name="_xlnm.Print_Titles" vbProcedure="false">'Matriz 03'!$5:$5</definedName>
    <definedName function="false" hidden="true" localSheetId="3" name="_xlnm._FilterDatabase" vbProcedure="false">'Matriz 03'!$A$5:$M$293</definedName>
    <definedName function="false" hidden="false" localSheetId="4" name="_xlnm.Print_Titles" vbProcedure="false">'Matriz 04'!$5:$5</definedName>
    <definedName function="false" hidden="true" localSheetId="4" name="_xlnm._FilterDatabase" vbProcedure="false">'Matriz 04'!$A$5:$M$273</definedName>
    <definedName function="false" hidden="false" localSheetId="5" name="_xlnm.Print_Titles" vbProcedure="false">'Matriz 05'!$5:$5</definedName>
    <definedName function="false" hidden="true" localSheetId="5" name="_xlnm._FilterDatabase" vbProcedure="false">'Matriz 05'!$A$5:$M$268</definedName>
    <definedName function="false" hidden="false" localSheetId="6" name="_xlnm.Print_Titles" vbProcedure="false">'Matriz 06'!$5:$5</definedName>
    <definedName function="false" hidden="true" localSheetId="6" name="_xlnm._FilterDatabase" vbProcedure="false">'Matriz 06'!$A$5:$M$278</definedName>
    <definedName function="false" hidden="false" localSheetId="7" name="_xlnm.Print_Titles" vbProcedure="false">'Matriz 07'!$5:$5</definedName>
    <definedName function="false" hidden="true" localSheetId="7" name="_xlnm._FilterDatabase" vbProcedure="false">'Matriz 07'!$A$5:$M$290</definedName>
    <definedName function="false" hidden="false" localSheetId="8" name="_xlnm.Print_Titles" vbProcedure="false">'Matriz 08'!$5:$5</definedName>
    <definedName function="false" hidden="true" localSheetId="8" name="_xlnm._FilterDatabase" vbProcedure="false">'Matriz 08'!$A$5:$M$275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<sst xmlns="http://schemas.openxmlformats.org/spreadsheetml/2006/main" count="2994" uniqueCount="572">
  <si>
    <t xml:space="preserve">INDUSTRIA SCHUMACHER LTDA — Vendas por Produto 2026</t>
  </si>
  <si>
    <t xml:space="preserve">Resumo mensal: Matriz x Filial (SCHUMACHER SERVICOS) — valores puxados das abas de cada mês</t>
  </si>
  <si>
    <t xml:space="preserve">MATRIZ</t>
  </si>
  <si>
    <t xml:space="preserve">FILIAL</t>
  </si>
  <si>
    <t xml:space="preserve">CONSOLIDADO</t>
  </si>
  <si>
    <t xml:space="preserve">Mês</t>
  </si>
  <si>
    <t xml:space="preserve">Itens</t>
  </si>
  <si>
    <t xml:space="preserve">Total Vendas</t>
  </si>
  <si>
    <t xml:space="preserve">Custo</t>
  </si>
  <si>
    <t xml:space="preserve">Lucro Bruto</t>
  </si>
  <si>
    <t xml:space="preserve">Marg. Bruta</t>
  </si>
  <si>
    <t xml:space="preserve">01 - Janeiro</t>
  </si>
  <si>
    <t xml:space="preserve">02 - Fevereiro</t>
  </si>
  <si>
    <t xml:space="preserve">03 - Março</t>
  </si>
  <si>
    <t xml:space="preserve">04 - Abril</t>
  </si>
  <si>
    <t xml:space="preserve">05 - Maio</t>
  </si>
  <si>
    <t xml:space="preserve">06 - Junho</t>
  </si>
  <si>
    <t xml:space="preserve">07 - Julho</t>
  </si>
  <si>
    <t xml:space="preserve">08 - Agosto</t>
  </si>
  <si>
    <t xml:space="preserve">TOTAL 01-08</t>
  </si>
  <si>
    <t xml:space="preserve">Obs.: "Itens" = produtos com venda no mês; margens = lucro ÷ total vendido. Em cada aba mensal, o TOTAL GERAL confere com o "Total Geral" do PDF original.</t>
  </si>
  <si>
    <t xml:space="preserve">INDUSTRIA SCHUMACHER LTDA  —  Matriz</t>
  </si>
  <si>
    <t xml:space="preserve">Demonstrativo de Margens de Venda por Produto</t>
  </si>
  <si>
    <t xml:space="preserve">Período: 01/01/2026 a 31/01/2026   (Janeiro/2026)</t>
  </si>
  <si>
    <t xml:space="preserve">Código</t>
  </si>
  <si>
    <t xml:space="preserve">Produto</t>
  </si>
  <si>
    <t xml:space="preserve">Qtde</t>
  </si>
  <si>
    <t xml:space="preserve">Qtde Un.</t>
  </si>
  <si>
    <t xml:space="preserve">A Vista</t>
  </si>
  <si>
    <t xml:space="preserve">A Prazo</t>
  </si>
  <si>
    <t xml:space="preserve">Total</t>
  </si>
  <si>
    <t xml:space="preserve">Lucro Líquido</t>
  </si>
  <si>
    <t xml:space="preserve">Marg. Líquida</t>
  </si>
  <si>
    <t xml:space="preserve">PMP</t>
  </si>
  <si>
    <t xml:space="preserve">CILINDRO PNEUMATICO PARA BLOQUEIO</t>
  </si>
  <si>
    <t xml:space="preserve">CONJUNTO VALVULA EVACUACAO SANITARIO</t>
  </si>
  <si>
    <t xml:space="preserve">CONJUNTO CONTROLE DETERGENTE</t>
  </si>
  <si>
    <t xml:space="preserve">BOMBA DOSADORA BACTERICIDA</t>
  </si>
  <si>
    <t xml:space="preserve">VALVULA DE RETENCAO</t>
  </si>
  <si>
    <t xml:space="preserve">VALVULA DE CALEFACAO 24V</t>
  </si>
  <si>
    <t xml:space="preserve">CONJUNTO BOMBA SANITARIO</t>
  </si>
  <si>
    <t xml:space="preserve">CONJUNTO VALVULA EVACUACAO CAIXA DETRITO DD</t>
  </si>
  <si>
    <t xml:space="preserve">CONJUNTO VALVULA EVACUACAO CAIXA DETRITO</t>
  </si>
  <si>
    <t xml:space="preserve">DOBRADICA ASSENTO SANITARIO</t>
  </si>
  <si>
    <t xml:space="preserve">REPARO VALVULA EVACUACAO</t>
  </si>
  <si>
    <t xml:space="preserve">CONJUNTO MICTORIO</t>
  </si>
  <si>
    <t xml:space="preserve">REPARO HIDRAULICO VALVULA EVACUACAO</t>
  </si>
  <si>
    <t xml:space="preserve">CONJUNTO VALVULA DE EVACUACAO</t>
  </si>
  <si>
    <t xml:space="preserve">REPARO COMPLETO VALVULA CUBA</t>
  </si>
  <si>
    <t xml:space="preserve">DOBRADICA DO ASSENTO SANITARIO PLASTICA</t>
  </si>
  <si>
    <t xml:space="preserve">BICO DE ENCHIMENTO VALVULADO</t>
  </si>
  <si>
    <t xml:space="preserve">CONJUNTO VALVULA DE EVACUACAO FLANGE PLAST C/ LADR</t>
  </si>
  <si>
    <t xml:space="preserve">REPARO DA BOMBA PLASTICA</t>
  </si>
  <si>
    <t xml:space="preserve">BICO DE ENGATE RAPIDO VALVULADO</t>
  </si>
  <si>
    <t xml:space="preserve">BICO DE ENCHIMENTO VALVULADO SAIDA 3/4</t>
  </si>
  <si>
    <t xml:space="preserve">TAMPA DE INSPECAO</t>
  </si>
  <si>
    <t xml:space="preserve">VALVULA DE CALEFACAO 24VCC</t>
  </si>
  <si>
    <t xml:space="preserve">REPARO DA VALVULA DE CALEFACAO</t>
  </si>
  <si>
    <t xml:space="preserve">DRENO DE AGUA</t>
  </si>
  <si>
    <t xml:space="preserve">CONJUNTO BOMBA PLASTICA PEQUENA</t>
  </si>
  <si>
    <t xml:space="preserve">CONJUNTO BOMBA TORNEIRA</t>
  </si>
  <si>
    <t xml:space="preserve">VALVULA 5/2 VIAS SIMPLES SOLENOIDE</t>
  </si>
  <si>
    <t xml:space="preserve">VALVULA 3/2 VIAS SIMPLES SOLENOIDE</t>
  </si>
  <si>
    <t xml:space="preserve">VALVULA 5 VIAS MANUAL</t>
  </si>
  <si>
    <t xml:space="preserve">BOTAO ACIONAMENTO VALVULA SANITARIO</t>
  </si>
  <si>
    <t xml:space="preserve">COMANDO ELETRONICO 3 SEGUNDOS</t>
  </si>
  <si>
    <t xml:space="preserve">VALVULA MINI COM SUPORTE</t>
  </si>
  <si>
    <t xml:space="preserve">VALVULA 5 VIAS MANUAL RETORNO MOLA</t>
  </si>
  <si>
    <t xml:space="preserve">VALVULA 3 VIAS MANUAL EMERGENCIA</t>
  </si>
  <si>
    <t xml:space="preserve">CORTINA SANEFA TOTAL LD</t>
  </si>
  <si>
    <t xml:space="preserve">CORTINA SANEFA TOTAL LE</t>
  </si>
  <si>
    <t xml:space="preserve">CONJUNTO CUBA SANITARIO</t>
  </si>
  <si>
    <t xml:space="preserve">RESERVATORIO DE DETERGENTE 1L</t>
  </si>
  <si>
    <t xml:space="preserve">CORTINA SANEFA TOTAL TELA LD</t>
  </si>
  <si>
    <t xml:space="preserve">CORTINA SANEFA PARCIAL LE</t>
  </si>
  <si>
    <t xml:space="preserve">CONJUNTO VALVULA DE EVACUACAO CUBA DD</t>
  </si>
  <si>
    <t xml:space="preserve">CONJUNTO VALVULA DE EVACUACAO CAIXA DE DETRITOS</t>
  </si>
  <si>
    <t xml:space="preserve">VALVULA 5 VIAS RETORNO MOLA</t>
  </si>
  <si>
    <t xml:space="preserve">TORNEIRA DE AGUA CONEXAO 6MM</t>
  </si>
  <si>
    <t xml:space="preserve">CONJUNTO VALVULA GUILHOTINA CUBA</t>
  </si>
  <si>
    <t xml:space="preserve">CORRIMAO SANITARIO</t>
  </si>
  <si>
    <t xml:space="preserve">BOTAO ACIONAMENTO DESCARGA COM LED</t>
  </si>
  <si>
    <t xml:space="preserve">CONJUNTO VALVULA DE EVACUACAO CUBA</t>
  </si>
  <si>
    <t xml:space="preserve">CONJUNTO VALVULA GUILHOTINA CX DETRITOS DD</t>
  </si>
  <si>
    <t xml:space="preserve">SIFAO DO RALO</t>
  </si>
  <si>
    <t xml:space="preserve">DOBRADIÇA SANITARIO</t>
  </si>
  <si>
    <t xml:space="preserve">RESERVATORIO DE 1 L SABAO</t>
  </si>
  <si>
    <t xml:space="preserve">FECHADURA PORTA SANITARIO</t>
  </si>
  <si>
    <t xml:space="preserve">PONTEIRA PERFIL LD PORTA DIVISORIA</t>
  </si>
  <si>
    <t xml:space="preserve">PONTEIRA PERFIL LE PORTA DIVISORIA</t>
  </si>
  <si>
    <t xml:space="preserve">EIXO SUPERIOR PORTA DIVISORIA</t>
  </si>
  <si>
    <t xml:space="preserve">MANCAL DE REGULAGEM ALTURA PORTA CENTRAL</t>
  </si>
  <si>
    <t xml:space="preserve">TORNEIRA DE SABAO TOUCH</t>
  </si>
  <si>
    <t xml:space="preserve">CONJUNTO VALVULA GUILHOTINA CAIXA DETRITOS</t>
  </si>
  <si>
    <t xml:space="preserve">SIFAO DA PIA</t>
  </si>
  <si>
    <t xml:space="preserve">DOBRADICA ALUMINIO RETORNO MOLA</t>
  </si>
  <si>
    <t xml:space="preserve">CAIXA DE DETRITOS</t>
  </si>
  <si>
    <t xml:space="preserve">SUPORTE PAPEL HIGIENICO INOX 6MM</t>
  </si>
  <si>
    <t xml:space="preserve">CORTINA SANEFA PARCIAL</t>
  </si>
  <si>
    <t xml:space="preserve">CORTINA SANEFA PARCIAL LD</t>
  </si>
  <si>
    <t xml:space="preserve">FECHADURA PORTA DIVISORIA</t>
  </si>
  <si>
    <t xml:space="preserve">CONJUNTO BOMBA PLASTICA 300ML</t>
  </si>
  <si>
    <t xml:space="preserve">CONEXÃO U CALEFACAO ENGATE RÁPIDO 22MM 7/8</t>
  </si>
  <si>
    <t xml:space="preserve">FECHADURA PORTA DIVISORIA DD</t>
  </si>
  <si>
    <t xml:space="preserve">CONJUNTO BOMBA SANITARIO DD</t>
  </si>
  <si>
    <t xml:space="preserve">TORNEIRA DE AGUA MANUAL</t>
  </si>
  <si>
    <t xml:space="preserve">TORNEIRA DE SABAO MANUAL</t>
  </si>
  <si>
    <t xml:space="preserve">CORTINA SANEFA PARCIAL GX800 LE</t>
  </si>
  <si>
    <t xml:space="preserve">TORNEIRA DE AGUA MANUAL DD</t>
  </si>
  <si>
    <t xml:space="preserve">TORNEIRA DE SABÃO MANUAL DD</t>
  </si>
  <si>
    <t xml:space="preserve">CONJUNTO MICTORIO PEQUENO</t>
  </si>
  <si>
    <t xml:space="preserve">CONJ. SANITARIO COMPLETO</t>
  </si>
  <si>
    <t xml:space="preserve">VALVULA 5 VIAS FLANGE UNIVERSAL</t>
  </si>
  <si>
    <t xml:space="preserve">CONEXAO RETA ENGATE RAPIDO 22MM</t>
  </si>
  <si>
    <t xml:space="preserve">CONEXAO RETA ENGATE RAPIDO E ESPIGA 22MM</t>
  </si>
  <si>
    <t xml:space="preserve">VALVULA 3 VIAS</t>
  </si>
  <si>
    <t xml:space="preserve">TORNEIRA DE AGUA PARA SANITARIO</t>
  </si>
  <si>
    <t xml:space="preserve">CONJUNTO TORNEIRA DE SABAO</t>
  </si>
  <si>
    <t xml:space="preserve">VALVULA 3-2 MANUAL COM FLANGE UNIVERSAL</t>
  </si>
  <si>
    <t xml:space="preserve">CONJUNTO BOMBA TORNEIRA SANITARIO</t>
  </si>
  <si>
    <t xml:space="preserve">PAINEL CONTROLE ELETRONICO</t>
  </si>
  <si>
    <t xml:space="preserve">CORTINA SANEFA TOTAL LONA LE</t>
  </si>
  <si>
    <t xml:space="preserve">CORTINA SANEFA MISTA LE ESQUERDA</t>
  </si>
  <si>
    <t xml:space="preserve">CORTINA SANEFA MISTA LD ESQUERDA</t>
  </si>
  <si>
    <t xml:space="preserve">CORTINA SANEFA LATERAL LE DIREITA</t>
  </si>
  <si>
    <t xml:space="preserve">CORTINA SANEFA LATERAL LD ESQUERDA</t>
  </si>
  <si>
    <t xml:space="preserve">CONDUCTO ANTIVAHO I6</t>
  </si>
  <si>
    <t xml:space="preserve">CONEXAO TIPO T</t>
  </si>
  <si>
    <t xml:space="preserve">CONEXAO RESERVATORIO DO ESGUICHO</t>
  </si>
  <si>
    <t xml:space="preserve">TANQUE DE AGUA LIMPA</t>
  </si>
  <si>
    <t xml:space="preserve">FECHADURA PORTA DIVISORIA MD CP 14</t>
  </si>
  <si>
    <t xml:space="preserve">CORRIMÃO SANITARIO 22MM INOX</t>
  </si>
  <si>
    <t xml:space="preserve">SOLENOIDE 24 VCC INJETADA</t>
  </si>
  <si>
    <t xml:space="preserve">VALVULA 5/2 VIAS MANUAL SEM CONEXAO</t>
  </si>
  <si>
    <t xml:space="preserve">TAMPA VASO WC</t>
  </si>
  <si>
    <t xml:space="preserve">KIT BACTERICIDA CUBA WC</t>
  </si>
  <si>
    <t xml:space="preserve">CONJUNTO BACIA DO VASO SANITARIO</t>
  </si>
  <si>
    <t xml:space="preserve">VALVULA 5 VIAS PILOTADA</t>
  </si>
  <si>
    <t xml:space="preserve">PONTEIRA PP TRASEIRA CP15</t>
  </si>
  <si>
    <t xml:space="preserve">CONJUNTO CUBA COM VALVULA GUILHOTINA</t>
  </si>
  <si>
    <t xml:space="preserve">VALVULA 5/2 VIAS DUPLA SOLEN ACION MANUAL</t>
  </si>
  <si>
    <t xml:space="preserve">CONJUNTO PORTA SANITARIO CP15</t>
  </si>
  <si>
    <t xml:space="preserve">TAMPA ASSENTO ABS WC TRAS</t>
  </si>
  <si>
    <t xml:space="preserve">RECUO PORTA PACOTES</t>
  </si>
  <si>
    <t xml:space="preserve">DUTO CAPTACAO AR</t>
  </si>
  <si>
    <t xml:space="preserve">DUTO AR</t>
  </si>
  <si>
    <t xml:space="preserve">BOCAL Y DESEMBAÇADOR PARA BRISA</t>
  </si>
  <si>
    <t xml:space="preserve">CILINDRO TRAVA FECHADURA</t>
  </si>
  <si>
    <t xml:space="preserve">APOIA BRACO POLTRONA LEITO</t>
  </si>
  <si>
    <t xml:space="preserve">CONJUNTO SANITARIO TRASEIRO SCHUMACHER</t>
  </si>
  <si>
    <t xml:space="preserve">CORTINA SANEFA MISTA MANUAL ESQUERDA</t>
  </si>
  <si>
    <t xml:space="preserve">CORTINA SANEFA MANUAL ESQUERDA</t>
  </si>
  <si>
    <t xml:space="preserve">CORTINA SANEFA MANUAL DIREITA</t>
  </si>
  <si>
    <t xml:space="preserve">RESERVATORIO DE AGUA WC MICTORIO</t>
  </si>
  <si>
    <t xml:space="preserve">CILINDRO PNEUMATICO 63MM C/ ANTIESMAGAMENTO TRACAO</t>
  </si>
  <si>
    <t xml:space="preserve">ACABAMENTO EXTERNO LIXEIRA DO SANITARIO</t>
  </si>
  <si>
    <t xml:space="preserve">VALVULA DE CALEFACAO ELETRICA</t>
  </si>
  <si>
    <t xml:space="preserve">CONJUNTO WC CENTRAL</t>
  </si>
  <si>
    <t xml:space="preserve">CORTINA SANEFA MANUAL</t>
  </si>
  <si>
    <t xml:space="preserve">MARCO SUP DIV MD CP14</t>
  </si>
  <si>
    <t xml:space="preserve">CONJ MARCO DIVISORIA</t>
  </si>
  <si>
    <t xml:space="preserve">PAPELEIRA INOX</t>
  </si>
  <si>
    <t xml:space="preserve">CILINDRO PNEUMATICO 63MM C/ ANTIESM. COMPRESSAO</t>
  </si>
  <si>
    <t xml:space="preserve">CORTINA SANEFA MISTA</t>
  </si>
  <si>
    <t xml:space="preserve">ACABAMENTO MONITOR</t>
  </si>
  <si>
    <t xml:space="preserve">CONJ. HASTE CORTINA DIVISORIA</t>
  </si>
  <si>
    <t xml:space="preserve">CAIXA ROTO</t>
  </si>
  <si>
    <t xml:space="preserve">CONJ. SISTEMA EVACUACAO A VACUO</t>
  </si>
  <si>
    <t xml:space="preserve">CONJ. GERADOR DE VACUO</t>
  </si>
  <si>
    <t xml:space="preserve">REPARO CILINDRO</t>
  </si>
  <si>
    <t xml:space="preserve">CORTINA SANEFA MANUAL S/ FREIO</t>
  </si>
  <si>
    <t xml:space="preserve">CORTINA SANEFA MANUAL PARADISO 1200</t>
  </si>
  <si>
    <t xml:space="preserve">CONJ. TORNEIRA DUPLA</t>
  </si>
  <si>
    <t xml:space="preserve">CONJ. FECHADURA PORTA SANITARIO</t>
  </si>
  <si>
    <t xml:space="preserve">VALVULA ACIONAMENTO BUZINA</t>
  </si>
  <si>
    <t xml:space="preserve">CONJ. VALVULA GUILHOTINA SISTEMA A VACUO</t>
  </si>
  <si>
    <t xml:space="preserve">CONJ. SANITARIO</t>
  </si>
  <si>
    <t xml:space="preserve">CILINDRO PNEUMATICO 63MM C/ ANTIES TRACAO UNIV</t>
  </si>
  <si>
    <t xml:space="preserve">CONJ. VALVULA HIDRAULICA</t>
  </si>
  <si>
    <t xml:space="preserve">CILINDRO PNEUM. SIMPLES ACAO RETORNO MOLA</t>
  </si>
  <si>
    <t xml:space="preserve">CONJ. MECANISMO ACION PORTA</t>
  </si>
  <si>
    <t xml:space="preserve">CONJ. VALVULA ATENUACAO</t>
  </si>
  <si>
    <t xml:space="preserve">CORTINA SANEFA PERSONALIZADO</t>
  </si>
  <si>
    <t xml:space="preserve">CONJ. ARVORE PORTA</t>
  </si>
  <si>
    <t xml:space="preserve">CORTINA SANEFA</t>
  </si>
  <si>
    <t xml:space="preserve">CONJ. ENGATE RAPIDO</t>
  </si>
  <si>
    <t xml:space="preserve">CONJ. TORNEIRA DUPLA PLUS</t>
  </si>
  <si>
    <t xml:space="preserve">CONJ. ASA</t>
  </si>
  <si>
    <t xml:space="preserve">CONJUNTO SANITARIO BSS AUSTRALIA</t>
  </si>
  <si>
    <t xml:space="preserve">ACABAMENTO CINTO SEGURANCA</t>
  </si>
  <si>
    <t xml:space="preserve">WC I6S TRASEIRO PERFIL INFERIOR BA</t>
  </si>
  <si>
    <t xml:space="preserve">WC I6 TRASEIRO PERFIL INFERIOR BA</t>
  </si>
  <si>
    <t xml:space="preserve">CONJ. DEGRAU RETRATIL</t>
  </si>
  <si>
    <t xml:space="preserve">CONJ. DISTRIBUIDOR DE EMENDA</t>
  </si>
  <si>
    <t xml:space="preserve">CONJ. CAIXA DE DETRITOS 75 LITROS</t>
  </si>
  <si>
    <t xml:space="preserve">MODULO ELETRONICO ( ECU )</t>
  </si>
  <si>
    <t xml:space="preserve">DISTRIBUIDOR DE EMENDA 6MM</t>
  </si>
  <si>
    <t xml:space="preserve">CILINDRO PLASTICO VALVULA DE EVACUACAO RETA</t>
  </si>
  <si>
    <t xml:space="preserve">TECLA DE TOQUE 5 SEGUNDOS COM CONECTORES</t>
  </si>
  <si>
    <t xml:space="preserve">SIFAO CUBA MICTORIO</t>
  </si>
  <si>
    <t xml:space="preserve">BOMBA SABAO COM SOLENOIDE</t>
  </si>
  <si>
    <t xml:space="preserve">TELA SANEFA</t>
  </si>
  <si>
    <t xml:space="preserve">ANEL DE ACOPLAGEM CAIXA DE DETRITOS DD</t>
  </si>
  <si>
    <t xml:space="preserve">CUBA PEQUENA COM SERPENTINA</t>
  </si>
  <si>
    <t xml:space="preserve">SERPENTINA CUBA 400MM COM ENTRADA BACTERICIDA</t>
  </si>
  <si>
    <t xml:space="preserve">COMANDO ELETRONICO 5 SEGUNDOS</t>
  </si>
  <si>
    <t xml:space="preserve">CAVACO DE ALUMINIO</t>
  </si>
  <si>
    <t xml:space="preserve">CAVACO DE INOX MACIÇO</t>
  </si>
  <si>
    <t xml:space="preserve">CAVACO DE FERRO</t>
  </si>
  <si>
    <t xml:space="preserve">KIT REPARO CILINDRO ISO 63MM</t>
  </si>
  <si>
    <t xml:space="preserve">CIRCUITO TORNEIRA REDONDA SABAO COMPLETO</t>
  </si>
  <si>
    <t xml:space="preserve">VARETA GUIA SANEFA</t>
  </si>
  <si>
    <t xml:space="preserve">PLACA CONECTORES IMPRESSORA 3D CLONER</t>
  </si>
  <si>
    <t xml:space="preserve">CONJ VENT ZAPT 150ZX C FILTRO INS 24VDC RAL7035</t>
  </si>
  <si>
    <t xml:space="preserve">LENTE INDICADOR LUMINOSO</t>
  </si>
  <si>
    <t xml:space="preserve">CONJ BICO EXTRUSOR 3DCLONER</t>
  </si>
  <si>
    <t xml:space="preserve">ESPELHO</t>
  </si>
  <si>
    <t xml:space="preserve">BARRA DE LED SANITARIO SCHUMACHER</t>
  </si>
  <si>
    <t xml:space="preserve">ACABAMENTO EXTERNO LIXEIRA</t>
  </si>
  <si>
    <t xml:space="preserve">PAREDE DIVISORIA</t>
  </si>
  <si>
    <t xml:space="preserve">PORTA PAREDE DIVISORIA</t>
  </si>
  <si>
    <t xml:space="preserve">SIFAO PIA</t>
  </si>
  <si>
    <t xml:space="preserve">CONJ. ARVORE</t>
  </si>
  <si>
    <t xml:space="preserve">HASTE SANEFA MICS4</t>
  </si>
  <si>
    <t xml:space="preserve">HASTE SANEFA ELLO</t>
  </si>
  <si>
    <t xml:space="preserve">MONTAGEM DISPLAY LCD G3</t>
  </si>
  <si>
    <t xml:space="preserve">CHICOTE 10 VIAS 3DCLONER</t>
  </si>
  <si>
    <t xml:space="preserve">CHICOTE AQUECIMENTO BICO EXTRUSOR</t>
  </si>
  <si>
    <t xml:space="preserve">CHAPA FIX. GUIA CURVA</t>
  </si>
  <si>
    <t xml:space="preserve">IMP PLACA MAE IMPRESSORA 3DCLONER</t>
  </si>
  <si>
    <t xml:space="preserve">EIXO ARVORE</t>
  </si>
  <si>
    <t xml:space="preserve">SUP FIXACAO LED PONTO CEGO</t>
  </si>
  <si>
    <t xml:space="preserve">TAMPAO FECHAMENTO RALO</t>
  </si>
  <si>
    <t xml:space="preserve">MANCAL COM ROLAMENTO</t>
  </si>
  <si>
    <t xml:space="preserve">CAVACO DE ACO</t>
  </si>
  <si>
    <t xml:space="preserve">TAMPA VALVULA RALO</t>
  </si>
  <si>
    <t xml:space="preserve">PECAS MALDANER CERCAS ELETRICAS</t>
  </si>
  <si>
    <t xml:space="preserve">CONJ CAIXA ELETRIFICADOR ROPLAST</t>
  </si>
  <si>
    <t xml:space="preserve">PECAS SOLAR LED</t>
  </si>
  <si>
    <t xml:space="preserve">CONJ. TRONCO</t>
  </si>
  <si>
    <t xml:space="preserve">GUIA CANGA</t>
  </si>
  <si>
    <t xml:space="preserve">TAMPA TUBO</t>
  </si>
  <si>
    <t xml:space="preserve">MULTIPET</t>
  </si>
  <si>
    <t xml:space="preserve">CONJ. TRINCO TRONCO</t>
  </si>
  <si>
    <t xml:space="preserve">BATE TRINCO</t>
  </si>
  <si>
    <t xml:space="preserve">CAIXA</t>
  </si>
  <si>
    <t xml:space="preserve">CAIXA INDICADORA</t>
  </si>
  <si>
    <t xml:space="preserve">CAIXA JNL</t>
  </si>
  <si>
    <t xml:space="preserve">CAIXA BALANCA</t>
  </si>
  <si>
    <t xml:space="preserve">TOTAL GERAL</t>
  </si>
  <si>
    <t xml:space="preserve">Período: 01/02/2026 a 28/02/2026   (Fevereiro/2026)</t>
  </si>
  <si>
    <t xml:space="preserve">CONJUNTO VALVULA DE EVACUACAO CAIXA DETRITO</t>
  </si>
  <si>
    <t xml:space="preserve">VALVULA CONTROLE DE VAZAO</t>
  </si>
  <si>
    <t xml:space="preserve">VALVULA ELETRONICA PARA AGUA 24VCC</t>
  </si>
  <si>
    <t xml:space="preserve">ENGATE RAPIDO 5/8 X 10MM</t>
  </si>
  <si>
    <t xml:space="preserve">COMANDO ELETRONICO DESCARGA DO SANITARIO</t>
  </si>
  <si>
    <t xml:space="preserve">VALVULA 3 VIAS MANUAL</t>
  </si>
  <si>
    <t xml:space="preserve">VALVULA 5/2 VIAS DUPLA SOLENOIDE</t>
  </si>
  <si>
    <t xml:space="preserve">REPARO COMPLETO BOMBA</t>
  </si>
  <si>
    <t xml:space="preserve">BOTAO ACIONAMENTO DESCARGA TOUCH</t>
  </si>
  <si>
    <t xml:space="preserve">VALVULA ANTI PO</t>
  </si>
  <si>
    <t xml:space="preserve">CONJUNTO BOMBA SANITARIO PLASTICA</t>
  </si>
  <si>
    <t xml:space="preserve">DEPOSITO DETRITOS PLAST 70L WC CENTRAL</t>
  </si>
  <si>
    <t xml:space="preserve">VALVULA 3/2 VIAS MANUAL SEM CONEXAO</t>
  </si>
  <si>
    <t xml:space="preserve">VALVULA 5/2 VIAS MANUAL CONEXAO RETA</t>
  </si>
  <si>
    <t xml:space="preserve">CAIXA PARA SEMAFORO EM FIBRA</t>
  </si>
  <si>
    <t xml:space="preserve">CONJUNTO REGULADOR DE FLUXO</t>
  </si>
  <si>
    <t xml:space="preserve">CORTINA SANEFA ELETRICA</t>
  </si>
  <si>
    <t xml:space="preserve">FECHADURA PORTA SANITARIO ESQUERDA</t>
  </si>
  <si>
    <t xml:space="preserve">CORTINA SANEFA TOTAL</t>
  </si>
  <si>
    <t xml:space="preserve">CONJ CUBA FORA DE CENTRO</t>
  </si>
  <si>
    <t xml:space="preserve">DUTO</t>
  </si>
  <si>
    <t xml:space="preserve">CORTINA SANEFA MANUAL MISTA</t>
  </si>
  <si>
    <t xml:space="preserve">CONJ. REGISTRO ESFERA</t>
  </si>
  <si>
    <t xml:space="preserve">CORTINA SANEFA MANUAL PARADISO 1800 E 1600</t>
  </si>
  <si>
    <t xml:space="preserve">KIT SANITARIO VACUO</t>
  </si>
  <si>
    <t xml:space="preserve">CORTINA SANEFA VIAGGIO 900/1050 MD</t>
  </si>
  <si>
    <t xml:space="preserve">CONJ. CAIXA BOMBAS</t>
  </si>
  <si>
    <t xml:space="preserve">BARRA DE LED SEM SENSOR 250 X 30</t>
  </si>
  <si>
    <t xml:space="preserve">INDICADOR LUMINOSO LIVRE E OCUPADO</t>
  </si>
  <si>
    <t xml:space="preserve">TAMPA RESERVATORIO DE EXPANSAO MF 30</t>
  </si>
  <si>
    <t xml:space="preserve">CONEXAO RETA</t>
  </si>
  <si>
    <t xml:space="preserve">FLANGE INFERIOR RETA PLASTICA</t>
  </si>
  <si>
    <t xml:space="preserve">PRESILHA DE PLASTICO - 2084 - PPPTO</t>
  </si>
  <si>
    <t xml:space="preserve">ACABAMENTO SOLEIRA</t>
  </si>
  <si>
    <t xml:space="preserve">CUBA COM SERPENTINA ENTRADA BACTERICIDA</t>
  </si>
  <si>
    <t xml:space="preserve">MANGUEIRA PVC</t>
  </si>
  <si>
    <t xml:space="preserve">TAMPA PLASTICA 63MM</t>
  </si>
  <si>
    <t xml:space="preserve">DISPENSER SUPORTE DE PAPEL</t>
  </si>
  <si>
    <t xml:space="preserve">CASULO WC TRAS</t>
  </si>
  <si>
    <t xml:space="preserve">LIXEIRA FIBRA</t>
  </si>
  <si>
    <t xml:space="preserve">SUPORTE CH ELETROMAG. TYCO</t>
  </si>
  <si>
    <t xml:space="preserve">PORTA PAREDE DIVISORIA SONORIZACAO</t>
  </si>
  <si>
    <t xml:space="preserve">PAREDE DIVISORIA SONORIZACAO</t>
  </si>
  <si>
    <t xml:space="preserve">ESTRUTURA AERADOR</t>
  </si>
  <si>
    <t xml:space="preserve">CONJ. TUBO ARVORE</t>
  </si>
  <si>
    <t xml:space="preserve">TAMPA DO VASO FIBRA</t>
  </si>
  <si>
    <t xml:space="preserve">SUPORTE CAMERA RÉ</t>
  </si>
  <si>
    <t xml:space="preserve">CAIXA JUNCAO</t>
  </si>
  <si>
    <t xml:space="preserve">SUPORTE PARA FILTRO</t>
  </si>
  <si>
    <t xml:space="preserve">PRODUTO PERSONALIZADO EM FERRO</t>
  </si>
  <si>
    <t xml:space="preserve">CONJ. CADEIRA PLASTICA S/ ANTICHAMA</t>
  </si>
  <si>
    <t xml:space="preserve">KIT HERMES E SILVA</t>
  </si>
  <si>
    <t xml:space="preserve">CONJ. SANITARIO COMPACTO</t>
  </si>
  <si>
    <t xml:space="preserve">CONJ. CAIXA</t>
  </si>
  <si>
    <t xml:space="preserve">PECA PERSONALIZADA INOX</t>
  </si>
  <si>
    <t xml:space="preserve">MOVEIS DE METAL</t>
  </si>
  <si>
    <t xml:space="preserve">CONJ. CARRINHO PULVERIZADOR</t>
  </si>
  <si>
    <t xml:space="preserve">Período: 01/03/2026 a 31/03/2026   (Março/2026)</t>
  </si>
  <si>
    <t xml:space="preserve">REPARO PNEUMATICO VALVULA EVACUACAO</t>
  </si>
  <si>
    <t xml:space="preserve">CONJUNTO VALVULA DE EVACUACAO FLANGE INF C/ LADRAO</t>
  </si>
  <si>
    <t xml:space="preserve">TRAVA JANELA INTERNA</t>
  </si>
  <si>
    <t xml:space="preserve">TRAVA JANELA EXTERNA</t>
  </si>
  <si>
    <t xml:space="preserve">CONJUNTO VALVULA DE EVACUACAO DA CUBA DD</t>
  </si>
  <si>
    <t xml:space="preserve">VALVULA 3 VIAS MANUAL SEM CONEXAO</t>
  </si>
  <si>
    <t xml:space="preserve">CONEXÃO COTOVELO ENGATE RAPIDO 22MM</t>
  </si>
  <si>
    <t xml:space="preserve">CONEXAO COTOVELO ENGATE RAPIDO E ESPIGA 22MM</t>
  </si>
  <si>
    <t xml:space="preserve">CONEXAO T ENGATE RAPIDO 22MM</t>
  </si>
  <si>
    <t xml:space="preserve">VALVULA SEGURANCA PLATAFORMA</t>
  </si>
  <si>
    <t xml:space="preserve">VALVULA 3/2 VIAS MANUAL CONEXAO RETA</t>
  </si>
  <si>
    <t xml:space="preserve">BATENTE FECHADURA COM SENSOR</t>
  </si>
  <si>
    <t xml:space="preserve">CILINDRO PNEUMATICO 63MM</t>
  </si>
  <si>
    <t xml:space="preserve">SENSOR FECHADURA PORTA WC</t>
  </si>
  <si>
    <t xml:space="preserve">HELICE AERADOR</t>
  </si>
  <si>
    <t xml:space="preserve">CONJUNTO SANITARIO TRASEIRO - AR</t>
  </si>
  <si>
    <t xml:space="preserve">CORRIMAO UNIVERSAL</t>
  </si>
  <si>
    <t xml:space="preserve">CONJ. CHAPA</t>
  </si>
  <si>
    <t xml:space="preserve">CONJ. VAL. EQUALIZADOR 120L</t>
  </si>
  <si>
    <t xml:space="preserve">CONJ. VAL. EQUALIZADOR 110L</t>
  </si>
  <si>
    <t xml:space="preserve">SOLENOIDE 24VCC 10W INJETADA CABOS 100MM</t>
  </si>
  <si>
    <t xml:space="preserve">KIT SANITARIO</t>
  </si>
  <si>
    <t xml:space="preserve">CONJ. CAIXA DE DETRITOS 78 LITROS</t>
  </si>
  <si>
    <t xml:space="preserve">IMPRESSORA 3DCLONER</t>
  </si>
  <si>
    <t xml:space="preserve">TECLA DE TOQUE 2 SEGUNDOS COM CONECTORES</t>
  </si>
  <si>
    <t xml:space="preserve">CONEXAO</t>
  </si>
  <si>
    <t xml:space="preserve">CONJUNTO BOTAO E PORCA VALVULA VIA MANUAL PRETO</t>
  </si>
  <si>
    <t xml:space="preserve">CONJUNTO GUIA E PUXADOR SANEFA UNIVERSAL</t>
  </si>
  <si>
    <t xml:space="preserve">CAVACO DE ALUMINIO MACIÇO</t>
  </si>
  <si>
    <t xml:space="preserve">PORTA SANITARIO FIBRA</t>
  </si>
  <si>
    <t xml:space="preserve">CIRCUITO FECHADURA PORTA SANITARIO</t>
  </si>
  <si>
    <t xml:space="preserve">CORREIA SINCRONIZADA EM POLIORETANO</t>
  </si>
  <si>
    <t xml:space="preserve">ROLETE TRACIONADOR 3DCLONER</t>
  </si>
  <si>
    <t xml:space="preserve">BICO EXTRUSOR</t>
  </si>
  <si>
    <t xml:space="preserve">GRADE DE PROTEÇÃO VENTILADOR 150ZV</t>
  </si>
  <si>
    <t xml:space="preserve">EMBOLO CILINDRO</t>
  </si>
  <si>
    <t xml:space="preserve">VIDRO 3DCLONER</t>
  </si>
  <si>
    <t xml:space="preserve">TUBO DE TEFLON PTFE EXT 4MM INT 2MM</t>
  </si>
  <si>
    <t xml:space="preserve">ACOPLAMENTO DO EIXO PROPULSOR</t>
  </si>
  <si>
    <t xml:space="preserve">EIXO DA TURBINA PROPULSOR</t>
  </si>
  <si>
    <t xml:space="preserve">COOLER 3DCLONER</t>
  </si>
  <si>
    <t xml:space="preserve">IMP SENSOR Z-PROBE</t>
  </si>
  <si>
    <t xml:space="preserve">HASTE SANEFA FLEXIVEL</t>
  </si>
  <si>
    <t xml:space="preserve">KIT LUMINARIA SANITARIO</t>
  </si>
  <si>
    <t xml:space="preserve">TAMPA DIANTEIRA CILINDRO USIN</t>
  </si>
  <si>
    <t xml:space="preserve">POSTICO</t>
  </si>
  <si>
    <t xml:space="preserve">MOLDE DE INJECAO</t>
  </si>
  <si>
    <t xml:space="preserve">CONJ PAINEL VISOR</t>
  </si>
  <si>
    <t xml:space="preserve">JACK PLATE</t>
  </si>
  <si>
    <t xml:space="preserve">CAIXA COIMMA</t>
  </si>
  <si>
    <t xml:space="preserve">CONJ. VENTILADOR INDUSTRIAL</t>
  </si>
  <si>
    <t xml:space="preserve">CONJ. FRONTAL CAIXA PATOLA</t>
  </si>
  <si>
    <t xml:space="preserve">Período: 01/04/2026 a 30/04/2026   (Abril/2026)</t>
  </si>
  <si>
    <t xml:space="preserve">VALVULA DE RETENCAO CINZA</t>
  </si>
  <si>
    <t xml:space="preserve">VALVULA 5 VIAS MANUAL SEM CONEXAO</t>
  </si>
  <si>
    <t xml:space="preserve">VALVULA CONTROLE DE VAZAO 8MM</t>
  </si>
  <si>
    <t xml:space="preserve">CORTINA SANEFA MANUAL TOTAL LONA LD</t>
  </si>
  <si>
    <t xml:space="preserve">CORTINA SANEFA MANUAL ESQUERDA LE</t>
  </si>
  <si>
    <t xml:space="preserve">REPARO TORNEIRA MECANICA AGUA</t>
  </si>
  <si>
    <t xml:space="preserve">REPARO TORNEIRA MECANICA SABÃO</t>
  </si>
  <si>
    <t xml:space="preserve">CONJ. HASTE CORTINA MCC</t>
  </si>
  <si>
    <t xml:space="preserve">OLHAL DE POLISTIRENO CRISTAL</t>
  </si>
  <si>
    <t xml:space="preserve">SOLENOIDE 24VCC 6,5W INJETADA CABOS 100MM</t>
  </si>
  <si>
    <t xml:space="preserve">VALVULA BOMBA SANITARIO INOX</t>
  </si>
  <si>
    <t xml:space="preserve">CONEXAO COTOVELO</t>
  </si>
  <si>
    <t xml:space="preserve">MACANETA E TRANCA INFERIOR FECHADURA</t>
  </si>
  <si>
    <t xml:space="preserve">FLANGE UNIVERSAL</t>
  </si>
  <si>
    <t xml:space="preserve">RALO '' VALVULA LAVATORIO ''</t>
  </si>
  <si>
    <t xml:space="preserve">MAQUINA DE SOLDA</t>
  </si>
  <si>
    <t xml:space="preserve">KIT REGISTRO SANITARIO</t>
  </si>
  <si>
    <t xml:space="preserve">PLAST WC</t>
  </si>
  <si>
    <t xml:space="preserve">CAMISA CILINDRO PNEUMATICO 108MM</t>
  </si>
  <si>
    <t xml:space="preserve">CONJ. RESERVATORIO DE VACUO CONX. METAL</t>
  </si>
  <si>
    <t xml:space="preserve">POLY PAC</t>
  </si>
  <si>
    <t xml:space="preserve">POLY PH MAIS</t>
  </si>
  <si>
    <t xml:space="preserve">POLY FLOC ANION</t>
  </si>
  <si>
    <t xml:space="preserve">TAMPA TRASEIRA CILINDRO USIN</t>
  </si>
  <si>
    <t xml:space="preserve">CONJ CANALETA CLIMATIZADOR</t>
  </si>
  <si>
    <t xml:space="preserve">CONJ. BALANCA</t>
  </si>
  <si>
    <t xml:space="preserve">Período: 01/05/2026 a 31/05/2026   (Maio/2026)</t>
  </si>
  <si>
    <t xml:space="preserve">CORTINA SANEFA LATERAL</t>
  </si>
  <si>
    <t xml:space="preserve">CONJUNTO SANITARIO CENTRAL - AR</t>
  </si>
  <si>
    <t xml:space="preserve">CONJUNTO CAIXA MEDIA</t>
  </si>
  <si>
    <t xml:space="preserve">CONJUNTO CAIXA GRANDE</t>
  </si>
  <si>
    <t xml:space="preserve">VALVULA 5/2 VIAS SIMPLES SOLEN ACION MANUAL</t>
  </si>
  <si>
    <t xml:space="preserve">CONJ. BOTAO HERMETICO</t>
  </si>
  <si>
    <t xml:space="preserve">CORTINA SANEFA TOTAL LONA</t>
  </si>
  <si>
    <t xml:space="preserve">CONJ. FILTRO BOMBA DAGUA</t>
  </si>
  <si>
    <t xml:space="preserve">CONJUNTO PEÇAS DO GUIA SANEFA</t>
  </si>
  <si>
    <t xml:space="preserve">FECHADURA</t>
  </si>
  <si>
    <t xml:space="preserve">BENGALA TORNEIRA DE SABAO</t>
  </si>
  <si>
    <t xml:space="preserve">BORRACHA VEDACAO PORTA BANHEIRO</t>
  </si>
  <si>
    <t xml:space="preserve">RALO COM REBAIXO</t>
  </si>
  <si>
    <t xml:space="preserve">TURBINA PROPULSOR</t>
  </si>
  <si>
    <t xml:space="preserve">PARAFUSO PLASTICO PROPULSOR</t>
  </si>
  <si>
    <t xml:space="preserve">ASSENTO CADEIRA PLASTICA S/ ANTICHAMA</t>
  </si>
  <si>
    <t xml:space="preserve">CONJ. SUPORTE MOTOR VENTILADOR</t>
  </si>
  <si>
    <t xml:space="preserve">PECA EBS</t>
  </si>
  <si>
    <t xml:space="preserve">Período: 01/06/2026 a 30/06/2026   (Junho/2026)</t>
  </si>
  <si>
    <t xml:space="preserve">TORNEIRA DE AGUA MANUAL ACETINADA</t>
  </si>
  <si>
    <t xml:space="preserve">COLUNA DIVISORIA LE</t>
  </si>
  <si>
    <t xml:space="preserve">VALVULA 2 VIAS MANUAL</t>
  </si>
  <si>
    <t xml:space="preserve">CILINDRO PNEUMATICO 108MM</t>
  </si>
  <si>
    <t xml:space="preserve">CONEXÃO REGULADOR DE FLUXO 90 GRAUS 6MM X 1/8 NPT</t>
  </si>
  <si>
    <t xml:space="preserve">CONJUNTO BOTAO E PORCA VALVULA VIA MANUAL VERMELHO</t>
  </si>
  <si>
    <t xml:space="preserve">FONTE</t>
  </si>
  <si>
    <t xml:space="preserve">TAMPA</t>
  </si>
  <si>
    <t xml:space="preserve">HASTE SANEFA ROMA</t>
  </si>
  <si>
    <t xml:space="preserve">PA CLIMATIZADOR</t>
  </si>
  <si>
    <t xml:space="preserve">CONJ. PAINEL EVAC. VACUO</t>
  </si>
  <si>
    <t xml:space="preserve">KIT REPARO CILINDRO</t>
  </si>
  <si>
    <t xml:space="preserve">REPARO COMPLETO EQUALIZADOR</t>
  </si>
  <si>
    <t xml:space="preserve">PAINEL LED SANITARIO</t>
  </si>
  <si>
    <t xml:space="preserve">CAIXA SOLUTECH</t>
  </si>
  <si>
    <t xml:space="preserve">CAIXA DE JUNCAO</t>
  </si>
  <si>
    <t xml:space="preserve">CONJ. CANECA RESERVATORIO</t>
  </si>
  <si>
    <t xml:space="preserve">Período: 01/07/2026 a 31/07/2026   (Julho/2026)</t>
  </si>
  <si>
    <t xml:space="preserve">ACABAMENTO APOIA PES POLTRONA LEITO</t>
  </si>
  <si>
    <t xml:space="preserve">CORTINA SANEFA MANUAL MISTA ESQUERDA</t>
  </si>
  <si>
    <t xml:space="preserve">ADAPTADOR MANG.</t>
  </si>
  <si>
    <t xml:space="preserve">CORTINA SANEFA MANUAL PARADISO 1600 E 1800 G7</t>
  </si>
  <si>
    <t xml:space="preserve">CONJ. TAMPA DE INSPECAO</t>
  </si>
  <si>
    <t xml:space="preserve">CONJ. BACIA DO VASO</t>
  </si>
  <si>
    <t xml:space="preserve">CONJ. TANQUE AGUA LIMPA</t>
  </si>
  <si>
    <t xml:space="preserve">CAVACO DE LATAO</t>
  </si>
  <si>
    <t xml:space="preserve">SUCATA DE</t>
  </si>
  <si>
    <t xml:space="preserve">BASE DA PIA WC</t>
  </si>
  <si>
    <t xml:space="preserve">ITENS CLIMATIZADOR</t>
  </si>
  <si>
    <t xml:space="preserve">ESPIGA PP COTOVELO</t>
  </si>
  <si>
    <t xml:space="preserve">CONJ. SUPORTE MECANISMO PORTA</t>
  </si>
  <si>
    <t xml:space="preserve">ESPETO SCHUMACHER INOX DUPLO</t>
  </si>
  <si>
    <t xml:space="preserve">ESPETO SCHUMACHER INOX SIMPLES 95CM</t>
  </si>
  <si>
    <t xml:space="preserve">CAIXA DE BALANCA</t>
  </si>
  <si>
    <t xml:space="preserve">INJETORA</t>
  </si>
  <si>
    <t xml:space="preserve">PARTE FUSO</t>
  </si>
  <si>
    <t xml:space="preserve">AMORTECEDOR PISO ESPORTIVO</t>
  </si>
  <si>
    <t xml:space="preserve">PLACA PISO PLASTICO 250X250MM</t>
  </si>
  <si>
    <t xml:space="preserve">ACABAMENTO PISO PLASTICO 250MM</t>
  </si>
  <si>
    <t xml:space="preserve">INDUSTRIALIZAÇÃO POR ENCOMENDA</t>
  </si>
  <si>
    <t xml:space="preserve">Período: 01/08/2026 a 31/08/2026   (Agosto/2026)</t>
  </si>
  <si>
    <t xml:space="preserve">CONJUNTO VALVULA DE EVACUACAO SANITARIO</t>
  </si>
  <si>
    <t xml:space="preserve">MOLDE ROTOMOLDAGEM</t>
  </si>
  <si>
    <t xml:space="preserve">CONJ DOBRADICA MICRO S2</t>
  </si>
  <si>
    <t xml:space="preserve">CORTINA SANEFA RAIL TOTAL TELA CABINE</t>
  </si>
  <si>
    <t xml:space="preserve">CONJ. POLTRONA OBESO</t>
  </si>
  <si>
    <t xml:space="preserve">CORTINA SANEFA MANUAL MISTA DIREITA</t>
  </si>
  <si>
    <t xml:space="preserve">FLANGE VALVULA DE EVACUACAO CAIXA DETRIDOS MARC</t>
  </si>
  <si>
    <t xml:space="preserve">PIGMENTO</t>
  </si>
  <si>
    <t xml:space="preserve">CENTRO DE USINAGEM</t>
  </si>
  <si>
    <t xml:space="preserve">VARETA SANEFA ELETRICA</t>
  </si>
  <si>
    <t xml:space="preserve">CUBA PET INJETADA SEM ABA</t>
  </si>
  <si>
    <t xml:space="preserve">HIPOCLORITO DE SODIO 12%</t>
  </si>
  <si>
    <t xml:space="preserve">TETO CANOPY TOP</t>
  </si>
  <si>
    <t xml:space="preserve">CONJ. SUPORTE TUBULAR</t>
  </si>
  <si>
    <t xml:space="preserve">INDUSTRIA SCHUMACHER LTDA  —  Filial: SCHUMACHER SERVICOS</t>
  </si>
  <si>
    <t xml:space="preserve">PEÇA VARIVELOX</t>
  </si>
  <si>
    <t xml:space="preserve">CHAPA POLTRONA</t>
  </si>
  <si>
    <t xml:space="preserve">DIVISOR MENOR</t>
  </si>
  <si>
    <t xml:space="preserve">DIVISOR MAIOR</t>
  </si>
  <si>
    <t xml:space="preserve">CHAPA</t>
  </si>
  <si>
    <t xml:space="preserve">BLINDAGEM</t>
  </si>
  <si>
    <t xml:space="preserve">PECAS ROTOMOLDADAS AERADOR PROPULSOR</t>
  </si>
  <si>
    <t xml:space="preserve">CHAPA AERADOR PROPULSOR</t>
  </si>
  <si>
    <t xml:space="preserve">TRONCO</t>
  </si>
  <si>
    <t xml:space="preserve">PEÇA MULTIPET</t>
  </si>
  <si>
    <t xml:space="preserve">BAG TRANSPORTE FLEXVET</t>
  </si>
  <si>
    <t xml:space="preserve">PEÇA SMART</t>
  </si>
  <si>
    <t xml:space="preserve">CONE TRATADOR</t>
  </si>
  <si>
    <t xml:space="preserve">PEÇA</t>
  </si>
  <si>
    <t xml:space="preserve">IND. PEÇA AQUAGERMANY</t>
  </si>
  <si>
    <t xml:space="preserve">CHAPA TREVISAN</t>
  </si>
  <si>
    <t xml:space="preserve">PEÇA TECSOFT</t>
  </si>
  <si>
    <t xml:space="preserve">IND. PEÇA TECSOFT</t>
  </si>
  <si>
    <t xml:space="preserve">PEÇA PESO EXATO</t>
  </si>
  <si>
    <t xml:space="preserve">PEÇA WEEDVISION</t>
  </si>
  <si>
    <t xml:space="preserve">CHAPA TOLEAR</t>
  </si>
  <si>
    <t xml:space="preserve">PEÇA SOLARLED</t>
  </si>
  <si>
    <t xml:space="preserve">PEÇA TOMAZELLI</t>
  </si>
  <si>
    <t xml:space="preserve">CAIXA PLASTICA</t>
  </si>
  <si>
    <t xml:space="preserve">BOIA</t>
  </si>
  <si>
    <t xml:space="preserve">PEÇAS SEMEADEIRA</t>
  </si>
  <si>
    <t xml:space="preserve">PEÇA BONKOSKI</t>
  </si>
  <si>
    <t xml:space="preserve">PEÇA A J SOUZA</t>
  </si>
  <si>
    <t xml:space="preserve">TUBO AÇO CARBONO MULTIPET</t>
  </si>
  <si>
    <t xml:space="preserve">TUBO INOX MULTIPET</t>
  </si>
  <si>
    <t xml:space="preserve">TRONCO PRG</t>
  </si>
  <si>
    <t xml:space="preserve">INDUSTRIALIZAÇÃO PESO EXATO</t>
  </si>
  <si>
    <t xml:space="preserve">CHAPA CORTADA</t>
  </si>
  <si>
    <t xml:space="preserve">TUBO CORTADO</t>
  </si>
  <si>
    <t xml:space="preserve">PEÇA ROSSI</t>
  </si>
  <si>
    <t xml:space="preserve">CAPA DIRECIONADORA BIPARTIDA</t>
  </si>
  <si>
    <t xml:space="preserve">BICO BIPARTIDO</t>
  </si>
  <si>
    <t xml:space="preserve">BICO PLAT. ALTERNATIVA</t>
  </si>
  <si>
    <t xml:space="preserve">BICO CENTRAL 45CM VERMELHO 701002129</t>
  </si>
  <si>
    <t xml:space="preserve">BICO LATERAL</t>
  </si>
  <si>
    <t xml:space="preserve">BICO CENTRAL 50CM</t>
  </si>
  <si>
    <t xml:space="preserve">INSERTO M8 X 16 MM</t>
  </si>
  <si>
    <t xml:space="preserve">INSERTO SEXTAVADO</t>
  </si>
  <si>
    <t xml:space="preserve">INSERTO ROSCA</t>
  </si>
  <si>
    <t xml:space="preserve">CHAPA INOX GRADE BEER MAX</t>
  </si>
  <si>
    <t xml:space="preserve">AERADOR</t>
  </si>
  <si>
    <t xml:space="preserve">DUTO CLIMATIZADOR EVAPORATIVO</t>
  </si>
  <si>
    <t xml:space="preserve">PECA CLIMATIZADOR</t>
  </si>
  <si>
    <t xml:space="preserve">PEÇA AQUAGERMANY</t>
  </si>
  <si>
    <t xml:space="preserve">ZILIOLI</t>
  </si>
  <si>
    <t xml:space="preserve">CONJ. PARTE TRAVA COMPARTILHADA</t>
  </si>
  <si>
    <t xml:space="preserve">PEÇA AGRITOL</t>
  </si>
  <si>
    <t xml:space="preserve">IND PEÇA TECH-4</t>
  </si>
  <si>
    <t xml:space="preserve">PEÇAS WEIGHTECH</t>
  </si>
  <si>
    <t xml:space="preserve">PORTA CELULAR</t>
  </si>
  <si>
    <t xml:space="preserve">CAPA DIRECIONADORA 45/50CM</t>
  </si>
  <si>
    <t xml:space="preserve">CAPA DIRECIONADORA 45CM</t>
  </si>
  <si>
    <t xml:space="preserve">BICO PLATAFORMA ALT.</t>
  </si>
  <si>
    <t xml:space="preserve">BICO</t>
  </si>
  <si>
    <t xml:space="preserve">CAPA</t>
  </si>
  <si>
    <t xml:space="preserve">BICO CENTRAL 45CM</t>
  </si>
  <si>
    <t xml:space="preserve">RESERVATORIO WP</t>
  </si>
  <si>
    <t xml:space="preserve">CAPA DIR. 45 / 50CM</t>
  </si>
  <si>
    <t xml:space="preserve">CAPA DIR. 50CM</t>
  </si>
  <si>
    <t xml:space="preserve">BICO CENTRAL 45/50 CM</t>
  </si>
  <si>
    <t xml:space="preserve">PEÇA AGROBARTT</t>
  </si>
  <si>
    <t xml:space="preserve">TUBO ESTRUTURA PROPULSOR</t>
  </si>
  <si>
    <t xml:space="preserve">CLIMATIZADOR</t>
  </si>
  <si>
    <t xml:space="preserve">PEÇAS FIAL</t>
  </si>
  <si>
    <t xml:space="preserve">PEÇAS ALIBRA</t>
  </si>
  <si>
    <t xml:space="preserve">IND. PEÇA</t>
  </si>
  <si>
    <t xml:space="preserve">BEBEDOR</t>
  </si>
  <si>
    <t xml:space="preserve">IND PESO EXATO</t>
  </si>
  <si>
    <t xml:space="preserve">TUBO RODOESTE</t>
  </si>
  <si>
    <t xml:space="preserve">CAPA CARENAGEM 45CM</t>
  </si>
  <si>
    <t xml:space="preserve">BICO CARENAGEM 45CM</t>
  </si>
  <si>
    <t xml:space="preserve">SUPORTE TUBO</t>
  </si>
  <si>
    <t xml:space="preserve">BOIA AERADOR</t>
  </si>
  <si>
    <t xml:space="preserve">CONE AERADOR</t>
  </si>
  <si>
    <t xml:space="preserve">CONJUNTO SUPORTE AERADOR</t>
  </si>
  <si>
    <t xml:space="preserve">CONJUNTO RONDOTEC</t>
  </si>
  <si>
    <t xml:space="preserve">PEÇA PROGRESSO</t>
  </si>
  <si>
    <t xml:space="preserve">PEÇA TUBO</t>
  </si>
  <si>
    <t xml:space="preserve">CARENAGEM MULTIPET</t>
  </si>
  <si>
    <t xml:space="preserve">CONJ. ASSENTO OBESO</t>
  </si>
  <si>
    <t xml:space="preserve">IND BONKOSKI</t>
  </si>
  <si>
    <t xml:space="preserve">PEÇAS MILKVEL</t>
  </si>
  <si>
    <t xml:space="preserve">PALLET PLASTICO ROTOMOLDADO</t>
  </si>
  <si>
    <t xml:space="preserve">PEÇA LATICINIOS GUAIRA</t>
  </si>
  <si>
    <t xml:space="preserve">PEÇA TECH-4</t>
  </si>
  <si>
    <t xml:space="preserve">TUBO TECH 4</t>
  </si>
  <si>
    <t xml:space="preserve">PEÇA INDAGRIL</t>
  </si>
  <si>
    <t xml:space="preserve">CONJUNTO VALINOX</t>
  </si>
  <si>
    <t xml:space="preserve">TUBO TECSOFT</t>
  </si>
  <si>
    <t xml:space="preserve">DIVISORIA</t>
  </si>
  <si>
    <t xml:space="preserve">PEÇA BRISAINOX</t>
  </si>
  <si>
    <t xml:space="preserve">TUBO AÇO CARBONO FIAL</t>
  </si>
  <si>
    <t xml:space="preserve">IND. INDUSCAVA</t>
  </si>
  <si>
    <t xml:space="preserve">PA ECOCLIMAS</t>
  </si>
  <si>
    <t xml:space="preserve">TUBO MOBHIS</t>
  </si>
  <si>
    <t xml:space="preserve">GABARITO</t>
  </si>
  <si>
    <t xml:space="preserve">CONJUNTO PINO TRANCA</t>
  </si>
  <si>
    <t xml:space="preserve">ALIMENTADOR BRX</t>
  </si>
  <si>
    <t xml:space="preserve">PEÇA ODONTOJET</t>
  </si>
  <si>
    <t xml:space="preserve">TUBO</t>
  </si>
  <si>
    <t xml:space="preserve">IND PEÇA FAR POLITO</t>
  </si>
  <si>
    <t xml:space="preserve">PEÇAS C. VALE</t>
  </si>
  <si>
    <t xml:space="preserve">GABARITO PLATAFORMA ELEVATORIA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</si>
</sst>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;[RED]\-#,##0.00"/>
    <numFmt numFmtId="167" formatCode="0.00%;[RED]\-0.00%"/>
    <numFmt numFmtId="168" formatCode="#,##0.0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1F4E79"/>
        <bgColor rgb="FF003366"/>
      </patternFill>
    </fill>
    <fill>
      <patternFill patternType="solid">
        <fgColor rgb="FF595959"/>
        <bgColor rgb="FF1F4E79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4" t="s">
        <v>3</v>
      </c>
      <c r="H4" s="4"/>
      <c r="I4" s="4"/>
      <c r="J4" s="4"/>
      <c r="K4" s="4"/>
      <c r="L4" s="5" t="s">
        <v>4</v>
      </c>
      <c r="M4" s="5"/>
      <c r="N4" s="5"/>
    </row>
    <row r="5" customFormat="false" ht="15" hidden="false" customHeight="false" outlineLevel="0" collapsed="false">
      <c r="A5" s="6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7</v>
      </c>
      <c r="M5" s="7" t="s">
        <v>9</v>
      </c>
      <c r="N5" s="7" t="s">
        <v>10</v>
      </c>
    </row>
    <row r="6" customFormat="false" ht="15" hidden="false" customHeight="false" outlineLevel="0" collapsed="false">
      <c r="A6" s="8" t="s">
        <v>11</v>
      </c>
      <c r="B6" s="9" t="n">
        <f aca="false">COUNTA('Matriz 01'!A6:A249)</f>
        <v>244</v>
      </c>
      <c r="C6" s="10" t="n">
        <f aca="false">'Matriz 01'!G250</f>
        <v>2124363.7</v>
      </c>
      <c r="D6" s="10" t="n">
        <f aca="false">'Matriz 01'!H250</f>
        <v>879028.7453</v>
      </c>
      <c r="E6" s="10" t="n">
        <f aca="false">'Matriz 01'!I250</f>
        <v>1245335</v>
      </c>
      <c r="F6" s="11" t="n">
        <f aca="false">IFERROR(E6/C6,0)</f>
        <v>0.586215533620726</v>
      </c>
      <c r="G6" s="9" t="n">
        <f aca="false">COUNTA('Filial 01'!A6:A58)</f>
        <v>53</v>
      </c>
      <c r="H6" s="10" t="n">
        <f aca="false">'Filial 01'!G59</f>
        <v>731003.59</v>
      </c>
      <c r="I6" s="10" t="n">
        <f aca="false">'Filial 01'!H59</f>
        <v>562436.0137</v>
      </c>
      <c r="J6" s="10" t="n">
        <f aca="false">'Filial 01'!I59</f>
        <v>168567.6</v>
      </c>
      <c r="K6" s="11" t="n">
        <f aca="false">IFERROR(J6/H6,0)</f>
        <v>0.230597499528012</v>
      </c>
      <c r="L6" s="10" t="n">
        <f aca="false">C6+H6</f>
        <v>2855367.29</v>
      </c>
      <c r="M6" s="10" t="n">
        <f aca="false">E6+J6</f>
        <v>1413902.6</v>
      </c>
      <c r="N6" s="11" t="n">
        <f aca="false">IFERROR(M6/L6,0)</f>
        <v>0.495173634912656</v>
      </c>
    </row>
    <row r="7" customFormat="false" ht="15" hidden="false" customHeight="false" outlineLevel="0" collapsed="false">
      <c r="A7" s="12" t="s">
        <v>12</v>
      </c>
      <c r="B7" s="13" t="n">
        <f aca="false">COUNTA('Matriz 02'!A6:A253)</f>
        <v>248</v>
      </c>
      <c r="C7" s="14" t="n">
        <f aca="false">'Matriz 02'!G254</f>
        <v>3274708.57</v>
      </c>
      <c r="D7" s="14" t="n">
        <f aca="false">'Matriz 02'!H254</f>
        <v>1516738.5814</v>
      </c>
      <c r="E7" s="14" t="n">
        <f aca="false">'Matriz 02'!I254</f>
        <v>1757970.05</v>
      </c>
      <c r="F7" s="15" t="n">
        <f aca="false">IFERROR(E7/C7,0)</f>
        <v>0.536832518809453</v>
      </c>
      <c r="G7" s="13" t="n">
        <f aca="false">COUNTA('Filial 02'!A6:A78)</f>
        <v>73</v>
      </c>
      <c r="H7" s="14" t="n">
        <f aca="false">'Filial 02'!G79</f>
        <v>1713419.49</v>
      </c>
      <c r="I7" s="14" t="n">
        <f aca="false">'Filial 02'!H79</f>
        <v>1901055.9962</v>
      </c>
      <c r="J7" s="14" t="n">
        <f aca="false">'Filial 02'!I79</f>
        <v>-187636.43</v>
      </c>
      <c r="K7" s="15" t="n">
        <f aca="false">IFERROR(J7/H7,0)</f>
        <v>-0.109509919255091</v>
      </c>
      <c r="L7" s="14" t="n">
        <f aca="false">C7+H7</f>
        <v>4988128.06</v>
      </c>
      <c r="M7" s="14" t="n">
        <f aca="false">E7+J7</f>
        <v>1570333.62</v>
      </c>
      <c r="N7" s="15" t="n">
        <f aca="false">IFERROR(M7/L7,0)</f>
        <v>0.31481421509455</v>
      </c>
    </row>
    <row r="8" customFormat="false" ht="15" hidden="false" customHeight="false" outlineLevel="0" collapsed="false">
      <c r="A8" s="8" t="s">
        <v>13</v>
      </c>
      <c r="B8" s="9" t="n">
        <f aca="false">COUNTA('Matriz 03'!A6:A293)</f>
        <v>288</v>
      </c>
      <c r="C8" s="10" t="n">
        <f aca="false">'Matriz 03'!G294</f>
        <v>5353921.51</v>
      </c>
      <c r="D8" s="10" t="n">
        <f aca="false">'Matriz 03'!H294</f>
        <v>2446819.4873</v>
      </c>
      <c r="E8" s="10" t="n">
        <f aca="false">'Matriz 03'!I294</f>
        <v>2907102.06</v>
      </c>
      <c r="F8" s="11" t="n">
        <f aca="false">IFERROR(E8/C8,0)</f>
        <v>0.542985558262321</v>
      </c>
      <c r="G8" s="9" t="n">
        <f aca="false">COUNTA('Filial 03'!A6:A82)</f>
        <v>77</v>
      </c>
      <c r="H8" s="10" t="n">
        <f aca="false">'Filial 03'!G83</f>
        <v>1469497.94</v>
      </c>
      <c r="I8" s="10" t="n">
        <f aca="false">'Filial 03'!H83</f>
        <v>3423774.2393</v>
      </c>
      <c r="J8" s="10" t="n">
        <f aca="false">'Filial 03'!I83</f>
        <v>-1954276.26</v>
      </c>
      <c r="K8" s="11" t="n">
        <f aca="false">IFERROR(J8/H8,0)</f>
        <v>-1.32989384115775</v>
      </c>
      <c r="L8" s="10" t="n">
        <f aca="false">C8+H8</f>
        <v>6823419.45</v>
      </c>
      <c r="M8" s="10" t="n">
        <f aca="false">E8+J8</f>
        <v>952825.8</v>
      </c>
      <c r="N8" s="11" t="n">
        <f aca="false">IFERROR(M8/L8,0)</f>
        <v>0.139640514112026</v>
      </c>
    </row>
    <row r="9" customFormat="false" ht="15" hidden="false" customHeight="false" outlineLevel="0" collapsed="false">
      <c r="A9" s="12" t="s">
        <v>14</v>
      </c>
      <c r="B9" s="13" t="n">
        <f aca="false">COUNTA('Matriz 04'!A6:A273)</f>
        <v>268</v>
      </c>
      <c r="C9" s="14" t="n">
        <f aca="false">'Matriz 04'!G274</f>
        <v>4283103.79</v>
      </c>
      <c r="D9" s="14" t="n">
        <f aca="false">'Matriz 04'!H274</f>
        <v>1845819.2454</v>
      </c>
      <c r="E9" s="14" t="n">
        <f aca="false">'Matriz 04'!I274</f>
        <v>2437284.58</v>
      </c>
      <c r="F9" s="15" t="n">
        <f aca="false">IFERROR(E9/C9,0)</f>
        <v>0.56904635038041</v>
      </c>
      <c r="G9" s="13" t="n">
        <f aca="false">COUNTA('Filial 04'!A6:A85)</f>
        <v>80</v>
      </c>
      <c r="H9" s="14" t="n">
        <f aca="false">'Filial 04'!G86</f>
        <v>1218422.34</v>
      </c>
      <c r="I9" s="14" t="n">
        <f aca="false">'Filial 04'!H86</f>
        <v>1465342.156</v>
      </c>
      <c r="J9" s="14" t="n">
        <f aca="false">'Filial 04'!I86</f>
        <v>-246919.78</v>
      </c>
      <c r="K9" s="15" t="n">
        <f aca="false">IFERROR(J9/H9,0)</f>
        <v>-0.20265532885748</v>
      </c>
      <c r="L9" s="14" t="n">
        <f aca="false">C9+H9</f>
        <v>5501526.13</v>
      </c>
      <c r="M9" s="14" t="n">
        <f aca="false">E9+J9</f>
        <v>2190364.8</v>
      </c>
      <c r="N9" s="15" t="n">
        <f aca="false">IFERROR(M9/L9,0)</f>
        <v>0.3981376709375</v>
      </c>
    </row>
    <row r="10" customFormat="false" ht="15" hidden="false" customHeight="false" outlineLevel="0" collapsed="false">
      <c r="A10" s="8" t="s">
        <v>15</v>
      </c>
      <c r="B10" s="9" t="n">
        <f aca="false">COUNTA('Matriz 05'!A6:A268)</f>
        <v>263</v>
      </c>
      <c r="C10" s="10" t="n">
        <f aca="false">'Matriz 05'!G269</f>
        <v>4114584.24</v>
      </c>
      <c r="D10" s="10" t="n">
        <f aca="false">'Matriz 05'!H269</f>
        <v>1765162.8383</v>
      </c>
      <c r="E10" s="10" t="n">
        <f aca="false">'Matriz 05'!I269</f>
        <v>2349421.46</v>
      </c>
      <c r="F10" s="11" t="n">
        <f aca="false">IFERROR(E10/C10,0)</f>
        <v>0.570998507494405</v>
      </c>
      <c r="G10" s="9" t="n">
        <f aca="false">COUNTA('Filial 05'!A6:A75)</f>
        <v>70</v>
      </c>
      <c r="H10" s="10" t="n">
        <f aca="false">'Filial 05'!G76</f>
        <v>1437890.86</v>
      </c>
      <c r="I10" s="10" t="n">
        <f aca="false">'Filial 05'!H76</f>
        <v>1792939.5882</v>
      </c>
      <c r="J10" s="10" t="n">
        <f aca="false">'Filial 05'!I76</f>
        <v>-355048.72</v>
      </c>
      <c r="K10" s="11" t="n">
        <f aca="false">IFERROR(J10/H10,0)</f>
        <v>-0.246923274830469</v>
      </c>
      <c r="L10" s="10" t="n">
        <f aca="false">C10+H10</f>
        <v>5552475.1</v>
      </c>
      <c r="M10" s="10" t="n">
        <f aca="false">E10+J10</f>
        <v>1994372.74</v>
      </c>
      <c r="N10" s="11" t="n">
        <f aca="false">IFERROR(M10/L10,0)</f>
        <v>0.35918625551333</v>
      </c>
    </row>
    <row r="11" customFormat="false" ht="15" hidden="false" customHeight="false" outlineLevel="0" collapsed="false">
      <c r="A11" s="12" t="s">
        <v>16</v>
      </c>
      <c r="B11" s="13" t="n">
        <f aca="false">COUNTA('Matriz 06'!A6:A278)</f>
        <v>273</v>
      </c>
      <c r="C11" s="14" t="n">
        <f aca="false">'Matriz 06'!G279</f>
        <v>5435050.72</v>
      </c>
      <c r="D11" s="14" t="n">
        <f aca="false">'Matriz 06'!H279</f>
        <v>2281439.7774</v>
      </c>
      <c r="E11" s="14" t="n">
        <f aca="false">'Matriz 06'!I279</f>
        <v>3153610.98</v>
      </c>
      <c r="F11" s="15" t="n">
        <f aca="false">IFERROR(E11/C11,0)</f>
        <v>0.580235795849206</v>
      </c>
      <c r="G11" s="13" t="n">
        <f aca="false">COUNTA('Filial 06'!A6:A72)</f>
        <v>67</v>
      </c>
      <c r="H11" s="14" t="n">
        <f aca="false">'Filial 06'!G73</f>
        <v>1476214.15</v>
      </c>
      <c r="I11" s="14" t="n">
        <f aca="false">'Filial 06'!H73</f>
        <v>1614364.3614</v>
      </c>
      <c r="J11" s="14" t="n">
        <f aca="false">'Filial 06'!I73</f>
        <v>-138150.15</v>
      </c>
      <c r="K11" s="15" t="n">
        <f aca="false">IFERROR(J11/H11,0)</f>
        <v>-0.0935840846668486</v>
      </c>
      <c r="L11" s="14" t="n">
        <f aca="false">C11+H11</f>
        <v>6911264.87</v>
      </c>
      <c r="M11" s="14" t="n">
        <f aca="false">E11+J11</f>
        <v>3015460.83</v>
      </c>
      <c r="N11" s="15" t="n">
        <f aca="false">IFERROR(M11/L11,0)</f>
        <v>0.436310991796788</v>
      </c>
    </row>
    <row r="12" customFormat="false" ht="15" hidden="false" customHeight="false" outlineLevel="0" collapsed="false">
      <c r="A12" s="8" t="s">
        <v>17</v>
      </c>
      <c r="B12" s="9" t="n">
        <f aca="false">COUNTA('Matriz 07'!A6:A290)</f>
        <v>285</v>
      </c>
      <c r="C12" s="10" t="n">
        <f aca="false">'Matriz 07'!G291</f>
        <v>5249190.36</v>
      </c>
      <c r="D12" s="10" t="n">
        <f aca="false">'Matriz 07'!H291</f>
        <v>2594338.4925</v>
      </c>
      <c r="E12" s="10" t="n">
        <f aca="false">'Matriz 07'!I291</f>
        <v>2654851.96</v>
      </c>
      <c r="F12" s="11" t="n">
        <f aca="false">IFERROR(E12/C12,0)</f>
        <v>0.505764085111213</v>
      </c>
      <c r="G12" s="9" t="n">
        <f aca="false">COUNTA('Filial 07'!A6:A75)</f>
        <v>70</v>
      </c>
      <c r="H12" s="10" t="n">
        <f aca="false">'Filial 07'!G76</f>
        <v>1189291.31</v>
      </c>
      <c r="I12" s="10" t="n">
        <f aca="false">'Filial 07'!H76</f>
        <v>1018171.4026</v>
      </c>
      <c r="J12" s="10" t="n">
        <f aca="false">'Filial 07'!I76</f>
        <v>171119.94</v>
      </c>
      <c r="K12" s="11" t="n">
        <f aca="false">IFERROR(J12/H12,0)</f>
        <v>0.143883957245092</v>
      </c>
      <c r="L12" s="10" t="n">
        <f aca="false">C12+H12</f>
        <v>6438481.67</v>
      </c>
      <c r="M12" s="10" t="n">
        <f aca="false">E12+J12</f>
        <v>2825971.9</v>
      </c>
      <c r="N12" s="11" t="n">
        <f aca="false">IFERROR(M12/L12,0)</f>
        <v>0.4389189943908</v>
      </c>
    </row>
    <row r="13" customFormat="false" ht="15" hidden="false" customHeight="false" outlineLevel="0" collapsed="false">
      <c r="A13" s="12" t="s">
        <v>18</v>
      </c>
      <c r="B13" s="13" t="n">
        <f aca="false">COUNTA('Matriz 08'!A6:A275)</f>
        <v>270</v>
      </c>
      <c r="C13" s="14" t="n">
        <f aca="false">'Matriz 08'!G276</f>
        <v>4936458.69</v>
      </c>
      <c r="D13" s="14" t="n">
        <f aca="false">'Matriz 08'!H276</f>
        <v>2062445.9648</v>
      </c>
      <c r="E13" s="14" t="n">
        <f aca="false">'Matriz 08'!I276</f>
        <v>2874012.85</v>
      </c>
      <c r="F13" s="15" t="n">
        <f aca="false">IFERROR(E13/C13,0)</f>
        <v>0.582201337128986</v>
      </c>
      <c r="G13" s="13" t="n">
        <f aca="false">COUNTA('Filial 08'!A6:A69)</f>
        <v>64</v>
      </c>
      <c r="H13" s="14" t="n">
        <f aca="false">'Filial 08'!G70</f>
        <v>1336203.15</v>
      </c>
      <c r="I13" s="14" t="n">
        <f aca="false">'Filial 08'!H70</f>
        <v>712345.3923</v>
      </c>
      <c r="J13" s="14" t="n">
        <f aca="false">'Filial 08'!I70</f>
        <v>623857.83</v>
      </c>
      <c r="K13" s="15" t="n">
        <f aca="false">IFERROR(J13/H13,0)</f>
        <v>0.466888459288545</v>
      </c>
      <c r="L13" s="14" t="n">
        <f aca="false">C13+H13</f>
        <v>6272661.84</v>
      </c>
      <c r="M13" s="14" t="n">
        <f aca="false">E13+J13</f>
        <v>3497870.68</v>
      </c>
      <c r="N13" s="15" t="n">
        <f aca="false">IFERROR(M13/L13,0)</f>
        <v>0.557637374566329</v>
      </c>
    </row>
    <row r="14" customFormat="false" ht="15" hidden="false" customHeight="false" outlineLevel="0" collapsed="false">
      <c r="A14" s="16" t="s">
        <v>19</v>
      </c>
      <c r="B14" s="17" t="n">
        <f aca="false">SUM(B6:B13)</f>
        <v>2139</v>
      </c>
      <c r="C14" s="18" t="n">
        <f aca="false">SUM(C6:C13)</f>
        <v>34771381.58</v>
      </c>
      <c r="D14" s="18" t="n">
        <f aca="false">SUM(D6:D13)</f>
        <v>15391793.1324</v>
      </c>
      <c r="E14" s="18" t="n">
        <f aca="false">SUM(E6:E13)</f>
        <v>19379588.94</v>
      </c>
      <c r="F14" s="19" t="n">
        <f aca="false">IFERROR(E14/C14,0)</f>
        <v>0.557343080987811</v>
      </c>
      <c r="G14" s="17" t="n">
        <f aca="false">SUM(G6:G13)</f>
        <v>554</v>
      </c>
      <c r="H14" s="18" t="n">
        <f aca="false">SUM(H6:H13)</f>
        <v>10571942.83</v>
      </c>
      <c r="I14" s="18" t="n">
        <f aca="false">SUM(I6:I13)</f>
        <v>12490429.1497</v>
      </c>
      <c r="J14" s="18" t="n">
        <f aca="false">SUM(J6:J13)</f>
        <v>-1918485.97</v>
      </c>
      <c r="K14" s="19" t="n">
        <f aca="false">IFERROR(J14/H14,0)</f>
        <v>-0.181469574783919</v>
      </c>
      <c r="L14" s="18" t="n">
        <f aca="false">SUM(L6:L13)</f>
        <v>45343324.41</v>
      </c>
      <c r="M14" s="18" t="n">
        <f aca="false">SUM(M6:M13)</f>
        <v>17461102.97</v>
      </c>
      <c r="N14" s="19" t="n">
        <f aca="false">IFERROR(M14/L14,0)</f>
        <v>0.385086519288143</v>
      </c>
    </row>
    <row r="16" customFormat="false" ht="15" hidden="false" customHeight="false" outlineLevel="0" collapsed="false">
      <c r="A16" s="20" t="s">
        <v>20</v>
      </c>
    </row>
  </sheetData>
  <mergeCells count="3">
    <mergeCell ref="B4:F4"/>
    <mergeCell ref="G4:K4"/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23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603</v>
      </c>
      <c r="D6" s="25" t="n">
        <v>603</v>
      </c>
      <c r="E6" s="10" t="n">
        <v>36.5</v>
      </c>
      <c r="F6" s="10" t="n">
        <v>17492.83</v>
      </c>
      <c r="G6" s="10" t="n">
        <v>17529.33</v>
      </c>
      <c r="H6" s="10" t="n">
        <v>7590.0271</v>
      </c>
      <c r="I6" s="10" t="n">
        <v>9939.3</v>
      </c>
      <c r="J6" s="10" t="n">
        <v>5162.28</v>
      </c>
      <c r="K6" s="11" t="n">
        <v>0.567</v>
      </c>
      <c r="L6" s="11" t="n">
        <v>0.2945</v>
      </c>
      <c r="M6" s="26" t="n">
        <v>43.12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160</v>
      </c>
      <c r="D7" s="28" t="n">
        <v>160</v>
      </c>
      <c r="E7" s="14" t="n">
        <v>0</v>
      </c>
      <c r="F7" s="14" t="n">
        <v>52604.21</v>
      </c>
      <c r="G7" s="14" t="n">
        <v>52604.21</v>
      </c>
      <c r="H7" s="14" t="n">
        <v>13686.3804</v>
      </c>
      <c r="I7" s="14" t="n">
        <v>38917.83</v>
      </c>
      <c r="J7" s="14" t="n">
        <v>25161.31</v>
      </c>
      <c r="K7" s="15" t="n">
        <v>0.7398</v>
      </c>
      <c r="L7" s="15" t="n">
        <v>0.4783</v>
      </c>
      <c r="M7" s="29" t="n">
        <v>45.78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2</v>
      </c>
      <c r="D8" s="25" t="n">
        <v>2</v>
      </c>
      <c r="E8" s="10" t="n">
        <v>0</v>
      </c>
      <c r="F8" s="10" t="n">
        <v>198</v>
      </c>
      <c r="G8" s="10" t="n">
        <v>198</v>
      </c>
      <c r="H8" s="10" t="n">
        <v>96.47</v>
      </c>
      <c r="I8" s="10" t="n">
        <v>101.53</v>
      </c>
      <c r="J8" s="10" t="n">
        <v>47.14</v>
      </c>
      <c r="K8" s="11" t="n">
        <v>0.5128</v>
      </c>
      <c r="L8" s="11" t="n">
        <v>0.2381</v>
      </c>
      <c r="M8" s="26" t="n">
        <v>60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193</v>
      </c>
      <c r="D9" s="28" t="n">
        <v>193</v>
      </c>
      <c r="E9" s="14" t="n">
        <v>0</v>
      </c>
      <c r="F9" s="14" t="n">
        <v>21084.72</v>
      </c>
      <c r="G9" s="14" t="n">
        <v>21084.72</v>
      </c>
      <c r="H9" s="14" t="n">
        <v>2557.872</v>
      </c>
      <c r="I9" s="14" t="n">
        <v>18526.85</v>
      </c>
      <c r="J9" s="14" t="n">
        <v>13754.05</v>
      </c>
      <c r="K9" s="15" t="n">
        <v>0.8787</v>
      </c>
      <c r="L9" s="15" t="n">
        <v>0.6523</v>
      </c>
      <c r="M9" s="29" t="n">
        <v>36.19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22</v>
      </c>
      <c r="D10" s="25" t="n">
        <v>22</v>
      </c>
      <c r="E10" s="10" t="n">
        <v>0</v>
      </c>
      <c r="F10" s="10" t="n">
        <v>1661.4</v>
      </c>
      <c r="G10" s="10" t="n">
        <v>1661.4</v>
      </c>
      <c r="H10" s="10" t="n">
        <v>171.6797</v>
      </c>
      <c r="I10" s="10" t="n">
        <v>1489.72</v>
      </c>
      <c r="J10" s="10" t="n">
        <v>1033.29</v>
      </c>
      <c r="K10" s="11" t="n">
        <v>0.8967</v>
      </c>
      <c r="L10" s="11" t="n">
        <v>0.6219</v>
      </c>
      <c r="M10" s="26" t="n">
        <v>48.73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194</v>
      </c>
      <c r="D11" s="28" t="n">
        <v>194</v>
      </c>
      <c r="E11" s="14" t="n">
        <v>0</v>
      </c>
      <c r="F11" s="14" t="n">
        <v>63145.53</v>
      </c>
      <c r="G11" s="14" t="n">
        <v>63145.53</v>
      </c>
      <c r="H11" s="14" t="n">
        <v>17197.5503</v>
      </c>
      <c r="I11" s="14" t="n">
        <v>45947.98</v>
      </c>
      <c r="J11" s="14" t="n">
        <v>29472.68</v>
      </c>
      <c r="K11" s="15" t="n">
        <v>0.7277</v>
      </c>
      <c r="L11" s="15" t="n">
        <v>0.4667</v>
      </c>
      <c r="M11" s="29" t="n">
        <v>52.96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1372</v>
      </c>
      <c r="D12" s="25" t="n">
        <v>1372</v>
      </c>
      <c r="E12" s="10" t="n">
        <v>0</v>
      </c>
      <c r="F12" s="10" t="n">
        <v>234333.18</v>
      </c>
      <c r="G12" s="10" t="n">
        <v>234333.18</v>
      </c>
      <c r="H12" s="10" t="n">
        <v>86945.4559</v>
      </c>
      <c r="I12" s="10" t="n">
        <v>147387.73</v>
      </c>
      <c r="J12" s="10" t="n">
        <v>93853.55</v>
      </c>
      <c r="K12" s="11" t="n">
        <v>0.629</v>
      </c>
      <c r="L12" s="11" t="n">
        <v>0.4005</v>
      </c>
      <c r="M12" s="26" t="n">
        <v>46.03</v>
      </c>
    </row>
    <row r="13" customFormat="false" ht="15" hidden="false" customHeight="false" outlineLevel="0" collapsed="false">
      <c r="A13" s="27" t="n">
        <v>10011</v>
      </c>
      <c r="B13" s="12" t="s">
        <v>40</v>
      </c>
      <c r="C13" s="28" t="n">
        <v>3</v>
      </c>
      <c r="D13" s="28" t="n">
        <v>3</v>
      </c>
      <c r="E13" s="14" t="n">
        <v>0</v>
      </c>
      <c r="F13" s="14" t="n">
        <v>441</v>
      </c>
      <c r="G13" s="14" t="n">
        <v>441</v>
      </c>
      <c r="H13" s="14" t="n">
        <v>149.4099</v>
      </c>
      <c r="I13" s="14" t="n">
        <v>291.59</v>
      </c>
      <c r="J13" s="14" t="n">
        <v>170.44</v>
      </c>
      <c r="K13" s="15" t="n">
        <v>0.6612</v>
      </c>
      <c r="L13" s="15" t="n">
        <v>0.3865</v>
      </c>
      <c r="M13" s="29" t="n">
        <v>50</v>
      </c>
    </row>
    <row r="14" customFormat="false" ht="15" hidden="false" customHeight="false" outlineLevel="0" collapsed="false">
      <c r="A14" s="24" t="n">
        <v>10018</v>
      </c>
      <c r="B14" s="8" t="s">
        <v>38</v>
      </c>
      <c r="C14" s="25" t="n">
        <v>3</v>
      </c>
      <c r="D14" s="25" t="n">
        <v>3</v>
      </c>
      <c r="E14" s="10" t="n">
        <v>0</v>
      </c>
      <c r="F14" s="10" t="n">
        <v>282.47</v>
      </c>
      <c r="G14" s="10" t="n">
        <v>282.47</v>
      </c>
      <c r="H14" s="10" t="n">
        <v>100.47</v>
      </c>
      <c r="I14" s="10" t="n">
        <v>182</v>
      </c>
      <c r="J14" s="10" t="n">
        <v>118.01</v>
      </c>
      <c r="K14" s="11" t="n">
        <v>0.6443</v>
      </c>
      <c r="L14" s="11" t="n">
        <v>0.4178</v>
      </c>
      <c r="M14" s="26" t="n">
        <v>71.52</v>
      </c>
    </row>
    <row r="15" customFormat="false" ht="15" hidden="false" customHeight="false" outlineLevel="0" collapsed="false">
      <c r="A15" s="27" t="n">
        <v>10021</v>
      </c>
      <c r="B15" s="12" t="s">
        <v>41</v>
      </c>
      <c r="C15" s="28" t="n">
        <v>20</v>
      </c>
      <c r="D15" s="28" t="n">
        <v>20</v>
      </c>
      <c r="E15" s="14" t="n">
        <v>0</v>
      </c>
      <c r="F15" s="14" t="n">
        <v>8345.4</v>
      </c>
      <c r="G15" s="14" t="n">
        <v>8345.4</v>
      </c>
      <c r="H15" s="14" t="n">
        <v>1620.56</v>
      </c>
      <c r="I15" s="14" t="n">
        <v>6724.84</v>
      </c>
      <c r="J15" s="14" t="n">
        <v>4432.2</v>
      </c>
      <c r="K15" s="15" t="n">
        <v>0.8058</v>
      </c>
      <c r="L15" s="15" t="n">
        <v>0.5311</v>
      </c>
      <c r="M15" s="29" t="n">
        <v>38</v>
      </c>
    </row>
    <row r="16" customFormat="false" ht="15" hidden="false" customHeight="false" outlineLevel="0" collapsed="false">
      <c r="A16" s="24" t="n">
        <v>10022</v>
      </c>
      <c r="B16" s="8" t="s">
        <v>42</v>
      </c>
      <c r="C16" s="25" t="n">
        <v>21</v>
      </c>
      <c r="D16" s="25" t="n">
        <v>21</v>
      </c>
      <c r="E16" s="10" t="n">
        <v>0</v>
      </c>
      <c r="F16" s="10" t="n">
        <v>9616.68</v>
      </c>
      <c r="G16" s="10" t="n">
        <v>9616.68</v>
      </c>
      <c r="H16" s="10" t="n">
        <v>1685.66</v>
      </c>
      <c r="I16" s="10" t="n">
        <v>7931.02</v>
      </c>
      <c r="J16" s="10" t="n">
        <v>5306.29</v>
      </c>
      <c r="K16" s="11" t="n">
        <v>0.8247</v>
      </c>
      <c r="L16" s="11" t="n">
        <v>0.5518</v>
      </c>
      <c r="M16" s="26" t="n">
        <v>38.82</v>
      </c>
    </row>
    <row r="17" customFormat="false" ht="15" hidden="false" customHeight="false" outlineLevel="0" collapsed="false">
      <c r="A17" s="27" t="n">
        <v>10024</v>
      </c>
      <c r="B17" s="12" t="s">
        <v>43</v>
      </c>
      <c r="C17" s="28" t="n">
        <v>110</v>
      </c>
      <c r="D17" s="28" t="n">
        <v>110</v>
      </c>
      <c r="E17" s="14" t="n">
        <v>0</v>
      </c>
      <c r="F17" s="14" t="n">
        <v>5308.6</v>
      </c>
      <c r="G17" s="14" t="n">
        <v>5308.6</v>
      </c>
      <c r="H17" s="14" t="n">
        <v>826.138</v>
      </c>
      <c r="I17" s="14" t="n">
        <v>4482.46</v>
      </c>
      <c r="J17" s="14" t="n">
        <v>3024.08</v>
      </c>
      <c r="K17" s="15" t="n">
        <v>0.8444</v>
      </c>
      <c r="L17" s="15" t="n">
        <v>0.5697</v>
      </c>
      <c r="M17" s="29" t="n">
        <v>50</v>
      </c>
    </row>
    <row r="18" customFormat="false" ht="15" hidden="false" customHeight="false" outlineLevel="0" collapsed="false">
      <c r="A18" s="24" t="n">
        <v>10025</v>
      </c>
      <c r="B18" s="8" t="s">
        <v>44</v>
      </c>
      <c r="C18" s="25" t="n">
        <v>33</v>
      </c>
      <c r="D18" s="25" t="n">
        <v>33</v>
      </c>
      <c r="E18" s="10" t="n">
        <v>0</v>
      </c>
      <c r="F18" s="10" t="n">
        <v>1991.87</v>
      </c>
      <c r="G18" s="10" t="n">
        <v>1991.87</v>
      </c>
      <c r="H18" s="10" t="n">
        <v>239.1801</v>
      </c>
      <c r="I18" s="10" t="n">
        <v>1752.69</v>
      </c>
      <c r="J18" s="10" t="n">
        <v>1251.7</v>
      </c>
      <c r="K18" s="11" t="n">
        <v>0.8799</v>
      </c>
      <c r="L18" s="11" t="n">
        <v>0.6284</v>
      </c>
      <c r="M18" s="26" t="n">
        <v>26.35</v>
      </c>
    </row>
    <row r="19" customFormat="false" ht="15" hidden="false" customHeight="false" outlineLevel="0" collapsed="false">
      <c r="A19" s="27" t="n">
        <v>10027</v>
      </c>
      <c r="B19" s="12" t="s">
        <v>45</v>
      </c>
      <c r="C19" s="28" t="n">
        <v>44</v>
      </c>
      <c r="D19" s="28" t="n">
        <v>44</v>
      </c>
      <c r="E19" s="14" t="n">
        <v>0</v>
      </c>
      <c r="F19" s="14" t="n">
        <v>22233.44</v>
      </c>
      <c r="G19" s="14" t="n">
        <v>22233.44</v>
      </c>
      <c r="H19" s="14" t="n">
        <v>7245.89</v>
      </c>
      <c r="I19" s="14" t="n">
        <v>14987.55</v>
      </c>
      <c r="J19" s="14" t="n">
        <v>11694.91</v>
      </c>
      <c r="K19" s="15" t="n">
        <v>0.6741</v>
      </c>
      <c r="L19" s="15" t="n">
        <v>0.526</v>
      </c>
      <c r="M19" s="29" t="n">
        <v>32.12</v>
      </c>
    </row>
    <row r="20" customFormat="false" ht="15" hidden="false" customHeight="false" outlineLevel="0" collapsed="false">
      <c r="A20" s="24" t="n">
        <v>10029</v>
      </c>
      <c r="B20" s="8" t="s">
        <v>44</v>
      </c>
      <c r="C20" s="25" t="n">
        <v>5</v>
      </c>
      <c r="D20" s="25" t="n">
        <v>5</v>
      </c>
      <c r="E20" s="10" t="n">
        <v>0</v>
      </c>
      <c r="F20" s="10" t="n">
        <v>333.55</v>
      </c>
      <c r="G20" s="10" t="n">
        <v>333.55</v>
      </c>
      <c r="H20" s="10" t="n">
        <v>26.19</v>
      </c>
      <c r="I20" s="10" t="n">
        <v>307.36</v>
      </c>
      <c r="J20" s="10" t="n">
        <v>194.28</v>
      </c>
      <c r="K20" s="11" t="n">
        <v>0.9215</v>
      </c>
      <c r="L20" s="11" t="n">
        <v>0.5825</v>
      </c>
      <c r="M20" s="26" t="n">
        <v>45</v>
      </c>
    </row>
    <row r="21" customFormat="false" ht="15" hidden="false" customHeight="false" outlineLevel="0" collapsed="false">
      <c r="A21" s="27" t="n">
        <v>10031</v>
      </c>
      <c r="B21" s="12" t="s">
        <v>46</v>
      </c>
      <c r="C21" s="28" t="n">
        <v>27</v>
      </c>
      <c r="D21" s="28" t="n">
        <v>27</v>
      </c>
      <c r="E21" s="14" t="n">
        <v>0</v>
      </c>
      <c r="F21" s="14" t="n">
        <v>828.9</v>
      </c>
      <c r="G21" s="14" t="n">
        <v>828.9</v>
      </c>
      <c r="H21" s="14" t="n">
        <v>156.65</v>
      </c>
      <c r="I21" s="14" t="n">
        <v>672.25</v>
      </c>
      <c r="J21" s="14" t="n">
        <v>451.92</v>
      </c>
      <c r="K21" s="15" t="n">
        <v>0.811</v>
      </c>
      <c r="L21" s="15" t="n">
        <v>0.5452</v>
      </c>
      <c r="M21" s="29" t="n">
        <v>45</v>
      </c>
    </row>
    <row r="22" customFormat="false" ht="15" hidden="false" customHeight="false" outlineLevel="0" collapsed="false">
      <c r="A22" s="24" t="n">
        <v>10035</v>
      </c>
      <c r="B22" s="8" t="s">
        <v>47</v>
      </c>
      <c r="C22" s="25" t="n">
        <v>2</v>
      </c>
      <c r="D22" s="25" t="n">
        <v>2</v>
      </c>
      <c r="E22" s="10" t="n">
        <v>0</v>
      </c>
      <c r="F22" s="10" t="n">
        <v>745</v>
      </c>
      <c r="G22" s="10" t="n">
        <v>745</v>
      </c>
      <c r="H22" s="10" t="n">
        <v>224.56</v>
      </c>
      <c r="I22" s="10" t="n">
        <v>520.44</v>
      </c>
      <c r="J22" s="10" t="n">
        <v>351.67</v>
      </c>
      <c r="K22" s="11" t="n">
        <v>0.6986</v>
      </c>
      <c r="L22" s="11" t="n">
        <v>0.472</v>
      </c>
      <c r="M22" s="26" t="n">
        <v>7</v>
      </c>
    </row>
    <row r="23" customFormat="false" ht="15" hidden="false" customHeight="false" outlineLevel="0" collapsed="false">
      <c r="A23" s="27" t="n">
        <v>10038</v>
      </c>
      <c r="B23" s="12" t="s">
        <v>47</v>
      </c>
      <c r="C23" s="28" t="n">
        <v>10</v>
      </c>
      <c r="D23" s="28" t="n">
        <v>10</v>
      </c>
      <c r="E23" s="14" t="n">
        <v>0</v>
      </c>
      <c r="F23" s="14" t="n">
        <v>2722.9</v>
      </c>
      <c r="G23" s="14" t="n">
        <v>2722.9</v>
      </c>
      <c r="H23" s="14" t="n">
        <v>886.8</v>
      </c>
      <c r="I23" s="14" t="n">
        <v>1836.1</v>
      </c>
      <c r="J23" s="14" t="n">
        <v>1088.06</v>
      </c>
      <c r="K23" s="15" t="n">
        <v>0.6743</v>
      </c>
      <c r="L23" s="15" t="n">
        <v>0.3996</v>
      </c>
      <c r="M23" s="29" t="n">
        <v>50</v>
      </c>
    </row>
    <row r="24" customFormat="false" ht="15" hidden="false" customHeight="false" outlineLevel="0" collapsed="false">
      <c r="A24" s="24" t="n">
        <v>10044</v>
      </c>
      <c r="B24" s="8" t="s">
        <v>48</v>
      </c>
      <c r="C24" s="25" t="n">
        <v>136</v>
      </c>
      <c r="D24" s="25" t="n">
        <v>136</v>
      </c>
      <c r="E24" s="10" t="n">
        <v>0</v>
      </c>
      <c r="F24" s="10" t="n">
        <v>8106.82</v>
      </c>
      <c r="G24" s="10" t="n">
        <v>8106.82</v>
      </c>
      <c r="H24" s="10" t="n">
        <v>894.5293</v>
      </c>
      <c r="I24" s="10" t="n">
        <v>7212.29</v>
      </c>
      <c r="J24" s="10" t="n">
        <v>5120.95</v>
      </c>
      <c r="K24" s="11" t="n">
        <v>0.8897</v>
      </c>
      <c r="L24" s="11" t="n">
        <v>0.6317</v>
      </c>
      <c r="M24" s="26" t="n">
        <v>53.01</v>
      </c>
    </row>
    <row r="25" customFormat="false" ht="15" hidden="false" customHeight="false" outlineLevel="0" collapsed="false">
      <c r="A25" s="27" t="n">
        <v>10052</v>
      </c>
      <c r="B25" s="12" t="s">
        <v>49</v>
      </c>
      <c r="C25" s="28" t="n">
        <v>132</v>
      </c>
      <c r="D25" s="28" t="n">
        <v>132</v>
      </c>
      <c r="E25" s="14" t="n">
        <v>0</v>
      </c>
      <c r="F25" s="14" t="n">
        <v>13340.97</v>
      </c>
      <c r="G25" s="14" t="n">
        <v>13340.97</v>
      </c>
      <c r="H25" s="14" t="n">
        <v>1404.3168</v>
      </c>
      <c r="I25" s="14" t="n">
        <v>11936.65</v>
      </c>
      <c r="J25" s="14" t="n">
        <v>9714.62</v>
      </c>
      <c r="K25" s="15" t="n">
        <v>0.8947</v>
      </c>
      <c r="L25" s="15" t="n">
        <v>0.7282</v>
      </c>
      <c r="M25" s="29" t="n">
        <v>31.62</v>
      </c>
    </row>
    <row r="26" customFormat="false" ht="15" hidden="false" customHeight="false" outlineLevel="0" collapsed="false">
      <c r="A26" s="24" t="n">
        <v>10064</v>
      </c>
      <c r="B26" s="8" t="s">
        <v>50</v>
      </c>
      <c r="C26" s="25" t="n">
        <v>174</v>
      </c>
      <c r="D26" s="25" t="n">
        <v>174</v>
      </c>
      <c r="E26" s="10" t="n">
        <v>0</v>
      </c>
      <c r="F26" s="10" t="n">
        <v>2962.3</v>
      </c>
      <c r="G26" s="10" t="n">
        <v>2962.3</v>
      </c>
      <c r="H26" s="10" t="n">
        <v>1107.6447</v>
      </c>
      <c r="I26" s="10" t="n">
        <v>1854.66</v>
      </c>
      <c r="J26" s="10" t="n">
        <v>1057.28</v>
      </c>
      <c r="K26" s="11" t="n">
        <v>0.6261</v>
      </c>
      <c r="L26" s="11" t="n">
        <v>0.3569</v>
      </c>
      <c r="M26" s="26" t="n">
        <v>42.12</v>
      </c>
    </row>
    <row r="27" customFormat="false" ht="15" hidden="false" customHeight="false" outlineLevel="0" collapsed="false">
      <c r="A27" s="27" t="n">
        <v>10068</v>
      </c>
      <c r="B27" s="12" t="s">
        <v>51</v>
      </c>
      <c r="C27" s="28" t="n">
        <v>3</v>
      </c>
      <c r="D27" s="28" t="n">
        <v>3</v>
      </c>
      <c r="E27" s="14" t="n">
        <v>0</v>
      </c>
      <c r="F27" s="14" t="n">
        <v>1144.71</v>
      </c>
      <c r="G27" s="14" t="n">
        <v>1144.71</v>
      </c>
      <c r="H27" s="14" t="n">
        <v>300.02</v>
      </c>
      <c r="I27" s="14" t="n">
        <v>844.69</v>
      </c>
      <c r="J27" s="14" t="n">
        <v>530.22</v>
      </c>
      <c r="K27" s="15" t="n">
        <v>0.7379</v>
      </c>
      <c r="L27" s="15" t="n">
        <v>0.4632</v>
      </c>
      <c r="M27" s="29" t="n">
        <v>60</v>
      </c>
    </row>
    <row r="28" customFormat="false" ht="15" hidden="false" customHeight="false" outlineLevel="0" collapsed="false">
      <c r="A28" s="24" t="n">
        <v>10075</v>
      </c>
      <c r="B28" s="8" t="s">
        <v>52</v>
      </c>
      <c r="C28" s="25" t="n">
        <v>8</v>
      </c>
      <c r="D28" s="25" t="n">
        <v>8</v>
      </c>
      <c r="E28" s="10" t="n">
        <v>0</v>
      </c>
      <c r="F28" s="10" t="n">
        <v>215.52</v>
      </c>
      <c r="G28" s="10" t="n">
        <v>215.52</v>
      </c>
      <c r="H28" s="10" t="n">
        <v>18.4298</v>
      </c>
      <c r="I28" s="10" t="n">
        <v>197.09</v>
      </c>
      <c r="J28" s="10" t="n">
        <v>137.89</v>
      </c>
      <c r="K28" s="11" t="n">
        <v>0.9145</v>
      </c>
      <c r="L28" s="11" t="n">
        <v>0.6398</v>
      </c>
      <c r="M28" s="26" t="n">
        <v>20.25</v>
      </c>
    </row>
    <row r="29" customFormat="false" ht="15" hidden="false" customHeight="false" outlineLevel="0" collapsed="false">
      <c r="A29" s="27" t="n">
        <v>10084</v>
      </c>
      <c r="B29" s="12" t="s">
        <v>53</v>
      </c>
      <c r="C29" s="28" t="n">
        <v>55</v>
      </c>
      <c r="D29" s="28" t="n">
        <v>55</v>
      </c>
      <c r="E29" s="14" t="n">
        <v>0</v>
      </c>
      <c r="F29" s="14" t="n">
        <v>2871.65</v>
      </c>
      <c r="G29" s="14" t="n">
        <v>2871.65</v>
      </c>
      <c r="H29" s="14" t="n">
        <v>1041.5795</v>
      </c>
      <c r="I29" s="14" t="n">
        <v>1830.07</v>
      </c>
      <c r="J29" s="14" t="n">
        <v>1050.08</v>
      </c>
      <c r="K29" s="15" t="n">
        <v>0.6373</v>
      </c>
      <c r="L29" s="15" t="n">
        <v>0.3657</v>
      </c>
      <c r="M29" s="29" t="n">
        <v>46.28</v>
      </c>
    </row>
    <row r="30" customFormat="false" ht="15" hidden="false" customHeight="false" outlineLevel="0" collapsed="false">
      <c r="A30" s="24" t="n">
        <v>10087</v>
      </c>
      <c r="B30" s="8" t="s">
        <v>54</v>
      </c>
      <c r="C30" s="25" t="n">
        <v>40</v>
      </c>
      <c r="D30" s="25" t="n">
        <v>40</v>
      </c>
      <c r="E30" s="10" t="n">
        <v>0</v>
      </c>
      <c r="F30" s="10" t="n">
        <v>642</v>
      </c>
      <c r="G30" s="10" t="n">
        <v>642</v>
      </c>
      <c r="H30" s="10" t="n">
        <v>224.87</v>
      </c>
      <c r="I30" s="10" t="n">
        <v>417.13</v>
      </c>
      <c r="J30" s="10" t="n">
        <v>197.87</v>
      </c>
      <c r="K30" s="11" t="n">
        <v>0.6497</v>
      </c>
      <c r="L30" s="11" t="n">
        <v>0.3082</v>
      </c>
      <c r="M30" s="26" t="n">
        <v>53.39</v>
      </c>
    </row>
    <row r="31" customFormat="false" ht="15" hidden="false" customHeight="false" outlineLevel="0" collapsed="false">
      <c r="A31" s="27" t="n">
        <v>10088</v>
      </c>
      <c r="B31" s="12" t="s">
        <v>55</v>
      </c>
      <c r="C31" s="28" t="n">
        <v>86</v>
      </c>
      <c r="D31" s="28" t="n">
        <v>86</v>
      </c>
      <c r="E31" s="14" t="n">
        <v>0</v>
      </c>
      <c r="F31" s="14" t="n">
        <v>4721.4</v>
      </c>
      <c r="G31" s="14" t="n">
        <v>4721.4</v>
      </c>
      <c r="H31" s="14" t="n">
        <v>1092.372</v>
      </c>
      <c r="I31" s="14" t="n">
        <v>3629.03</v>
      </c>
      <c r="J31" s="14" t="n">
        <v>2331.96</v>
      </c>
      <c r="K31" s="15" t="n">
        <v>0.7686</v>
      </c>
      <c r="L31" s="15" t="n">
        <v>0.4939</v>
      </c>
      <c r="M31" s="29" t="n">
        <v>5</v>
      </c>
    </row>
    <row r="32" customFormat="false" ht="15" hidden="false" customHeight="false" outlineLevel="0" collapsed="false">
      <c r="A32" s="24" t="n">
        <v>10090</v>
      </c>
      <c r="B32" s="8" t="s">
        <v>56</v>
      </c>
      <c r="C32" s="25" t="n">
        <v>30</v>
      </c>
      <c r="D32" s="25" t="n">
        <v>30</v>
      </c>
      <c r="E32" s="10" t="n">
        <v>0</v>
      </c>
      <c r="F32" s="10" t="n">
        <v>5955.9</v>
      </c>
      <c r="G32" s="10" t="n">
        <v>5955.9</v>
      </c>
      <c r="H32" s="10" t="n">
        <v>1774.13</v>
      </c>
      <c r="I32" s="10" t="n">
        <v>4181.77</v>
      </c>
      <c r="J32" s="10" t="n">
        <v>2545.56</v>
      </c>
      <c r="K32" s="11" t="n">
        <v>0.7021</v>
      </c>
      <c r="L32" s="11" t="n">
        <v>0.4274</v>
      </c>
      <c r="M32" s="26" t="n">
        <v>34</v>
      </c>
    </row>
    <row r="33" customFormat="false" ht="15" hidden="false" customHeight="false" outlineLevel="0" collapsed="false">
      <c r="A33" s="27" t="n">
        <v>10091</v>
      </c>
      <c r="B33" s="12" t="s">
        <v>57</v>
      </c>
      <c r="C33" s="28" t="n">
        <v>24</v>
      </c>
      <c r="D33" s="28" t="n">
        <v>24</v>
      </c>
      <c r="E33" s="14" t="n">
        <v>0</v>
      </c>
      <c r="F33" s="14" t="n">
        <v>1058.64</v>
      </c>
      <c r="G33" s="14" t="n">
        <v>1058.64</v>
      </c>
      <c r="H33" s="14" t="n">
        <v>508.8312</v>
      </c>
      <c r="I33" s="14" t="n">
        <v>549.81</v>
      </c>
      <c r="J33" s="14" t="n">
        <v>420.02</v>
      </c>
      <c r="K33" s="15" t="n">
        <v>0.5194</v>
      </c>
      <c r="L33" s="15" t="n">
        <v>0.3968</v>
      </c>
      <c r="M33" s="29" t="n">
        <v>14</v>
      </c>
    </row>
    <row r="34" customFormat="false" ht="15" hidden="false" customHeight="false" outlineLevel="0" collapsed="false">
      <c r="A34" s="24" t="n">
        <v>10097</v>
      </c>
      <c r="B34" s="8" t="s">
        <v>58</v>
      </c>
      <c r="C34" s="25" t="n">
        <v>3015</v>
      </c>
      <c r="D34" s="25" t="n">
        <v>3015</v>
      </c>
      <c r="E34" s="10" t="n">
        <v>0</v>
      </c>
      <c r="F34" s="10" t="n">
        <v>11241</v>
      </c>
      <c r="G34" s="10" t="n">
        <v>11241</v>
      </c>
      <c r="H34" s="10" t="n">
        <v>4505.3295</v>
      </c>
      <c r="I34" s="10" t="n">
        <v>6735.67</v>
      </c>
      <c r="J34" s="10" t="n">
        <v>3647.55</v>
      </c>
      <c r="K34" s="11" t="n">
        <v>0.5992</v>
      </c>
      <c r="L34" s="11" t="n">
        <v>0.3245</v>
      </c>
      <c r="M34" s="26" t="n">
        <v>52.51</v>
      </c>
    </row>
    <row r="35" customFormat="false" ht="15" hidden="false" customHeight="false" outlineLevel="0" collapsed="false">
      <c r="A35" s="27" t="n">
        <v>10098</v>
      </c>
      <c r="B35" s="12" t="s">
        <v>59</v>
      </c>
      <c r="C35" s="28" t="n">
        <v>13</v>
      </c>
      <c r="D35" s="28" t="n">
        <v>13</v>
      </c>
      <c r="E35" s="14" t="n">
        <v>0</v>
      </c>
      <c r="F35" s="14" t="n">
        <v>2717</v>
      </c>
      <c r="G35" s="14" t="n">
        <v>2717</v>
      </c>
      <c r="H35" s="14" t="n">
        <v>794.7402</v>
      </c>
      <c r="I35" s="14" t="n">
        <v>1922.26</v>
      </c>
      <c r="J35" s="14" t="n">
        <v>1286.08</v>
      </c>
      <c r="K35" s="15" t="n">
        <v>0.7075</v>
      </c>
      <c r="L35" s="15" t="n">
        <v>0.4733</v>
      </c>
      <c r="M35" s="29" t="n">
        <v>41.01</v>
      </c>
    </row>
    <row r="36" customFormat="false" ht="15" hidden="false" customHeight="false" outlineLevel="0" collapsed="false">
      <c r="A36" s="24" t="n">
        <v>10107</v>
      </c>
      <c r="B36" s="8" t="s">
        <v>40</v>
      </c>
      <c r="C36" s="25" t="n">
        <v>92</v>
      </c>
      <c r="D36" s="25" t="n">
        <v>92</v>
      </c>
      <c r="E36" s="10" t="n">
        <v>0</v>
      </c>
      <c r="F36" s="10" t="n">
        <v>16042.8</v>
      </c>
      <c r="G36" s="10" t="n">
        <v>16042.8</v>
      </c>
      <c r="H36" s="10" t="n">
        <v>6163.81</v>
      </c>
      <c r="I36" s="10" t="n">
        <v>9878.99</v>
      </c>
      <c r="J36" s="10" t="n">
        <v>6633.1</v>
      </c>
      <c r="K36" s="11" t="n">
        <v>0.6158</v>
      </c>
      <c r="L36" s="11" t="n">
        <v>0.4135</v>
      </c>
      <c r="M36" s="26" t="n">
        <v>49.13</v>
      </c>
    </row>
    <row r="37" customFormat="false" ht="15" hidden="false" customHeight="false" outlineLevel="0" collapsed="false">
      <c r="A37" s="27" t="n">
        <v>10108</v>
      </c>
      <c r="B37" s="12" t="s">
        <v>60</v>
      </c>
      <c r="C37" s="28" t="n">
        <v>32</v>
      </c>
      <c r="D37" s="28" t="n">
        <v>32</v>
      </c>
      <c r="E37" s="14" t="n">
        <v>0</v>
      </c>
      <c r="F37" s="14" t="n">
        <v>6447.9</v>
      </c>
      <c r="G37" s="14" t="n">
        <v>6447.9</v>
      </c>
      <c r="H37" s="14" t="n">
        <v>2115.8498</v>
      </c>
      <c r="I37" s="14" t="n">
        <v>4332.05</v>
      </c>
      <c r="J37" s="14" t="n">
        <v>2697.4</v>
      </c>
      <c r="K37" s="15" t="n">
        <v>0.6719</v>
      </c>
      <c r="L37" s="15" t="n">
        <v>0.4183</v>
      </c>
      <c r="M37" s="29" t="n">
        <v>45.32</v>
      </c>
    </row>
    <row r="38" customFormat="false" ht="15" hidden="false" customHeight="false" outlineLevel="0" collapsed="false">
      <c r="A38" s="24" t="n">
        <v>10109</v>
      </c>
      <c r="B38" s="8" t="s">
        <v>61</v>
      </c>
      <c r="C38" s="25" t="n">
        <v>109</v>
      </c>
      <c r="D38" s="25" t="n">
        <v>109</v>
      </c>
      <c r="E38" s="10" t="n">
        <v>0</v>
      </c>
      <c r="F38" s="10" t="n">
        <v>13807.63</v>
      </c>
      <c r="G38" s="10" t="n">
        <v>13807.63</v>
      </c>
      <c r="H38" s="10" t="n">
        <v>6223.81</v>
      </c>
      <c r="I38" s="10" t="n">
        <v>7583.82</v>
      </c>
      <c r="J38" s="10" t="n">
        <v>3911.38</v>
      </c>
      <c r="K38" s="11" t="n">
        <v>0.5492</v>
      </c>
      <c r="L38" s="11" t="n">
        <v>0.2833</v>
      </c>
      <c r="M38" s="26" t="n">
        <v>36.27</v>
      </c>
    </row>
    <row r="39" customFormat="false" ht="15" hidden="false" customHeight="false" outlineLevel="0" collapsed="false">
      <c r="A39" s="27" t="n">
        <v>10110</v>
      </c>
      <c r="B39" s="12" t="s">
        <v>62</v>
      </c>
      <c r="C39" s="28" t="n">
        <v>34</v>
      </c>
      <c r="D39" s="28" t="n">
        <v>34</v>
      </c>
      <c r="E39" s="14" t="n">
        <v>0</v>
      </c>
      <c r="F39" s="14" t="n">
        <v>4322.72</v>
      </c>
      <c r="G39" s="14" t="n">
        <v>4322.72</v>
      </c>
      <c r="H39" s="14" t="n">
        <v>1720.2002</v>
      </c>
      <c r="I39" s="14" t="n">
        <v>2602.52</v>
      </c>
      <c r="J39" s="14" t="n">
        <v>1470.9</v>
      </c>
      <c r="K39" s="15" t="n">
        <v>0.6021</v>
      </c>
      <c r="L39" s="15" t="n">
        <v>0.3403</v>
      </c>
      <c r="M39" s="29" t="n">
        <v>37.47</v>
      </c>
    </row>
    <row r="40" customFormat="false" ht="15" hidden="false" customHeight="false" outlineLevel="0" collapsed="false">
      <c r="A40" s="24" t="n">
        <v>10114</v>
      </c>
      <c r="B40" s="8" t="s">
        <v>63</v>
      </c>
      <c r="C40" s="25" t="n">
        <v>63</v>
      </c>
      <c r="D40" s="25" t="n">
        <v>63</v>
      </c>
      <c r="E40" s="10" t="n">
        <v>0</v>
      </c>
      <c r="F40" s="10" t="n">
        <v>3051.3</v>
      </c>
      <c r="G40" s="10" t="n">
        <v>3051.3</v>
      </c>
      <c r="H40" s="10" t="n">
        <v>1380.948</v>
      </c>
      <c r="I40" s="10" t="n">
        <v>1670.35</v>
      </c>
      <c r="J40" s="10" t="n">
        <v>1269.84</v>
      </c>
      <c r="K40" s="11" t="n">
        <v>0.5474</v>
      </c>
      <c r="L40" s="11" t="n">
        <v>0.4162</v>
      </c>
      <c r="M40" s="26" t="n">
        <v>28.69</v>
      </c>
    </row>
    <row r="41" customFormat="false" ht="15" hidden="false" customHeight="false" outlineLevel="0" collapsed="false">
      <c r="A41" s="27" t="n">
        <v>10121</v>
      </c>
      <c r="B41" s="12" t="s">
        <v>64</v>
      </c>
      <c r="C41" s="28" t="n">
        <v>212</v>
      </c>
      <c r="D41" s="28" t="n">
        <v>212</v>
      </c>
      <c r="E41" s="14" t="n">
        <v>0</v>
      </c>
      <c r="F41" s="14" t="n">
        <v>7743.52</v>
      </c>
      <c r="G41" s="14" t="n">
        <v>7743.52</v>
      </c>
      <c r="H41" s="14" t="n">
        <v>3701.5348</v>
      </c>
      <c r="I41" s="14" t="n">
        <v>4041.99</v>
      </c>
      <c r="J41" s="14" t="n">
        <v>1994.45</v>
      </c>
      <c r="K41" s="15" t="n">
        <v>0.522</v>
      </c>
      <c r="L41" s="15" t="n">
        <v>0.2576</v>
      </c>
      <c r="M41" s="29" t="n">
        <v>42.04</v>
      </c>
    </row>
    <row r="42" customFormat="false" ht="15" hidden="false" customHeight="false" outlineLevel="0" collapsed="false">
      <c r="A42" s="24" t="n">
        <v>10122</v>
      </c>
      <c r="B42" s="8" t="s">
        <v>65</v>
      </c>
      <c r="C42" s="25" t="n">
        <v>5</v>
      </c>
      <c r="D42" s="25" t="n">
        <v>5</v>
      </c>
      <c r="E42" s="10" t="n">
        <v>0</v>
      </c>
      <c r="F42" s="10" t="n">
        <v>967.75</v>
      </c>
      <c r="G42" s="10" t="n">
        <v>967.75</v>
      </c>
      <c r="H42" s="10" t="n">
        <v>365.01</v>
      </c>
      <c r="I42" s="10" t="n">
        <v>602.74</v>
      </c>
      <c r="J42" s="10" t="n">
        <v>336.88</v>
      </c>
      <c r="K42" s="11" t="n">
        <v>0.6228</v>
      </c>
      <c r="L42" s="11" t="n">
        <v>0.3481</v>
      </c>
      <c r="M42" s="26" t="n">
        <v>60</v>
      </c>
    </row>
    <row r="43" customFormat="false" ht="15" hidden="false" customHeight="false" outlineLevel="0" collapsed="false">
      <c r="A43" s="27" t="n">
        <v>10124</v>
      </c>
      <c r="B43" s="12" t="s">
        <v>66</v>
      </c>
      <c r="C43" s="28" t="n">
        <v>10</v>
      </c>
      <c r="D43" s="28" t="n">
        <v>10</v>
      </c>
      <c r="E43" s="14" t="n">
        <v>0</v>
      </c>
      <c r="F43" s="14" t="n">
        <v>870.5</v>
      </c>
      <c r="G43" s="14" t="n">
        <v>870.5</v>
      </c>
      <c r="H43" s="14" t="n">
        <v>386.97</v>
      </c>
      <c r="I43" s="14" t="n">
        <v>483.53</v>
      </c>
      <c r="J43" s="14" t="n">
        <v>272.34</v>
      </c>
      <c r="K43" s="15" t="n">
        <v>0.5555</v>
      </c>
      <c r="L43" s="15" t="n">
        <v>0.3129</v>
      </c>
      <c r="M43" s="29" t="n">
        <v>36</v>
      </c>
    </row>
    <row r="44" customFormat="false" ht="15" hidden="false" customHeight="false" outlineLevel="0" collapsed="false">
      <c r="A44" s="24" t="n">
        <v>10126</v>
      </c>
      <c r="B44" s="8" t="s">
        <v>67</v>
      </c>
      <c r="C44" s="25" t="n">
        <v>28</v>
      </c>
      <c r="D44" s="25" t="n">
        <v>28</v>
      </c>
      <c r="E44" s="10" t="n">
        <v>0</v>
      </c>
      <c r="F44" s="10" t="n">
        <v>1663.76</v>
      </c>
      <c r="G44" s="10" t="n">
        <v>1663.76</v>
      </c>
      <c r="H44" s="10" t="n">
        <v>636.7604</v>
      </c>
      <c r="I44" s="10" t="n">
        <v>1027</v>
      </c>
      <c r="J44" s="10" t="n">
        <v>592.83</v>
      </c>
      <c r="K44" s="11" t="n">
        <v>0.6173</v>
      </c>
      <c r="L44" s="11" t="n">
        <v>0.3563</v>
      </c>
      <c r="M44" s="26" t="n">
        <v>54.86</v>
      </c>
    </row>
    <row r="45" customFormat="false" ht="15" hidden="false" customHeight="false" outlineLevel="0" collapsed="false">
      <c r="A45" s="27" t="n">
        <v>10127</v>
      </c>
      <c r="B45" s="12" t="s">
        <v>68</v>
      </c>
      <c r="C45" s="28" t="n">
        <v>100</v>
      </c>
      <c r="D45" s="28" t="n">
        <v>100</v>
      </c>
      <c r="E45" s="14" t="n">
        <v>0</v>
      </c>
      <c r="F45" s="14" t="n">
        <v>4297.8</v>
      </c>
      <c r="G45" s="14" t="n">
        <v>4297.8</v>
      </c>
      <c r="H45" s="14" t="n">
        <v>1803.624</v>
      </c>
      <c r="I45" s="14" t="n">
        <v>2494.18</v>
      </c>
      <c r="J45" s="14" t="n">
        <v>1427.8</v>
      </c>
      <c r="K45" s="15" t="n">
        <v>0.5803</v>
      </c>
      <c r="L45" s="15" t="n">
        <v>0.3322</v>
      </c>
      <c r="M45" s="29" t="n">
        <v>28</v>
      </c>
    </row>
    <row r="46" customFormat="false" ht="15" hidden="false" customHeight="false" outlineLevel="0" collapsed="false">
      <c r="A46" s="24" t="n">
        <v>10136</v>
      </c>
      <c r="B46" s="8" t="s">
        <v>69</v>
      </c>
      <c r="C46" s="25" t="n">
        <v>5</v>
      </c>
      <c r="D46" s="25" t="n">
        <v>5</v>
      </c>
      <c r="E46" s="10" t="n">
        <v>0</v>
      </c>
      <c r="F46" s="10" t="n">
        <v>1048.2</v>
      </c>
      <c r="G46" s="10" t="n">
        <v>1048.2</v>
      </c>
      <c r="H46" s="10" t="n">
        <v>468.0301</v>
      </c>
      <c r="I46" s="10" t="n">
        <v>580.17</v>
      </c>
      <c r="J46" s="10" t="n">
        <v>342.7</v>
      </c>
      <c r="K46" s="11" t="n">
        <v>0.5535</v>
      </c>
      <c r="L46" s="11" t="n">
        <v>0.3269</v>
      </c>
      <c r="M46" s="26" t="n">
        <v>60</v>
      </c>
    </row>
    <row r="47" customFormat="false" ht="15" hidden="false" customHeight="false" outlineLevel="0" collapsed="false">
      <c r="A47" s="27" t="n">
        <v>10137</v>
      </c>
      <c r="B47" s="12" t="s">
        <v>70</v>
      </c>
      <c r="C47" s="28" t="n">
        <v>5</v>
      </c>
      <c r="D47" s="28" t="n">
        <v>5</v>
      </c>
      <c r="E47" s="14" t="n">
        <v>0</v>
      </c>
      <c r="F47" s="14" t="n">
        <v>1045.65</v>
      </c>
      <c r="G47" s="14" t="n">
        <v>1045.65</v>
      </c>
      <c r="H47" s="14" t="n">
        <v>468.2</v>
      </c>
      <c r="I47" s="14" t="n">
        <v>577.45</v>
      </c>
      <c r="J47" s="14" t="n">
        <v>340.57</v>
      </c>
      <c r="K47" s="15" t="n">
        <v>0.5522</v>
      </c>
      <c r="L47" s="15" t="n">
        <v>0.3257</v>
      </c>
      <c r="M47" s="29" t="n">
        <v>60</v>
      </c>
    </row>
    <row r="48" customFormat="false" ht="15" hidden="false" customHeight="false" outlineLevel="0" collapsed="false">
      <c r="A48" s="24" t="n">
        <v>10139</v>
      </c>
      <c r="B48" s="8" t="s">
        <v>71</v>
      </c>
      <c r="C48" s="25" t="n">
        <v>24</v>
      </c>
      <c r="D48" s="25" t="n">
        <v>24</v>
      </c>
      <c r="E48" s="10" t="n">
        <v>0</v>
      </c>
      <c r="F48" s="10" t="n">
        <v>18903.84</v>
      </c>
      <c r="G48" s="10" t="n">
        <v>18903.84</v>
      </c>
      <c r="H48" s="10" t="n">
        <v>6054.3</v>
      </c>
      <c r="I48" s="10" t="n">
        <v>12849.54</v>
      </c>
      <c r="J48" s="10" t="n">
        <v>7656.25</v>
      </c>
      <c r="K48" s="11" t="n">
        <v>0.6797</v>
      </c>
      <c r="L48" s="11" t="n">
        <v>0.405</v>
      </c>
      <c r="M48" s="26" t="n">
        <v>50</v>
      </c>
    </row>
    <row r="49" customFormat="false" ht="15" hidden="false" customHeight="false" outlineLevel="0" collapsed="false">
      <c r="A49" s="27" t="n">
        <v>10141</v>
      </c>
      <c r="B49" s="12" t="s">
        <v>72</v>
      </c>
      <c r="C49" s="28" t="n">
        <v>291</v>
      </c>
      <c r="D49" s="28" t="n">
        <v>291</v>
      </c>
      <c r="E49" s="14" t="n">
        <v>0</v>
      </c>
      <c r="F49" s="14" t="n">
        <v>17855.04</v>
      </c>
      <c r="G49" s="14" t="n">
        <v>17855.04</v>
      </c>
      <c r="H49" s="14" t="n">
        <v>10078.5603</v>
      </c>
      <c r="I49" s="14" t="n">
        <v>7776.48</v>
      </c>
      <c r="J49" s="14" t="n">
        <v>3763.19</v>
      </c>
      <c r="K49" s="15" t="n">
        <v>0.4355</v>
      </c>
      <c r="L49" s="15" t="n">
        <v>0.2108</v>
      </c>
      <c r="M49" s="29" t="n">
        <v>41.44</v>
      </c>
    </row>
    <row r="50" customFormat="false" ht="15" hidden="false" customHeight="false" outlineLevel="0" collapsed="false">
      <c r="A50" s="24" t="n">
        <v>10142</v>
      </c>
      <c r="B50" s="8" t="s">
        <v>73</v>
      </c>
      <c r="C50" s="25" t="n">
        <v>7</v>
      </c>
      <c r="D50" s="25" t="n">
        <v>7</v>
      </c>
      <c r="E50" s="10" t="n">
        <v>0</v>
      </c>
      <c r="F50" s="10" t="n">
        <v>1248.66</v>
      </c>
      <c r="G50" s="10" t="n">
        <v>1248.66</v>
      </c>
      <c r="H50" s="10" t="n">
        <v>562.02</v>
      </c>
      <c r="I50" s="10" t="n">
        <v>686.64</v>
      </c>
      <c r="J50" s="10" t="n">
        <v>352.21</v>
      </c>
      <c r="K50" s="11" t="n">
        <v>0.5499</v>
      </c>
      <c r="L50" s="11" t="n">
        <v>0.2821</v>
      </c>
      <c r="M50" s="26" t="n">
        <v>52.43</v>
      </c>
    </row>
    <row r="51" customFormat="false" ht="15" hidden="false" customHeight="false" outlineLevel="0" collapsed="false">
      <c r="A51" s="27" t="n">
        <v>10143</v>
      </c>
      <c r="B51" s="12" t="s">
        <v>74</v>
      </c>
      <c r="C51" s="28" t="n">
        <v>15</v>
      </c>
      <c r="D51" s="28" t="n">
        <v>15</v>
      </c>
      <c r="E51" s="14" t="n">
        <v>0</v>
      </c>
      <c r="F51" s="14" t="n">
        <v>3072.4</v>
      </c>
      <c r="G51" s="14" t="n">
        <v>3072.4</v>
      </c>
      <c r="H51" s="14" t="n">
        <v>1338.5904</v>
      </c>
      <c r="I51" s="14" t="n">
        <v>1733.81</v>
      </c>
      <c r="J51" s="14" t="n">
        <v>898.37</v>
      </c>
      <c r="K51" s="15" t="n">
        <v>0.5643</v>
      </c>
      <c r="L51" s="15" t="n">
        <v>0.2924</v>
      </c>
      <c r="M51" s="29" t="n">
        <v>42.25</v>
      </c>
    </row>
    <row r="52" customFormat="false" ht="15" hidden="false" customHeight="false" outlineLevel="0" collapsed="false">
      <c r="A52" s="24" t="n">
        <v>10145</v>
      </c>
      <c r="B52" s="8" t="s">
        <v>63</v>
      </c>
      <c r="C52" s="25" t="n">
        <v>33</v>
      </c>
      <c r="D52" s="25" t="n">
        <v>33</v>
      </c>
      <c r="E52" s="10" t="n">
        <v>0</v>
      </c>
      <c r="F52" s="10" t="n">
        <v>2138.07</v>
      </c>
      <c r="G52" s="10" t="n">
        <v>2138.07</v>
      </c>
      <c r="H52" s="10" t="n">
        <v>930.8501</v>
      </c>
      <c r="I52" s="10" t="n">
        <v>1207.22</v>
      </c>
      <c r="J52" s="10" t="n">
        <v>619.85</v>
      </c>
      <c r="K52" s="11" t="n">
        <v>0.5646</v>
      </c>
      <c r="L52" s="11" t="n">
        <v>0.2899</v>
      </c>
      <c r="M52" s="26" t="n">
        <v>50</v>
      </c>
    </row>
    <row r="53" customFormat="false" ht="15" hidden="false" customHeight="false" outlineLevel="0" collapsed="false">
      <c r="A53" s="27" t="n">
        <v>10147</v>
      </c>
      <c r="B53" s="12" t="s">
        <v>75</v>
      </c>
      <c r="C53" s="28" t="n">
        <v>15</v>
      </c>
      <c r="D53" s="28" t="n">
        <v>15</v>
      </c>
      <c r="E53" s="14" t="n">
        <v>0</v>
      </c>
      <c r="F53" s="14" t="n">
        <v>4974.15</v>
      </c>
      <c r="G53" s="14" t="n">
        <v>4974.15</v>
      </c>
      <c r="H53" s="14" t="n">
        <v>2175.15</v>
      </c>
      <c r="I53" s="14" t="n">
        <v>2799</v>
      </c>
      <c r="J53" s="14" t="n">
        <v>1432.5</v>
      </c>
      <c r="K53" s="15" t="n">
        <v>0.5627</v>
      </c>
      <c r="L53" s="15" t="n">
        <v>0.288</v>
      </c>
      <c r="M53" s="29" t="n">
        <v>50</v>
      </c>
    </row>
    <row r="54" customFormat="false" ht="15" hidden="false" customHeight="false" outlineLevel="0" collapsed="false">
      <c r="A54" s="24" t="n">
        <v>10148</v>
      </c>
      <c r="B54" s="8" t="s">
        <v>76</v>
      </c>
      <c r="C54" s="25" t="n">
        <v>27</v>
      </c>
      <c r="D54" s="25" t="n">
        <v>27</v>
      </c>
      <c r="E54" s="10" t="n">
        <v>0</v>
      </c>
      <c r="F54" s="10" t="n">
        <v>10484.91</v>
      </c>
      <c r="G54" s="10" t="n">
        <v>10484.91</v>
      </c>
      <c r="H54" s="10" t="n">
        <v>2105.8806</v>
      </c>
      <c r="I54" s="10" t="n">
        <v>8379.03</v>
      </c>
      <c r="J54" s="10" t="n">
        <v>5835.38</v>
      </c>
      <c r="K54" s="11" t="n">
        <v>0.7992</v>
      </c>
      <c r="L54" s="11" t="n">
        <v>0.5566</v>
      </c>
      <c r="M54" s="26" t="n">
        <v>34.67</v>
      </c>
    </row>
    <row r="55" customFormat="false" ht="15" hidden="false" customHeight="false" outlineLevel="0" collapsed="false">
      <c r="A55" s="27" t="n">
        <v>10149</v>
      </c>
      <c r="B55" s="12" t="s">
        <v>77</v>
      </c>
      <c r="C55" s="28" t="n">
        <v>97</v>
      </c>
      <c r="D55" s="28" t="n">
        <v>97</v>
      </c>
      <c r="E55" s="14" t="n">
        <v>0</v>
      </c>
      <c r="F55" s="14" t="n">
        <v>5361.23</v>
      </c>
      <c r="G55" s="14" t="n">
        <v>5361.23</v>
      </c>
      <c r="H55" s="14" t="n">
        <v>2871.2628</v>
      </c>
      <c r="I55" s="14" t="n">
        <v>2489.97</v>
      </c>
      <c r="J55" s="14" t="n">
        <v>1166.4</v>
      </c>
      <c r="K55" s="15" t="n">
        <v>0.4644</v>
      </c>
      <c r="L55" s="15" t="n">
        <v>0.2176</v>
      </c>
      <c r="M55" s="29" t="n">
        <v>61.09</v>
      </c>
    </row>
    <row r="56" customFormat="false" ht="15" hidden="false" customHeight="false" outlineLevel="0" collapsed="false">
      <c r="A56" s="24" t="n">
        <v>10150</v>
      </c>
      <c r="B56" s="8" t="s">
        <v>78</v>
      </c>
      <c r="C56" s="25" t="n">
        <v>19</v>
      </c>
      <c r="D56" s="25" t="n">
        <v>19</v>
      </c>
      <c r="E56" s="10" t="n">
        <v>0</v>
      </c>
      <c r="F56" s="10" t="n">
        <v>1263.63</v>
      </c>
      <c r="G56" s="10" t="n">
        <v>1263.63</v>
      </c>
      <c r="H56" s="10" t="n">
        <v>513.4199</v>
      </c>
      <c r="I56" s="10" t="n">
        <v>750.21</v>
      </c>
      <c r="J56" s="10" t="n">
        <v>410.61</v>
      </c>
      <c r="K56" s="11" t="n">
        <v>0.5937</v>
      </c>
      <c r="L56" s="11" t="n">
        <v>0.3249</v>
      </c>
      <c r="M56" s="26" t="n">
        <v>42.32</v>
      </c>
    </row>
    <row r="57" customFormat="false" ht="15" hidden="false" customHeight="false" outlineLevel="0" collapsed="false">
      <c r="A57" s="27" t="n">
        <v>10151</v>
      </c>
      <c r="B57" s="12" t="s">
        <v>79</v>
      </c>
      <c r="C57" s="28" t="n">
        <v>2</v>
      </c>
      <c r="D57" s="28" t="n">
        <v>2</v>
      </c>
      <c r="E57" s="14" t="n">
        <v>0</v>
      </c>
      <c r="F57" s="14" t="n">
        <v>642</v>
      </c>
      <c r="G57" s="14" t="n">
        <v>642</v>
      </c>
      <c r="H57" s="14" t="n">
        <v>146.97</v>
      </c>
      <c r="I57" s="14" t="n">
        <v>495.03</v>
      </c>
      <c r="J57" s="14" t="n">
        <v>318.66</v>
      </c>
      <c r="K57" s="15" t="n">
        <v>0.7711</v>
      </c>
      <c r="L57" s="15" t="n">
        <v>0.4964</v>
      </c>
      <c r="M57" s="29" t="n">
        <v>30</v>
      </c>
    </row>
    <row r="58" customFormat="false" ht="15" hidden="false" customHeight="false" outlineLevel="0" collapsed="false">
      <c r="A58" s="24" t="n">
        <v>10152</v>
      </c>
      <c r="B58" s="8" t="s">
        <v>80</v>
      </c>
      <c r="C58" s="25" t="n">
        <v>48</v>
      </c>
      <c r="D58" s="25" t="n">
        <v>48</v>
      </c>
      <c r="E58" s="10" t="n">
        <v>0</v>
      </c>
      <c r="F58" s="10" t="n">
        <v>3299</v>
      </c>
      <c r="G58" s="10" t="n">
        <v>3299</v>
      </c>
      <c r="H58" s="10" t="n">
        <v>1697.1402</v>
      </c>
      <c r="I58" s="10" t="n">
        <v>1601.86</v>
      </c>
      <c r="J58" s="10" t="n">
        <v>681.77</v>
      </c>
      <c r="K58" s="11" t="n">
        <v>0.4856</v>
      </c>
      <c r="L58" s="11" t="n">
        <v>0.2067</v>
      </c>
      <c r="M58" s="26" t="n">
        <v>49.34</v>
      </c>
    </row>
    <row r="59" customFormat="false" ht="15" hidden="false" customHeight="false" outlineLevel="0" collapsed="false">
      <c r="A59" s="27" t="n">
        <v>10154</v>
      </c>
      <c r="B59" s="12" t="s">
        <v>81</v>
      </c>
      <c r="C59" s="28" t="n">
        <v>17</v>
      </c>
      <c r="D59" s="28" t="n">
        <v>17</v>
      </c>
      <c r="E59" s="14" t="n">
        <v>0</v>
      </c>
      <c r="F59" s="14" t="n">
        <v>3852.05</v>
      </c>
      <c r="G59" s="14" t="n">
        <v>3852.05</v>
      </c>
      <c r="H59" s="14" t="n">
        <v>1766.2401</v>
      </c>
      <c r="I59" s="14" t="n">
        <v>2085.81</v>
      </c>
      <c r="J59" s="14" t="n">
        <v>1081.01</v>
      </c>
      <c r="K59" s="15" t="n">
        <v>0.5415</v>
      </c>
      <c r="L59" s="15" t="n">
        <v>0.2806</v>
      </c>
      <c r="M59" s="29" t="n">
        <v>45.61</v>
      </c>
    </row>
    <row r="60" customFormat="false" ht="15" hidden="false" customHeight="false" outlineLevel="0" collapsed="false">
      <c r="A60" s="24" t="n">
        <v>10157</v>
      </c>
      <c r="B60" s="8" t="s">
        <v>35</v>
      </c>
      <c r="C60" s="25" t="n">
        <v>5</v>
      </c>
      <c r="D60" s="25" t="n">
        <v>5</v>
      </c>
      <c r="E60" s="10" t="n">
        <v>0</v>
      </c>
      <c r="F60" s="10" t="n">
        <v>1655</v>
      </c>
      <c r="G60" s="10" t="n">
        <v>1655</v>
      </c>
      <c r="H60" s="10" t="n">
        <v>656.14</v>
      </c>
      <c r="I60" s="10" t="n">
        <v>998.86</v>
      </c>
      <c r="J60" s="10" t="n">
        <v>795.96</v>
      </c>
      <c r="K60" s="11" t="n">
        <v>0.6035</v>
      </c>
      <c r="L60" s="11" t="n">
        <v>0.4809</v>
      </c>
      <c r="M60" s="26" t="n">
        <v>28</v>
      </c>
    </row>
    <row r="61" customFormat="false" ht="15" hidden="false" customHeight="false" outlineLevel="0" collapsed="false">
      <c r="A61" s="27" t="n">
        <v>10162</v>
      </c>
      <c r="B61" s="12" t="s">
        <v>82</v>
      </c>
      <c r="C61" s="28" t="n">
        <v>30</v>
      </c>
      <c r="D61" s="28" t="n">
        <v>30</v>
      </c>
      <c r="E61" s="14" t="n">
        <v>0</v>
      </c>
      <c r="F61" s="14" t="n">
        <v>8177.1</v>
      </c>
      <c r="G61" s="14" t="n">
        <v>8177.1</v>
      </c>
      <c r="H61" s="14" t="n">
        <v>2333.25</v>
      </c>
      <c r="I61" s="14" t="n">
        <v>5843.85</v>
      </c>
      <c r="J61" s="14" t="n">
        <v>4841.34</v>
      </c>
      <c r="K61" s="15" t="n">
        <v>0.7147</v>
      </c>
      <c r="L61" s="15" t="n">
        <v>0.5921</v>
      </c>
      <c r="M61" s="29" t="n">
        <v>45</v>
      </c>
    </row>
    <row r="62" customFormat="false" ht="15" hidden="false" customHeight="false" outlineLevel="0" collapsed="false">
      <c r="A62" s="24" t="n">
        <v>10164</v>
      </c>
      <c r="B62" s="8" t="s">
        <v>83</v>
      </c>
      <c r="C62" s="25" t="n">
        <v>107</v>
      </c>
      <c r="D62" s="25" t="n">
        <v>107</v>
      </c>
      <c r="E62" s="10" t="n">
        <v>0</v>
      </c>
      <c r="F62" s="10" t="n">
        <v>32003.55</v>
      </c>
      <c r="G62" s="10" t="n">
        <v>32003.55</v>
      </c>
      <c r="H62" s="10" t="n">
        <v>9148.5703</v>
      </c>
      <c r="I62" s="10" t="n">
        <v>22854.98</v>
      </c>
      <c r="J62" s="10" t="n">
        <v>15450.67</v>
      </c>
      <c r="K62" s="11" t="n">
        <v>0.7141</v>
      </c>
      <c r="L62" s="11" t="n">
        <v>0.4828</v>
      </c>
      <c r="M62" s="26" t="n">
        <v>43.39</v>
      </c>
    </row>
    <row r="63" customFormat="false" ht="15" hidden="false" customHeight="false" outlineLevel="0" collapsed="false">
      <c r="A63" s="27" t="n">
        <v>10170</v>
      </c>
      <c r="B63" s="12" t="s">
        <v>84</v>
      </c>
      <c r="C63" s="28" t="n">
        <v>2</v>
      </c>
      <c r="D63" s="28" t="n">
        <v>2</v>
      </c>
      <c r="E63" s="14" t="n">
        <v>0</v>
      </c>
      <c r="F63" s="14" t="n">
        <v>33.6</v>
      </c>
      <c r="G63" s="14" t="n">
        <v>33.6</v>
      </c>
      <c r="H63" s="14" t="n">
        <v>16.8</v>
      </c>
      <c r="I63" s="14" t="n">
        <v>16.8</v>
      </c>
      <c r="J63" s="14" t="n">
        <v>7.56</v>
      </c>
      <c r="K63" s="15" t="n">
        <v>0.5</v>
      </c>
      <c r="L63" s="15" t="n">
        <v>0.225</v>
      </c>
      <c r="M63" s="29" t="n">
        <v>50</v>
      </c>
    </row>
    <row r="64" customFormat="false" ht="15" hidden="false" customHeight="false" outlineLevel="0" collapsed="false">
      <c r="A64" s="24" t="n">
        <v>10176</v>
      </c>
      <c r="B64" s="8" t="s">
        <v>75</v>
      </c>
      <c r="C64" s="25" t="n">
        <v>125</v>
      </c>
      <c r="D64" s="25" t="n">
        <v>125</v>
      </c>
      <c r="E64" s="10" t="n">
        <v>0</v>
      </c>
      <c r="F64" s="10" t="n">
        <v>39261.82</v>
      </c>
      <c r="G64" s="10" t="n">
        <v>39261.82</v>
      </c>
      <c r="H64" s="10" t="n">
        <v>11129.0885</v>
      </c>
      <c r="I64" s="10" t="n">
        <v>28132.73</v>
      </c>
      <c r="J64" s="10" t="n">
        <v>20189.29</v>
      </c>
      <c r="K64" s="11" t="n">
        <v>0.7165</v>
      </c>
      <c r="L64" s="11" t="n">
        <v>0.5142</v>
      </c>
      <c r="M64" s="26" t="n">
        <v>44.91</v>
      </c>
    </row>
    <row r="65" customFormat="false" ht="15" hidden="false" customHeight="false" outlineLevel="0" collapsed="false">
      <c r="A65" s="27" t="n">
        <v>10178</v>
      </c>
      <c r="B65" s="12" t="s">
        <v>85</v>
      </c>
      <c r="C65" s="28" t="n">
        <v>62</v>
      </c>
      <c r="D65" s="28" t="n">
        <v>62</v>
      </c>
      <c r="E65" s="14" t="n">
        <v>0</v>
      </c>
      <c r="F65" s="14" t="n">
        <v>3952.21</v>
      </c>
      <c r="G65" s="14" t="n">
        <v>3952.21</v>
      </c>
      <c r="H65" s="14" t="n">
        <v>545.5495</v>
      </c>
      <c r="I65" s="14" t="n">
        <v>3406.66</v>
      </c>
      <c r="J65" s="14" t="n">
        <v>2408.22</v>
      </c>
      <c r="K65" s="15" t="n">
        <v>0.862</v>
      </c>
      <c r="L65" s="15" t="n">
        <v>0.6093</v>
      </c>
      <c r="M65" s="29" t="n">
        <v>47.13</v>
      </c>
    </row>
    <row r="66" customFormat="false" ht="15" hidden="false" customHeight="false" outlineLevel="0" collapsed="false">
      <c r="A66" s="24" t="n">
        <v>10180</v>
      </c>
      <c r="B66" s="8" t="s">
        <v>86</v>
      </c>
      <c r="C66" s="25" t="n">
        <v>60</v>
      </c>
      <c r="D66" s="25" t="n">
        <v>60</v>
      </c>
      <c r="E66" s="10" t="n">
        <v>0</v>
      </c>
      <c r="F66" s="10" t="n">
        <v>3295.2</v>
      </c>
      <c r="G66" s="10" t="n">
        <v>3295.2</v>
      </c>
      <c r="H66" s="10" t="n">
        <v>2059.9892</v>
      </c>
      <c r="I66" s="10" t="n">
        <v>1235.21</v>
      </c>
      <c r="J66" s="10" t="n">
        <v>315.51</v>
      </c>
      <c r="K66" s="11" t="n">
        <v>0.3749</v>
      </c>
      <c r="L66" s="11" t="n">
        <v>0.0957</v>
      </c>
      <c r="M66" s="26" t="n">
        <v>50</v>
      </c>
    </row>
    <row r="67" customFormat="false" ht="15" hidden="false" customHeight="false" outlineLevel="0" collapsed="false">
      <c r="A67" s="27" t="n">
        <v>10182</v>
      </c>
      <c r="B67" s="12" t="s">
        <v>87</v>
      </c>
      <c r="C67" s="28" t="n">
        <v>3</v>
      </c>
      <c r="D67" s="28" t="n">
        <v>3</v>
      </c>
      <c r="E67" s="14" t="n">
        <v>0</v>
      </c>
      <c r="F67" s="14" t="n">
        <v>519.01</v>
      </c>
      <c r="G67" s="14" t="n">
        <v>519.01</v>
      </c>
      <c r="H67" s="14" t="n">
        <v>102.15</v>
      </c>
      <c r="I67" s="14" t="n">
        <v>416.86</v>
      </c>
      <c r="J67" s="14" t="n">
        <v>336.76</v>
      </c>
      <c r="K67" s="15" t="n">
        <v>0.8032</v>
      </c>
      <c r="L67" s="15" t="n">
        <v>0.6489</v>
      </c>
      <c r="M67" s="29" t="n">
        <v>66.69</v>
      </c>
    </row>
    <row r="68" customFormat="false" ht="15" hidden="false" customHeight="false" outlineLevel="0" collapsed="false">
      <c r="A68" s="24" t="n">
        <v>10188</v>
      </c>
      <c r="B68" s="8" t="s">
        <v>88</v>
      </c>
      <c r="C68" s="25" t="n">
        <v>80</v>
      </c>
      <c r="D68" s="25" t="n">
        <v>80</v>
      </c>
      <c r="E68" s="10" t="n">
        <v>0</v>
      </c>
      <c r="F68" s="10" t="n">
        <v>328</v>
      </c>
      <c r="G68" s="10" t="n">
        <v>328</v>
      </c>
      <c r="H68" s="10" t="n">
        <v>111.92</v>
      </c>
      <c r="I68" s="10" t="n">
        <v>216.08</v>
      </c>
      <c r="J68" s="10" t="n">
        <v>124.52</v>
      </c>
      <c r="K68" s="11" t="n">
        <v>0.6588</v>
      </c>
      <c r="L68" s="11" t="n">
        <v>0.3796</v>
      </c>
      <c r="M68" s="26" t="n">
        <v>45</v>
      </c>
    </row>
    <row r="69" customFormat="false" ht="15" hidden="false" customHeight="false" outlineLevel="0" collapsed="false">
      <c r="A69" s="27" t="n">
        <v>10189</v>
      </c>
      <c r="B69" s="12" t="s">
        <v>89</v>
      </c>
      <c r="C69" s="28" t="n">
        <v>67</v>
      </c>
      <c r="D69" s="28" t="n">
        <v>67</v>
      </c>
      <c r="E69" s="14" t="n">
        <v>0</v>
      </c>
      <c r="F69" s="14" t="n">
        <v>274.7</v>
      </c>
      <c r="G69" s="14" t="n">
        <v>274.7</v>
      </c>
      <c r="H69" s="14" t="n">
        <v>93.7712</v>
      </c>
      <c r="I69" s="14" t="n">
        <v>180.93</v>
      </c>
      <c r="J69" s="14" t="n">
        <v>104.29</v>
      </c>
      <c r="K69" s="15" t="n">
        <v>0.6586</v>
      </c>
      <c r="L69" s="15" t="n">
        <v>0.3797</v>
      </c>
      <c r="M69" s="29" t="n">
        <v>45</v>
      </c>
    </row>
    <row r="70" customFormat="false" ht="15" hidden="false" customHeight="false" outlineLevel="0" collapsed="false">
      <c r="A70" s="24" t="n">
        <v>10191</v>
      </c>
      <c r="B70" s="8" t="s">
        <v>90</v>
      </c>
      <c r="C70" s="25" t="n">
        <v>40</v>
      </c>
      <c r="D70" s="25" t="n">
        <v>40</v>
      </c>
      <c r="E70" s="10" t="n">
        <v>0</v>
      </c>
      <c r="F70" s="10" t="n">
        <v>725.6</v>
      </c>
      <c r="G70" s="10" t="n">
        <v>725.6</v>
      </c>
      <c r="H70" s="10" t="n">
        <v>159.32</v>
      </c>
      <c r="I70" s="10" t="n">
        <v>566.28</v>
      </c>
      <c r="J70" s="10" t="n">
        <v>363.76</v>
      </c>
      <c r="K70" s="11" t="n">
        <v>0.7804</v>
      </c>
      <c r="L70" s="11" t="n">
        <v>0.5013</v>
      </c>
      <c r="M70" s="26" t="n">
        <v>45</v>
      </c>
    </row>
    <row r="71" customFormat="false" ht="15" hidden="false" customHeight="false" outlineLevel="0" collapsed="false">
      <c r="A71" s="27" t="n">
        <v>10193</v>
      </c>
      <c r="B71" s="12" t="s">
        <v>91</v>
      </c>
      <c r="C71" s="28" t="n">
        <v>30</v>
      </c>
      <c r="D71" s="28" t="n">
        <v>30</v>
      </c>
      <c r="E71" s="14" t="n">
        <v>0</v>
      </c>
      <c r="F71" s="14" t="n">
        <v>2610</v>
      </c>
      <c r="G71" s="14" t="n">
        <v>2610</v>
      </c>
      <c r="H71" s="14" t="n">
        <v>828.54</v>
      </c>
      <c r="I71" s="14" t="n">
        <v>1781.46</v>
      </c>
      <c r="J71" s="14" t="n">
        <v>1053</v>
      </c>
      <c r="K71" s="15" t="n">
        <v>0.6826</v>
      </c>
      <c r="L71" s="15" t="n">
        <v>0.4034</v>
      </c>
      <c r="M71" s="29" t="n">
        <v>45</v>
      </c>
    </row>
    <row r="72" customFormat="false" ht="15" hidden="false" customHeight="false" outlineLevel="0" collapsed="false">
      <c r="A72" s="24" t="n">
        <v>10197</v>
      </c>
      <c r="B72" s="8" t="s">
        <v>92</v>
      </c>
      <c r="C72" s="25" t="n">
        <v>4</v>
      </c>
      <c r="D72" s="25" t="n">
        <v>4</v>
      </c>
      <c r="E72" s="10" t="n">
        <v>0</v>
      </c>
      <c r="F72" s="10" t="n">
        <v>1909.44</v>
      </c>
      <c r="G72" s="10" t="n">
        <v>1909.44</v>
      </c>
      <c r="H72" s="10" t="n">
        <v>916.96</v>
      </c>
      <c r="I72" s="10" t="n">
        <v>992.48</v>
      </c>
      <c r="J72" s="10" t="n">
        <v>529.25</v>
      </c>
      <c r="K72" s="11" t="n">
        <v>0.5198</v>
      </c>
      <c r="L72" s="11" t="n">
        <v>0.2772</v>
      </c>
      <c r="M72" s="26" t="n">
        <v>38</v>
      </c>
    </row>
    <row r="73" customFormat="false" ht="15" hidden="false" customHeight="false" outlineLevel="0" collapsed="false">
      <c r="A73" s="27" t="n">
        <v>10199</v>
      </c>
      <c r="B73" s="12" t="s">
        <v>93</v>
      </c>
      <c r="C73" s="28" t="n">
        <v>61</v>
      </c>
      <c r="D73" s="28" t="n">
        <v>61</v>
      </c>
      <c r="E73" s="14" t="n">
        <v>0</v>
      </c>
      <c r="F73" s="14" t="n">
        <v>27992.5</v>
      </c>
      <c r="G73" s="14" t="n">
        <v>27992.5</v>
      </c>
      <c r="H73" s="14" t="n">
        <v>4218.99</v>
      </c>
      <c r="I73" s="14" t="n">
        <v>23773.51</v>
      </c>
      <c r="J73" s="14" t="n">
        <v>20309.41</v>
      </c>
      <c r="K73" s="15" t="n">
        <v>0.8493</v>
      </c>
      <c r="L73" s="15" t="n">
        <v>0.7255</v>
      </c>
      <c r="M73" s="29" t="n">
        <v>34.01</v>
      </c>
    </row>
    <row r="74" customFormat="false" ht="15" hidden="false" customHeight="false" outlineLevel="0" collapsed="false">
      <c r="A74" s="24" t="n">
        <v>10200</v>
      </c>
      <c r="B74" s="8" t="s">
        <v>94</v>
      </c>
      <c r="C74" s="25" t="n">
        <v>25</v>
      </c>
      <c r="D74" s="25" t="n">
        <v>25</v>
      </c>
      <c r="E74" s="10" t="n">
        <v>0</v>
      </c>
      <c r="F74" s="10" t="n">
        <v>649.42</v>
      </c>
      <c r="G74" s="10" t="n">
        <v>649.42</v>
      </c>
      <c r="H74" s="10" t="n">
        <v>187.6399</v>
      </c>
      <c r="I74" s="10" t="n">
        <v>461.78</v>
      </c>
      <c r="J74" s="10" t="n">
        <v>265.04</v>
      </c>
      <c r="K74" s="11" t="n">
        <v>0.7111</v>
      </c>
      <c r="L74" s="11" t="n">
        <v>0.4081</v>
      </c>
      <c r="M74" s="26" t="n">
        <v>51.75</v>
      </c>
    </row>
    <row r="75" customFormat="false" ht="15" hidden="false" customHeight="false" outlineLevel="0" collapsed="false">
      <c r="A75" s="27" t="n">
        <v>10201</v>
      </c>
      <c r="B75" s="12" t="s">
        <v>79</v>
      </c>
      <c r="C75" s="28" t="n">
        <v>117</v>
      </c>
      <c r="D75" s="28" t="n">
        <v>117</v>
      </c>
      <c r="E75" s="14" t="n">
        <v>0</v>
      </c>
      <c r="F75" s="14" t="n">
        <v>45674.5</v>
      </c>
      <c r="G75" s="14" t="n">
        <v>45674.5</v>
      </c>
      <c r="H75" s="14" t="n">
        <v>8786.4743</v>
      </c>
      <c r="I75" s="14" t="n">
        <v>36888.03</v>
      </c>
      <c r="J75" s="14" t="n">
        <v>30625.06</v>
      </c>
      <c r="K75" s="15" t="n">
        <v>0.8076</v>
      </c>
      <c r="L75" s="15" t="n">
        <v>0.6705</v>
      </c>
      <c r="M75" s="29" t="n">
        <v>32.84</v>
      </c>
    </row>
    <row r="76" customFormat="false" ht="15" hidden="false" customHeight="false" outlineLevel="0" collapsed="false">
      <c r="A76" s="24" t="n">
        <v>10202</v>
      </c>
      <c r="B76" s="8" t="s">
        <v>95</v>
      </c>
      <c r="C76" s="25" t="n">
        <v>698</v>
      </c>
      <c r="D76" s="25" t="n">
        <v>698</v>
      </c>
      <c r="E76" s="10" t="n">
        <v>0</v>
      </c>
      <c r="F76" s="10" t="n">
        <v>47804.9</v>
      </c>
      <c r="G76" s="10" t="n">
        <v>47804.9</v>
      </c>
      <c r="H76" s="10" t="n">
        <v>23067.651</v>
      </c>
      <c r="I76" s="10" t="n">
        <v>24737.26</v>
      </c>
      <c r="J76" s="10" t="n">
        <v>14329.99</v>
      </c>
      <c r="K76" s="11" t="n">
        <v>0.5175</v>
      </c>
      <c r="L76" s="11" t="n">
        <v>0.2998</v>
      </c>
      <c r="M76" s="26" t="n">
        <v>42.45</v>
      </c>
    </row>
    <row r="77" customFormat="false" ht="15" hidden="false" customHeight="false" outlineLevel="0" collapsed="false">
      <c r="A77" s="27" t="n">
        <v>10204</v>
      </c>
      <c r="B77" s="12" t="s">
        <v>96</v>
      </c>
      <c r="C77" s="28" t="n">
        <v>60</v>
      </c>
      <c r="D77" s="28" t="n">
        <v>60</v>
      </c>
      <c r="E77" s="14" t="n">
        <v>0</v>
      </c>
      <c r="F77" s="14" t="n">
        <v>17884.2</v>
      </c>
      <c r="G77" s="14" t="n">
        <v>17884.2</v>
      </c>
      <c r="H77" s="14" t="n">
        <v>9199.122</v>
      </c>
      <c r="I77" s="14" t="n">
        <v>8685.08</v>
      </c>
      <c r="J77" s="14" t="n">
        <v>6492.48</v>
      </c>
      <c r="K77" s="15" t="n">
        <v>0.4856</v>
      </c>
      <c r="L77" s="15" t="n">
        <v>0.363</v>
      </c>
      <c r="M77" s="29" t="n">
        <v>30</v>
      </c>
    </row>
    <row r="78" customFormat="false" ht="15" hidden="false" customHeight="false" outlineLevel="0" collapsed="false">
      <c r="A78" s="24" t="n">
        <v>10206</v>
      </c>
      <c r="B78" s="8" t="s">
        <v>97</v>
      </c>
      <c r="C78" s="25" t="n">
        <v>38</v>
      </c>
      <c r="D78" s="25" t="n">
        <v>38</v>
      </c>
      <c r="E78" s="10" t="n">
        <v>0</v>
      </c>
      <c r="F78" s="10" t="n">
        <v>1384.72</v>
      </c>
      <c r="G78" s="10" t="n">
        <v>1384.72</v>
      </c>
      <c r="H78" s="10" t="n">
        <v>400.2202</v>
      </c>
      <c r="I78" s="10" t="n">
        <v>984.5</v>
      </c>
      <c r="J78" s="10" t="n">
        <v>604.09</v>
      </c>
      <c r="K78" s="11" t="n">
        <v>0.711</v>
      </c>
      <c r="L78" s="11" t="n">
        <v>0.4363</v>
      </c>
      <c r="M78" s="26" t="n">
        <v>32.74</v>
      </c>
    </row>
    <row r="79" customFormat="false" ht="15" hidden="false" customHeight="false" outlineLevel="0" collapsed="false">
      <c r="A79" s="27" t="n">
        <v>10208</v>
      </c>
      <c r="B79" s="12" t="s">
        <v>40</v>
      </c>
      <c r="C79" s="28" t="n">
        <v>97</v>
      </c>
      <c r="D79" s="28" t="n">
        <v>97</v>
      </c>
      <c r="E79" s="14" t="n">
        <v>0</v>
      </c>
      <c r="F79" s="14" t="n">
        <v>25002</v>
      </c>
      <c r="G79" s="14" t="n">
        <v>25002</v>
      </c>
      <c r="H79" s="14" t="n">
        <v>6778.91</v>
      </c>
      <c r="I79" s="14" t="n">
        <v>18223.09</v>
      </c>
      <c r="J79" s="14" t="n">
        <v>13582.67</v>
      </c>
      <c r="K79" s="15" t="n">
        <v>0.7289</v>
      </c>
      <c r="L79" s="15" t="n">
        <v>0.5433</v>
      </c>
      <c r="M79" s="29" t="n">
        <v>32.89</v>
      </c>
    </row>
    <row r="80" customFormat="false" ht="15" hidden="false" customHeight="false" outlineLevel="0" collapsed="false">
      <c r="A80" s="24" t="n">
        <v>10212</v>
      </c>
      <c r="B80" s="8" t="s">
        <v>74</v>
      </c>
      <c r="C80" s="25" t="n">
        <v>60</v>
      </c>
      <c r="D80" s="25" t="n">
        <v>60</v>
      </c>
      <c r="E80" s="10" t="n">
        <v>0</v>
      </c>
      <c r="F80" s="10" t="n">
        <v>10625.4</v>
      </c>
      <c r="G80" s="10" t="n">
        <v>10625.4</v>
      </c>
      <c r="H80" s="10" t="n">
        <v>5969.512</v>
      </c>
      <c r="I80" s="10" t="n">
        <v>4655.89</v>
      </c>
      <c r="J80" s="10" t="n">
        <v>1736.89</v>
      </c>
      <c r="K80" s="11" t="n">
        <v>0.4382</v>
      </c>
      <c r="L80" s="11" t="n">
        <v>0.1635</v>
      </c>
      <c r="M80" s="26" t="n">
        <v>34</v>
      </c>
    </row>
    <row r="81" customFormat="false" ht="15" hidden="false" customHeight="false" outlineLevel="0" collapsed="false">
      <c r="A81" s="27" t="n">
        <v>10215</v>
      </c>
      <c r="B81" s="12" t="s">
        <v>87</v>
      </c>
      <c r="C81" s="28" t="n">
        <v>5</v>
      </c>
      <c r="D81" s="28" t="n">
        <v>5</v>
      </c>
      <c r="E81" s="14" t="n">
        <v>0</v>
      </c>
      <c r="F81" s="14" t="n">
        <v>1264.5</v>
      </c>
      <c r="G81" s="14" t="n">
        <v>1264.5</v>
      </c>
      <c r="H81" s="14" t="n">
        <v>236.74</v>
      </c>
      <c r="I81" s="14" t="n">
        <v>1027.76</v>
      </c>
      <c r="J81" s="14" t="n">
        <v>872.73</v>
      </c>
      <c r="K81" s="15" t="n">
        <v>0.8128</v>
      </c>
      <c r="L81" s="15" t="n">
        <v>0.6902</v>
      </c>
      <c r="M81" s="29" t="n">
        <v>75</v>
      </c>
    </row>
    <row r="82" customFormat="false" ht="15" hidden="false" customHeight="false" outlineLevel="0" collapsed="false">
      <c r="A82" s="24" t="n">
        <v>10216</v>
      </c>
      <c r="B82" s="8" t="s">
        <v>98</v>
      </c>
      <c r="C82" s="25" t="n">
        <v>200</v>
      </c>
      <c r="D82" s="25" t="n">
        <v>200</v>
      </c>
      <c r="E82" s="10" t="n">
        <v>0</v>
      </c>
      <c r="F82" s="10" t="n">
        <v>42520</v>
      </c>
      <c r="G82" s="10" t="n">
        <v>42520</v>
      </c>
      <c r="H82" s="10" t="n">
        <v>20217.21</v>
      </c>
      <c r="I82" s="10" t="n">
        <v>22302.79</v>
      </c>
      <c r="J82" s="10" t="n">
        <v>15431.74</v>
      </c>
      <c r="K82" s="11" t="n">
        <v>0.5245</v>
      </c>
      <c r="L82" s="11" t="n">
        <v>0.3629</v>
      </c>
      <c r="M82" s="26" t="n">
        <v>33.85</v>
      </c>
    </row>
    <row r="83" customFormat="false" ht="15" hidden="false" customHeight="false" outlineLevel="0" collapsed="false">
      <c r="A83" s="27" t="n">
        <v>10220</v>
      </c>
      <c r="B83" s="12" t="s">
        <v>99</v>
      </c>
      <c r="C83" s="28" t="n">
        <v>10</v>
      </c>
      <c r="D83" s="28" t="n">
        <v>10</v>
      </c>
      <c r="E83" s="14" t="n">
        <v>0</v>
      </c>
      <c r="F83" s="14" t="n">
        <v>1410.3</v>
      </c>
      <c r="G83" s="14" t="n">
        <v>1410.3</v>
      </c>
      <c r="H83" s="14" t="n">
        <v>879.35</v>
      </c>
      <c r="I83" s="14" t="n">
        <v>530.95</v>
      </c>
      <c r="J83" s="14" t="n">
        <v>143.51</v>
      </c>
      <c r="K83" s="15" t="n">
        <v>0.3765</v>
      </c>
      <c r="L83" s="15" t="n">
        <v>0.1018</v>
      </c>
      <c r="M83" s="29" t="n">
        <v>50</v>
      </c>
    </row>
    <row r="84" customFormat="false" ht="15" hidden="false" customHeight="false" outlineLevel="0" collapsed="false">
      <c r="A84" s="24" t="n">
        <v>10221</v>
      </c>
      <c r="B84" s="8" t="s">
        <v>70</v>
      </c>
      <c r="C84" s="25" t="n">
        <v>20</v>
      </c>
      <c r="D84" s="25" t="n">
        <v>20</v>
      </c>
      <c r="E84" s="10" t="n">
        <v>0</v>
      </c>
      <c r="F84" s="10" t="n">
        <v>2593</v>
      </c>
      <c r="G84" s="10" t="n">
        <v>2593</v>
      </c>
      <c r="H84" s="10" t="n">
        <v>1606.42</v>
      </c>
      <c r="I84" s="10" t="n">
        <v>986.58</v>
      </c>
      <c r="J84" s="10" t="n">
        <v>274.22</v>
      </c>
      <c r="K84" s="11" t="n">
        <v>0.3805</v>
      </c>
      <c r="L84" s="11" t="n">
        <v>0.1058</v>
      </c>
      <c r="M84" s="26" t="n">
        <v>50</v>
      </c>
    </row>
    <row r="85" customFormat="false" ht="15" hidden="false" customHeight="false" outlineLevel="0" collapsed="false">
      <c r="A85" s="27" t="n">
        <v>10229</v>
      </c>
      <c r="B85" s="12" t="s">
        <v>100</v>
      </c>
      <c r="C85" s="28" t="n">
        <v>24</v>
      </c>
      <c r="D85" s="28" t="n">
        <v>24</v>
      </c>
      <c r="E85" s="14" t="n">
        <v>0</v>
      </c>
      <c r="F85" s="14" t="n">
        <v>4535.28</v>
      </c>
      <c r="G85" s="14" t="n">
        <v>4535.28</v>
      </c>
      <c r="H85" s="14" t="n">
        <v>705.8592</v>
      </c>
      <c r="I85" s="14" t="n">
        <v>3829.42</v>
      </c>
      <c r="J85" s="14" t="n">
        <v>2563.62</v>
      </c>
      <c r="K85" s="15" t="n">
        <v>0.8444</v>
      </c>
      <c r="L85" s="15" t="n">
        <v>0.5653</v>
      </c>
      <c r="M85" s="29" t="n">
        <v>34</v>
      </c>
    </row>
    <row r="86" customFormat="false" ht="15" hidden="false" customHeight="false" outlineLevel="0" collapsed="false">
      <c r="A86" s="24" t="n">
        <v>10230</v>
      </c>
      <c r="B86" s="8" t="s">
        <v>101</v>
      </c>
      <c r="C86" s="25" t="n">
        <v>96</v>
      </c>
      <c r="D86" s="25" t="n">
        <v>96</v>
      </c>
      <c r="E86" s="10" t="n">
        <v>0</v>
      </c>
      <c r="F86" s="10" t="n">
        <v>22938.5</v>
      </c>
      <c r="G86" s="10" t="n">
        <v>22938.5</v>
      </c>
      <c r="H86" s="10" t="n">
        <v>5660.2671</v>
      </c>
      <c r="I86" s="10" t="n">
        <v>17278.23</v>
      </c>
      <c r="J86" s="10" t="n">
        <v>13601.64</v>
      </c>
      <c r="K86" s="11" t="n">
        <v>0.7532</v>
      </c>
      <c r="L86" s="11" t="n">
        <v>0.593</v>
      </c>
      <c r="M86" s="26" t="n">
        <v>33.69</v>
      </c>
    </row>
    <row r="87" customFormat="false" ht="15" hidden="false" customHeight="false" outlineLevel="0" collapsed="false">
      <c r="A87" s="27" t="n">
        <v>10240</v>
      </c>
      <c r="B87" s="12" t="s">
        <v>102</v>
      </c>
      <c r="C87" s="28" t="n">
        <v>220</v>
      </c>
      <c r="D87" s="28" t="n">
        <v>220</v>
      </c>
      <c r="E87" s="14" t="n">
        <v>0</v>
      </c>
      <c r="F87" s="14" t="n">
        <v>10548.21</v>
      </c>
      <c r="G87" s="14" t="n">
        <v>10548.21</v>
      </c>
      <c r="H87" s="14" t="n">
        <v>2299.132</v>
      </c>
      <c r="I87" s="14" t="n">
        <v>8249.08</v>
      </c>
      <c r="J87" s="14" t="n">
        <v>5351.27</v>
      </c>
      <c r="K87" s="15" t="n">
        <v>0.782</v>
      </c>
      <c r="L87" s="15" t="n">
        <v>0.5073</v>
      </c>
      <c r="M87" s="29" t="n">
        <v>30</v>
      </c>
    </row>
    <row r="88" customFormat="false" ht="15" hidden="false" customHeight="false" outlineLevel="0" collapsed="false">
      <c r="A88" s="24" t="n">
        <v>10244</v>
      </c>
      <c r="B88" s="8" t="s">
        <v>103</v>
      </c>
      <c r="C88" s="25" t="n">
        <v>25</v>
      </c>
      <c r="D88" s="25" t="n">
        <v>25</v>
      </c>
      <c r="E88" s="10" t="n">
        <v>0</v>
      </c>
      <c r="F88" s="10" t="n">
        <v>4724.25</v>
      </c>
      <c r="G88" s="10" t="n">
        <v>4724.25</v>
      </c>
      <c r="H88" s="10" t="n">
        <v>735.27</v>
      </c>
      <c r="I88" s="10" t="n">
        <v>3988.98</v>
      </c>
      <c r="J88" s="10" t="n">
        <v>2670.44</v>
      </c>
      <c r="K88" s="11" t="n">
        <v>0.8444</v>
      </c>
      <c r="L88" s="11" t="n">
        <v>0.5653</v>
      </c>
      <c r="M88" s="26" t="n">
        <v>34</v>
      </c>
    </row>
    <row r="89" customFormat="false" ht="15" hidden="false" customHeight="false" outlineLevel="0" collapsed="false">
      <c r="A89" s="27" t="n">
        <v>10247</v>
      </c>
      <c r="B89" s="12" t="s">
        <v>104</v>
      </c>
      <c r="C89" s="28" t="n">
        <v>120</v>
      </c>
      <c r="D89" s="28" t="n">
        <v>120</v>
      </c>
      <c r="E89" s="14" t="n">
        <v>0</v>
      </c>
      <c r="F89" s="14" t="n">
        <v>21884.5</v>
      </c>
      <c r="G89" s="14" t="n">
        <v>21884.5</v>
      </c>
      <c r="H89" s="14" t="n">
        <v>8372.1996</v>
      </c>
      <c r="I89" s="14" t="n">
        <v>13512.3</v>
      </c>
      <c r="J89" s="14" t="n">
        <v>7871.52</v>
      </c>
      <c r="K89" s="15" t="n">
        <v>0.6174</v>
      </c>
      <c r="L89" s="15" t="n">
        <v>0.3597</v>
      </c>
      <c r="M89" s="29" t="n">
        <v>45.15</v>
      </c>
    </row>
    <row r="90" customFormat="false" ht="15" hidden="false" customHeight="false" outlineLevel="0" collapsed="false">
      <c r="A90" s="24" t="n">
        <v>10250</v>
      </c>
      <c r="B90" s="8" t="s">
        <v>105</v>
      </c>
      <c r="C90" s="25" t="n">
        <v>28</v>
      </c>
      <c r="D90" s="25" t="n">
        <v>28</v>
      </c>
      <c r="E90" s="10" t="n">
        <v>0</v>
      </c>
      <c r="F90" s="10" t="n">
        <v>5742.08</v>
      </c>
      <c r="G90" s="10" t="n">
        <v>5742.08</v>
      </c>
      <c r="H90" s="10" t="n">
        <v>1874.4799</v>
      </c>
      <c r="I90" s="10" t="n">
        <v>3867.6</v>
      </c>
      <c r="J90" s="10" t="n">
        <v>2290.15</v>
      </c>
      <c r="K90" s="11" t="n">
        <v>0.6736</v>
      </c>
      <c r="L90" s="11" t="n">
        <v>0.3988</v>
      </c>
      <c r="M90" s="26" t="n">
        <v>37.1</v>
      </c>
    </row>
    <row r="91" customFormat="false" ht="15" hidden="false" customHeight="false" outlineLevel="0" collapsed="false">
      <c r="A91" s="27" t="n">
        <v>10251</v>
      </c>
      <c r="B91" s="12" t="s">
        <v>106</v>
      </c>
      <c r="C91" s="28" t="n">
        <v>6</v>
      </c>
      <c r="D91" s="28" t="n">
        <v>6</v>
      </c>
      <c r="E91" s="14" t="n">
        <v>0</v>
      </c>
      <c r="F91" s="14" t="n">
        <v>1258.68</v>
      </c>
      <c r="G91" s="14" t="n">
        <v>1258.68</v>
      </c>
      <c r="H91" s="14" t="n">
        <v>383.5398</v>
      </c>
      <c r="I91" s="14" t="n">
        <v>875.14</v>
      </c>
      <c r="J91" s="14" t="n">
        <v>529.36</v>
      </c>
      <c r="K91" s="15" t="n">
        <v>0.6953</v>
      </c>
      <c r="L91" s="15" t="n">
        <v>0.4206</v>
      </c>
      <c r="M91" s="29" t="n">
        <v>34</v>
      </c>
    </row>
    <row r="92" customFormat="false" ht="15" hidden="false" customHeight="false" outlineLevel="0" collapsed="false">
      <c r="A92" s="24" t="n">
        <v>10252</v>
      </c>
      <c r="B92" s="8" t="s">
        <v>107</v>
      </c>
      <c r="C92" s="25" t="n">
        <v>2</v>
      </c>
      <c r="D92" s="25" t="n">
        <v>2</v>
      </c>
      <c r="E92" s="10" t="n">
        <v>0</v>
      </c>
      <c r="F92" s="10" t="n">
        <v>421.44</v>
      </c>
      <c r="G92" s="10" t="n">
        <v>421.44</v>
      </c>
      <c r="H92" s="10" t="n">
        <v>189.79</v>
      </c>
      <c r="I92" s="10" t="n">
        <v>231.65</v>
      </c>
      <c r="J92" s="10" t="n">
        <v>115.87</v>
      </c>
      <c r="K92" s="11" t="n">
        <v>0.5497</v>
      </c>
      <c r="L92" s="11" t="n">
        <v>0.2749</v>
      </c>
      <c r="M92" s="26" t="n">
        <v>60</v>
      </c>
    </row>
    <row r="93" customFormat="false" ht="15" hidden="false" customHeight="false" outlineLevel="0" collapsed="false">
      <c r="A93" s="27" t="n">
        <v>10254</v>
      </c>
      <c r="B93" s="12" t="s">
        <v>108</v>
      </c>
      <c r="C93" s="28" t="n">
        <v>103</v>
      </c>
      <c r="D93" s="28" t="n">
        <v>103</v>
      </c>
      <c r="E93" s="14" t="n">
        <v>0</v>
      </c>
      <c r="F93" s="14" t="n">
        <v>21221.63</v>
      </c>
      <c r="G93" s="14" t="n">
        <v>21221.63</v>
      </c>
      <c r="H93" s="14" t="n">
        <v>7762.374</v>
      </c>
      <c r="I93" s="14" t="n">
        <v>13459.26</v>
      </c>
      <c r="J93" s="14" t="n">
        <v>9262.44</v>
      </c>
      <c r="K93" s="15" t="n">
        <v>0.6342</v>
      </c>
      <c r="L93" s="15" t="n">
        <v>0.4365</v>
      </c>
      <c r="M93" s="29" t="n">
        <v>41.27</v>
      </c>
    </row>
    <row r="94" customFormat="false" ht="15" hidden="false" customHeight="false" outlineLevel="0" collapsed="false">
      <c r="A94" s="24" t="n">
        <v>10255</v>
      </c>
      <c r="B94" s="8" t="s">
        <v>109</v>
      </c>
      <c r="C94" s="25" t="n">
        <v>54</v>
      </c>
      <c r="D94" s="25" t="n">
        <v>54</v>
      </c>
      <c r="E94" s="10" t="n">
        <v>0</v>
      </c>
      <c r="F94" s="10" t="n">
        <v>8860.11</v>
      </c>
      <c r="G94" s="10" t="n">
        <v>8860.11</v>
      </c>
      <c r="H94" s="10" t="n">
        <v>3642.1102</v>
      </c>
      <c r="I94" s="10" t="n">
        <v>5218</v>
      </c>
      <c r="J94" s="10" t="n">
        <v>2994.22</v>
      </c>
      <c r="K94" s="11" t="n">
        <v>0.5889</v>
      </c>
      <c r="L94" s="11" t="n">
        <v>0.3379</v>
      </c>
      <c r="M94" s="26" t="n">
        <v>47.21</v>
      </c>
    </row>
    <row r="95" customFormat="false" ht="15" hidden="false" customHeight="false" outlineLevel="0" collapsed="false">
      <c r="A95" s="27" t="n">
        <v>10256</v>
      </c>
      <c r="B95" s="12" t="s">
        <v>110</v>
      </c>
      <c r="C95" s="28" t="n">
        <v>10</v>
      </c>
      <c r="D95" s="28" t="n">
        <v>10</v>
      </c>
      <c r="E95" s="14" t="n">
        <v>0</v>
      </c>
      <c r="F95" s="14" t="n">
        <v>3667</v>
      </c>
      <c r="G95" s="14" t="n">
        <v>3667</v>
      </c>
      <c r="H95" s="14" t="n">
        <v>1231.91</v>
      </c>
      <c r="I95" s="14" t="n">
        <v>2435.09</v>
      </c>
      <c r="J95" s="14" t="n">
        <v>1427.69</v>
      </c>
      <c r="K95" s="15" t="n">
        <v>0.6641</v>
      </c>
      <c r="L95" s="15" t="n">
        <v>0.3893</v>
      </c>
      <c r="M95" s="29" t="n">
        <v>50</v>
      </c>
    </row>
    <row r="96" customFormat="false" ht="15" hidden="false" customHeight="false" outlineLevel="0" collapsed="false">
      <c r="A96" s="24" t="n">
        <v>10257</v>
      </c>
      <c r="B96" s="8" t="s">
        <v>111</v>
      </c>
      <c r="C96" s="25" t="n">
        <v>10</v>
      </c>
      <c r="D96" s="25" t="n">
        <v>10</v>
      </c>
      <c r="E96" s="10" t="n">
        <v>0</v>
      </c>
      <c r="F96" s="10" t="n">
        <v>80039</v>
      </c>
      <c r="G96" s="10" t="n">
        <v>80039</v>
      </c>
      <c r="H96" s="10" t="n">
        <v>44443.54</v>
      </c>
      <c r="I96" s="10" t="n">
        <v>35595.46</v>
      </c>
      <c r="J96" s="10" t="n">
        <v>13607.15</v>
      </c>
      <c r="K96" s="11" t="n">
        <v>0.4447</v>
      </c>
      <c r="L96" s="11" t="n">
        <v>0.17</v>
      </c>
      <c r="M96" s="26" t="n">
        <v>33</v>
      </c>
    </row>
    <row r="97" customFormat="false" ht="15" hidden="false" customHeight="false" outlineLevel="0" collapsed="false">
      <c r="A97" s="27" t="n">
        <v>10267</v>
      </c>
      <c r="B97" s="12" t="s">
        <v>112</v>
      </c>
      <c r="C97" s="28" t="n">
        <v>206</v>
      </c>
      <c r="D97" s="28" t="n">
        <v>206</v>
      </c>
      <c r="E97" s="14" t="n">
        <v>0</v>
      </c>
      <c r="F97" s="14" t="n">
        <v>23390.82</v>
      </c>
      <c r="G97" s="14" t="n">
        <v>23390.82</v>
      </c>
      <c r="H97" s="14" t="n">
        <v>6060.4196</v>
      </c>
      <c r="I97" s="14" t="n">
        <v>17330.4</v>
      </c>
      <c r="J97" s="14" t="n">
        <v>14211.37</v>
      </c>
      <c r="K97" s="15" t="n">
        <v>0.7409</v>
      </c>
      <c r="L97" s="15" t="n">
        <v>0.6076</v>
      </c>
      <c r="M97" s="29" t="n">
        <v>55.49</v>
      </c>
    </row>
    <row r="98" customFormat="false" ht="15" hidden="false" customHeight="false" outlineLevel="0" collapsed="false">
      <c r="A98" s="24" t="n">
        <v>10268</v>
      </c>
      <c r="B98" s="8" t="s">
        <v>63</v>
      </c>
      <c r="C98" s="25" t="n">
        <v>20</v>
      </c>
      <c r="D98" s="25" t="n">
        <v>20</v>
      </c>
      <c r="E98" s="10" t="n">
        <v>0</v>
      </c>
      <c r="F98" s="10" t="n">
        <v>1144.8</v>
      </c>
      <c r="G98" s="10" t="n">
        <v>1144.8</v>
      </c>
      <c r="H98" s="10" t="n">
        <v>588.69</v>
      </c>
      <c r="I98" s="10" t="n">
        <v>556.11</v>
      </c>
      <c r="J98" s="10" t="n">
        <v>415.75</v>
      </c>
      <c r="K98" s="11" t="n">
        <v>0.4858</v>
      </c>
      <c r="L98" s="11" t="n">
        <v>0.3632</v>
      </c>
      <c r="M98" s="26" t="n">
        <v>28</v>
      </c>
    </row>
    <row r="99" customFormat="false" ht="15" hidden="false" customHeight="false" outlineLevel="0" collapsed="false">
      <c r="A99" s="27" t="n">
        <v>10277</v>
      </c>
      <c r="B99" s="12" t="s">
        <v>113</v>
      </c>
      <c r="C99" s="28" t="n">
        <v>300</v>
      </c>
      <c r="D99" s="28" t="n">
        <v>300</v>
      </c>
      <c r="E99" s="14" t="n">
        <v>0</v>
      </c>
      <c r="F99" s="14" t="n">
        <v>3567</v>
      </c>
      <c r="G99" s="14" t="n">
        <v>3567</v>
      </c>
      <c r="H99" s="14" t="n">
        <v>3062.67</v>
      </c>
      <c r="I99" s="14" t="n">
        <v>504.33</v>
      </c>
      <c r="J99" s="14" t="n">
        <v>-475.6</v>
      </c>
      <c r="K99" s="15" t="n">
        <v>0.1414</v>
      </c>
      <c r="L99" s="15" t="n">
        <v>-0.1333</v>
      </c>
      <c r="M99" s="29" t="n">
        <v>50</v>
      </c>
    </row>
    <row r="100" customFormat="false" ht="15" hidden="false" customHeight="false" outlineLevel="0" collapsed="false">
      <c r="A100" s="24" t="n">
        <v>10278</v>
      </c>
      <c r="B100" s="8" t="s">
        <v>114</v>
      </c>
      <c r="C100" s="25" t="n">
        <v>18</v>
      </c>
      <c r="D100" s="25" t="n">
        <v>18</v>
      </c>
      <c r="E100" s="10" t="n">
        <v>0</v>
      </c>
      <c r="F100" s="10" t="n">
        <v>403.38</v>
      </c>
      <c r="G100" s="10" t="n">
        <v>403.38</v>
      </c>
      <c r="H100" s="10" t="n">
        <v>139.18</v>
      </c>
      <c r="I100" s="10" t="n">
        <v>264.2</v>
      </c>
      <c r="J100" s="10" t="n">
        <v>153.39</v>
      </c>
      <c r="K100" s="11" t="n">
        <v>0.655</v>
      </c>
      <c r="L100" s="11" t="n">
        <v>0.3803</v>
      </c>
      <c r="M100" s="26" t="n">
        <v>50</v>
      </c>
    </row>
    <row r="101" customFormat="false" ht="15" hidden="false" customHeight="false" outlineLevel="0" collapsed="false">
      <c r="A101" s="27" t="n">
        <v>10279</v>
      </c>
      <c r="B101" s="12" t="s">
        <v>115</v>
      </c>
      <c r="C101" s="28" t="n">
        <v>20</v>
      </c>
      <c r="D101" s="28" t="n">
        <v>20</v>
      </c>
      <c r="E101" s="14" t="n">
        <v>0</v>
      </c>
      <c r="F101" s="14" t="n">
        <v>920</v>
      </c>
      <c r="G101" s="14" t="n">
        <v>920</v>
      </c>
      <c r="H101" s="14" t="n">
        <v>438.51</v>
      </c>
      <c r="I101" s="14" t="n">
        <v>481.49</v>
      </c>
      <c r="J101" s="14" t="n">
        <v>368.69</v>
      </c>
      <c r="K101" s="15" t="n">
        <v>0.5234</v>
      </c>
      <c r="L101" s="15" t="n">
        <v>0.4008</v>
      </c>
      <c r="M101" s="29" t="n">
        <v>28</v>
      </c>
    </row>
    <row r="102" customFormat="false" ht="15" hidden="false" customHeight="false" outlineLevel="0" collapsed="false">
      <c r="A102" s="24" t="n">
        <v>10282</v>
      </c>
      <c r="B102" s="8" t="s">
        <v>116</v>
      </c>
      <c r="C102" s="25" t="n">
        <v>18</v>
      </c>
      <c r="D102" s="25" t="n">
        <v>18</v>
      </c>
      <c r="E102" s="10" t="n">
        <v>0</v>
      </c>
      <c r="F102" s="10" t="n">
        <v>4249.22</v>
      </c>
      <c r="G102" s="10" t="n">
        <v>4249.22</v>
      </c>
      <c r="H102" s="10" t="n">
        <v>2376.02</v>
      </c>
      <c r="I102" s="10" t="n">
        <v>1873.2</v>
      </c>
      <c r="J102" s="10" t="n">
        <v>705.88</v>
      </c>
      <c r="K102" s="11" t="n">
        <v>0.4408</v>
      </c>
      <c r="L102" s="11" t="n">
        <v>0.1661</v>
      </c>
      <c r="M102" s="26" t="n">
        <v>55.31</v>
      </c>
    </row>
    <row r="103" customFormat="false" ht="15" hidden="false" customHeight="false" outlineLevel="0" collapsed="false">
      <c r="A103" s="27" t="n">
        <v>10283</v>
      </c>
      <c r="B103" s="12" t="s">
        <v>117</v>
      </c>
      <c r="C103" s="28" t="n">
        <v>4</v>
      </c>
      <c r="D103" s="28" t="n">
        <v>4</v>
      </c>
      <c r="E103" s="14" t="n">
        <v>0</v>
      </c>
      <c r="F103" s="14" t="n">
        <v>1467</v>
      </c>
      <c r="G103" s="14" t="n">
        <v>1467</v>
      </c>
      <c r="H103" s="14" t="n">
        <v>1042.28</v>
      </c>
      <c r="I103" s="14" t="n">
        <v>424.72</v>
      </c>
      <c r="J103" s="14" t="n">
        <v>21.7</v>
      </c>
      <c r="K103" s="15" t="n">
        <v>0.2895</v>
      </c>
      <c r="L103" s="15" t="n">
        <v>0.0148</v>
      </c>
      <c r="M103" s="29" t="n">
        <v>60</v>
      </c>
    </row>
    <row r="104" customFormat="false" ht="15" hidden="false" customHeight="false" outlineLevel="0" collapsed="false">
      <c r="A104" s="24" t="n">
        <v>10284</v>
      </c>
      <c r="B104" s="8" t="s">
        <v>118</v>
      </c>
      <c r="C104" s="25" t="n">
        <v>32</v>
      </c>
      <c r="D104" s="25" t="n">
        <v>32</v>
      </c>
      <c r="E104" s="10" t="n">
        <v>0</v>
      </c>
      <c r="F104" s="10" t="n">
        <v>3545.48</v>
      </c>
      <c r="G104" s="10" t="n">
        <v>3545.48</v>
      </c>
      <c r="H104" s="10" t="n">
        <v>747.031</v>
      </c>
      <c r="I104" s="10" t="n">
        <v>2798.45</v>
      </c>
      <c r="J104" s="10" t="n">
        <v>2329.48</v>
      </c>
      <c r="K104" s="11" t="n">
        <v>0.7893</v>
      </c>
      <c r="L104" s="11" t="n">
        <v>0.657</v>
      </c>
      <c r="M104" s="26" t="n">
        <v>31.91</v>
      </c>
    </row>
    <row r="105" customFormat="false" ht="15" hidden="false" customHeight="false" outlineLevel="0" collapsed="false">
      <c r="A105" s="27" t="n">
        <v>10286</v>
      </c>
      <c r="B105" s="12" t="s">
        <v>119</v>
      </c>
      <c r="C105" s="28" t="n">
        <v>9</v>
      </c>
      <c r="D105" s="28" t="n">
        <v>9</v>
      </c>
      <c r="E105" s="14" t="n">
        <v>0</v>
      </c>
      <c r="F105" s="14" t="n">
        <v>1694.58</v>
      </c>
      <c r="G105" s="14" t="n">
        <v>1694.58</v>
      </c>
      <c r="H105" s="14" t="n">
        <v>529.29</v>
      </c>
      <c r="I105" s="14" t="n">
        <v>1165.29</v>
      </c>
      <c r="J105" s="14" t="n">
        <v>750.94</v>
      </c>
      <c r="K105" s="15" t="n">
        <v>0.6877</v>
      </c>
      <c r="L105" s="15" t="n">
        <v>0.4431</v>
      </c>
      <c r="M105" s="29" t="n">
        <v>49.15</v>
      </c>
    </row>
    <row r="106" customFormat="false" ht="15" hidden="false" customHeight="false" outlineLevel="0" collapsed="false">
      <c r="A106" s="24" t="n">
        <v>10287</v>
      </c>
      <c r="B106" s="8" t="s">
        <v>40</v>
      </c>
      <c r="C106" s="25" t="n">
        <v>31</v>
      </c>
      <c r="D106" s="25" t="n">
        <v>31</v>
      </c>
      <c r="E106" s="10" t="n">
        <v>0</v>
      </c>
      <c r="F106" s="10" t="n">
        <v>6250.96</v>
      </c>
      <c r="G106" s="10" t="n">
        <v>6250.96</v>
      </c>
      <c r="H106" s="10" t="n">
        <v>2152.7599</v>
      </c>
      <c r="I106" s="10" t="n">
        <v>4098.2</v>
      </c>
      <c r="J106" s="10" t="n">
        <v>3029.66</v>
      </c>
      <c r="K106" s="11" t="n">
        <v>0.6556</v>
      </c>
      <c r="L106" s="11" t="n">
        <v>0.4847</v>
      </c>
      <c r="M106" s="26" t="n">
        <v>42.84</v>
      </c>
    </row>
    <row r="107" customFormat="false" ht="15" hidden="false" customHeight="false" outlineLevel="0" collapsed="false">
      <c r="A107" s="27" t="n">
        <v>10288</v>
      </c>
      <c r="B107" s="12" t="s">
        <v>120</v>
      </c>
      <c r="C107" s="28" t="n">
        <v>2</v>
      </c>
      <c r="D107" s="28" t="n">
        <v>2</v>
      </c>
      <c r="E107" s="14" t="n">
        <v>0</v>
      </c>
      <c r="F107" s="14" t="n">
        <v>599.92</v>
      </c>
      <c r="G107" s="14" t="n">
        <v>599.92</v>
      </c>
      <c r="H107" s="14" t="n">
        <v>212.56</v>
      </c>
      <c r="I107" s="14" t="n">
        <v>387.36</v>
      </c>
      <c r="J107" s="14" t="n">
        <v>222.54</v>
      </c>
      <c r="K107" s="15" t="n">
        <v>0.6457</v>
      </c>
      <c r="L107" s="15" t="n">
        <v>0.3709</v>
      </c>
      <c r="M107" s="29" t="n">
        <v>33</v>
      </c>
    </row>
    <row r="108" customFormat="false" ht="15" hidden="false" customHeight="false" outlineLevel="0" collapsed="false">
      <c r="A108" s="24" t="n">
        <v>10296</v>
      </c>
      <c r="B108" s="8" t="s">
        <v>121</v>
      </c>
      <c r="C108" s="25" t="n">
        <v>401</v>
      </c>
      <c r="D108" s="25" t="n">
        <v>401</v>
      </c>
      <c r="E108" s="10" t="n">
        <v>0</v>
      </c>
      <c r="F108" s="10" t="n">
        <v>44579.05</v>
      </c>
      <c r="G108" s="10" t="n">
        <v>44579.05</v>
      </c>
      <c r="H108" s="10" t="n">
        <v>30329.1618</v>
      </c>
      <c r="I108" s="10" t="n">
        <v>14249.89</v>
      </c>
      <c r="J108" s="10" t="n">
        <v>3106.92</v>
      </c>
      <c r="K108" s="11" t="n">
        <v>0.3197</v>
      </c>
      <c r="L108" s="11" t="n">
        <v>0.0697</v>
      </c>
      <c r="M108" s="26" t="n">
        <v>50.26</v>
      </c>
    </row>
    <row r="109" customFormat="false" ht="15" hidden="false" customHeight="false" outlineLevel="0" collapsed="false">
      <c r="A109" s="27" t="n">
        <v>10299</v>
      </c>
      <c r="B109" s="12" t="s">
        <v>122</v>
      </c>
      <c r="C109" s="28" t="n">
        <v>39</v>
      </c>
      <c r="D109" s="28" t="n">
        <v>39</v>
      </c>
      <c r="E109" s="14" t="n">
        <v>242.35</v>
      </c>
      <c r="F109" s="14" t="n">
        <v>6153.47</v>
      </c>
      <c r="G109" s="14" t="n">
        <v>6395.82</v>
      </c>
      <c r="H109" s="14" t="n">
        <v>4171.2696</v>
      </c>
      <c r="I109" s="14" t="n">
        <v>2224.55</v>
      </c>
      <c r="J109" s="14" t="n">
        <v>665.14</v>
      </c>
      <c r="K109" s="15" t="n">
        <v>0.3478</v>
      </c>
      <c r="L109" s="15" t="n">
        <v>0.104</v>
      </c>
      <c r="M109" s="29" t="n">
        <v>31.87</v>
      </c>
    </row>
    <row r="110" customFormat="false" ht="15" hidden="false" customHeight="false" outlineLevel="0" collapsed="false">
      <c r="A110" s="24" t="n">
        <v>10300</v>
      </c>
      <c r="B110" s="8" t="s">
        <v>123</v>
      </c>
      <c r="C110" s="25" t="n">
        <v>30</v>
      </c>
      <c r="D110" s="25" t="n">
        <v>30</v>
      </c>
      <c r="E110" s="10" t="n">
        <v>0</v>
      </c>
      <c r="F110" s="10" t="n">
        <v>4834.28</v>
      </c>
      <c r="G110" s="10" t="n">
        <v>4834.28</v>
      </c>
      <c r="H110" s="10" t="n">
        <v>3119.4798</v>
      </c>
      <c r="I110" s="10" t="n">
        <v>1714.8</v>
      </c>
      <c r="J110" s="10" t="n">
        <v>542.02</v>
      </c>
      <c r="K110" s="11" t="n">
        <v>0.3547</v>
      </c>
      <c r="L110" s="11" t="n">
        <v>0.1121</v>
      </c>
      <c r="M110" s="26" t="n">
        <v>33.62</v>
      </c>
    </row>
    <row r="111" customFormat="false" ht="15" hidden="false" customHeight="false" outlineLevel="0" collapsed="false">
      <c r="A111" s="27" t="n">
        <v>10301</v>
      </c>
      <c r="B111" s="12" t="s">
        <v>124</v>
      </c>
      <c r="C111" s="28" t="n">
        <v>42</v>
      </c>
      <c r="D111" s="28" t="n">
        <v>42</v>
      </c>
      <c r="E111" s="14" t="n">
        <v>0</v>
      </c>
      <c r="F111" s="14" t="n">
        <v>5198.34</v>
      </c>
      <c r="G111" s="14" t="n">
        <v>5198.34</v>
      </c>
      <c r="H111" s="14" t="n">
        <v>3325.4498</v>
      </c>
      <c r="I111" s="14" t="n">
        <v>1872.89</v>
      </c>
      <c r="J111" s="14" t="n">
        <v>611.77</v>
      </c>
      <c r="K111" s="15" t="n">
        <v>0.3603</v>
      </c>
      <c r="L111" s="15" t="n">
        <v>0.1177</v>
      </c>
      <c r="M111" s="29" t="n">
        <v>32.43</v>
      </c>
    </row>
    <row r="112" customFormat="false" ht="15" hidden="false" customHeight="false" outlineLevel="0" collapsed="false">
      <c r="A112" s="24" t="n">
        <v>10304</v>
      </c>
      <c r="B112" s="8" t="s">
        <v>125</v>
      </c>
      <c r="C112" s="25" t="n">
        <v>26</v>
      </c>
      <c r="D112" s="25" t="n">
        <v>26</v>
      </c>
      <c r="E112" s="10" t="n">
        <v>0</v>
      </c>
      <c r="F112" s="10" t="n">
        <v>3218.02</v>
      </c>
      <c r="G112" s="10" t="n">
        <v>3218.02</v>
      </c>
      <c r="H112" s="10" t="n">
        <v>2044.6997</v>
      </c>
      <c r="I112" s="10" t="n">
        <v>1173.32</v>
      </c>
      <c r="J112" s="10" t="n">
        <v>392.64</v>
      </c>
      <c r="K112" s="11" t="n">
        <v>0.3646</v>
      </c>
      <c r="L112" s="11" t="n">
        <v>0.122</v>
      </c>
      <c r="M112" s="26" t="n">
        <v>33</v>
      </c>
    </row>
    <row r="113" customFormat="false" ht="15" hidden="false" customHeight="false" outlineLevel="0" collapsed="false">
      <c r="A113" s="27" t="n">
        <v>10325</v>
      </c>
      <c r="B113" s="12" t="s">
        <v>126</v>
      </c>
      <c r="C113" s="28" t="n">
        <v>17</v>
      </c>
      <c r="D113" s="28" t="n">
        <v>17</v>
      </c>
      <c r="E113" s="14" t="n">
        <v>0</v>
      </c>
      <c r="F113" s="14" t="n">
        <v>3530.39</v>
      </c>
      <c r="G113" s="14" t="n">
        <v>3530.39</v>
      </c>
      <c r="H113" s="14" t="n">
        <v>1560.6</v>
      </c>
      <c r="I113" s="14" t="n">
        <v>1969.79</v>
      </c>
      <c r="J113" s="14" t="n">
        <v>999.92</v>
      </c>
      <c r="K113" s="15" t="n">
        <v>0.558</v>
      </c>
      <c r="L113" s="15" t="n">
        <v>0.2832</v>
      </c>
      <c r="M113" s="29" t="n">
        <v>36</v>
      </c>
    </row>
    <row r="114" customFormat="false" ht="15" hidden="false" customHeight="false" outlineLevel="0" collapsed="false">
      <c r="A114" s="24" t="n">
        <v>10331</v>
      </c>
      <c r="B114" s="8" t="s">
        <v>127</v>
      </c>
      <c r="C114" s="25" t="n">
        <v>8</v>
      </c>
      <c r="D114" s="25" t="n">
        <v>8</v>
      </c>
      <c r="E114" s="10" t="n">
        <v>0</v>
      </c>
      <c r="F114" s="10" t="n">
        <v>262.4</v>
      </c>
      <c r="G114" s="10" t="n">
        <v>262.4</v>
      </c>
      <c r="H114" s="10" t="n">
        <v>136.06</v>
      </c>
      <c r="I114" s="10" t="n">
        <v>126.34</v>
      </c>
      <c r="J114" s="10" t="n">
        <v>54.26</v>
      </c>
      <c r="K114" s="11" t="n">
        <v>0.4815</v>
      </c>
      <c r="L114" s="11" t="n">
        <v>0.2068</v>
      </c>
      <c r="M114" s="26" t="n">
        <v>45</v>
      </c>
    </row>
    <row r="115" customFormat="false" ht="15" hidden="false" customHeight="false" outlineLevel="0" collapsed="false">
      <c r="A115" s="27" t="n">
        <v>10335</v>
      </c>
      <c r="B115" s="12" t="s">
        <v>96</v>
      </c>
      <c r="C115" s="28" t="n">
        <v>4</v>
      </c>
      <c r="D115" s="28" t="n">
        <v>4</v>
      </c>
      <c r="E115" s="14" t="n">
        <v>0</v>
      </c>
      <c r="F115" s="14" t="n">
        <v>841.44</v>
      </c>
      <c r="G115" s="14" t="n">
        <v>841.44</v>
      </c>
      <c r="H115" s="14" t="n">
        <v>496.04</v>
      </c>
      <c r="I115" s="14" t="n">
        <v>345.4</v>
      </c>
      <c r="J115" s="14" t="n">
        <v>114.24</v>
      </c>
      <c r="K115" s="15" t="n">
        <v>0.4105</v>
      </c>
      <c r="L115" s="15" t="n">
        <v>0.1358</v>
      </c>
      <c r="M115" s="29" t="n">
        <v>36</v>
      </c>
    </row>
    <row r="116" customFormat="false" ht="15" hidden="false" customHeight="false" outlineLevel="0" collapsed="false">
      <c r="A116" s="24" t="n">
        <v>10337</v>
      </c>
      <c r="B116" s="8" t="s">
        <v>96</v>
      </c>
      <c r="C116" s="25" t="n">
        <v>3</v>
      </c>
      <c r="D116" s="25" t="n">
        <v>3</v>
      </c>
      <c r="E116" s="10" t="n">
        <v>0</v>
      </c>
      <c r="F116" s="10" t="n">
        <v>1755</v>
      </c>
      <c r="G116" s="10" t="n">
        <v>1755</v>
      </c>
      <c r="H116" s="10" t="n">
        <v>400.29</v>
      </c>
      <c r="I116" s="10" t="n">
        <v>1354.71</v>
      </c>
      <c r="J116" s="10" t="n">
        <v>864.9</v>
      </c>
      <c r="K116" s="11" t="n">
        <v>0.7719</v>
      </c>
      <c r="L116" s="11" t="n">
        <v>0.4928</v>
      </c>
      <c r="M116" s="26" t="n">
        <v>45</v>
      </c>
    </row>
    <row r="117" customFormat="false" ht="15" hidden="false" customHeight="false" outlineLevel="0" collapsed="false">
      <c r="A117" s="27" t="n">
        <v>10340</v>
      </c>
      <c r="B117" s="12" t="s">
        <v>128</v>
      </c>
      <c r="C117" s="28" t="n">
        <v>92</v>
      </c>
      <c r="D117" s="28" t="n">
        <v>92</v>
      </c>
      <c r="E117" s="14" t="n">
        <v>0</v>
      </c>
      <c r="F117" s="14" t="n">
        <v>705.05</v>
      </c>
      <c r="G117" s="14" t="n">
        <v>705.05</v>
      </c>
      <c r="H117" s="14" t="n">
        <v>436.84</v>
      </c>
      <c r="I117" s="14" t="n">
        <v>268.21</v>
      </c>
      <c r="J117" s="14" t="n">
        <v>82.16</v>
      </c>
      <c r="K117" s="15" t="n">
        <v>0.3804</v>
      </c>
      <c r="L117" s="15" t="n">
        <v>0.1165</v>
      </c>
      <c r="M117" s="29" t="n">
        <v>50</v>
      </c>
    </row>
    <row r="118" customFormat="false" ht="15" hidden="false" customHeight="false" outlineLevel="0" collapsed="false">
      <c r="A118" s="24" t="n">
        <v>10343</v>
      </c>
      <c r="B118" s="8" t="s">
        <v>129</v>
      </c>
      <c r="C118" s="25" t="n">
        <v>3</v>
      </c>
      <c r="D118" s="25" t="n">
        <v>3</v>
      </c>
      <c r="E118" s="10" t="n">
        <v>0</v>
      </c>
      <c r="F118" s="10" t="n">
        <v>600.66</v>
      </c>
      <c r="G118" s="10" t="n">
        <v>600.66</v>
      </c>
      <c r="H118" s="10" t="n">
        <v>333.48</v>
      </c>
      <c r="I118" s="10" t="n">
        <v>267.18</v>
      </c>
      <c r="J118" s="10" t="n">
        <v>102.16</v>
      </c>
      <c r="K118" s="11" t="n">
        <v>0.4448</v>
      </c>
      <c r="L118" s="11" t="n">
        <v>0.1701</v>
      </c>
      <c r="M118" s="26" t="n">
        <v>31.33</v>
      </c>
    </row>
    <row r="119" customFormat="false" ht="15" hidden="false" customHeight="false" outlineLevel="0" collapsed="false">
      <c r="A119" s="27" t="n">
        <v>10346</v>
      </c>
      <c r="B119" s="12" t="s">
        <v>130</v>
      </c>
      <c r="C119" s="28" t="n">
        <v>93</v>
      </c>
      <c r="D119" s="28" t="n">
        <v>93</v>
      </c>
      <c r="E119" s="14" t="n">
        <v>0</v>
      </c>
      <c r="F119" s="14" t="n">
        <v>17574.21</v>
      </c>
      <c r="G119" s="14" t="n">
        <v>17574.21</v>
      </c>
      <c r="H119" s="14" t="n">
        <v>3135.0489</v>
      </c>
      <c r="I119" s="14" t="n">
        <v>14439.16</v>
      </c>
      <c r="J119" s="14" t="n">
        <v>9534.18</v>
      </c>
      <c r="K119" s="15" t="n">
        <v>0.8216</v>
      </c>
      <c r="L119" s="15" t="n">
        <v>0.5425</v>
      </c>
      <c r="M119" s="29" t="n">
        <v>34</v>
      </c>
    </row>
    <row r="120" customFormat="false" ht="15" hidden="false" customHeight="false" outlineLevel="0" collapsed="false">
      <c r="A120" s="24" t="n">
        <v>10358</v>
      </c>
      <c r="B120" s="8" t="s">
        <v>129</v>
      </c>
      <c r="C120" s="25" t="n">
        <v>5</v>
      </c>
      <c r="D120" s="25" t="n">
        <v>5</v>
      </c>
      <c r="E120" s="10" t="n">
        <v>0</v>
      </c>
      <c r="F120" s="10" t="n">
        <v>1345.25</v>
      </c>
      <c r="G120" s="10" t="n">
        <v>1345.25</v>
      </c>
      <c r="H120" s="10" t="n">
        <v>587.7</v>
      </c>
      <c r="I120" s="10" t="n">
        <v>757.55</v>
      </c>
      <c r="J120" s="10" t="n">
        <v>382.09</v>
      </c>
      <c r="K120" s="11" t="n">
        <v>0.5631</v>
      </c>
      <c r="L120" s="11" t="n">
        <v>0.284</v>
      </c>
      <c r="M120" s="26" t="n">
        <v>34</v>
      </c>
    </row>
    <row r="121" customFormat="false" ht="15" hidden="false" customHeight="false" outlineLevel="0" collapsed="false">
      <c r="A121" s="27" t="n">
        <v>10361</v>
      </c>
      <c r="B121" s="12" t="s">
        <v>96</v>
      </c>
      <c r="C121" s="28" t="n">
        <v>22</v>
      </c>
      <c r="D121" s="28" t="n">
        <v>22</v>
      </c>
      <c r="E121" s="14" t="n">
        <v>0</v>
      </c>
      <c r="F121" s="14" t="n">
        <v>17320.55</v>
      </c>
      <c r="G121" s="14" t="n">
        <v>17320.55</v>
      </c>
      <c r="H121" s="14" t="n">
        <v>5566.1903</v>
      </c>
      <c r="I121" s="14" t="n">
        <v>11754.36</v>
      </c>
      <c r="J121" s="14" t="n">
        <v>6920.21</v>
      </c>
      <c r="K121" s="15" t="n">
        <v>0.6786</v>
      </c>
      <c r="L121" s="15" t="n">
        <v>0.3995</v>
      </c>
      <c r="M121" s="29" t="n">
        <v>34</v>
      </c>
    </row>
    <row r="122" customFormat="false" ht="15" hidden="false" customHeight="false" outlineLevel="0" collapsed="false">
      <c r="A122" s="24" t="n">
        <v>10362</v>
      </c>
      <c r="B122" s="8" t="s">
        <v>131</v>
      </c>
      <c r="C122" s="25" t="n">
        <v>21</v>
      </c>
      <c r="D122" s="25" t="n">
        <v>21</v>
      </c>
      <c r="E122" s="10" t="n">
        <v>0</v>
      </c>
      <c r="F122" s="10" t="n">
        <v>1666.14</v>
      </c>
      <c r="G122" s="10" t="n">
        <v>1666.14</v>
      </c>
      <c r="H122" s="10" t="n">
        <v>724.87</v>
      </c>
      <c r="I122" s="10" t="n">
        <v>941.27</v>
      </c>
      <c r="J122" s="10" t="n">
        <v>483.56</v>
      </c>
      <c r="K122" s="11" t="n">
        <v>0.5649</v>
      </c>
      <c r="L122" s="11" t="n">
        <v>0.2902</v>
      </c>
      <c r="M122" s="26" t="n">
        <v>37.9</v>
      </c>
    </row>
    <row r="123" customFormat="false" ht="15" hidden="false" customHeight="false" outlineLevel="0" collapsed="false">
      <c r="A123" s="27" t="n">
        <v>10363</v>
      </c>
      <c r="B123" s="12" t="s">
        <v>132</v>
      </c>
      <c r="C123" s="28" t="n">
        <v>20</v>
      </c>
      <c r="D123" s="28" t="n">
        <v>20</v>
      </c>
      <c r="E123" s="14" t="n">
        <v>0</v>
      </c>
      <c r="F123" s="14" t="n">
        <v>1293.6</v>
      </c>
      <c r="G123" s="14" t="n">
        <v>1293.6</v>
      </c>
      <c r="H123" s="14" t="n">
        <v>684.95</v>
      </c>
      <c r="I123" s="14" t="n">
        <v>608.65</v>
      </c>
      <c r="J123" s="14" t="n">
        <v>450.05</v>
      </c>
      <c r="K123" s="15" t="n">
        <v>0.4705</v>
      </c>
      <c r="L123" s="15" t="n">
        <v>0.3479</v>
      </c>
      <c r="M123" s="29" t="n">
        <v>45</v>
      </c>
    </row>
    <row r="124" customFormat="false" ht="15" hidden="false" customHeight="false" outlineLevel="0" collapsed="false">
      <c r="A124" s="24" t="n">
        <v>10375</v>
      </c>
      <c r="B124" s="8" t="s">
        <v>133</v>
      </c>
      <c r="C124" s="25" t="n">
        <v>50</v>
      </c>
      <c r="D124" s="25" t="n">
        <v>50</v>
      </c>
      <c r="E124" s="10" t="n">
        <v>0</v>
      </c>
      <c r="F124" s="10" t="n">
        <v>2007.5</v>
      </c>
      <c r="G124" s="10" t="n">
        <v>2007.5</v>
      </c>
      <c r="H124" s="10" t="n">
        <v>831.23</v>
      </c>
      <c r="I124" s="10" t="n">
        <v>1176.27</v>
      </c>
      <c r="J124" s="10" t="n">
        <v>624.77</v>
      </c>
      <c r="K124" s="11" t="n">
        <v>0.5859</v>
      </c>
      <c r="L124" s="11" t="n">
        <v>0.3112</v>
      </c>
      <c r="M124" s="26" t="n">
        <v>60</v>
      </c>
    </row>
    <row r="125" customFormat="false" ht="15" hidden="false" customHeight="false" outlineLevel="0" collapsed="false">
      <c r="A125" s="27" t="n">
        <v>10397</v>
      </c>
      <c r="B125" s="12" t="s">
        <v>134</v>
      </c>
      <c r="C125" s="28" t="n">
        <v>62</v>
      </c>
      <c r="D125" s="28" t="n">
        <v>62</v>
      </c>
      <c r="E125" s="14" t="n">
        <v>0</v>
      </c>
      <c r="F125" s="14" t="n">
        <v>8324.64</v>
      </c>
      <c r="G125" s="14" t="n">
        <v>8324.64</v>
      </c>
      <c r="H125" s="14" t="n">
        <v>2914.2404</v>
      </c>
      <c r="I125" s="14" t="n">
        <v>5410.4</v>
      </c>
      <c r="J125" s="14" t="n">
        <v>3123.44</v>
      </c>
      <c r="K125" s="15" t="n">
        <v>0.6499</v>
      </c>
      <c r="L125" s="15" t="n">
        <v>0.3752</v>
      </c>
      <c r="M125" s="29" t="n">
        <v>44.74</v>
      </c>
    </row>
    <row r="126" customFormat="false" ht="15" hidden="false" customHeight="false" outlineLevel="0" collapsed="false">
      <c r="A126" s="24" t="n">
        <v>10404</v>
      </c>
      <c r="B126" s="8" t="s">
        <v>96</v>
      </c>
      <c r="C126" s="25" t="n">
        <v>20</v>
      </c>
      <c r="D126" s="25" t="n">
        <v>20</v>
      </c>
      <c r="E126" s="10" t="n">
        <v>0</v>
      </c>
      <c r="F126" s="10" t="n">
        <v>4357.8</v>
      </c>
      <c r="G126" s="10" t="n">
        <v>4357.8</v>
      </c>
      <c r="H126" s="10" t="n">
        <v>2245.4096</v>
      </c>
      <c r="I126" s="10" t="n">
        <v>2112.39</v>
      </c>
      <c r="J126" s="10" t="n">
        <v>915.21</v>
      </c>
      <c r="K126" s="11" t="n">
        <v>0.4847</v>
      </c>
      <c r="L126" s="11" t="n">
        <v>0.21</v>
      </c>
      <c r="M126" s="26" t="n">
        <v>33.6</v>
      </c>
    </row>
    <row r="127" customFormat="false" ht="15" hidden="false" customHeight="false" outlineLevel="0" collapsed="false">
      <c r="A127" s="27" t="n">
        <v>10406</v>
      </c>
      <c r="B127" s="12" t="s">
        <v>135</v>
      </c>
      <c r="C127" s="28" t="n">
        <v>80</v>
      </c>
      <c r="D127" s="28" t="n">
        <v>80</v>
      </c>
      <c r="E127" s="14" t="n">
        <v>0</v>
      </c>
      <c r="F127" s="14" t="n">
        <v>12656</v>
      </c>
      <c r="G127" s="14" t="n">
        <v>12656</v>
      </c>
      <c r="H127" s="14" t="n">
        <v>5443.252</v>
      </c>
      <c r="I127" s="14" t="n">
        <v>7212.75</v>
      </c>
      <c r="J127" s="14" t="n">
        <v>5661.13</v>
      </c>
      <c r="K127" s="15" t="n">
        <v>0.5699</v>
      </c>
      <c r="L127" s="15" t="n">
        <v>0.4473</v>
      </c>
      <c r="M127" s="29" t="n">
        <v>36</v>
      </c>
    </row>
    <row r="128" customFormat="false" ht="15" hidden="false" customHeight="false" outlineLevel="0" collapsed="false">
      <c r="A128" s="24" t="n">
        <v>10408</v>
      </c>
      <c r="B128" s="8" t="s">
        <v>136</v>
      </c>
      <c r="C128" s="25" t="n">
        <v>52</v>
      </c>
      <c r="D128" s="25" t="n">
        <v>52</v>
      </c>
      <c r="E128" s="10" t="n">
        <v>0</v>
      </c>
      <c r="F128" s="10" t="n">
        <v>14980.16</v>
      </c>
      <c r="G128" s="10" t="n">
        <v>14980.16</v>
      </c>
      <c r="H128" s="10" t="n">
        <v>8780.67</v>
      </c>
      <c r="I128" s="10" t="n">
        <v>6199.49</v>
      </c>
      <c r="J128" s="10" t="n">
        <v>2084.13</v>
      </c>
      <c r="K128" s="11" t="n">
        <v>0.4138</v>
      </c>
      <c r="L128" s="11" t="n">
        <v>0.1391</v>
      </c>
      <c r="M128" s="26" t="n">
        <v>50</v>
      </c>
    </row>
    <row r="129" customFormat="false" ht="15" hidden="false" customHeight="false" outlineLevel="0" collapsed="false">
      <c r="A129" s="27" t="n">
        <v>10412</v>
      </c>
      <c r="B129" s="12" t="s">
        <v>129</v>
      </c>
      <c r="C129" s="28" t="n">
        <v>62</v>
      </c>
      <c r="D129" s="28" t="n">
        <v>62</v>
      </c>
      <c r="E129" s="14" t="n">
        <v>0</v>
      </c>
      <c r="F129" s="14" t="n">
        <v>20980.4</v>
      </c>
      <c r="G129" s="14" t="n">
        <v>20980.4</v>
      </c>
      <c r="H129" s="14" t="n">
        <v>10717.26</v>
      </c>
      <c r="I129" s="14" t="n">
        <v>10263.14</v>
      </c>
      <c r="J129" s="14" t="n">
        <v>4407.51</v>
      </c>
      <c r="K129" s="15" t="n">
        <v>0.4892</v>
      </c>
      <c r="L129" s="15" t="n">
        <v>0.2101</v>
      </c>
      <c r="M129" s="29" t="n">
        <v>34</v>
      </c>
    </row>
    <row r="130" customFormat="false" ht="15" hidden="false" customHeight="false" outlineLevel="0" collapsed="false">
      <c r="A130" s="24" t="n">
        <v>10413</v>
      </c>
      <c r="B130" s="8" t="s">
        <v>137</v>
      </c>
      <c r="C130" s="25" t="n">
        <v>15</v>
      </c>
      <c r="D130" s="25" t="n">
        <v>15</v>
      </c>
      <c r="E130" s="10" t="n">
        <v>0</v>
      </c>
      <c r="F130" s="10" t="n">
        <v>1155.75</v>
      </c>
      <c r="G130" s="10" t="n">
        <v>1155.75</v>
      </c>
      <c r="H130" s="10" t="n">
        <v>476.9295</v>
      </c>
      <c r="I130" s="10" t="n">
        <v>678.82</v>
      </c>
      <c r="J130" s="10" t="n">
        <v>416.99</v>
      </c>
      <c r="K130" s="11" t="n">
        <v>0.5873</v>
      </c>
      <c r="L130" s="11" t="n">
        <v>0.3608</v>
      </c>
      <c r="M130" s="26" t="n">
        <v>80</v>
      </c>
    </row>
    <row r="131" customFormat="false" ht="15" hidden="false" customHeight="false" outlineLevel="0" collapsed="false">
      <c r="A131" s="27" t="n">
        <v>10419</v>
      </c>
      <c r="B131" s="12" t="s">
        <v>138</v>
      </c>
      <c r="C131" s="28" t="n">
        <v>10</v>
      </c>
      <c r="D131" s="28" t="n">
        <v>10</v>
      </c>
      <c r="E131" s="14" t="n">
        <v>0</v>
      </c>
      <c r="F131" s="14" t="n">
        <v>798.9</v>
      </c>
      <c r="G131" s="14" t="n">
        <v>798.9</v>
      </c>
      <c r="H131" s="14" t="n">
        <v>256.5</v>
      </c>
      <c r="I131" s="14" t="n">
        <v>542.4</v>
      </c>
      <c r="J131" s="14" t="n">
        <v>319.43</v>
      </c>
      <c r="K131" s="15" t="n">
        <v>0.6789</v>
      </c>
      <c r="L131" s="15" t="n">
        <v>0.3998</v>
      </c>
      <c r="M131" s="29" t="n">
        <v>33</v>
      </c>
    </row>
    <row r="132" customFormat="false" ht="15" hidden="false" customHeight="false" outlineLevel="0" collapsed="false">
      <c r="A132" s="24" t="n">
        <v>10422</v>
      </c>
      <c r="B132" s="8" t="s">
        <v>139</v>
      </c>
      <c r="C132" s="25" t="n">
        <v>27</v>
      </c>
      <c r="D132" s="25" t="n">
        <v>27</v>
      </c>
      <c r="E132" s="10" t="n">
        <v>0</v>
      </c>
      <c r="F132" s="10" t="n">
        <v>21260.97</v>
      </c>
      <c r="G132" s="10" t="n">
        <v>21260.97</v>
      </c>
      <c r="H132" s="10" t="n">
        <v>7099.2103</v>
      </c>
      <c r="I132" s="10" t="n">
        <v>14161.76</v>
      </c>
      <c r="J132" s="10" t="n">
        <v>8320.93</v>
      </c>
      <c r="K132" s="11" t="n">
        <v>0.6661</v>
      </c>
      <c r="L132" s="11" t="n">
        <v>0.3914</v>
      </c>
      <c r="M132" s="26" t="n">
        <v>34</v>
      </c>
    </row>
    <row r="133" customFormat="false" ht="15" hidden="false" customHeight="false" outlineLevel="0" collapsed="false">
      <c r="A133" s="27" t="n">
        <v>10427</v>
      </c>
      <c r="B133" s="12" t="s">
        <v>140</v>
      </c>
      <c r="C133" s="28" t="n">
        <v>5</v>
      </c>
      <c r="D133" s="28" t="n">
        <v>5</v>
      </c>
      <c r="E133" s="14" t="n">
        <v>0</v>
      </c>
      <c r="F133" s="14" t="n">
        <v>1050.4</v>
      </c>
      <c r="G133" s="14" t="n">
        <v>1050.4</v>
      </c>
      <c r="H133" s="14" t="n">
        <v>437.89</v>
      </c>
      <c r="I133" s="14" t="n">
        <v>612.51</v>
      </c>
      <c r="J133" s="14" t="n">
        <v>483.73</v>
      </c>
      <c r="K133" s="15" t="n">
        <v>0.5831</v>
      </c>
      <c r="L133" s="15" t="n">
        <v>0.4605</v>
      </c>
      <c r="M133" s="29" t="n">
        <v>28</v>
      </c>
    </row>
    <row r="134" customFormat="false" ht="15" hidden="false" customHeight="false" outlineLevel="0" collapsed="false">
      <c r="A134" s="24" t="n">
        <v>10428</v>
      </c>
      <c r="B134" s="8" t="s">
        <v>141</v>
      </c>
      <c r="C134" s="25" t="n">
        <v>7</v>
      </c>
      <c r="D134" s="25" t="n">
        <v>7</v>
      </c>
      <c r="E134" s="10" t="n">
        <v>0</v>
      </c>
      <c r="F134" s="10" t="n">
        <v>7310.38</v>
      </c>
      <c r="G134" s="10" t="n">
        <v>7310.38</v>
      </c>
      <c r="H134" s="10" t="n">
        <v>4151.2501</v>
      </c>
      <c r="I134" s="10" t="n">
        <v>3159.13</v>
      </c>
      <c r="J134" s="10" t="n">
        <v>1118.81</v>
      </c>
      <c r="K134" s="11" t="n">
        <v>0.4321</v>
      </c>
      <c r="L134" s="11" t="n">
        <v>0.153</v>
      </c>
      <c r="M134" s="26" t="n">
        <v>33</v>
      </c>
    </row>
    <row r="135" customFormat="false" ht="15" hidden="false" customHeight="false" outlineLevel="0" collapsed="false">
      <c r="A135" s="27" t="n">
        <v>10439</v>
      </c>
      <c r="B135" s="12" t="s">
        <v>141</v>
      </c>
      <c r="C135" s="28" t="n">
        <v>12</v>
      </c>
      <c r="D135" s="28" t="n">
        <v>12</v>
      </c>
      <c r="E135" s="14" t="n">
        <v>0</v>
      </c>
      <c r="F135" s="14" t="n">
        <v>14257.08</v>
      </c>
      <c r="G135" s="14" t="n">
        <v>14257.08</v>
      </c>
      <c r="H135" s="14" t="n">
        <v>5598.76</v>
      </c>
      <c r="I135" s="14" t="n">
        <v>8658.32</v>
      </c>
      <c r="J135" s="14" t="n">
        <v>4679.16</v>
      </c>
      <c r="K135" s="15" t="n">
        <v>0.6073</v>
      </c>
      <c r="L135" s="15" t="n">
        <v>0.3282</v>
      </c>
      <c r="M135" s="29" t="n">
        <v>33</v>
      </c>
    </row>
    <row r="136" customFormat="false" ht="15" hidden="false" customHeight="false" outlineLevel="0" collapsed="false">
      <c r="A136" s="24" t="n">
        <v>10443</v>
      </c>
      <c r="B136" s="8" t="s">
        <v>142</v>
      </c>
      <c r="C136" s="25" t="n">
        <v>2</v>
      </c>
      <c r="D136" s="25" t="n">
        <v>2</v>
      </c>
      <c r="E136" s="10" t="n">
        <v>0</v>
      </c>
      <c r="F136" s="10" t="n">
        <v>148.52</v>
      </c>
      <c r="G136" s="10" t="n">
        <v>148.52</v>
      </c>
      <c r="H136" s="10" t="n">
        <v>64.8</v>
      </c>
      <c r="I136" s="10" t="n">
        <v>83.72</v>
      </c>
      <c r="J136" s="10" t="n">
        <v>42.92</v>
      </c>
      <c r="K136" s="11" t="n">
        <v>0.5637</v>
      </c>
      <c r="L136" s="11" t="n">
        <v>0.289</v>
      </c>
      <c r="M136" s="26" t="n">
        <v>33</v>
      </c>
    </row>
    <row r="137" customFormat="false" ht="15" hidden="false" customHeight="false" outlineLevel="0" collapsed="false">
      <c r="A137" s="27" t="n">
        <v>10444</v>
      </c>
      <c r="B137" s="12" t="s">
        <v>143</v>
      </c>
      <c r="C137" s="28" t="n">
        <v>2</v>
      </c>
      <c r="D137" s="28" t="n">
        <v>2</v>
      </c>
      <c r="E137" s="14" t="n">
        <v>0</v>
      </c>
      <c r="F137" s="14" t="n">
        <v>706.78</v>
      </c>
      <c r="G137" s="14" t="n">
        <v>706.78</v>
      </c>
      <c r="H137" s="14" t="n">
        <v>345.6</v>
      </c>
      <c r="I137" s="14" t="n">
        <v>361.18</v>
      </c>
      <c r="J137" s="14" t="n">
        <v>163.92</v>
      </c>
      <c r="K137" s="15" t="n">
        <v>0.511</v>
      </c>
      <c r="L137" s="15" t="n">
        <v>0.2319</v>
      </c>
      <c r="M137" s="29" t="n">
        <v>33</v>
      </c>
    </row>
    <row r="138" customFormat="false" ht="15" hidden="false" customHeight="false" outlineLevel="0" collapsed="false">
      <c r="A138" s="24" t="n">
        <v>10445</v>
      </c>
      <c r="B138" s="8" t="s">
        <v>144</v>
      </c>
      <c r="C138" s="25" t="n">
        <v>7</v>
      </c>
      <c r="D138" s="25" t="n">
        <v>7</v>
      </c>
      <c r="E138" s="10" t="n">
        <v>0</v>
      </c>
      <c r="F138" s="10" t="n">
        <v>966.77</v>
      </c>
      <c r="G138" s="10" t="n">
        <v>966.77</v>
      </c>
      <c r="H138" s="10" t="n">
        <v>488.7</v>
      </c>
      <c r="I138" s="10" t="n">
        <v>478.07</v>
      </c>
      <c r="J138" s="10" t="n">
        <v>208.24</v>
      </c>
      <c r="K138" s="11" t="n">
        <v>0.4945</v>
      </c>
      <c r="L138" s="11" t="n">
        <v>0.2154</v>
      </c>
      <c r="M138" s="26" t="n">
        <v>33</v>
      </c>
    </row>
    <row r="139" customFormat="false" ht="15" hidden="false" customHeight="false" outlineLevel="0" collapsed="false">
      <c r="A139" s="27" t="n">
        <v>10446</v>
      </c>
      <c r="B139" s="12" t="s">
        <v>145</v>
      </c>
      <c r="C139" s="28" t="n">
        <v>40</v>
      </c>
      <c r="D139" s="28" t="n">
        <v>40</v>
      </c>
      <c r="E139" s="14" t="n">
        <v>0</v>
      </c>
      <c r="F139" s="14" t="n">
        <v>1745.6</v>
      </c>
      <c r="G139" s="14" t="n">
        <v>1745.6</v>
      </c>
      <c r="H139" s="14" t="n">
        <v>604.8</v>
      </c>
      <c r="I139" s="14" t="n">
        <v>1140.8</v>
      </c>
      <c r="J139" s="14" t="n">
        <v>653.6</v>
      </c>
      <c r="K139" s="15" t="n">
        <v>0.6535</v>
      </c>
      <c r="L139" s="15" t="n">
        <v>0.3744</v>
      </c>
      <c r="M139" s="29" t="n">
        <v>33</v>
      </c>
    </row>
    <row r="140" customFormat="false" ht="15" hidden="false" customHeight="false" outlineLevel="0" collapsed="false">
      <c r="A140" s="24" t="n">
        <v>10447</v>
      </c>
      <c r="B140" s="8" t="s">
        <v>146</v>
      </c>
      <c r="C140" s="25" t="n">
        <v>120</v>
      </c>
      <c r="D140" s="25" t="n">
        <v>120</v>
      </c>
      <c r="E140" s="10" t="n">
        <v>0</v>
      </c>
      <c r="F140" s="10" t="n">
        <v>1065.6</v>
      </c>
      <c r="G140" s="10" t="n">
        <v>1065.6</v>
      </c>
      <c r="H140" s="10" t="n">
        <v>324</v>
      </c>
      <c r="I140" s="10" t="n">
        <v>741.6</v>
      </c>
      <c r="J140" s="10" t="n">
        <v>444.2</v>
      </c>
      <c r="K140" s="11" t="n">
        <v>0.6959</v>
      </c>
      <c r="L140" s="11" t="n">
        <v>0.4169</v>
      </c>
      <c r="M140" s="26" t="n">
        <v>33</v>
      </c>
    </row>
    <row r="141" customFormat="false" ht="15" hidden="false" customHeight="false" outlineLevel="0" collapsed="false">
      <c r="A141" s="27" t="n">
        <v>10448</v>
      </c>
      <c r="B141" s="12" t="s">
        <v>147</v>
      </c>
      <c r="C141" s="28" t="n">
        <v>168</v>
      </c>
      <c r="D141" s="28" t="n">
        <v>168</v>
      </c>
      <c r="E141" s="14" t="n">
        <v>0</v>
      </c>
      <c r="F141" s="14" t="n">
        <v>3734.64</v>
      </c>
      <c r="G141" s="14" t="n">
        <v>3734.64</v>
      </c>
      <c r="H141" s="14" t="n">
        <v>998.2272</v>
      </c>
      <c r="I141" s="14" t="n">
        <v>2736.41</v>
      </c>
      <c r="J141" s="14" t="n">
        <v>1830.39</v>
      </c>
      <c r="K141" s="15" t="n">
        <v>0.7327</v>
      </c>
      <c r="L141" s="15" t="n">
        <v>0.4901</v>
      </c>
      <c r="M141" s="29" t="n">
        <v>32.14</v>
      </c>
    </row>
    <row r="142" customFormat="false" ht="15" hidden="false" customHeight="false" outlineLevel="0" collapsed="false">
      <c r="A142" s="24" t="n">
        <v>10454</v>
      </c>
      <c r="B142" s="8" t="s">
        <v>148</v>
      </c>
      <c r="C142" s="25" t="n">
        <v>8</v>
      </c>
      <c r="D142" s="25" t="n">
        <v>8</v>
      </c>
      <c r="E142" s="10" t="n">
        <v>0</v>
      </c>
      <c r="F142" s="10" t="n">
        <v>368.44</v>
      </c>
      <c r="G142" s="10" t="n">
        <v>368.44</v>
      </c>
      <c r="H142" s="10" t="n">
        <v>156.84</v>
      </c>
      <c r="I142" s="10" t="n">
        <v>211.6</v>
      </c>
      <c r="J142" s="10" t="n">
        <v>108.77</v>
      </c>
      <c r="K142" s="11" t="n">
        <v>0.5743</v>
      </c>
      <c r="L142" s="11" t="n">
        <v>0.2952</v>
      </c>
      <c r="M142" s="26" t="n">
        <v>33</v>
      </c>
    </row>
    <row r="143" customFormat="false" ht="15" hidden="false" customHeight="false" outlineLevel="0" collapsed="false">
      <c r="A143" s="27" t="n">
        <v>10459</v>
      </c>
      <c r="B143" s="12" t="s">
        <v>149</v>
      </c>
      <c r="C143" s="28" t="n">
        <v>6</v>
      </c>
      <c r="D143" s="28" t="n">
        <v>6</v>
      </c>
      <c r="E143" s="14" t="n">
        <v>0</v>
      </c>
      <c r="F143" s="14" t="n">
        <v>62400</v>
      </c>
      <c r="G143" s="14" t="n">
        <v>62400</v>
      </c>
      <c r="H143" s="14" t="n">
        <v>31031.2002</v>
      </c>
      <c r="I143" s="14" t="n">
        <v>31368.8</v>
      </c>
      <c r="J143" s="14" t="n">
        <v>14226.28</v>
      </c>
      <c r="K143" s="15" t="n">
        <v>0.5027</v>
      </c>
      <c r="L143" s="15" t="n">
        <v>0.228</v>
      </c>
      <c r="M143" s="29" t="n">
        <v>61</v>
      </c>
    </row>
    <row r="144" customFormat="false" ht="15" hidden="false" customHeight="false" outlineLevel="0" collapsed="false">
      <c r="A144" s="24" t="n">
        <v>10475</v>
      </c>
      <c r="B144" s="8" t="s">
        <v>150</v>
      </c>
      <c r="C144" s="25" t="n">
        <v>40</v>
      </c>
      <c r="D144" s="25" t="n">
        <v>40</v>
      </c>
      <c r="E144" s="10" t="n">
        <v>0</v>
      </c>
      <c r="F144" s="10" t="n">
        <v>5214.8</v>
      </c>
      <c r="G144" s="10" t="n">
        <v>5214.8</v>
      </c>
      <c r="H144" s="10" t="n">
        <v>3699.53</v>
      </c>
      <c r="I144" s="10" t="n">
        <v>1515.27</v>
      </c>
      <c r="J144" s="10" t="n">
        <v>82.65</v>
      </c>
      <c r="K144" s="11" t="n">
        <v>0.2906</v>
      </c>
      <c r="L144" s="11" t="n">
        <v>0.0158</v>
      </c>
      <c r="M144" s="26" t="n">
        <v>50</v>
      </c>
    </row>
    <row r="145" customFormat="false" ht="15" hidden="false" customHeight="false" outlineLevel="0" collapsed="false">
      <c r="A145" s="27" t="n">
        <v>10476</v>
      </c>
      <c r="B145" s="12" t="s">
        <v>151</v>
      </c>
      <c r="C145" s="28" t="n">
        <v>20</v>
      </c>
      <c r="D145" s="28" t="n">
        <v>20</v>
      </c>
      <c r="E145" s="14" t="n">
        <v>0</v>
      </c>
      <c r="F145" s="14" t="n">
        <v>3033.8</v>
      </c>
      <c r="G145" s="14" t="n">
        <v>3033.8</v>
      </c>
      <c r="H145" s="14" t="n">
        <v>1656.72</v>
      </c>
      <c r="I145" s="14" t="n">
        <v>1377.08</v>
      </c>
      <c r="J145" s="14" t="n">
        <v>543.64</v>
      </c>
      <c r="K145" s="15" t="n">
        <v>0.4539</v>
      </c>
      <c r="L145" s="15" t="n">
        <v>0.1792</v>
      </c>
      <c r="M145" s="29" t="n">
        <v>50</v>
      </c>
    </row>
    <row r="146" customFormat="false" ht="15" hidden="false" customHeight="false" outlineLevel="0" collapsed="false">
      <c r="A146" s="24" t="n">
        <v>10477</v>
      </c>
      <c r="B146" s="8" t="s">
        <v>152</v>
      </c>
      <c r="C146" s="25" t="n">
        <v>40</v>
      </c>
      <c r="D146" s="25" t="n">
        <v>40</v>
      </c>
      <c r="E146" s="10" t="n">
        <v>0</v>
      </c>
      <c r="F146" s="10" t="n">
        <v>5267.6</v>
      </c>
      <c r="G146" s="10" t="n">
        <v>5267.6</v>
      </c>
      <c r="H146" s="10" t="n">
        <v>3101.33</v>
      </c>
      <c r="I146" s="10" t="n">
        <v>2166.27</v>
      </c>
      <c r="J146" s="10" t="n">
        <v>719.15</v>
      </c>
      <c r="K146" s="11" t="n">
        <v>0.4112</v>
      </c>
      <c r="L146" s="11" t="n">
        <v>0.1365</v>
      </c>
      <c r="M146" s="26" t="n">
        <v>50</v>
      </c>
    </row>
    <row r="147" customFormat="false" ht="15" hidden="false" customHeight="false" outlineLevel="0" collapsed="false">
      <c r="A147" s="27" t="n">
        <v>10481</v>
      </c>
      <c r="B147" s="12" t="s">
        <v>74</v>
      </c>
      <c r="C147" s="28" t="n">
        <v>10</v>
      </c>
      <c r="D147" s="28" t="n">
        <v>10</v>
      </c>
      <c r="E147" s="14" t="n">
        <v>0</v>
      </c>
      <c r="F147" s="14" t="n">
        <v>2068.4</v>
      </c>
      <c r="G147" s="14" t="n">
        <v>2068.4</v>
      </c>
      <c r="H147" s="14" t="n">
        <v>1057.02</v>
      </c>
      <c r="I147" s="14" t="n">
        <v>1011.38</v>
      </c>
      <c r="J147" s="14" t="n">
        <v>443.11</v>
      </c>
      <c r="K147" s="15" t="n">
        <v>0.489</v>
      </c>
      <c r="L147" s="15" t="n">
        <v>0.2142</v>
      </c>
      <c r="M147" s="29" t="n">
        <v>34</v>
      </c>
    </row>
    <row r="148" customFormat="false" ht="15" hidden="false" customHeight="false" outlineLevel="0" collapsed="false">
      <c r="A148" s="24" t="n">
        <v>10483</v>
      </c>
      <c r="B148" s="8" t="s">
        <v>153</v>
      </c>
      <c r="C148" s="25" t="n">
        <v>5</v>
      </c>
      <c r="D148" s="25" t="n">
        <v>5</v>
      </c>
      <c r="E148" s="10" t="n">
        <v>0</v>
      </c>
      <c r="F148" s="10" t="n">
        <v>812.7</v>
      </c>
      <c r="G148" s="10" t="n">
        <v>812.7</v>
      </c>
      <c r="H148" s="10" t="n">
        <v>384.05</v>
      </c>
      <c r="I148" s="10" t="n">
        <v>428.65</v>
      </c>
      <c r="J148" s="10" t="n">
        <v>231.49</v>
      </c>
      <c r="K148" s="11" t="n">
        <v>0.5274</v>
      </c>
      <c r="L148" s="11" t="n">
        <v>0.2848</v>
      </c>
      <c r="M148" s="26" t="n">
        <v>34.6</v>
      </c>
    </row>
    <row r="149" customFormat="false" ht="15" hidden="false" customHeight="false" outlineLevel="0" collapsed="false">
      <c r="A149" s="27" t="n">
        <v>10485</v>
      </c>
      <c r="B149" s="12" t="s">
        <v>40</v>
      </c>
      <c r="C149" s="28" t="n">
        <v>28</v>
      </c>
      <c r="D149" s="28" t="n">
        <v>28</v>
      </c>
      <c r="E149" s="14" t="n">
        <v>0</v>
      </c>
      <c r="F149" s="14" t="n">
        <v>4515.12</v>
      </c>
      <c r="G149" s="14" t="n">
        <v>4515.12</v>
      </c>
      <c r="H149" s="14" t="n">
        <v>2027.4702</v>
      </c>
      <c r="I149" s="14" t="n">
        <v>2487.65</v>
      </c>
      <c r="J149" s="14" t="n">
        <v>1247.25</v>
      </c>
      <c r="K149" s="15" t="n">
        <v>0.551</v>
      </c>
      <c r="L149" s="15" t="n">
        <v>0.2762</v>
      </c>
      <c r="M149" s="29" t="n">
        <v>50</v>
      </c>
    </row>
    <row r="150" customFormat="false" ht="15" hidden="false" customHeight="false" outlineLevel="0" collapsed="false">
      <c r="A150" s="24" t="n">
        <v>10488</v>
      </c>
      <c r="B150" s="8" t="s">
        <v>154</v>
      </c>
      <c r="C150" s="25" t="n">
        <v>127</v>
      </c>
      <c r="D150" s="25" t="n">
        <v>127</v>
      </c>
      <c r="E150" s="10" t="n">
        <v>0</v>
      </c>
      <c r="F150" s="10" t="n">
        <v>41783.58</v>
      </c>
      <c r="G150" s="10" t="n">
        <v>41783.58</v>
      </c>
      <c r="H150" s="10" t="n">
        <v>24108.9978</v>
      </c>
      <c r="I150" s="10" t="n">
        <v>17674.58</v>
      </c>
      <c r="J150" s="10" t="n">
        <v>7660.19</v>
      </c>
      <c r="K150" s="11" t="n">
        <v>0.423</v>
      </c>
      <c r="L150" s="11" t="n">
        <v>0.1833</v>
      </c>
      <c r="M150" s="26" t="n">
        <v>42.61</v>
      </c>
    </row>
    <row r="151" customFormat="false" ht="15" hidden="false" customHeight="false" outlineLevel="0" collapsed="false">
      <c r="A151" s="27" t="n">
        <v>10493</v>
      </c>
      <c r="B151" s="12" t="s">
        <v>155</v>
      </c>
      <c r="C151" s="28" t="n">
        <v>22</v>
      </c>
      <c r="D151" s="28" t="n">
        <v>22</v>
      </c>
      <c r="E151" s="14" t="n">
        <v>0</v>
      </c>
      <c r="F151" s="14" t="n">
        <v>10470.24</v>
      </c>
      <c r="G151" s="14" t="n">
        <v>10470.24</v>
      </c>
      <c r="H151" s="14" t="n">
        <v>6524.5804</v>
      </c>
      <c r="I151" s="14" t="n">
        <v>3945.66</v>
      </c>
      <c r="J151" s="14" t="n">
        <v>1069.29</v>
      </c>
      <c r="K151" s="15" t="n">
        <v>0.3768</v>
      </c>
      <c r="L151" s="15" t="n">
        <v>0.1021</v>
      </c>
      <c r="M151" s="29" t="n">
        <v>32.82</v>
      </c>
    </row>
    <row r="152" customFormat="false" ht="15" hidden="false" customHeight="false" outlineLevel="0" collapsed="false">
      <c r="A152" s="24" t="n">
        <v>10498</v>
      </c>
      <c r="B152" s="8" t="s">
        <v>156</v>
      </c>
      <c r="C152" s="25" t="n">
        <v>10</v>
      </c>
      <c r="D152" s="25" t="n">
        <v>10</v>
      </c>
      <c r="E152" s="10" t="n">
        <v>0</v>
      </c>
      <c r="F152" s="10" t="n">
        <v>2068.9</v>
      </c>
      <c r="G152" s="10" t="n">
        <v>2068.9</v>
      </c>
      <c r="H152" s="10" t="n">
        <v>942.16</v>
      </c>
      <c r="I152" s="10" t="n">
        <v>1126.74</v>
      </c>
      <c r="J152" s="10" t="n">
        <v>873.1</v>
      </c>
      <c r="K152" s="11" t="n">
        <v>0.5446</v>
      </c>
      <c r="L152" s="11" t="n">
        <v>0.422</v>
      </c>
      <c r="M152" s="26" t="n">
        <v>75</v>
      </c>
    </row>
    <row r="153" customFormat="false" ht="15" hidden="false" customHeight="false" outlineLevel="0" collapsed="false">
      <c r="A153" s="27" t="n">
        <v>10504</v>
      </c>
      <c r="B153" s="12" t="s">
        <v>157</v>
      </c>
      <c r="C153" s="28" t="n">
        <v>3</v>
      </c>
      <c r="D153" s="28" t="n">
        <v>3</v>
      </c>
      <c r="E153" s="14" t="n">
        <v>0</v>
      </c>
      <c r="F153" s="14" t="n">
        <v>13035.56</v>
      </c>
      <c r="G153" s="14" t="n">
        <v>13035.56</v>
      </c>
      <c r="H153" s="14" t="n">
        <v>7569.49</v>
      </c>
      <c r="I153" s="14" t="n">
        <v>5466.07</v>
      </c>
      <c r="J153" s="14" t="n">
        <v>1884.94</v>
      </c>
      <c r="K153" s="15" t="n">
        <v>0.4193</v>
      </c>
      <c r="L153" s="15" t="n">
        <v>0.1446</v>
      </c>
      <c r="M153" s="29" t="n">
        <v>29</v>
      </c>
    </row>
    <row r="154" customFormat="false" ht="15" hidden="false" customHeight="false" outlineLevel="0" collapsed="false">
      <c r="A154" s="24" t="n">
        <v>10510</v>
      </c>
      <c r="B154" s="8" t="s">
        <v>158</v>
      </c>
      <c r="C154" s="25" t="n">
        <v>40</v>
      </c>
      <c r="D154" s="25" t="n">
        <v>40</v>
      </c>
      <c r="E154" s="10" t="n">
        <v>0</v>
      </c>
      <c r="F154" s="10" t="n">
        <v>5428</v>
      </c>
      <c r="G154" s="10" t="n">
        <v>5428</v>
      </c>
      <c r="H154" s="10" t="n">
        <v>3456.512</v>
      </c>
      <c r="I154" s="10" t="n">
        <v>1971.49</v>
      </c>
      <c r="J154" s="10" t="n">
        <v>480.31</v>
      </c>
      <c r="K154" s="11" t="n">
        <v>0.3632</v>
      </c>
      <c r="L154" s="11" t="n">
        <v>0.0885</v>
      </c>
      <c r="M154" s="26" t="n">
        <v>60</v>
      </c>
    </row>
    <row r="155" customFormat="false" ht="15" hidden="false" customHeight="false" outlineLevel="0" collapsed="false">
      <c r="A155" s="27" t="n">
        <v>10539</v>
      </c>
      <c r="B155" s="12" t="s">
        <v>159</v>
      </c>
      <c r="C155" s="28" t="n">
        <v>12</v>
      </c>
      <c r="D155" s="28" t="n">
        <v>12</v>
      </c>
      <c r="E155" s="14" t="n">
        <v>0</v>
      </c>
      <c r="F155" s="14" t="n">
        <v>4999.92</v>
      </c>
      <c r="G155" s="14" t="n">
        <v>4999.92</v>
      </c>
      <c r="H155" s="14" t="n">
        <v>1981.08</v>
      </c>
      <c r="I155" s="14" t="n">
        <v>3018.84</v>
      </c>
      <c r="J155" s="14" t="n">
        <v>1623.36</v>
      </c>
      <c r="K155" s="15" t="n">
        <v>0.6038</v>
      </c>
      <c r="L155" s="15" t="n">
        <v>0.3247</v>
      </c>
      <c r="M155" s="29" t="n">
        <v>33</v>
      </c>
    </row>
    <row r="156" customFormat="false" ht="15" hidden="false" customHeight="false" outlineLevel="0" collapsed="false">
      <c r="A156" s="24" t="n">
        <v>10544</v>
      </c>
      <c r="B156" s="8" t="s">
        <v>160</v>
      </c>
      <c r="C156" s="25" t="n">
        <v>30</v>
      </c>
      <c r="D156" s="25" t="n">
        <v>30</v>
      </c>
      <c r="E156" s="10" t="n">
        <v>0</v>
      </c>
      <c r="F156" s="10" t="n">
        <v>12287.1</v>
      </c>
      <c r="G156" s="10" t="n">
        <v>12287.1</v>
      </c>
      <c r="H156" s="10" t="n">
        <v>5692.23</v>
      </c>
      <c r="I156" s="10" t="n">
        <v>6594.87</v>
      </c>
      <c r="J156" s="10" t="n">
        <v>3165.54</v>
      </c>
      <c r="K156" s="11" t="n">
        <v>0.5367</v>
      </c>
      <c r="L156" s="11" t="n">
        <v>0.2576</v>
      </c>
      <c r="M156" s="26" t="n">
        <v>33</v>
      </c>
    </row>
    <row r="157" customFormat="false" ht="15" hidden="false" customHeight="false" outlineLevel="0" collapsed="false">
      <c r="A157" s="27" t="n">
        <v>10554</v>
      </c>
      <c r="B157" s="12" t="s">
        <v>161</v>
      </c>
      <c r="C157" s="28" t="n">
        <v>11</v>
      </c>
      <c r="D157" s="28" t="n">
        <v>11</v>
      </c>
      <c r="E157" s="14" t="n">
        <v>0</v>
      </c>
      <c r="F157" s="14" t="n">
        <v>1129.04</v>
      </c>
      <c r="G157" s="14" t="n">
        <v>1129.04</v>
      </c>
      <c r="H157" s="14" t="n">
        <v>142.45</v>
      </c>
      <c r="I157" s="14" t="n">
        <v>986.59</v>
      </c>
      <c r="J157" s="14" t="n">
        <v>676.42</v>
      </c>
      <c r="K157" s="15" t="n">
        <v>0.8738</v>
      </c>
      <c r="L157" s="15" t="n">
        <v>0.5991</v>
      </c>
      <c r="M157" s="29" t="n">
        <v>50</v>
      </c>
    </row>
    <row r="158" customFormat="false" ht="15" hidden="false" customHeight="false" outlineLevel="0" collapsed="false">
      <c r="A158" s="24" t="n">
        <v>10555</v>
      </c>
      <c r="B158" s="8" t="s">
        <v>162</v>
      </c>
      <c r="C158" s="25" t="n">
        <v>95</v>
      </c>
      <c r="D158" s="25" t="n">
        <v>95</v>
      </c>
      <c r="E158" s="10" t="n">
        <v>0</v>
      </c>
      <c r="F158" s="10" t="n">
        <v>24411.13</v>
      </c>
      <c r="G158" s="10" t="n">
        <v>24411.13</v>
      </c>
      <c r="H158" s="10" t="n">
        <v>16486.549</v>
      </c>
      <c r="I158" s="10" t="n">
        <v>7924.58</v>
      </c>
      <c r="J158" s="10" t="n">
        <v>1785.33</v>
      </c>
      <c r="K158" s="11" t="n">
        <v>0.3246</v>
      </c>
      <c r="L158" s="11" t="n">
        <v>0.0731</v>
      </c>
      <c r="M158" s="26" t="n">
        <v>49.91</v>
      </c>
    </row>
    <row r="159" customFormat="false" ht="15" hidden="false" customHeight="false" outlineLevel="0" collapsed="false">
      <c r="A159" s="27" t="n">
        <v>10560</v>
      </c>
      <c r="B159" s="12" t="s">
        <v>158</v>
      </c>
      <c r="C159" s="28" t="n">
        <v>104</v>
      </c>
      <c r="D159" s="28" t="n">
        <v>104</v>
      </c>
      <c r="E159" s="14" t="n">
        <v>0</v>
      </c>
      <c r="F159" s="14" t="n">
        <v>20739.26</v>
      </c>
      <c r="G159" s="14" t="n">
        <v>20739.26</v>
      </c>
      <c r="H159" s="14" t="n">
        <v>10571.7807</v>
      </c>
      <c r="I159" s="14" t="n">
        <v>10167.48</v>
      </c>
      <c r="J159" s="14" t="n">
        <v>4469.99</v>
      </c>
      <c r="K159" s="15" t="n">
        <v>0.4903</v>
      </c>
      <c r="L159" s="15" t="n">
        <v>0.2155</v>
      </c>
      <c r="M159" s="29" t="n">
        <v>50</v>
      </c>
    </row>
    <row r="160" customFormat="false" ht="15" hidden="false" customHeight="false" outlineLevel="0" collapsed="false">
      <c r="A160" s="24" t="n">
        <v>10564</v>
      </c>
      <c r="B160" s="8" t="s">
        <v>163</v>
      </c>
      <c r="C160" s="25" t="n">
        <v>30</v>
      </c>
      <c r="D160" s="25" t="n">
        <v>30</v>
      </c>
      <c r="E160" s="10" t="n">
        <v>0</v>
      </c>
      <c r="F160" s="10" t="n">
        <v>3375</v>
      </c>
      <c r="G160" s="10" t="n">
        <v>3375</v>
      </c>
      <c r="H160" s="10" t="n">
        <v>2964.99</v>
      </c>
      <c r="I160" s="10" t="n">
        <v>410.01</v>
      </c>
      <c r="J160" s="10" t="n">
        <v>-517.17</v>
      </c>
      <c r="K160" s="11" t="n">
        <v>0.1215</v>
      </c>
      <c r="L160" s="11" t="n">
        <v>-0.1532</v>
      </c>
      <c r="M160" s="26" t="n">
        <v>50</v>
      </c>
    </row>
    <row r="161" customFormat="false" ht="15" hidden="false" customHeight="false" outlineLevel="0" collapsed="false">
      <c r="A161" s="27" t="n">
        <v>10567</v>
      </c>
      <c r="B161" s="12" t="s">
        <v>164</v>
      </c>
      <c r="C161" s="28" t="n">
        <v>8</v>
      </c>
      <c r="D161" s="28" t="n">
        <v>8</v>
      </c>
      <c r="E161" s="14" t="n">
        <v>0</v>
      </c>
      <c r="F161" s="14" t="n">
        <v>278.72</v>
      </c>
      <c r="G161" s="14" t="n">
        <v>278.72</v>
      </c>
      <c r="H161" s="14" t="n">
        <v>125.28</v>
      </c>
      <c r="I161" s="14" t="n">
        <v>153.44</v>
      </c>
      <c r="J161" s="14" t="n">
        <v>75.65</v>
      </c>
      <c r="K161" s="15" t="n">
        <v>0.5505</v>
      </c>
      <c r="L161" s="15" t="n">
        <v>0.2714</v>
      </c>
      <c r="M161" s="29" t="n">
        <v>33</v>
      </c>
    </row>
    <row r="162" customFormat="false" ht="15" hidden="false" customHeight="false" outlineLevel="0" collapsed="false">
      <c r="A162" s="24" t="n">
        <v>10576</v>
      </c>
      <c r="B162" s="8" t="s">
        <v>165</v>
      </c>
      <c r="C162" s="25" t="n">
        <v>50</v>
      </c>
      <c r="D162" s="25" t="n">
        <v>50</v>
      </c>
      <c r="E162" s="10" t="n">
        <v>0</v>
      </c>
      <c r="F162" s="10" t="n">
        <v>1103</v>
      </c>
      <c r="G162" s="10" t="n">
        <v>1103</v>
      </c>
      <c r="H162" s="10" t="n">
        <v>704.31</v>
      </c>
      <c r="I162" s="10" t="n">
        <v>398.69</v>
      </c>
      <c r="J162" s="10" t="n">
        <v>90.84</v>
      </c>
      <c r="K162" s="11" t="n">
        <v>0.3615</v>
      </c>
      <c r="L162" s="11" t="n">
        <v>0.0824</v>
      </c>
      <c r="M162" s="26" t="n">
        <v>45</v>
      </c>
    </row>
    <row r="163" customFormat="false" ht="15" hidden="false" customHeight="false" outlineLevel="0" collapsed="false">
      <c r="A163" s="27" t="n">
        <v>10585</v>
      </c>
      <c r="B163" s="12" t="s">
        <v>166</v>
      </c>
      <c r="C163" s="28" t="n">
        <v>1</v>
      </c>
      <c r="D163" s="28" t="n">
        <v>1</v>
      </c>
      <c r="E163" s="14" t="n">
        <v>0</v>
      </c>
      <c r="F163" s="14" t="n">
        <v>343</v>
      </c>
      <c r="G163" s="14" t="n">
        <v>343</v>
      </c>
      <c r="H163" s="14" t="n">
        <v>197.01</v>
      </c>
      <c r="I163" s="14" t="n">
        <v>145.99</v>
      </c>
      <c r="J163" s="14" t="n">
        <v>51.76</v>
      </c>
      <c r="K163" s="15" t="n">
        <v>0.4256</v>
      </c>
      <c r="L163" s="15" t="n">
        <v>0.1509</v>
      </c>
      <c r="M163" s="29" t="n">
        <v>6</v>
      </c>
    </row>
    <row r="164" customFormat="false" ht="15" hidden="false" customHeight="false" outlineLevel="0" collapsed="false">
      <c r="A164" s="24" t="n">
        <v>10592</v>
      </c>
      <c r="B164" s="8" t="s">
        <v>167</v>
      </c>
      <c r="C164" s="25" t="n">
        <v>12</v>
      </c>
      <c r="D164" s="25" t="n">
        <v>12</v>
      </c>
      <c r="E164" s="10" t="n">
        <v>0</v>
      </c>
      <c r="F164" s="10" t="n">
        <v>12885.12</v>
      </c>
      <c r="G164" s="10" t="n">
        <v>12885.12</v>
      </c>
      <c r="H164" s="10" t="n">
        <v>2755.7801</v>
      </c>
      <c r="I164" s="10" t="n">
        <v>10129.34</v>
      </c>
      <c r="J164" s="10" t="n">
        <v>6589.55</v>
      </c>
      <c r="K164" s="11" t="n">
        <v>0.7861</v>
      </c>
      <c r="L164" s="11" t="n">
        <v>0.5114</v>
      </c>
      <c r="M164" s="26" t="n">
        <v>50</v>
      </c>
    </row>
    <row r="165" customFormat="false" ht="15" hidden="false" customHeight="false" outlineLevel="0" collapsed="false">
      <c r="A165" s="27" t="n">
        <v>10595</v>
      </c>
      <c r="B165" s="12" t="s">
        <v>168</v>
      </c>
      <c r="C165" s="28" t="n">
        <v>5</v>
      </c>
      <c r="D165" s="28" t="n">
        <v>5</v>
      </c>
      <c r="E165" s="14" t="n">
        <v>0</v>
      </c>
      <c r="F165" s="14" t="n">
        <v>1319.9</v>
      </c>
      <c r="G165" s="14" t="n">
        <v>1319.9</v>
      </c>
      <c r="H165" s="14" t="n">
        <v>438.1</v>
      </c>
      <c r="I165" s="14" t="n">
        <v>881.8</v>
      </c>
      <c r="J165" s="14" t="n">
        <v>513.41</v>
      </c>
      <c r="K165" s="15" t="n">
        <v>0.6681</v>
      </c>
      <c r="L165" s="15" t="n">
        <v>0.389</v>
      </c>
      <c r="M165" s="29" t="n">
        <v>50</v>
      </c>
    </row>
    <row r="166" customFormat="false" ht="15" hidden="false" customHeight="false" outlineLevel="0" collapsed="false">
      <c r="A166" s="24" t="n">
        <v>10601</v>
      </c>
      <c r="B166" s="8" t="s">
        <v>169</v>
      </c>
      <c r="C166" s="25" t="n">
        <v>25</v>
      </c>
      <c r="D166" s="25" t="n">
        <v>25</v>
      </c>
      <c r="E166" s="10" t="n">
        <v>0</v>
      </c>
      <c r="F166" s="10" t="n">
        <v>2068.5</v>
      </c>
      <c r="G166" s="10" t="n">
        <v>2068.5</v>
      </c>
      <c r="H166" s="10" t="n">
        <v>523.0599</v>
      </c>
      <c r="I166" s="10" t="n">
        <v>1545.44</v>
      </c>
      <c r="J166" s="10" t="n">
        <v>1029</v>
      </c>
      <c r="K166" s="11" t="n">
        <v>0.7471</v>
      </c>
      <c r="L166" s="11" t="n">
        <v>0.4975</v>
      </c>
      <c r="M166" s="26" t="n">
        <v>43.64</v>
      </c>
    </row>
    <row r="167" customFormat="false" ht="15" hidden="false" customHeight="false" outlineLevel="0" collapsed="false">
      <c r="A167" s="27" t="n">
        <v>10606</v>
      </c>
      <c r="B167" s="12" t="s">
        <v>170</v>
      </c>
      <c r="C167" s="28" t="n">
        <v>8</v>
      </c>
      <c r="D167" s="28" t="n">
        <v>8</v>
      </c>
      <c r="E167" s="14" t="n">
        <v>0</v>
      </c>
      <c r="F167" s="14" t="n">
        <v>1744</v>
      </c>
      <c r="G167" s="14" t="n">
        <v>1744</v>
      </c>
      <c r="H167" s="14" t="n">
        <v>762.1</v>
      </c>
      <c r="I167" s="14" t="n">
        <v>981.9</v>
      </c>
      <c r="J167" s="14" t="n">
        <v>502.79</v>
      </c>
      <c r="K167" s="15" t="n">
        <v>0.563</v>
      </c>
      <c r="L167" s="15" t="n">
        <v>0.2883</v>
      </c>
      <c r="M167" s="29" t="n">
        <v>45</v>
      </c>
    </row>
    <row r="168" customFormat="false" ht="15" hidden="false" customHeight="false" outlineLevel="0" collapsed="false">
      <c r="A168" s="24" t="n">
        <v>10615</v>
      </c>
      <c r="B168" s="8" t="s">
        <v>171</v>
      </c>
      <c r="C168" s="25" t="n">
        <v>28</v>
      </c>
      <c r="D168" s="25" t="n">
        <v>28</v>
      </c>
      <c r="E168" s="10" t="n">
        <v>0</v>
      </c>
      <c r="F168" s="10" t="n">
        <v>4751.64</v>
      </c>
      <c r="G168" s="10" t="n">
        <v>4751.64</v>
      </c>
      <c r="H168" s="10" t="n">
        <v>2724.9097</v>
      </c>
      <c r="I168" s="10" t="n">
        <v>2026.73</v>
      </c>
      <c r="J168" s="10" t="n">
        <v>721.35</v>
      </c>
      <c r="K168" s="11" t="n">
        <v>0.4265</v>
      </c>
      <c r="L168" s="11" t="n">
        <v>0.1518</v>
      </c>
      <c r="M168" s="26" t="n">
        <v>50</v>
      </c>
    </row>
    <row r="169" customFormat="false" ht="15" hidden="false" customHeight="false" outlineLevel="0" collapsed="false">
      <c r="A169" s="27" t="n">
        <v>10616</v>
      </c>
      <c r="B169" s="12" t="s">
        <v>172</v>
      </c>
      <c r="C169" s="28" t="n">
        <v>23</v>
      </c>
      <c r="D169" s="28" t="n">
        <v>23</v>
      </c>
      <c r="E169" s="14" t="n">
        <v>0</v>
      </c>
      <c r="F169" s="14" t="n">
        <v>5341.62</v>
      </c>
      <c r="G169" s="14" t="n">
        <v>5341.62</v>
      </c>
      <c r="H169" s="14" t="n">
        <v>2039.9805</v>
      </c>
      <c r="I169" s="14" t="n">
        <v>3301.64</v>
      </c>
      <c r="J169" s="14" t="n">
        <v>1834.21</v>
      </c>
      <c r="K169" s="15" t="n">
        <v>0.6181</v>
      </c>
      <c r="L169" s="15" t="n">
        <v>0.3434</v>
      </c>
      <c r="M169" s="29" t="n">
        <v>50</v>
      </c>
    </row>
    <row r="170" customFormat="false" ht="15" hidden="false" customHeight="false" outlineLevel="0" collapsed="false">
      <c r="A170" s="24" t="n">
        <v>10617</v>
      </c>
      <c r="B170" s="8" t="s">
        <v>173</v>
      </c>
      <c r="C170" s="25" t="n">
        <v>65</v>
      </c>
      <c r="D170" s="25" t="n">
        <v>65</v>
      </c>
      <c r="E170" s="10" t="n">
        <v>0</v>
      </c>
      <c r="F170" s="10" t="n">
        <v>6965.4</v>
      </c>
      <c r="G170" s="10" t="n">
        <v>6965.4</v>
      </c>
      <c r="H170" s="10" t="n">
        <v>2220.419</v>
      </c>
      <c r="I170" s="10" t="n">
        <v>4744.98</v>
      </c>
      <c r="J170" s="10" t="n">
        <v>2800.94</v>
      </c>
      <c r="K170" s="11" t="n">
        <v>0.6812</v>
      </c>
      <c r="L170" s="11" t="n">
        <v>0.4021</v>
      </c>
      <c r="M170" s="26" t="n">
        <v>50</v>
      </c>
    </row>
    <row r="171" customFormat="false" ht="15" hidden="false" customHeight="false" outlineLevel="0" collapsed="false">
      <c r="A171" s="27" t="n">
        <v>10620</v>
      </c>
      <c r="B171" s="12" t="s">
        <v>174</v>
      </c>
      <c r="C171" s="28" t="n">
        <v>37</v>
      </c>
      <c r="D171" s="28" t="n">
        <v>37</v>
      </c>
      <c r="E171" s="14" t="n">
        <v>0</v>
      </c>
      <c r="F171" s="14" t="n">
        <v>3062.65</v>
      </c>
      <c r="G171" s="14" t="n">
        <v>3062.65</v>
      </c>
      <c r="H171" s="14" t="n">
        <v>1377.9594</v>
      </c>
      <c r="I171" s="14" t="n">
        <v>1684.69</v>
      </c>
      <c r="J171" s="14" t="n">
        <v>887.38</v>
      </c>
      <c r="K171" s="15" t="n">
        <v>0.5501</v>
      </c>
      <c r="L171" s="15" t="n">
        <v>0.2897</v>
      </c>
      <c r="M171" s="29" t="n">
        <v>58.96</v>
      </c>
    </row>
    <row r="172" customFormat="false" ht="15" hidden="false" customHeight="false" outlineLevel="0" collapsed="false">
      <c r="A172" s="24" t="n">
        <v>10621</v>
      </c>
      <c r="B172" s="8" t="s">
        <v>175</v>
      </c>
      <c r="C172" s="25" t="n">
        <v>12</v>
      </c>
      <c r="D172" s="25" t="n">
        <v>12</v>
      </c>
      <c r="E172" s="10" t="n">
        <v>0</v>
      </c>
      <c r="F172" s="10" t="n">
        <v>6655.49</v>
      </c>
      <c r="G172" s="10" t="n">
        <v>6655.49</v>
      </c>
      <c r="H172" s="10" t="n">
        <v>1116.6</v>
      </c>
      <c r="I172" s="10" t="n">
        <v>5538.89</v>
      </c>
      <c r="J172" s="10" t="n">
        <v>3710.5</v>
      </c>
      <c r="K172" s="11" t="n">
        <v>0.8322</v>
      </c>
      <c r="L172" s="11" t="n">
        <v>0.5575</v>
      </c>
      <c r="M172" s="26" t="n">
        <v>50</v>
      </c>
    </row>
    <row r="173" customFormat="false" ht="15" hidden="false" customHeight="false" outlineLevel="0" collapsed="false">
      <c r="A173" s="27" t="n">
        <v>10624</v>
      </c>
      <c r="B173" s="12" t="s">
        <v>176</v>
      </c>
      <c r="C173" s="28" t="n">
        <v>3</v>
      </c>
      <c r="D173" s="28" t="n">
        <v>3</v>
      </c>
      <c r="E173" s="14" t="n">
        <v>0</v>
      </c>
      <c r="F173" s="14" t="n">
        <v>32076.03</v>
      </c>
      <c r="G173" s="14" t="n">
        <v>32076.03</v>
      </c>
      <c r="H173" s="14" t="n">
        <v>20763.37</v>
      </c>
      <c r="I173" s="14" t="n">
        <v>11312.66</v>
      </c>
      <c r="J173" s="14" t="n">
        <v>2500.73</v>
      </c>
      <c r="K173" s="15" t="n">
        <v>0.3527</v>
      </c>
      <c r="L173" s="15" t="n">
        <v>0.078</v>
      </c>
      <c r="M173" s="29" t="n">
        <v>45</v>
      </c>
    </row>
    <row r="174" customFormat="false" ht="15" hidden="false" customHeight="false" outlineLevel="0" collapsed="false">
      <c r="A174" s="24" t="n">
        <v>10626</v>
      </c>
      <c r="B174" s="8" t="s">
        <v>177</v>
      </c>
      <c r="C174" s="25" t="n">
        <v>1</v>
      </c>
      <c r="D174" s="25" t="n">
        <v>1</v>
      </c>
      <c r="E174" s="10" t="n">
        <v>0</v>
      </c>
      <c r="F174" s="10" t="n">
        <v>354.72</v>
      </c>
      <c r="G174" s="10" t="n">
        <v>354.72</v>
      </c>
      <c r="H174" s="10" t="n">
        <v>195.47</v>
      </c>
      <c r="I174" s="10" t="n">
        <v>159.25</v>
      </c>
      <c r="J174" s="10" t="n">
        <v>60.25</v>
      </c>
      <c r="K174" s="11" t="n">
        <v>0.4489</v>
      </c>
      <c r="L174" s="11" t="n">
        <v>0.1699</v>
      </c>
      <c r="M174" s="26" t="n">
        <v>47</v>
      </c>
    </row>
    <row r="175" customFormat="false" ht="15" hidden="false" customHeight="false" outlineLevel="0" collapsed="false">
      <c r="A175" s="27" t="n">
        <v>10627</v>
      </c>
      <c r="B175" s="12" t="s">
        <v>178</v>
      </c>
      <c r="C175" s="28" t="n">
        <v>4</v>
      </c>
      <c r="D175" s="28" t="n">
        <v>4</v>
      </c>
      <c r="E175" s="14" t="n">
        <v>0</v>
      </c>
      <c r="F175" s="14" t="n">
        <v>113.12</v>
      </c>
      <c r="G175" s="14" t="n">
        <v>113.12</v>
      </c>
      <c r="H175" s="14" t="n">
        <v>30.39</v>
      </c>
      <c r="I175" s="14" t="n">
        <v>82.73</v>
      </c>
      <c r="J175" s="14" t="n">
        <v>51.65</v>
      </c>
      <c r="K175" s="15" t="n">
        <v>0.7313</v>
      </c>
      <c r="L175" s="15" t="n">
        <v>0.4566</v>
      </c>
      <c r="M175" s="29" t="n">
        <v>50</v>
      </c>
    </row>
    <row r="176" customFormat="false" ht="15" hidden="false" customHeight="false" outlineLevel="0" collapsed="false">
      <c r="A176" s="24" t="n">
        <v>10628</v>
      </c>
      <c r="B176" s="8" t="s">
        <v>179</v>
      </c>
      <c r="C176" s="25" t="n">
        <v>21</v>
      </c>
      <c r="D176" s="25" t="n">
        <v>21</v>
      </c>
      <c r="E176" s="10" t="n">
        <v>0</v>
      </c>
      <c r="F176" s="10" t="n">
        <v>1922.76</v>
      </c>
      <c r="G176" s="10" t="n">
        <v>1922.76</v>
      </c>
      <c r="H176" s="10" t="n">
        <v>834.5</v>
      </c>
      <c r="I176" s="10" t="n">
        <v>1088.26</v>
      </c>
      <c r="J176" s="10" t="n">
        <v>560.04</v>
      </c>
      <c r="K176" s="11" t="n">
        <v>0.566</v>
      </c>
      <c r="L176" s="11" t="n">
        <v>0.2913</v>
      </c>
      <c r="M176" s="26" t="n">
        <v>50</v>
      </c>
    </row>
    <row r="177" customFormat="false" ht="15" hidden="false" customHeight="false" outlineLevel="0" collapsed="false">
      <c r="A177" s="27" t="n">
        <v>10637</v>
      </c>
      <c r="B177" s="12" t="s">
        <v>180</v>
      </c>
      <c r="C177" s="28" t="n">
        <v>24</v>
      </c>
      <c r="D177" s="28" t="n">
        <v>24</v>
      </c>
      <c r="E177" s="14" t="n">
        <v>0</v>
      </c>
      <c r="F177" s="14" t="n">
        <v>20610.4</v>
      </c>
      <c r="G177" s="14" t="n">
        <v>20610.4</v>
      </c>
      <c r="H177" s="14" t="n">
        <v>5563.41</v>
      </c>
      <c r="I177" s="14" t="n">
        <v>15046.99</v>
      </c>
      <c r="J177" s="14" t="n">
        <v>9294.62</v>
      </c>
      <c r="K177" s="15" t="n">
        <v>0.7301</v>
      </c>
      <c r="L177" s="15" t="n">
        <v>0.451</v>
      </c>
      <c r="M177" s="29" t="n">
        <v>45</v>
      </c>
    </row>
    <row r="178" customFormat="false" ht="15" hidden="false" customHeight="false" outlineLevel="0" collapsed="false">
      <c r="A178" s="24" t="n">
        <v>10640</v>
      </c>
      <c r="B178" s="8" t="s">
        <v>181</v>
      </c>
      <c r="C178" s="25" t="n">
        <v>2</v>
      </c>
      <c r="D178" s="25" t="n">
        <v>2</v>
      </c>
      <c r="E178" s="10" t="n">
        <v>0</v>
      </c>
      <c r="F178" s="10" t="n">
        <v>337.42</v>
      </c>
      <c r="G178" s="10" t="n">
        <v>337.42</v>
      </c>
      <c r="H178" s="10" t="n">
        <v>88.33</v>
      </c>
      <c r="I178" s="10" t="n">
        <v>249.09</v>
      </c>
      <c r="J178" s="10" t="n">
        <v>156.4</v>
      </c>
      <c r="K178" s="11" t="n">
        <v>0.7382</v>
      </c>
      <c r="L178" s="11" t="n">
        <v>0.4635</v>
      </c>
      <c r="M178" s="26" t="n">
        <v>45</v>
      </c>
    </row>
    <row r="179" customFormat="false" ht="15" hidden="false" customHeight="false" outlineLevel="0" collapsed="false">
      <c r="A179" s="27" t="n">
        <v>10642</v>
      </c>
      <c r="B179" s="12" t="s">
        <v>182</v>
      </c>
      <c r="C179" s="28" t="n">
        <v>5</v>
      </c>
      <c r="D179" s="28" t="n">
        <v>5</v>
      </c>
      <c r="E179" s="14" t="n">
        <v>0</v>
      </c>
      <c r="F179" s="14" t="n">
        <v>992</v>
      </c>
      <c r="G179" s="14" t="n">
        <v>992</v>
      </c>
      <c r="H179" s="14" t="n">
        <v>876.3</v>
      </c>
      <c r="I179" s="14" t="n">
        <v>115.7</v>
      </c>
      <c r="J179" s="14" t="n">
        <v>-228.5</v>
      </c>
      <c r="K179" s="15" t="n">
        <v>0.1166</v>
      </c>
      <c r="L179" s="15" t="n">
        <v>-0.2303</v>
      </c>
      <c r="M179" s="29" t="n">
        <v>65</v>
      </c>
    </row>
    <row r="180" customFormat="false" ht="15" hidden="false" customHeight="false" outlineLevel="0" collapsed="false">
      <c r="A180" s="24" t="n">
        <v>10673</v>
      </c>
      <c r="B180" s="8" t="s">
        <v>183</v>
      </c>
      <c r="C180" s="25" t="n">
        <v>7</v>
      </c>
      <c r="D180" s="25" t="n">
        <v>7</v>
      </c>
      <c r="E180" s="10" t="n">
        <v>0</v>
      </c>
      <c r="F180" s="10" t="n">
        <v>18345.6</v>
      </c>
      <c r="G180" s="10" t="n">
        <v>18345.6</v>
      </c>
      <c r="H180" s="10" t="n">
        <v>10649.45</v>
      </c>
      <c r="I180" s="10" t="n">
        <v>7696.15</v>
      </c>
      <c r="J180" s="10" t="n">
        <v>2575.89</v>
      </c>
      <c r="K180" s="11" t="n">
        <v>0.4195</v>
      </c>
      <c r="L180" s="11" t="n">
        <v>0.1404</v>
      </c>
      <c r="M180" s="26" t="n">
        <v>34</v>
      </c>
    </row>
    <row r="181" customFormat="false" ht="15" hidden="false" customHeight="false" outlineLevel="0" collapsed="false">
      <c r="A181" s="27" t="n">
        <v>10674</v>
      </c>
      <c r="B181" s="12" t="s">
        <v>184</v>
      </c>
      <c r="C181" s="28" t="n">
        <v>92</v>
      </c>
      <c r="D181" s="28" t="n">
        <v>92</v>
      </c>
      <c r="E181" s="14" t="n">
        <v>0</v>
      </c>
      <c r="F181" s="14" t="n">
        <v>12296.51</v>
      </c>
      <c r="G181" s="14" t="n">
        <v>12296.51</v>
      </c>
      <c r="H181" s="14" t="n">
        <v>8201.0012</v>
      </c>
      <c r="I181" s="14" t="n">
        <v>4095.51</v>
      </c>
      <c r="J181" s="14" t="n">
        <v>717.4</v>
      </c>
      <c r="K181" s="15" t="n">
        <v>0.3331</v>
      </c>
      <c r="L181" s="15" t="n">
        <v>0.0583</v>
      </c>
      <c r="M181" s="29" t="n">
        <v>50</v>
      </c>
    </row>
    <row r="182" customFormat="false" ht="15" hidden="false" customHeight="false" outlineLevel="0" collapsed="false">
      <c r="A182" s="24" t="n">
        <v>10678</v>
      </c>
      <c r="B182" s="8" t="s">
        <v>185</v>
      </c>
      <c r="C182" s="25" t="n">
        <v>27</v>
      </c>
      <c r="D182" s="25" t="n">
        <v>27</v>
      </c>
      <c r="E182" s="10" t="n">
        <v>0</v>
      </c>
      <c r="F182" s="10" t="n">
        <v>2314.7</v>
      </c>
      <c r="G182" s="10" t="n">
        <v>2314.7</v>
      </c>
      <c r="H182" s="10" t="n">
        <v>1168.06</v>
      </c>
      <c r="I182" s="10" t="n">
        <v>1146.64</v>
      </c>
      <c r="J182" s="10" t="n">
        <v>613.2</v>
      </c>
      <c r="K182" s="11" t="n">
        <v>0.4954</v>
      </c>
      <c r="L182" s="11" t="n">
        <v>0.2649</v>
      </c>
      <c r="M182" s="26" t="n">
        <v>50</v>
      </c>
    </row>
    <row r="183" customFormat="false" ht="15" hidden="false" customHeight="false" outlineLevel="0" collapsed="false">
      <c r="A183" s="27" t="n">
        <v>10679</v>
      </c>
      <c r="B183" s="12" t="s">
        <v>158</v>
      </c>
      <c r="C183" s="28" t="n">
        <v>70</v>
      </c>
      <c r="D183" s="28" t="n">
        <v>70</v>
      </c>
      <c r="E183" s="14" t="n">
        <v>0</v>
      </c>
      <c r="F183" s="14" t="n">
        <v>7347.5</v>
      </c>
      <c r="G183" s="14" t="n">
        <v>7347.5</v>
      </c>
      <c r="H183" s="14" t="n">
        <v>6557.32</v>
      </c>
      <c r="I183" s="14" t="n">
        <v>790.18</v>
      </c>
      <c r="J183" s="14" t="n">
        <v>-988.1</v>
      </c>
      <c r="K183" s="15" t="n">
        <v>0.1075</v>
      </c>
      <c r="L183" s="15" t="n">
        <v>-0.1345</v>
      </c>
      <c r="M183" s="29" t="n">
        <v>50</v>
      </c>
    </row>
    <row r="184" customFormat="false" ht="15" hidden="false" customHeight="false" outlineLevel="0" collapsed="false">
      <c r="A184" s="24" t="n">
        <v>10697</v>
      </c>
      <c r="B184" s="8" t="s">
        <v>186</v>
      </c>
      <c r="C184" s="25" t="n">
        <v>16</v>
      </c>
      <c r="D184" s="25" t="n">
        <v>16</v>
      </c>
      <c r="E184" s="10" t="n">
        <v>0</v>
      </c>
      <c r="F184" s="10" t="n">
        <v>4254.08</v>
      </c>
      <c r="G184" s="10" t="n">
        <v>4254.08</v>
      </c>
      <c r="H184" s="10" t="n">
        <v>1288.64</v>
      </c>
      <c r="I184" s="10" t="n">
        <v>2965.44</v>
      </c>
      <c r="J184" s="10" t="n">
        <v>1796.77</v>
      </c>
      <c r="K184" s="11" t="n">
        <v>0.6971</v>
      </c>
      <c r="L184" s="11" t="n">
        <v>0.4224</v>
      </c>
      <c r="M184" s="26" t="n">
        <v>50</v>
      </c>
    </row>
    <row r="185" customFormat="false" ht="15" hidden="false" customHeight="false" outlineLevel="0" collapsed="false">
      <c r="A185" s="27" t="n">
        <v>10701</v>
      </c>
      <c r="B185" s="12" t="s">
        <v>187</v>
      </c>
      <c r="C185" s="28" t="n">
        <v>10</v>
      </c>
      <c r="D185" s="28" t="n">
        <v>10</v>
      </c>
      <c r="E185" s="14" t="n">
        <v>0</v>
      </c>
      <c r="F185" s="14" t="n">
        <v>2280</v>
      </c>
      <c r="G185" s="14" t="n">
        <v>2280</v>
      </c>
      <c r="H185" s="14" t="n">
        <v>1665.2</v>
      </c>
      <c r="I185" s="14" t="n">
        <v>614.8</v>
      </c>
      <c r="J185" s="14" t="n">
        <v>-21.55</v>
      </c>
      <c r="K185" s="15" t="n">
        <v>0.2696</v>
      </c>
      <c r="L185" s="15" t="n">
        <v>-0.0095</v>
      </c>
      <c r="M185" s="29" t="n">
        <v>46</v>
      </c>
    </row>
    <row r="186" customFormat="false" ht="15" hidden="false" customHeight="false" outlineLevel="0" collapsed="false">
      <c r="A186" s="24" t="n">
        <v>10707</v>
      </c>
      <c r="B186" s="8" t="s">
        <v>188</v>
      </c>
      <c r="C186" s="25" t="n">
        <v>1</v>
      </c>
      <c r="D186" s="25" t="n">
        <v>1</v>
      </c>
      <c r="E186" s="10" t="n">
        <v>0</v>
      </c>
      <c r="F186" s="10" t="n">
        <v>13548</v>
      </c>
      <c r="G186" s="10" t="n">
        <v>13548</v>
      </c>
      <c r="H186" s="10" t="n">
        <v>5799.97</v>
      </c>
      <c r="I186" s="10" t="n">
        <v>7748.03</v>
      </c>
      <c r="J186" s="10" t="n">
        <v>4026.13</v>
      </c>
      <c r="K186" s="11" t="n">
        <v>0.5719</v>
      </c>
      <c r="L186" s="11" t="n">
        <v>0.2972</v>
      </c>
      <c r="M186" s="26" t="n">
        <v>60</v>
      </c>
    </row>
    <row r="187" customFormat="false" ht="15" hidden="false" customHeight="false" outlineLevel="0" collapsed="false">
      <c r="A187" s="27" t="n">
        <v>10712</v>
      </c>
      <c r="B187" s="12" t="s">
        <v>189</v>
      </c>
      <c r="C187" s="28" t="n">
        <v>529</v>
      </c>
      <c r="D187" s="28" t="n">
        <v>529</v>
      </c>
      <c r="E187" s="14" t="n">
        <v>0</v>
      </c>
      <c r="F187" s="14" t="n">
        <v>1983.75</v>
      </c>
      <c r="G187" s="14" t="n">
        <v>1983.75</v>
      </c>
      <c r="H187" s="14" t="n">
        <v>958.8618</v>
      </c>
      <c r="I187" s="14" t="n">
        <v>1024.89</v>
      </c>
      <c r="J187" s="14" t="n">
        <v>471.2</v>
      </c>
      <c r="K187" s="15" t="n">
        <v>0.5166</v>
      </c>
      <c r="L187" s="15" t="n">
        <v>0.2375</v>
      </c>
      <c r="M187" s="29" t="n">
        <v>45</v>
      </c>
    </row>
    <row r="188" customFormat="false" ht="15" hidden="false" customHeight="false" outlineLevel="0" collapsed="false">
      <c r="A188" s="24" t="n">
        <v>10721</v>
      </c>
      <c r="B188" s="8" t="s">
        <v>190</v>
      </c>
      <c r="C188" s="25" t="n">
        <v>5</v>
      </c>
      <c r="D188" s="25" t="n">
        <v>5</v>
      </c>
      <c r="E188" s="10" t="n">
        <v>0</v>
      </c>
      <c r="F188" s="10" t="n">
        <v>59813.14</v>
      </c>
      <c r="G188" s="10" t="n">
        <v>59813.14</v>
      </c>
      <c r="H188" s="10" t="n">
        <v>31789.12</v>
      </c>
      <c r="I188" s="10" t="n">
        <v>28024.02</v>
      </c>
      <c r="J188" s="10" t="n">
        <v>13513.35</v>
      </c>
      <c r="K188" s="11" t="n">
        <v>0.4685</v>
      </c>
      <c r="L188" s="11" t="n">
        <v>0.2259</v>
      </c>
      <c r="M188" s="26" t="n">
        <v>33.24</v>
      </c>
    </row>
    <row r="189" customFormat="false" ht="15" hidden="false" customHeight="false" outlineLevel="0" collapsed="false">
      <c r="A189" s="27" t="n">
        <v>10722</v>
      </c>
      <c r="B189" s="12" t="s">
        <v>191</v>
      </c>
      <c r="C189" s="28" t="n">
        <v>2</v>
      </c>
      <c r="D189" s="28" t="n">
        <v>2</v>
      </c>
      <c r="E189" s="14" t="n">
        <v>0</v>
      </c>
      <c r="F189" s="14" t="n">
        <v>21712.18</v>
      </c>
      <c r="G189" s="14" t="n">
        <v>21712.18</v>
      </c>
      <c r="H189" s="14" t="n">
        <v>11622.88</v>
      </c>
      <c r="I189" s="14" t="n">
        <v>10089.3</v>
      </c>
      <c r="J189" s="14" t="n">
        <v>4821.93</v>
      </c>
      <c r="K189" s="15" t="n">
        <v>0.4647</v>
      </c>
      <c r="L189" s="15" t="n">
        <v>0.2221</v>
      </c>
      <c r="M189" s="29" t="n">
        <v>32.5</v>
      </c>
    </row>
    <row r="190" customFormat="false" ht="15" hidden="false" customHeight="false" outlineLevel="0" collapsed="false">
      <c r="A190" s="24" t="n">
        <v>10723</v>
      </c>
      <c r="B190" s="8" t="s">
        <v>192</v>
      </c>
      <c r="C190" s="25" t="n">
        <v>2</v>
      </c>
      <c r="D190" s="25" t="n">
        <v>2</v>
      </c>
      <c r="E190" s="10" t="n">
        <v>0</v>
      </c>
      <c r="F190" s="10" t="n">
        <v>2200</v>
      </c>
      <c r="G190" s="10" t="n">
        <v>2200</v>
      </c>
      <c r="H190" s="10" t="n">
        <v>1097.27</v>
      </c>
      <c r="I190" s="10" t="n">
        <v>1102.73</v>
      </c>
      <c r="J190" s="10" t="n">
        <v>498.34</v>
      </c>
      <c r="K190" s="11" t="n">
        <v>0.5012</v>
      </c>
      <c r="L190" s="11" t="n">
        <v>0.2265</v>
      </c>
      <c r="M190" s="26" t="n">
        <v>50</v>
      </c>
    </row>
    <row r="191" customFormat="false" ht="15" hidden="false" customHeight="false" outlineLevel="0" collapsed="false">
      <c r="A191" s="27" t="n">
        <v>10730</v>
      </c>
      <c r="B191" s="12" t="s">
        <v>193</v>
      </c>
      <c r="C191" s="28" t="n">
        <v>300</v>
      </c>
      <c r="D191" s="28" t="n">
        <v>300</v>
      </c>
      <c r="E191" s="14" t="n">
        <v>0</v>
      </c>
      <c r="F191" s="14" t="n">
        <v>6372.6</v>
      </c>
      <c r="G191" s="14" t="n">
        <v>6372.6</v>
      </c>
      <c r="H191" s="14" t="n">
        <v>1763.909</v>
      </c>
      <c r="I191" s="14" t="n">
        <v>4608.69</v>
      </c>
      <c r="J191" s="14" t="n">
        <v>3766.94</v>
      </c>
      <c r="K191" s="15" t="n">
        <v>0.7232</v>
      </c>
      <c r="L191" s="15" t="n">
        <v>0.5911</v>
      </c>
      <c r="M191" s="29" t="n">
        <v>30.19</v>
      </c>
    </row>
    <row r="192" customFormat="false" ht="15" hidden="false" customHeight="false" outlineLevel="0" collapsed="false">
      <c r="A192" s="24" t="n">
        <v>10736</v>
      </c>
      <c r="B192" s="8" t="s">
        <v>194</v>
      </c>
      <c r="C192" s="25" t="n">
        <v>0</v>
      </c>
      <c r="D192" s="25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1" t="n">
        <v>0</v>
      </c>
      <c r="L192" s="11" t="n">
        <v>0</v>
      </c>
      <c r="M192" s="26" t="n">
        <v>5100.96</v>
      </c>
    </row>
    <row r="193" customFormat="false" ht="15" hidden="false" customHeight="false" outlineLevel="0" collapsed="false">
      <c r="A193" s="27" t="n">
        <v>40005</v>
      </c>
      <c r="B193" s="12" t="s">
        <v>195</v>
      </c>
      <c r="C193" s="28" t="n">
        <v>44</v>
      </c>
      <c r="D193" s="28" t="n">
        <v>44</v>
      </c>
      <c r="E193" s="14" t="n">
        <v>0</v>
      </c>
      <c r="F193" s="14" t="n">
        <v>16453.66</v>
      </c>
      <c r="G193" s="14" t="n">
        <v>16453.66</v>
      </c>
      <c r="H193" s="14" t="n">
        <v>7634.78</v>
      </c>
      <c r="I193" s="14" t="n">
        <v>8818.88</v>
      </c>
      <c r="J193" s="14" t="n">
        <v>4541.77</v>
      </c>
      <c r="K193" s="15" t="n">
        <v>0.536</v>
      </c>
      <c r="L193" s="15" t="n">
        <v>0.276</v>
      </c>
      <c r="M193" s="29" t="n">
        <v>45.8</v>
      </c>
    </row>
    <row r="194" customFormat="false" ht="15" hidden="false" customHeight="false" outlineLevel="0" collapsed="false">
      <c r="A194" s="24" t="n">
        <v>50340</v>
      </c>
      <c r="B194" s="8" t="s">
        <v>196</v>
      </c>
      <c r="C194" s="25" t="n">
        <v>20</v>
      </c>
      <c r="D194" s="25" t="n">
        <v>20</v>
      </c>
      <c r="E194" s="10" t="n">
        <v>0</v>
      </c>
      <c r="F194" s="10" t="n">
        <v>305.4</v>
      </c>
      <c r="G194" s="10" t="n">
        <v>305.4</v>
      </c>
      <c r="H194" s="10" t="n">
        <v>115.18</v>
      </c>
      <c r="I194" s="10" t="n">
        <v>190.22</v>
      </c>
      <c r="J194" s="10" t="n">
        <v>121.04</v>
      </c>
      <c r="K194" s="11" t="n">
        <v>0.6229</v>
      </c>
      <c r="L194" s="11" t="n">
        <v>0.3963</v>
      </c>
      <c r="M194" s="26" t="n">
        <v>80</v>
      </c>
    </row>
    <row r="195" customFormat="false" ht="15" hidden="false" customHeight="false" outlineLevel="0" collapsed="false">
      <c r="A195" s="27" t="n">
        <v>50999</v>
      </c>
      <c r="B195" s="12" t="s">
        <v>197</v>
      </c>
      <c r="C195" s="28" t="n">
        <v>6</v>
      </c>
      <c r="D195" s="28" t="n">
        <v>6</v>
      </c>
      <c r="E195" s="14" t="n">
        <v>0</v>
      </c>
      <c r="F195" s="14" t="n">
        <v>912</v>
      </c>
      <c r="G195" s="14" t="n">
        <v>912</v>
      </c>
      <c r="H195" s="14" t="n">
        <v>89.99</v>
      </c>
      <c r="I195" s="14" t="n">
        <v>822.01</v>
      </c>
      <c r="J195" s="14" t="n">
        <v>571.46</v>
      </c>
      <c r="K195" s="15" t="n">
        <v>0.9013</v>
      </c>
      <c r="L195" s="15" t="n">
        <v>0.6266</v>
      </c>
      <c r="M195" s="29" t="n">
        <v>15</v>
      </c>
    </row>
    <row r="196" customFormat="false" ht="15" hidden="false" customHeight="false" outlineLevel="0" collapsed="false">
      <c r="A196" s="24" t="n">
        <v>51053</v>
      </c>
      <c r="B196" s="8" t="s">
        <v>198</v>
      </c>
      <c r="C196" s="25" t="n">
        <v>1</v>
      </c>
      <c r="D196" s="25" t="n">
        <v>1</v>
      </c>
      <c r="E196" s="10" t="n">
        <v>0</v>
      </c>
      <c r="F196" s="10" t="n">
        <v>176.31</v>
      </c>
      <c r="G196" s="10" t="n">
        <v>176.31</v>
      </c>
      <c r="H196" s="10" t="n">
        <v>81.42</v>
      </c>
      <c r="I196" s="10" t="n">
        <v>94.89</v>
      </c>
      <c r="J196" s="10" t="n">
        <v>46.45</v>
      </c>
      <c r="K196" s="11" t="n">
        <v>0.5382</v>
      </c>
      <c r="L196" s="11" t="n">
        <v>0.2635</v>
      </c>
      <c r="M196" s="26" t="n">
        <v>6</v>
      </c>
    </row>
    <row r="197" customFormat="false" ht="15" hidden="false" customHeight="false" outlineLevel="0" collapsed="false">
      <c r="A197" s="27" t="n">
        <v>51232</v>
      </c>
      <c r="B197" s="12" t="s">
        <v>199</v>
      </c>
      <c r="C197" s="28" t="n">
        <v>30</v>
      </c>
      <c r="D197" s="28" t="n">
        <v>30</v>
      </c>
      <c r="E197" s="14" t="n">
        <v>0</v>
      </c>
      <c r="F197" s="14" t="n">
        <v>858</v>
      </c>
      <c r="G197" s="14" t="n">
        <v>858</v>
      </c>
      <c r="H197" s="14" t="n">
        <v>238.701</v>
      </c>
      <c r="I197" s="14" t="n">
        <v>619.3</v>
      </c>
      <c r="J197" s="14" t="n">
        <v>514.11</v>
      </c>
      <c r="K197" s="15" t="n">
        <v>0.7218</v>
      </c>
      <c r="L197" s="15" t="n">
        <v>0.5992</v>
      </c>
      <c r="M197" s="29" t="n">
        <v>45</v>
      </c>
    </row>
    <row r="198" customFormat="false" ht="15" hidden="false" customHeight="false" outlineLevel="0" collapsed="false">
      <c r="A198" s="24" t="n">
        <v>51378</v>
      </c>
      <c r="B198" s="8" t="s">
        <v>200</v>
      </c>
      <c r="C198" s="25" t="n">
        <v>2</v>
      </c>
      <c r="D198" s="25" t="n">
        <v>2</v>
      </c>
      <c r="E198" s="10" t="n">
        <v>0</v>
      </c>
      <c r="F198" s="10" t="n">
        <v>409.14</v>
      </c>
      <c r="G198" s="10" t="n">
        <v>409.14</v>
      </c>
      <c r="H198" s="10" t="n">
        <v>242.97</v>
      </c>
      <c r="I198" s="10" t="n">
        <v>166.17</v>
      </c>
      <c r="J198" s="10" t="n">
        <v>53.77</v>
      </c>
      <c r="K198" s="11" t="n">
        <v>0.4061</v>
      </c>
      <c r="L198" s="11" t="n">
        <v>0.1314</v>
      </c>
      <c r="M198" s="26" t="n">
        <v>60</v>
      </c>
    </row>
    <row r="199" customFormat="false" ht="15" hidden="false" customHeight="false" outlineLevel="0" collapsed="false">
      <c r="A199" s="27" t="n">
        <v>51618</v>
      </c>
      <c r="B199" s="12" t="s">
        <v>201</v>
      </c>
      <c r="C199" s="28" t="n">
        <v>10</v>
      </c>
      <c r="D199" s="28" t="n">
        <v>10</v>
      </c>
      <c r="E199" s="14" t="n">
        <v>0</v>
      </c>
      <c r="F199" s="14" t="n">
        <v>466</v>
      </c>
      <c r="G199" s="14" t="n">
        <v>466</v>
      </c>
      <c r="H199" s="14" t="n">
        <v>235.4</v>
      </c>
      <c r="I199" s="14" t="n">
        <v>230.6</v>
      </c>
      <c r="J199" s="14" t="n">
        <v>66.06</v>
      </c>
      <c r="K199" s="15" t="n">
        <v>0.4948</v>
      </c>
      <c r="L199" s="15" t="n">
        <v>0.1418</v>
      </c>
      <c r="M199" s="29" t="n">
        <v>21</v>
      </c>
    </row>
    <row r="200" customFormat="false" ht="15" hidden="false" customHeight="false" outlineLevel="0" collapsed="false">
      <c r="A200" s="24" t="n">
        <v>51630</v>
      </c>
      <c r="B200" s="8" t="s">
        <v>202</v>
      </c>
      <c r="C200" s="25" t="n">
        <v>23</v>
      </c>
      <c r="D200" s="25" t="n">
        <v>23</v>
      </c>
      <c r="E200" s="10" t="n">
        <v>0</v>
      </c>
      <c r="F200" s="10" t="n">
        <v>694.04</v>
      </c>
      <c r="G200" s="10" t="n">
        <v>694.04</v>
      </c>
      <c r="H200" s="10" t="n">
        <v>122.14</v>
      </c>
      <c r="I200" s="10" t="n">
        <v>571.9</v>
      </c>
      <c r="J200" s="10" t="n">
        <v>381.24</v>
      </c>
      <c r="K200" s="11" t="n">
        <v>0.824</v>
      </c>
      <c r="L200" s="11" t="n">
        <v>0.5493</v>
      </c>
      <c r="M200" s="26" t="n">
        <v>50</v>
      </c>
    </row>
    <row r="201" customFormat="false" ht="15" hidden="false" customHeight="false" outlineLevel="0" collapsed="false">
      <c r="A201" s="27" t="n">
        <v>51948</v>
      </c>
      <c r="B201" s="12" t="s">
        <v>203</v>
      </c>
      <c r="C201" s="28" t="n">
        <v>50</v>
      </c>
      <c r="D201" s="28" t="n">
        <v>50</v>
      </c>
      <c r="E201" s="14" t="n">
        <v>0</v>
      </c>
      <c r="F201" s="14" t="n">
        <v>18998.5</v>
      </c>
      <c r="G201" s="14" t="n">
        <v>18998.5</v>
      </c>
      <c r="H201" s="14" t="n">
        <v>6460.32</v>
      </c>
      <c r="I201" s="14" t="n">
        <v>12538.18</v>
      </c>
      <c r="J201" s="14" t="n">
        <v>10208.97</v>
      </c>
      <c r="K201" s="15" t="n">
        <v>0.66</v>
      </c>
      <c r="L201" s="15" t="n">
        <v>0.5374</v>
      </c>
      <c r="M201" s="29" t="n">
        <v>30</v>
      </c>
    </row>
    <row r="202" customFormat="false" ht="15" hidden="false" customHeight="false" outlineLevel="0" collapsed="false">
      <c r="A202" s="24" t="n">
        <v>52434</v>
      </c>
      <c r="B202" s="8" t="s">
        <v>204</v>
      </c>
      <c r="C202" s="25" t="n">
        <v>1</v>
      </c>
      <c r="D202" s="25" t="n">
        <v>1</v>
      </c>
      <c r="E202" s="10" t="n">
        <v>0</v>
      </c>
      <c r="F202" s="10" t="n">
        <v>68.75</v>
      </c>
      <c r="G202" s="10" t="n">
        <v>68.75</v>
      </c>
      <c r="H202" s="10" t="n">
        <v>22.26</v>
      </c>
      <c r="I202" s="10" t="n">
        <v>46.49</v>
      </c>
      <c r="J202" s="10" t="n">
        <v>27.6</v>
      </c>
      <c r="K202" s="11" t="n">
        <v>0.6762</v>
      </c>
      <c r="L202" s="11" t="n">
        <v>0.4015</v>
      </c>
      <c r="M202" s="26" t="n">
        <v>7</v>
      </c>
    </row>
    <row r="203" customFormat="false" ht="15" hidden="false" customHeight="false" outlineLevel="0" collapsed="false">
      <c r="A203" s="27" t="n">
        <v>52566</v>
      </c>
      <c r="B203" s="12" t="s">
        <v>205</v>
      </c>
      <c r="C203" s="28" t="n">
        <v>3</v>
      </c>
      <c r="D203" s="28" t="n">
        <v>3</v>
      </c>
      <c r="E203" s="14" t="n">
        <v>0</v>
      </c>
      <c r="F203" s="14" t="n">
        <v>623.76</v>
      </c>
      <c r="G203" s="14" t="n">
        <v>623.76</v>
      </c>
      <c r="H203" s="14" t="n">
        <v>244.7001</v>
      </c>
      <c r="I203" s="14" t="n">
        <v>379.06</v>
      </c>
      <c r="J203" s="14" t="n">
        <v>207.7</v>
      </c>
      <c r="K203" s="15" t="n">
        <v>0.6077</v>
      </c>
      <c r="L203" s="15" t="n">
        <v>0.333</v>
      </c>
      <c r="M203" s="29" t="n">
        <v>45</v>
      </c>
    </row>
    <row r="204" customFormat="false" ht="15" hidden="false" customHeight="false" outlineLevel="0" collapsed="false">
      <c r="A204" s="24" t="n">
        <v>52673</v>
      </c>
      <c r="B204" s="8" t="s">
        <v>206</v>
      </c>
      <c r="C204" s="25" t="n">
        <v>280</v>
      </c>
      <c r="D204" s="25" t="n">
        <v>280</v>
      </c>
      <c r="E204" s="10" t="n">
        <v>0</v>
      </c>
      <c r="F204" s="10" t="n">
        <v>700</v>
      </c>
      <c r="G204" s="10" t="n">
        <v>700</v>
      </c>
      <c r="H204" s="10" t="n">
        <v>280</v>
      </c>
      <c r="I204" s="10" t="n">
        <v>420</v>
      </c>
      <c r="J204" s="10" t="n">
        <v>334.18</v>
      </c>
      <c r="K204" s="11" t="n">
        <v>0.6</v>
      </c>
      <c r="L204" s="11" t="n">
        <v>0.4774</v>
      </c>
      <c r="M204" s="26" t="n">
        <v>5</v>
      </c>
    </row>
    <row r="205" customFormat="false" ht="15" hidden="false" customHeight="false" outlineLevel="0" collapsed="false">
      <c r="A205" s="27" t="n">
        <v>52674</v>
      </c>
      <c r="B205" s="12" t="s">
        <v>207</v>
      </c>
      <c r="C205" s="28" t="n">
        <v>65</v>
      </c>
      <c r="D205" s="28" t="n">
        <v>65</v>
      </c>
      <c r="E205" s="14" t="n">
        <v>0</v>
      </c>
      <c r="F205" s="14" t="n">
        <v>162.5</v>
      </c>
      <c r="G205" s="14" t="n">
        <v>162.5</v>
      </c>
      <c r="H205" s="14" t="n">
        <v>182</v>
      </c>
      <c r="I205" s="14" t="n">
        <v>-19.5</v>
      </c>
      <c r="J205" s="14" t="n">
        <v>-39.42</v>
      </c>
      <c r="K205" s="15" t="n">
        <v>-0.12</v>
      </c>
      <c r="L205" s="15" t="n">
        <v>-0.2426</v>
      </c>
      <c r="M205" s="29" t="n">
        <v>5</v>
      </c>
    </row>
    <row r="206" customFormat="false" ht="15" hidden="false" customHeight="false" outlineLevel="0" collapsed="false">
      <c r="A206" s="24" t="n">
        <v>52676</v>
      </c>
      <c r="B206" s="8" t="s">
        <v>208</v>
      </c>
      <c r="C206" s="25" t="n">
        <v>750</v>
      </c>
      <c r="D206" s="25" t="n">
        <v>750</v>
      </c>
      <c r="E206" s="10" t="n">
        <v>0</v>
      </c>
      <c r="F206" s="10" t="n">
        <v>172.5</v>
      </c>
      <c r="G206" s="10" t="n">
        <v>172.5</v>
      </c>
      <c r="H206" s="10" t="n">
        <v>127.5</v>
      </c>
      <c r="I206" s="10" t="n">
        <v>45</v>
      </c>
      <c r="J206" s="10" t="n">
        <v>23.85</v>
      </c>
      <c r="K206" s="11" t="n">
        <v>0.2609</v>
      </c>
      <c r="L206" s="11" t="n">
        <v>0.1383</v>
      </c>
      <c r="M206" s="26" t="n">
        <v>5</v>
      </c>
    </row>
    <row r="207" customFormat="false" ht="15" hidden="false" customHeight="false" outlineLevel="0" collapsed="false">
      <c r="A207" s="27" t="n">
        <v>52883</v>
      </c>
      <c r="B207" s="12" t="s">
        <v>209</v>
      </c>
      <c r="C207" s="28" t="n">
        <v>1</v>
      </c>
      <c r="D207" s="28" t="n">
        <v>1</v>
      </c>
      <c r="E207" s="14" t="n">
        <v>0</v>
      </c>
      <c r="F207" s="14" t="n">
        <v>40</v>
      </c>
      <c r="G207" s="14" t="n">
        <v>40</v>
      </c>
      <c r="H207" s="14" t="n">
        <v>13.98</v>
      </c>
      <c r="I207" s="14" t="n">
        <v>26.02</v>
      </c>
      <c r="J207" s="14" t="n">
        <v>16.96</v>
      </c>
      <c r="K207" s="15" t="n">
        <v>0.6505</v>
      </c>
      <c r="L207" s="15" t="n">
        <v>0.424</v>
      </c>
      <c r="M207" s="29" t="n">
        <v>7</v>
      </c>
    </row>
    <row r="208" customFormat="false" ht="15" hidden="false" customHeight="false" outlineLevel="0" collapsed="false">
      <c r="A208" s="24" t="n">
        <v>53119</v>
      </c>
      <c r="B208" s="8" t="s">
        <v>210</v>
      </c>
      <c r="C208" s="25" t="n">
        <v>2</v>
      </c>
      <c r="D208" s="25" t="n">
        <v>2</v>
      </c>
      <c r="E208" s="10" t="n">
        <v>0</v>
      </c>
      <c r="F208" s="10" t="n">
        <v>464</v>
      </c>
      <c r="G208" s="10" t="n">
        <v>464</v>
      </c>
      <c r="H208" s="10" t="n">
        <v>197.79</v>
      </c>
      <c r="I208" s="10" t="n">
        <v>266.21</v>
      </c>
      <c r="J208" s="10" t="n">
        <v>138.74</v>
      </c>
      <c r="K208" s="11" t="n">
        <v>0.5737</v>
      </c>
      <c r="L208" s="11" t="n">
        <v>0.299</v>
      </c>
      <c r="M208" s="26" t="n">
        <v>60</v>
      </c>
    </row>
    <row r="209" customFormat="false" ht="15" hidden="false" customHeight="false" outlineLevel="0" collapsed="false">
      <c r="A209" s="27" t="n">
        <v>53123</v>
      </c>
      <c r="B209" s="12" t="s">
        <v>211</v>
      </c>
      <c r="C209" s="28" t="n">
        <v>3</v>
      </c>
      <c r="D209" s="28" t="n">
        <v>3</v>
      </c>
      <c r="E209" s="14" t="n">
        <v>0</v>
      </c>
      <c r="F209" s="14" t="n">
        <v>85.02</v>
      </c>
      <c r="G209" s="14" t="n">
        <v>85.02</v>
      </c>
      <c r="H209" s="14" t="n">
        <v>18.3501</v>
      </c>
      <c r="I209" s="14" t="n">
        <v>66.67</v>
      </c>
      <c r="J209" s="14" t="n">
        <v>46.04</v>
      </c>
      <c r="K209" s="15" t="n">
        <v>0.7842</v>
      </c>
      <c r="L209" s="15" t="n">
        <v>0.5415</v>
      </c>
      <c r="M209" s="29" t="n">
        <v>36</v>
      </c>
    </row>
    <row r="210" customFormat="false" ht="15" hidden="false" customHeight="false" outlineLevel="0" collapsed="false">
      <c r="A210" s="24" t="n">
        <v>54792</v>
      </c>
      <c r="B210" s="8" t="s">
        <v>212</v>
      </c>
      <c r="C210" s="25" t="n">
        <v>1</v>
      </c>
      <c r="D210" s="25" t="n">
        <v>1</v>
      </c>
      <c r="E210" s="10" t="n">
        <v>0</v>
      </c>
      <c r="F210" s="10" t="n">
        <v>19.14</v>
      </c>
      <c r="G210" s="10" t="n">
        <v>19.14</v>
      </c>
      <c r="H210" s="10" t="n">
        <v>6.11</v>
      </c>
      <c r="I210" s="10" t="n">
        <v>13.03</v>
      </c>
      <c r="J210" s="10" t="n">
        <v>7.77</v>
      </c>
      <c r="K210" s="11" t="n">
        <v>0.6808</v>
      </c>
      <c r="L210" s="11" t="n">
        <v>0.406</v>
      </c>
      <c r="M210" s="26" t="n">
        <v>60</v>
      </c>
    </row>
    <row r="211" customFormat="false" ht="15" hidden="false" customHeight="false" outlineLevel="0" collapsed="false">
      <c r="A211" s="27" t="n">
        <v>54801</v>
      </c>
      <c r="B211" s="12" t="s">
        <v>213</v>
      </c>
      <c r="C211" s="28" t="n">
        <v>27</v>
      </c>
      <c r="D211" s="28" t="n">
        <v>27</v>
      </c>
      <c r="E211" s="14" t="n">
        <v>0</v>
      </c>
      <c r="F211" s="14" t="n">
        <v>8863.2</v>
      </c>
      <c r="G211" s="14" t="n">
        <v>8863.2</v>
      </c>
      <c r="H211" s="14" t="n">
        <v>4335.9501</v>
      </c>
      <c r="I211" s="14" t="n">
        <v>4527.25</v>
      </c>
      <c r="J211" s="14" t="n">
        <v>2092.35</v>
      </c>
      <c r="K211" s="15" t="n">
        <v>0.5108</v>
      </c>
      <c r="L211" s="15" t="n">
        <v>0.2361</v>
      </c>
      <c r="M211" s="29" t="n">
        <v>35.51</v>
      </c>
    </row>
    <row r="212" customFormat="false" ht="15" hidden="false" customHeight="false" outlineLevel="0" collapsed="false">
      <c r="A212" s="24" t="n">
        <v>54909</v>
      </c>
      <c r="B212" s="8" t="s">
        <v>214</v>
      </c>
      <c r="C212" s="25" t="n">
        <v>1</v>
      </c>
      <c r="D212" s="25" t="n">
        <v>1</v>
      </c>
      <c r="E212" s="10" t="n">
        <v>0</v>
      </c>
      <c r="F212" s="10" t="n">
        <v>28.54</v>
      </c>
      <c r="G212" s="10" t="n">
        <v>28.54</v>
      </c>
      <c r="H212" s="10" t="n">
        <v>5.15</v>
      </c>
      <c r="I212" s="10" t="n">
        <v>23.39</v>
      </c>
      <c r="J212" s="10" t="n">
        <v>15.55</v>
      </c>
      <c r="K212" s="11" t="n">
        <v>0.8196</v>
      </c>
      <c r="L212" s="11" t="n">
        <v>0.5448</v>
      </c>
      <c r="M212" s="26" t="n">
        <v>34</v>
      </c>
    </row>
    <row r="213" customFormat="false" ht="15" hidden="false" customHeight="false" outlineLevel="0" collapsed="false">
      <c r="A213" s="27" t="n">
        <v>54945</v>
      </c>
      <c r="B213" s="12" t="s">
        <v>215</v>
      </c>
      <c r="C213" s="28" t="n">
        <v>1</v>
      </c>
      <c r="D213" s="28" t="n">
        <v>1</v>
      </c>
      <c r="E213" s="14" t="n">
        <v>0</v>
      </c>
      <c r="F213" s="14" t="n">
        <v>281.75</v>
      </c>
      <c r="G213" s="14" t="n">
        <v>281.75</v>
      </c>
      <c r="H213" s="14" t="n">
        <v>65.35</v>
      </c>
      <c r="I213" s="14" t="n">
        <v>216.4</v>
      </c>
      <c r="J213" s="14" t="n">
        <v>139</v>
      </c>
      <c r="K213" s="15" t="n">
        <v>0.7681</v>
      </c>
      <c r="L213" s="15" t="n">
        <v>0.4933</v>
      </c>
      <c r="M213" s="29" t="n">
        <v>60</v>
      </c>
    </row>
    <row r="214" customFormat="false" ht="15" hidden="false" customHeight="false" outlineLevel="0" collapsed="false">
      <c r="A214" s="24" t="n">
        <v>55558</v>
      </c>
      <c r="B214" s="8" t="s">
        <v>216</v>
      </c>
      <c r="C214" s="25" t="n">
        <v>5</v>
      </c>
      <c r="D214" s="25" t="n">
        <v>5</v>
      </c>
      <c r="E214" s="10" t="n">
        <v>0</v>
      </c>
      <c r="F214" s="10" t="n">
        <v>2128.35</v>
      </c>
      <c r="G214" s="10" t="n">
        <v>2128.35</v>
      </c>
      <c r="H214" s="10" t="n">
        <v>1049.87</v>
      </c>
      <c r="I214" s="10" t="n">
        <v>1078.48</v>
      </c>
      <c r="J214" s="10" t="n">
        <v>562.14</v>
      </c>
      <c r="K214" s="11" t="n">
        <v>0.5067</v>
      </c>
      <c r="L214" s="11" t="n">
        <v>0.2641</v>
      </c>
      <c r="M214" s="26" t="n">
        <v>36</v>
      </c>
    </row>
    <row r="215" customFormat="false" ht="15" hidden="false" customHeight="false" outlineLevel="0" collapsed="false">
      <c r="A215" s="27" t="n">
        <v>55631</v>
      </c>
      <c r="B215" s="12" t="s">
        <v>217</v>
      </c>
      <c r="C215" s="28" t="n">
        <v>15</v>
      </c>
      <c r="D215" s="28" t="n">
        <v>15</v>
      </c>
      <c r="E215" s="14" t="n">
        <v>0</v>
      </c>
      <c r="F215" s="14" t="n">
        <v>2356.5</v>
      </c>
      <c r="G215" s="14" t="n">
        <v>2356.5</v>
      </c>
      <c r="H215" s="14" t="n">
        <v>1450.5795</v>
      </c>
      <c r="I215" s="14" t="n">
        <v>905.92</v>
      </c>
      <c r="J215" s="14" t="n">
        <v>617.01</v>
      </c>
      <c r="K215" s="15" t="n">
        <v>0.3844</v>
      </c>
      <c r="L215" s="15" t="n">
        <v>0.2618</v>
      </c>
      <c r="M215" s="29" t="n">
        <v>75</v>
      </c>
    </row>
    <row r="216" customFormat="false" ht="15" hidden="false" customHeight="false" outlineLevel="0" collapsed="false">
      <c r="A216" s="24" t="n">
        <v>56262</v>
      </c>
      <c r="B216" s="8" t="s">
        <v>218</v>
      </c>
      <c r="C216" s="25" t="n">
        <v>5</v>
      </c>
      <c r="D216" s="25" t="n">
        <v>5</v>
      </c>
      <c r="E216" s="10" t="n">
        <v>0</v>
      </c>
      <c r="F216" s="10" t="n">
        <v>2017.95</v>
      </c>
      <c r="G216" s="10" t="n">
        <v>2017.95</v>
      </c>
      <c r="H216" s="10" t="n">
        <v>877.34</v>
      </c>
      <c r="I216" s="10" t="n">
        <v>1140.61</v>
      </c>
      <c r="J216" s="10" t="n">
        <v>586.23</v>
      </c>
      <c r="K216" s="11" t="n">
        <v>0.5652</v>
      </c>
      <c r="L216" s="11" t="n">
        <v>0.2905</v>
      </c>
      <c r="M216" s="26" t="n">
        <v>38</v>
      </c>
    </row>
    <row r="217" customFormat="false" ht="15" hidden="false" customHeight="false" outlineLevel="0" collapsed="false">
      <c r="A217" s="27" t="n">
        <v>56390</v>
      </c>
      <c r="B217" s="12" t="s">
        <v>219</v>
      </c>
      <c r="C217" s="28" t="n">
        <v>6</v>
      </c>
      <c r="D217" s="28" t="n">
        <v>6</v>
      </c>
      <c r="E217" s="14" t="n">
        <v>0</v>
      </c>
      <c r="F217" s="14" t="n">
        <v>5299.08</v>
      </c>
      <c r="G217" s="14" t="n">
        <v>5299.08</v>
      </c>
      <c r="H217" s="14" t="n">
        <v>3074.85</v>
      </c>
      <c r="I217" s="14" t="n">
        <v>2224.23</v>
      </c>
      <c r="J217" s="14" t="n">
        <v>768.47</v>
      </c>
      <c r="K217" s="15" t="n">
        <v>0.4197</v>
      </c>
      <c r="L217" s="15" t="n">
        <v>0.145</v>
      </c>
      <c r="M217" s="29" t="n">
        <v>36</v>
      </c>
    </row>
    <row r="218" customFormat="false" ht="15" hidden="false" customHeight="false" outlineLevel="0" collapsed="false">
      <c r="A218" s="24" t="n">
        <v>56391</v>
      </c>
      <c r="B218" s="8" t="s">
        <v>220</v>
      </c>
      <c r="C218" s="25" t="n">
        <v>3</v>
      </c>
      <c r="D218" s="25" t="n">
        <v>3</v>
      </c>
      <c r="E218" s="10" t="n">
        <v>0</v>
      </c>
      <c r="F218" s="10" t="n">
        <v>2302.59</v>
      </c>
      <c r="G218" s="10" t="n">
        <v>2302.59</v>
      </c>
      <c r="H218" s="10" t="n">
        <v>1358.49</v>
      </c>
      <c r="I218" s="10" t="n">
        <v>944.1</v>
      </c>
      <c r="J218" s="10" t="n">
        <v>311.53</v>
      </c>
      <c r="K218" s="11" t="n">
        <v>0.41</v>
      </c>
      <c r="L218" s="11" t="n">
        <v>0.1353</v>
      </c>
      <c r="M218" s="26" t="n">
        <v>36</v>
      </c>
    </row>
    <row r="219" customFormat="false" ht="15" hidden="false" customHeight="false" outlineLevel="0" collapsed="false">
      <c r="A219" s="27" t="n">
        <v>56482</v>
      </c>
      <c r="B219" s="12" t="s">
        <v>221</v>
      </c>
      <c r="C219" s="28" t="n">
        <v>16</v>
      </c>
      <c r="D219" s="28" t="n">
        <v>16</v>
      </c>
      <c r="E219" s="14" t="n">
        <v>0</v>
      </c>
      <c r="F219" s="14" t="n">
        <v>1112.96</v>
      </c>
      <c r="G219" s="14" t="n">
        <v>1112.96</v>
      </c>
      <c r="H219" s="14" t="n">
        <v>217.34</v>
      </c>
      <c r="I219" s="14" t="n">
        <v>895.62</v>
      </c>
      <c r="J219" s="14" t="n">
        <v>623.38</v>
      </c>
      <c r="K219" s="15" t="n">
        <v>0.8047</v>
      </c>
      <c r="L219" s="15" t="n">
        <v>0.5601</v>
      </c>
      <c r="M219" s="29" t="n">
        <v>60</v>
      </c>
    </row>
    <row r="220" customFormat="false" ht="15" hidden="false" customHeight="false" outlineLevel="0" collapsed="false">
      <c r="A220" s="24" t="n">
        <v>56512</v>
      </c>
      <c r="B220" s="8" t="s">
        <v>222</v>
      </c>
      <c r="C220" s="25" t="n">
        <v>25</v>
      </c>
      <c r="D220" s="25" t="n">
        <v>25</v>
      </c>
      <c r="E220" s="10" t="n">
        <v>0</v>
      </c>
      <c r="F220" s="10" t="n">
        <v>33275</v>
      </c>
      <c r="G220" s="10" t="n">
        <v>33275</v>
      </c>
      <c r="H220" s="10" t="n">
        <v>17099.8911</v>
      </c>
      <c r="I220" s="10" t="n">
        <v>16175.11</v>
      </c>
      <c r="J220" s="10" t="n">
        <v>6888.07</v>
      </c>
      <c r="K220" s="11" t="n">
        <v>0.4861</v>
      </c>
      <c r="L220" s="11" t="n">
        <v>0.207</v>
      </c>
      <c r="M220" s="26" t="n">
        <v>35</v>
      </c>
    </row>
    <row r="221" customFormat="false" ht="15" hidden="false" customHeight="false" outlineLevel="0" collapsed="false">
      <c r="A221" s="27" t="n">
        <v>56529</v>
      </c>
      <c r="B221" s="12" t="s">
        <v>223</v>
      </c>
      <c r="C221" s="28" t="n">
        <v>80</v>
      </c>
      <c r="D221" s="28" t="n">
        <v>80</v>
      </c>
      <c r="E221" s="14" t="n">
        <v>0</v>
      </c>
      <c r="F221" s="14" t="n">
        <v>1154</v>
      </c>
      <c r="G221" s="14" t="n">
        <v>1154</v>
      </c>
      <c r="H221" s="14" t="n">
        <v>814.14</v>
      </c>
      <c r="I221" s="14" t="n">
        <v>339.86</v>
      </c>
      <c r="J221" s="14" t="n">
        <v>17.78</v>
      </c>
      <c r="K221" s="15" t="n">
        <v>0.2945</v>
      </c>
      <c r="L221" s="15" t="n">
        <v>0.0154</v>
      </c>
      <c r="M221" s="29" t="n">
        <v>45</v>
      </c>
    </row>
    <row r="222" customFormat="false" ht="15" hidden="false" customHeight="false" outlineLevel="0" collapsed="false">
      <c r="A222" s="24" t="n">
        <v>56575</v>
      </c>
      <c r="B222" s="8" t="s">
        <v>224</v>
      </c>
      <c r="C222" s="25" t="n">
        <v>80</v>
      </c>
      <c r="D222" s="25" t="n">
        <v>80</v>
      </c>
      <c r="E222" s="10" t="n">
        <v>0</v>
      </c>
      <c r="F222" s="10" t="n">
        <v>1900</v>
      </c>
      <c r="G222" s="10" t="n">
        <v>1900</v>
      </c>
      <c r="H222" s="10" t="n">
        <v>968.21</v>
      </c>
      <c r="I222" s="10" t="n">
        <v>931.79</v>
      </c>
      <c r="J222" s="10" t="n">
        <v>401.49</v>
      </c>
      <c r="K222" s="11" t="n">
        <v>0.4904</v>
      </c>
      <c r="L222" s="11" t="n">
        <v>0.2113</v>
      </c>
      <c r="M222" s="26" t="n">
        <v>45</v>
      </c>
    </row>
    <row r="223" customFormat="false" ht="15" hidden="false" customHeight="false" outlineLevel="0" collapsed="false">
      <c r="A223" s="27" t="n">
        <v>56706</v>
      </c>
      <c r="B223" s="12" t="s">
        <v>225</v>
      </c>
      <c r="C223" s="28" t="n">
        <v>1</v>
      </c>
      <c r="D223" s="28" t="n">
        <v>1</v>
      </c>
      <c r="E223" s="14" t="n">
        <v>0</v>
      </c>
      <c r="F223" s="14" t="n">
        <v>208.98</v>
      </c>
      <c r="G223" s="14" t="n">
        <v>208.98</v>
      </c>
      <c r="H223" s="14" t="n">
        <v>74.8</v>
      </c>
      <c r="I223" s="14" t="n">
        <v>134.18</v>
      </c>
      <c r="J223" s="14" t="n">
        <v>76.77</v>
      </c>
      <c r="K223" s="15" t="n">
        <v>0.6421</v>
      </c>
      <c r="L223" s="15" t="n">
        <v>0.3674</v>
      </c>
      <c r="M223" s="29" t="n">
        <v>60</v>
      </c>
    </row>
    <row r="224" customFormat="false" ht="15" hidden="false" customHeight="false" outlineLevel="0" collapsed="false">
      <c r="A224" s="24" t="n">
        <v>56709</v>
      </c>
      <c r="B224" s="8" t="s">
        <v>226</v>
      </c>
      <c r="C224" s="25" t="n">
        <v>2</v>
      </c>
      <c r="D224" s="25" t="n">
        <v>2</v>
      </c>
      <c r="E224" s="10" t="n">
        <v>0</v>
      </c>
      <c r="F224" s="10" t="n">
        <v>134</v>
      </c>
      <c r="G224" s="10" t="n">
        <v>134</v>
      </c>
      <c r="H224" s="10" t="n">
        <v>31.68</v>
      </c>
      <c r="I224" s="10" t="n">
        <v>102.32</v>
      </c>
      <c r="J224" s="10" t="n">
        <v>65.51</v>
      </c>
      <c r="K224" s="11" t="n">
        <v>0.7636</v>
      </c>
      <c r="L224" s="11" t="n">
        <v>0.4889</v>
      </c>
      <c r="M224" s="26" t="n">
        <v>60</v>
      </c>
    </row>
    <row r="225" customFormat="false" ht="15" hidden="false" customHeight="false" outlineLevel="0" collapsed="false">
      <c r="A225" s="27" t="n">
        <v>56750</v>
      </c>
      <c r="B225" s="12" t="s">
        <v>227</v>
      </c>
      <c r="C225" s="28" t="n">
        <v>4</v>
      </c>
      <c r="D225" s="28" t="n">
        <v>4</v>
      </c>
      <c r="E225" s="14" t="n">
        <v>0</v>
      </c>
      <c r="F225" s="14" t="n">
        <v>214</v>
      </c>
      <c r="G225" s="14" t="n">
        <v>214</v>
      </c>
      <c r="H225" s="14" t="n">
        <v>92.62</v>
      </c>
      <c r="I225" s="14" t="n">
        <v>121.38</v>
      </c>
      <c r="J225" s="14" t="n">
        <v>62.59</v>
      </c>
      <c r="K225" s="15" t="n">
        <v>0.5672</v>
      </c>
      <c r="L225" s="15" t="n">
        <v>0.2925</v>
      </c>
      <c r="M225" s="29" t="n">
        <v>60</v>
      </c>
    </row>
    <row r="226" customFormat="false" ht="15" hidden="false" customHeight="false" outlineLevel="0" collapsed="false">
      <c r="A226" s="24" t="n">
        <v>56772</v>
      </c>
      <c r="B226" s="8" t="s">
        <v>228</v>
      </c>
      <c r="C226" s="25" t="n">
        <v>10</v>
      </c>
      <c r="D226" s="25" t="n">
        <v>10</v>
      </c>
      <c r="E226" s="10" t="n">
        <v>0</v>
      </c>
      <c r="F226" s="10" t="n">
        <v>112.8</v>
      </c>
      <c r="G226" s="10" t="n">
        <v>112.8</v>
      </c>
      <c r="H226" s="10" t="n">
        <v>39</v>
      </c>
      <c r="I226" s="10" t="n">
        <v>73.8</v>
      </c>
      <c r="J226" s="10" t="n">
        <v>42.32</v>
      </c>
      <c r="K226" s="11" t="n">
        <v>0.6543</v>
      </c>
      <c r="L226" s="11" t="n">
        <v>0.3752</v>
      </c>
      <c r="M226" s="26" t="n">
        <v>45</v>
      </c>
    </row>
    <row r="227" customFormat="false" ht="15" hidden="false" customHeight="false" outlineLevel="0" collapsed="false">
      <c r="A227" s="27" t="n">
        <v>57001</v>
      </c>
      <c r="B227" s="12" t="s">
        <v>229</v>
      </c>
      <c r="C227" s="28" t="n">
        <v>1</v>
      </c>
      <c r="D227" s="28" t="n">
        <v>1</v>
      </c>
      <c r="E227" s="14" t="n">
        <v>0</v>
      </c>
      <c r="F227" s="14" t="n">
        <v>1450</v>
      </c>
      <c r="G227" s="14" t="n">
        <v>1450</v>
      </c>
      <c r="H227" s="14" t="n">
        <v>475.56</v>
      </c>
      <c r="I227" s="14" t="n">
        <v>974.44</v>
      </c>
      <c r="J227" s="14" t="n">
        <v>576.1</v>
      </c>
      <c r="K227" s="15" t="n">
        <v>0.672</v>
      </c>
      <c r="L227" s="15" t="n">
        <v>0.3973</v>
      </c>
      <c r="M227" s="29" t="n">
        <v>60</v>
      </c>
    </row>
    <row r="228" customFormat="false" ht="15" hidden="false" customHeight="false" outlineLevel="0" collapsed="false">
      <c r="A228" s="24" t="n">
        <v>57108</v>
      </c>
      <c r="B228" s="8" t="s">
        <v>230</v>
      </c>
      <c r="C228" s="25" t="n">
        <v>32</v>
      </c>
      <c r="D228" s="25" t="n">
        <v>32</v>
      </c>
      <c r="E228" s="10" t="n">
        <v>0</v>
      </c>
      <c r="F228" s="10" t="n">
        <v>2689.92</v>
      </c>
      <c r="G228" s="10" t="n">
        <v>2689.92</v>
      </c>
      <c r="H228" s="10" t="n">
        <v>366.3</v>
      </c>
      <c r="I228" s="10" t="n">
        <v>2323.62</v>
      </c>
      <c r="J228" s="10" t="n">
        <v>1572.87</v>
      </c>
      <c r="K228" s="11" t="n">
        <v>0.8638</v>
      </c>
      <c r="L228" s="11" t="n">
        <v>0.5847</v>
      </c>
      <c r="M228" s="26" t="n">
        <v>35</v>
      </c>
    </row>
    <row r="229" customFormat="false" ht="15" hidden="false" customHeight="false" outlineLevel="0" collapsed="false">
      <c r="A229" s="27" t="n">
        <v>57161</v>
      </c>
      <c r="B229" s="12" t="s">
        <v>231</v>
      </c>
      <c r="C229" s="28" t="n">
        <v>2</v>
      </c>
      <c r="D229" s="28" t="n">
        <v>2</v>
      </c>
      <c r="E229" s="14" t="n">
        <v>0</v>
      </c>
      <c r="F229" s="14" t="n">
        <v>23.44</v>
      </c>
      <c r="G229" s="14" t="n">
        <v>23.44</v>
      </c>
      <c r="H229" s="14" t="n">
        <v>0</v>
      </c>
      <c r="I229" s="14" t="n">
        <v>23.44</v>
      </c>
      <c r="J229" s="14" t="n">
        <v>23.44</v>
      </c>
      <c r="K229" s="15" t="n">
        <v>1</v>
      </c>
      <c r="L229" s="15" t="n">
        <v>1</v>
      </c>
      <c r="M229" s="29" t="n">
        <v>30</v>
      </c>
    </row>
    <row r="230" customFormat="false" ht="15" hidden="false" customHeight="false" outlineLevel="0" collapsed="false">
      <c r="A230" s="24" t="n">
        <v>57240</v>
      </c>
      <c r="B230" s="8" t="s">
        <v>232</v>
      </c>
      <c r="C230" s="25" t="n">
        <v>26</v>
      </c>
      <c r="D230" s="25" t="n">
        <v>26</v>
      </c>
      <c r="E230" s="10" t="n">
        <v>0</v>
      </c>
      <c r="F230" s="10" t="n">
        <v>475.54</v>
      </c>
      <c r="G230" s="10" t="n">
        <v>475.54</v>
      </c>
      <c r="H230" s="10" t="n">
        <v>76.57</v>
      </c>
      <c r="I230" s="10" t="n">
        <v>398.97</v>
      </c>
      <c r="J230" s="10" t="n">
        <v>283.6</v>
      </c>
      <c r="K230" s="11" t="n">
        <v>0.839</v>
      </c>
      <c r="L230" s="11" t="n">
        <v>0.5964</v>
      </c>
      <c r="M230" s="26" t="n">
        <v>32.77</v>
      </c>
    </row>
    <row r="231" customFormat="false" ht="15" hidden="false" customHeight="false" outlineLevel="0" collapsed="false">
      <c r="A231" s="27" t="n">
        <v>57404</v>
      </c>
      <c r="B231" s="12" t="s">
        <v>233</v>
      </c>
      <c r="C231" s="28" t="n">
        <v>32</v>
      </c>
      <c r="D231" s="28" t="n">
        <v>32</v>
      </c>
      <c r="E231" s="14" t="n">
        <v>0</v>
      </c>
      <c r="F231" s="14" t="n">
        <v>13630.4</v>
      </c>
      <c r="G231" s="14" t="n">
        <v>13630.4</v>
      </c>
      <c r="H231" s="14" t="n">
        <v>3247.28</v>
      </c>
      <c r="I231" s="14" t="n">
        <v>10383.12</v>
      </c>
      <c r="J231" s="14" t="n">
        <v>6578.88</v>
      </c>
      <c r="K231" s="15" t="n">
        <v>0.7618</v>
      </c>
      <c r="L231" s="15" t="n">
        <v>0.4827</v>
      </c>
      <c r="M231" s="29" t="n">
        <v>35</v>
      </c>
    </row>
    <row r="232" customFormat="false" ht="15" hidden="false" customHeight="false" outlineLevel="0" collapsed="false">
      <c r="A232" s="24" t="n">
        <v>57502</v>
      </c>
      <c r="B232" s="8" t="s">
        <v>234</v>
      </c>
      <c r="C232" s="25" t="n">
        <v>170</v>
      </c>
      <c r="D232" s="25" t="n">
        <v>170</v>
      </c>
      <c r="E232" s="10" t="n">
        <v>0</v>
      </c>
      <c r="F232" s="10" t="n">
        <v>2550</v>
      </c>
      <c r="G232" s="10" t="n">
        <v>2550</v>
      </c>
      <c r="H232" s="10" t="n">
        <v>0</v>
      </c>
      <c r="I232" s="10" t="n">
        <v>2550</v>
      </c>
      <c r="J232" s="10" t="n">
        <v>2550</v>
      </c>
      <c r="K232" s="11" t="n">
        <v>1</v>
      </c>
      <c r="L232" s="11" t="n">
        <v>1</v>
      </c>
      <c r="M232" s="26" t="n">
        <v>5</v>
      </c>
    </row>
    <row r="233" customFormat="false" ht="15" hidden="false" customHeight="false" outlineLevel="0" collapsed="false">
      <c r="A233" s="27" t="n">
        <v>57725</v>
      </c>
      <c r="B233" s="12" t="s">
        <v>235</v>
      </c>
      <c r="C233" s="28" t="n">
        <v>200</v>
      </c>
      <c r="D233" s="28" t="n">
        <v>200</v>
      </c>
      <c r="E233" s="14" t="n">
        <v>0</v>
      </c>
      <c r="F233" s="14" t="n">
        <v>600</v>
      </c>
      <c r="G233" s="14" t="n">
        <v>600</v>
      </c>
      <c r="H233" s="14" t="n">
        <v>88</v>
      </c>
      <c r="I233" s="14" t="n">
        <v>512</v>
      </c>
      <c r="J233" s="14" t="n">
        <v>347.17</v>
      </c>
      <c r="K233" s="15" t="n">
        <v>0.8533</v>
      </c>
      <c r="L233" s="15" t="n">
        <v>0.5786</v>
      </c>
      <c r="M233" s="29" t="n">
        <v>34</v>
      </c>
    </row>
    <row r="234" customFormat="false" ht="15" hidden="false" customHeight="false" outlineLevel="0" collapsed="false">
      <c r="A234" s="24" t="n">
        <v>90325</v>
      </c>
      <c r="B234" s="8" t="s">
        <v>236</v>
      </c>
      <c r="C234" s="25" t="n">
        <v>4000</v>
      </c>
      <c r="D234" s="25" t="n">
        <v>4000</v>
      </c>
      <c r="E234" s="10" t="n">
        <v>0</v>
      </c>
      <c r="F234" s="10" t="n">
        <v>4120</v>
      </c>
      <c r="G234" s="10" t="n">
        <v>4120</v>
      </c>
      <c r="H234" s="10" t="n">
        <v>3112.8</v>
      </c>
      <c r="I234" s="10" t="n">
        <v>1007.2</v>
      </c>
      <c r="J234" s="10" t="n">
        <v>-124.65</v>
      </c>
      <c r="K234" s="11" t="n">
        <v>0.2445</v>
      </c>
      <c r="L234" s="11" t="n">
        <v>-0.0303</v>
      </c>
      <c r="M234" s="26" t="n">
        <v>63</v>
      </c>
    </row>
    <row r="235" customFormat="false" ht="15" hidden="false" customHeight="false" outlineLevel="0" collapsed="false">
      <c r="A235" s="27" t="n">
        <v>90328</v>
      </c>
      <c r="B235" s="12" t="s">
        <v>237</v>
      </c>
      <c r="C235" s="28" t="n">
        <v>1080</v>
      </c>
      <c r="D235" s="28" t="n">
        <v>1080</v>
      </c>
      <c r="E235" s="14" t="n">
        <v>0</v>
      </c>
      <c r="F235" s="14" t="n">
        <v>6966</v>
      </c>
      <c r="G235" s="14" t="n">
        <v>6966</v>
      </c>
      <c r="H235" s="14" t="n">
        <v>3268.392</v>
      </c>
      <c r="I235" s="14" t="n">
        <v>3697.6</v>
      </c>
      <c r="J235" s="14" t="n">
        <v>1783.91</v>
      </c>
      <c r="K235" s="15" t="n">
        <v>0.5308</v>
      </c>
      <c r="L235" s="15" t="n">
        <v>0.2561</v>
      </c>
      <c r="M235" s="29" t="n">
        <v>63</v>
      </c>
    </row>
    <row r="236" customFormat="false" ht="15" hidden="false" customHeight="false" outlineLevel="0" collapsed="false">
      <c r="A236" s="24" t="n">
        <v>90354</v>
      </c>
      <c r="B236" s="8" t="s">
        <v>238</v>
      </c>
      <c r="C236" s="25" t="n">
        <v>1380</v>
      </c>
      <c r="D236" s="25" t="n">
        <v>1380</v>
      </c>
      <c r="E236" s="10" t="n">
        <v>0</v>
      </c>
      <c r="F236" s="10" t="n">
        <v>12459.6</v>
      </c>
      <c r="G236" s="10" t="n">
        <v>12459.6</v>
      </c>
      <c r="H236" s="10" t="n">
        <v>5504.649</v>
      </c>
      <c r="I236" s="10" t="n">
        <v>6954.96</v>
      </c>
      <c r="J236" s="10" t="n">
        <v>3532.06</v>
      </c>
      <c r="K236" s="11" t="n">
        <v>0.5582</v>
      </c>
      <c r="L236" s="11" t="n">
        <v>0.2835</v>
      </c>
      <c r="M236" s="26" t="n">
        <v>56</v>
      </c>
    </row>
    <row r="237" customFormat="false" ht="15" hidden="false" customHeight="false" outlineLevel="0" collapsed="false">
      <c r="A237" s="27" t="n">
        <v>90366</v>
      </c>
      <c r="B237" s="12" t="s">
        <v>239</v>
      </c>
      <c r="C237" s="28" t="n">
        <v>320</v>
      </c>
      <c r="D237" s="28" t="n">
        <v>320</v>
      </c>
      <c r="E237" s="14" t="n">
        <v>0</v>
      </c>
      <c r="F237" s="14" t="n">
        <v>15104</v>
      </c>
      <c r="G237" s="14" t="n">
        <v>15104</v>
      </c>
      <c r="H237" s="14" t="n">
        <v>10948.544</v>
      </c>
      <c r="I237" s="14" t="n">
        <v>4155.46</v>
      </c>
      <c r="J237" s="14" t="n">
        <v>6.09</v>
      </c>
      <c r="K237" s="15" t="n">
        <v>0.2751</v>
      </c>
      <c r="L237" s="15" t="n">
        <v>0.0004</v>
      </c>
      <c r="M237" s="29" t="n">
        <v>90</v>
      </c>
    </row>
    <row r="238" customFormat="false" ht="15" hidden="false" customHeight="false" outlineLevel="0" collapsed="false">
      <c r="A238" s="24" t="n">
        <v>90372</v>
      </c>
      <c r="B238" s="8" t="s">
        <v>240</v>
      </c>
      <c r="C238" s="25" t="n">
        <v>20</v>
      </c>
      <c r="D238" s="25" t="n">
        <v>20</v>
      </c>
      <c r="E238" s="10" t="n">
        <v>0</v>
      </c>
      <c r="F238" s="10" t="n">
        <v>270.6</v>
      </c>
      <c r="G238" s="10" t="n">
        <v>270.6</v>
      </c>
      <c r="H238" s="10" t="n">
        <v>117.49</v>
      </c>
      <c r="I238" s="10" t="n">
        <v>153.11</v>
      </c>
      <c r="J238" s="10" t="n">
        <v>78.77</v>
      </c>
      <c r="K238" s="11" t="n">
        <v>0.5658</v>
      </c>
      <c r="L238" s="11" t="n">
        <v>0.2911</v>
      </c>
      <c r="M238" s="26" t="n">
        <v>90</v>
      </c>
    </row>
    <row r="239" customFormat="false" ht="15" hidden="false" customHeight="false" outlineLevel="0" collapsed="false">
      <c r="A239" s="27" t="n">
        <v>90375</v>
      </c>
      <c r="B239" s="12" t="s">
        <v>241</v>
      </c>
      <c r="C239" s="28" t="n">
        <v>240</v>
      </c>
      <c r="D239" s="28" t="n">
        <v>240</v>
      </c>
      <c r="E239" s="14" t="n">
        <v>133.2</v>
      </c>
      <c r="F239" s="14" t="n">
        <v>44.4</v>
      </c>
      <c r="G239" s="14" t="n">
        <v>177.6</v>
      </c>
      <c r="H239" s="14" t="n">
        <v>242.97</v>
      </c>
      <c r="I239" s="14" t="n">
        <v>-65.37</v>
      </c>
      <c r="J239" s="14" t="n">
        <v>-114.16</v>
      </c>
      <c r="K239" s="15" t="n">
        <v>-0.3681</v>
      </c>
      <c r="L239" s="15" t="n">
        <v>-0.6428</v>
      </c>
      <c r="M239" s="29" t="n">
        <v>26.25</v>
      </c>
    </row>
    <row r="240" customFormat="false" ht="15" hidden="false" customHeight="false" outlineLevel="0" collapsed="false">
      <c r="A240" s="24" t="n">
        <v>90376</v>
      </c>
      <c r="B240" s="8" t="s">
        <v>242</v>
      </c>
      <c r="C240" s="25" t="n">
        <v>24</v>
      </c>
      <c r="D240" s="25" t="n">
        <v>24</v>
      </c>
      <c r="E240" s="10" t="n">
        <v>0</v>
      </c>
      <c r="F240" s="10" t="n">
        <v>1226</v>
      </c>
      <c r="G240" s="10" t="n">
        <v>1226</v>
      </c>
      <c r="H240" s="10" t="n">
        <v>311.34</v>
      </c>
      <c r="I240" s="10" t="n">
        <v>914.66</v>
      </c>
      <c r="J240" s="10" t="n">
        <v>489.27</v>
      </c>
      <c r="K240" s="11" t="n">
        <v>0.7461</v>
      </c>
      <c r="L240" s="11" t="n">
        <v>0.3991</v>
      </c>
      <c r="M240" s="26" t="n">
        <v>28.37</v>
      </c>
    </row>
    <row r="241" customFormat="false" ht="15" hidden="false" customHeight="false" outlineLevel="0" collapsed="false">
      <c r="A241" s="27" t="n">
        <v>90424</v>
      </c>
      <c r="B241" s="12" t="s">
        <v>243</v>
      </c>
      <c r="C241" s="28" t="n">
        <v>100</v>
      </c>
      <c r="D241" s="28" t="n">
        <v>100</v>
      </c>
      <c r="E241" s="14" t="n">
        <v>0</v>
      </c>
      <c r="F241" s="14" t="n">
        <v>6520</v>
      </c>
      <c r="G241" s="14" t="n">
        <v>6520</v>
      </c>
      <c r="H241" s="14" t="n">
        <v>2629.44</v>
      </c>
      <c r="I241" s="14" t="n">
        <v>3890.56</v>
      </c>
      <c r="J241" s="14" t="n">
        <v>2099.39</v>
      </c>
      <c r="K241" s="15" t="n">
        <v>0.5967</v>
      </c>
      <c r="L241" s="15" t="n">
        <v>0.322</v>
      </c>
      <c r="M241" s="29" t="n">
        <v>60</v>
      </c>
    </row>
    <row r="242" customFormat="false" ht="15" hidden="false" customHeight="false" outlineLevel="0" collapsed="false">
      <c r="A242" s="24" t="n">
        <v>90435</v>
      </c>
      <c r="B242" s="8" t="s">
        <v>244</v>
      </c>
      <c r="C242" s="25" t="n">
        <v>300</v>
      </c>
      <c r="D242" s="25" t="n">
        <v>300</v>
      </c>
      <c r="E242" s="10" t="n">
        <v>0</v>
      </c>
      <c r="F242" s="10" t="n">
        <v>6300</v>
      </c>
      <c r="G242" s="10" t="n">
        <v>6300</v>
      </c>
      <c r="H242" s="10" t="n">
        <v>1412.52</v>
      </c>
      <c r="I242" s="10" t="n">
        <v>4887.48</v>
      </c>
      <c r="J242" s="10" t="n">
        <v>3156.74</v>
      </c>
      <c r="K242" s="11" t="n">
        <v>0.7758</v>
      </c>
      <c r="L242" s="11" t="n">
        <v>0.5011</v>
      </c>
      <c r="M242" s="26" t="n">
        <v>90</v>
      </c>
    </row>
    <row r="243" customFormat="false" ht="15" hidden="false" customHeight="false" outlineLevel="0" collapsed="false">
      <c r="A243" s="27" t="n">
        <v>90532</v>
      </c>
      <c r="B243" s="12" t="s">
        <v>245</v>
      </c>
      <c r="C243" s="28" t="n">
        <v>5</v>
      </c>
      <c r="D243" s="28" t="n">
        <v>5</v>
      </c>
      <c r="E243" s="14" t="n">
        <v>0</v>
      </c>
      <c r="F243" s="14" t="n">
        <v>1630</v>
      </c>
      <c r="G243" s="14" t="n">
        <v>1630</v>
      </c>
      <c r="H243" s="14" t="n">
        <v>365.85</v>
      </c>
      <c r="I243" s="14" t="n">
        <v>1264.15</v>
      </c>
      <c r="J243" s="14" t="n">
        <v>698.57</v>
      </c>
      <c r="K243" s="15" t="n">
        <v>0.7756</v>
      </c>
      <c r="L243" s="15" t="n">
        <v>0.4286</v>
      </c>
      <c r="M243" s="29" t="n">
        <v>45</v>
      </c>
    </row>
    <row r="244" customFormat="false" ht="15" hidden="false" customHeight="false" outlineLevel="0" collapsed="false">
      <c r="A244" s="24" t="n">
        <v>90541</v>
      </c>
      <c r="B244" s="8" t="s">
        <v>245</v>
      </c>
      <c r="C244" s="25" t="n">
        <v>10</v>
      </c>
      <c r="D244" s="25" t="n">
        <v>10</v>
      </c>
      <c r="E244" s="10" t="n">
        <v>0</v>
      </c>
      <c r="F244" s="10" t="n">
        <v>3937</v>
      </c>
      <c r="G244" s="10" t="n">
        <v>3937</v>
      </c>
      <c r="H244" s="10" t="n">
        <v>1544.27</v>
      </c>
      <c r="I244" s="10" t="n">
        <v>2392.73</v>
      </c>
      <c r="J244" s="10" t="n">
        <v>1026.66</v>
      </c>
      <c r="K244" s="11" t="n">
        <v>0.6078</v>
      </c>
      <c r="L244" s="11" t="n">
        <v>0.2608</v>
      </c>
      <c r="M244" s="26" t="n">
        <v>65</v>
      </c>
    </row>
    <row r="245" customFormat="false" ht="15" hidden="false" customHeight="false" outlineLevel="0" collapsed="false">
      <c r="A245" s="27" t="n">
        <v>90544</v>
      </c>
      <c r="B245" s="12" t="s">
        <v>246</v>
      </c>
      <c r="C245" s="28" t="n">
        <v>150</v>
      </c>
      <c r="D245" s="28" t="n">
        <v>150</v>
      </c>
      <c r="E245" s="14" t="n">
        <v>0</v>
      </c>
      <c r="F245" s="14" t="n">
        <v>42904</v>
      </c>
      <c r="G245" s="14" t="n">
        <v>42904</v>
      </c>
      <c r="H245" s="14" t="n">
        <v>22207.84</v>
      </c>
      <c r="I245" s="14" t="n">
        <v>20696.16</v>
      </c>
      <c r="J245" s="14" t="n">
        <v>6586.47</v>
      </c>
      <c r="K245" s="15" t="n">
        <v>0.4824</v>
      </c>
      <c r="L245" s="15" t="n">
        <v>0.1535</v>
      </c>
      <c r="M245" s="29" t="n">
        <v>60</v>
      </c>
    </row>
    <row r="246" customFormat="false" ht="15" hidden="false" customHeight="false" outlineLevel="0" collapsed="false">
      <c r="A246" s="24" t="n">
        <v>90560</v>
      </c>
      <c r="B246" s="8" t="s">
        <v>247</v>
      </c>
      <c r="C246" s="25" t="n">
        <v>2</v>
      </c>
      <c r="D246" s="25" t="n">
        <v>2</v>
      </c>
      <c r="E246" s="10" t="n">
        <v>0</v>
      </c>
      <c r="F246" s="10" t="n">
        <v>706</v>
      </c>
      <c r="G246" s="10" t="n">
        <v>706</v>
      </c>
      <c r="H246" s="10" t="n">
        <v>309.66</v>
      </c>
      <c r="I246" s="10" t="n">
        <v>396.34</v>
      </c>
      <c r="J246" s="10" t="n">
        <v>202.39</v>
      </c>
      <c r="K246" s="11" t="n">
        <v>0.5614</v>
      </c>
      <c r="L246" s="11" t="n">
        <v>0.2867</v>
      </c>
      <c r="M246" s="26" t="n">
        <v>30</v>
      </c>
    </row>
    <row r="247" customFormat="false" ht="15" hidden="false" customHeight="false" outlineLevel="0" collapsed="false">
      <c r="A247" s="27" t="n">
        <v>90591</v>
      </c>
      <c r="B247" s="12" t="s">
        <v>245</v>
      </c>
      <c r="C247" s="28" t="n">
        <v>5</v>
      </c>
      <c r="D247" s="28" t="n">
        <v>5</v>
      </c>
      <c r="E247" s="14" t="n">
        <v>0</v>
      </c>
      <c r="F247" s="14" t="n">
        <v>1560</v>
      </c>
      <c r="G247" s="14" t="n">
        <v>1560</v>
      </c>
      <c r="H247" s="14" t="n">
        <v>242.15</v>
      </c>
      <c r="I247" s="14" t="n">
        <v>1317.85</v>
      </c>
      <c r="J247" s="14" t="n">
        <v>776.55</v>
      </c>
      <c r="K247" s="15" t="n">
        <v>0.8448</v>
      </c>
      <c r="L247" s="15" t="n">
        <v>0.4978</v>
      </c>
      <c r="M247" s="29" t="n">
        <v>5</v>
      </c>
    </row>
    <row r="248" customFormat="false" ht="15" hidden="false" customHeight="false" outlineLevel="0" collapsed="false">
      <c r="A248" s="24" t="n">
        <v>90603</v>
      </c>
      <c r="B248" s="8" t="s">
        <v>242</v>
      </c>
      <c r="C248" s="25" t="n">
        <v>2</v>
      </c>
      <c r="D248" s="25" t="n">
        <v>2</v>
      </c>
      <c r="E248" s="10" t="n">
        <v>0</v>
      </c>
      <c r="F248" s="10" t="n">
        <v>81.84</v>
      </c>
      <c r="G248" s="10" t="n">
        <v>81.84</v>
      </c>
      <c r="H248" s="10" t="n">
        <v>28.16</v>
      </c>
      <c r="I248" s="10" t="n">
        <v>53.68</v>
      </c>
      <c r="J248" s="10" t="n">
        <v>25.29</v>
      </c>
      <c r="K248" s="11" t="n">
        <v>0.6559</v>
      </c>
      <c r="L248" s="11" t="n">
        <v>0.309</v>
      </c>
      <c r="M248" s="26" t="n">
        <v>21</v>
      </c>
    </row>
    <row r="249" customFormat="false" ht="15" hidden="false" customHeight="false" outlineLevel="0" collapsed="false">
      <c r="A249" s="27" t="n">
        <v>90632</v>
      </c>
      <c r="B249" s="12" t="s">
        <v>248</v>
      </c>
      <c r="C249" s="28" t="n">
        <v>10</v>
      </c>
      <c r="D249" s="28" t="n">
        <v>10</v>
      </c>
      <c r="E249" s="14" t="n">
        <v>0</v>
      </c>
      <c r="F249" s="14" t="n">
        <v>3140</v>
      </c>
      <c r="G249" s="14" t="n">
        <v>3140</v>
      </c>
      <c r="H249" s="14" t="n">
        <v>1326.27</v>
      </c>
      <c r="I249" s="14" t="n">
        <v>1813.73</v>
      </c>
      <c r="J249" s="14" t="n">
        <v>1102.37</v>
      </c>
      <c r="K249" s="15" t="n">
        <v>0.5776</v>
      </c>
      <c r="L249" s="15" t="n">
        <v>0.3511</v>
      </c>
      <c r="M249" s="29" t="n">
        <v>16</v>
      </c>
    </row>
    <row r="250" customFormat="false" ht="15" hidden="false" customHeight="false" outlineLevel="0" collapsed="false">
      <c r="A250" s="16" t="s">
        <v>249</v>
      </c>
      <c r="B250" s="16" t="str">
        <f aca="false">COUNTA(A6:A249)&amp;" produtos"</f>
        <v>244 produtos</v>
      </c>
      <c r="C250" s="30" t="n">
        <f aca="false">SUM(C6:C249)</f>
        <v>24481</v>
      </c>
      <c r="D250" s="30" t="n">
        <f aca="false">SUM(D6:D249)</f>
        <v>24481</v>
      </c>
      <c r="E250" s="18" t="n">
        <f aca="false">SUM(E6:E249)</f>
        <v>412.05</v>
      </c>
      <c r="F250" s="18" t="n">
        <f aca="false">SUM(F6:F249)</f>
        <v>2123951.65</v>
      </c>
      <c r="G250" s="18" t="n">
        <f aca="false">SUM(G6:G249)</f>
        <v>2124363.7</v>
      </c>
      <c r="H250" s="18" t="n">
        <f aca="false">SUM(H6:H249)</f>
        <v>879028.7453</v>
      </c>
      <c r="I250" s="18" t="n">
        <f aca="false">SUM(I6:I249)</f>
        <v>1245335</v>
      </c>
      <c r="J250" s="18" t="n">
        <f aca="false">SUM(J6:J249)</f>
        <v>733690.16</v>
      </c>
      <c r="K250" s="19" t="n">
        <f aca="false">IFERROR(I250/G250,0)</f>
        <v>0.586215533620726</v>
      </c>
      <c r="L250" s="19" t="n">
        <f aca="false">IFERROR(J250/G250,0)</f>
        <v>0.34536937342697</v>
      </c>
      <c r="M250" s="31" t="n">
        <f aca="false">IFERROR(SUMPRODUCT(M6:M249,G6:G249)/G250,0)</f>
        <v>43.0839528761954</v>
      </c>
    </row>
  </sheetData>
  <autoFilter ref="A5:M249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250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1542</v>
      </c>
      <c r="D6" s="25" t="n">
        <v>1542</v>
      </c>
      <c r="E6" s="10" t="n">
        <v>1925</v>
      </c>
      <c r="F6" s="10" t="n">
        <v>47838.89</v>
      </c>
      <c r="G6" s="10" t="n">
        <v>49763.89</v>
      </c>
      <c r="H6" s="10" t="n">
        <v>21285.3289</v>
      </c>
      <c r="I6" s="10" t="n">
        <v>28478.57</v>
      </c>
      <c r="J6" s="10" t="n">
        <v>15048.63</v>
      </c>
      <c r="K6" s="11" t="n">
        <v>0.5723</v>
      </c>
      <c r="L6" s="11" t="n">
        <v>0.3024</v>
      </c>
      <c r="M6" s="26" t="n">
        <v>39.98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163</v>
      </c>
      <c r="D7" s="28" t="n">
        <v>163</v>
      </c>
      <c r="E7" s="14" t="n">
        <v>0</v>
      </c>
      <c r="F7" s="14" t="n">
        <v>49106.88</v>
      </c>
      <c r="G7" s="14" t="n">
        <v>49106.88</v>
      </c>
      <c r="H7" s="14" t="n">
        <v>12833.1998</v>
      </c>
      <c r="I7" s="14" t="n">
        <v>36273.68</v>
      </c>
      <c r="J7" s="14" t="n">
        <v>25965.33</v>
      </c>
      <c r="K7" s="15" t="n">
        <v>0.7387</v>
      </c>
      <c r="L7" s="15" t="n">
        <v>0.5288</v>
      </c>
      <c r="M7" s="29" t="n">
        <v>37.49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2</v>
      </c>
      <c r="D8" s="25" t="n">
        <v>2</v>
      </c>
      <c r="E8" s="10" t="n">
        <v>0</v>
      </c>
      <c r="F8" s="10" t="n">
        <v>116.88</v>
      </c>
      <c r="G8" s="10" t="n">
        <v>116.88</v>
      </c>
      <c r="H8" s="10" t="n">
        <v>92.22</v>
      </c>
      <c r="I8" s="10" t="n">
        <v>24.66</v>
      </c>
      <c r="J8" s="10" t="n">
        <v>-7.45</v>
      </c>
      <c r="K8" s="11" t="n">
        <v>0.211</v>
      </c>
      <c r="L8" s="11" t="n">
        <v>-0.0637</v>
      </c>
      <c r="M8" s="26" t="n">
        <v>50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470</v>
      </c>
      <c r="D9" s="28" t="n">
        <v>470</v>
      </c>
      <c r="E9" s="14" t="n">
        <v>0</v>
      </c>
      <c r="F9" s="14" t="n">
        <v>44610.09</v>
      </c>
      <c r="G9" s="14" t="n">
        <v>44610.09</v>
      </c>
      <c r="H9" s="14" t="n">
        <v>5959.774</v>
      </c>
      <c r="I9" s="14" t="n">
        <v>38650.32</v>
      </c>
      <c r="J9" s="14" t="n">
        <v>28142.17</v>
      </c>
      <c r="K9" s="15" t="n">
        <v>0.8664</v>
      </c>
      <c r="L9" s="15" t="n">
        <v>0.6308</v>
      </c>
      <c r="M9" s="29" t="n">
        <v>46.76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6</v>
      </c>
      <c r="D10" s="25" t="n">
        <v>6</v>
      </c>
      <c r="E10" s="10" t="n">
        <v>66.96</v>
      </c>
      <c r="F10" s="10" t="n">
        <v>301.3</v>
      </c>
      <c r="G10" s="10" t="n">
        <v>368.26</v>
      </c>
      <c r="H10" s="10" t="n">
        <v>46.1401</v>
      </c>
      <c r="I10" s="10" t="n">
        <v>322.12</v>
      </c>
      <c r="J10" s="10" t="n">
        <v>226.75</v>
      </c>
      <c r="K10" s="11" t="n">
        <v>0.8747</v>
      </c>
      <c r="L10" s="11" t="n">
        <v>0.6157</v>
      </c>
      <c r="M10" s="26" t="n">
        <v>33.02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243</v>
      </c>
      <c r="D11" s="28" t="n">
        <v>243</v>
      </c>
      <c r="E11" s="14" t="n">
        <v>0</v>
      </c>
      <c r="F11" s="14" t="n">
        <v>73276.93</v>
      </c>
      <c r="G11" s="14" t="n">
        <v>73276.93</v>
      </c>
      <c r="H11" s="14" t="n">
        <v>20464.5285</v>
      </c>
      <c r="I11" s="14" t="n">
        <v>52812.4</v>
      </c>
      <c r="J11" s="14" t="n">
        <v>35074.48</v>
      </c>
      <c r="K11" s="15" t="n">
        <v>0.7207</v>
      </c>
      <c r="L11" s="15" t="n">
        <v>0.4787</v>
      </c>
      <c r="M11" s="29" t="n">
        <v>52.53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1240</v>
      </c>
      <c r="D12" s="25" t="n">
        <v>1240</v>
      </c>
      <c r="E12" s="10" t="n">
        <v>0</v>
      </c>
      <c r="F12" s="10" t="n">
        <v>201569.93</v>
      </c>
      <c r="G12" s="10" t="n">
        <v>201569.93</v>
      </c>
      <c r="H12" s="10" t="n">
        <v>78296.3985</v>
      </c>
      <c r="I12" s="10" t="n">
        <v>123273.54</v>
      </c>
      <c r="J12" s="10" t="n">
        <v>77003.58</v>
      </c>
      <c r="K12" s="11" t="n">
        <v>0.6116</v>
      </c>
      <c r="L12" s="11" t="n">
        <v>0.382</v>
      </c>
      <c r="M12" s="26" t="n">
        <v>49.87</v>
      </c>
    </row>
    <row r="13" customFormat="false" ht="15" hidden="false" customHeight="false" outlineLevel="0" collapsed="false">
      <c r="A13" s="27" t="n">
        <v>10018</v>
      </c>
      <c r="B13" s="12" t="s">
        <v>38</v>
      </c>
      <c r="C13" s="28" t="n">
        <v>6</v>
      </c>
      <c r="D13" s="28" t="n">
        <v>6</v>
      </c>
      <c r="E13" s="14" t="n">
        <v>0</v>
      </c>
      <c r="F13" s="14" t="n">
        <v>479.22</v>
      </c>
      <c r="G13" s="14" t="n">
        <v>479.22</v>
      </c>
      <c r="H13" s="14" t="n">
        <v>199.56</v>
      </c>
      <c r="I13" s="14" t="n">
        <v>279.66</v>
      </c>
      <c r="J13" s="14" t="n">
        <v>171.1</v>
      </c>
      <c r="K13" s="15" t="n">
        <v>0.5836</v>
      </c>
      <c r="L13" s="15" t="n">
        <v>0.357</v>
      </c>
      <c r="M13" s="29" t="n">
        <v>50</v>
      </c>
    </row>
    <row r="14" customFormat="false" ht="15" hidden="false" customHeight="false" outlineLevel="0" collapsed="false">
      <c r="A14" s="24" t="n">
        <v>10021</v>
      </c>
      <c r="B14" s="8" t="s">
        <v>41</v>
      </c>
      <c r="C14" s="25" t="n">
        <v>36</v>
      </c>
      <c r="D14" s="25" t="n">
        <v>36</v>
      </c>
      <c r="E14" s="10" t="n">
        <v>0</v>
      </c>
      <c r="F14" s="10" t="n">
        <v>15021.72</v>
      </c>
      <c r="G14" s="10" t="n">
        <v>15021.72</v>
      </c>
      <c r="H14" s="10" t="n">
        <v>2784.25</v>
      </c>
      <c r="I14" s="10" t="n">
        <v>12237.47</v>
      </c>
      <c r="J14" s="10" t="n">
        <v>8110.71</v>
      </c>
      <c r="K14" s="11" t="n">
        <v>0.8147</v>
      </c>
      <c r="L14" s="11" t="n">
        <v>0.5399</v>
      </c>
      <c r="M14" s="26" t="n">
        <v>44.67</v>
      </c>
    </row>
    <row r="15" customFormat="false" ht="15" hidden="false" customHeight="false" outlineLevel="0" collapsed="false">
      <c r="A15" s="27" t="n">
        <v>10022</v>
      </c>
      <c r="B15" s="12" t="s">
        <v>42</v>
      </c>
      <c r="C15" s="28" t="n">
        <v>36</v>
      </c>
      <c r="D15" s="28" t="n">
        <v>36</v>
      </c>
      <c r="E15" s="14" t="n">
        <v>0</v>
      </c>
      <c r="F15" s="14" t="n">
        <v>15088.52</v>
      </c>
      <c r="G15" s="14" t="n">
        <v>15088.52</v>
      </c>
      <c r="H15" s="14" t="n">
        <v>2882.85</v>
      </c>
      <c r="I15" s="14" t="n">
        <v>12205.67</v>
      </c>
      <c r="J15" s="14" t="n">
        <v>8060.56</v>
      </c>
      <c r="K15" s="15" t="n">
        <v>0.8089</v>
      </c>
      <c r="L15" s="15" t="n">
        <v>0.5342</v>
      </c>
      <c r="M15" s="29" t="n">
        <v>37</v>
      </c>
    </row>
    <row r="16" customFormat="false" ht="15" hidden="false" customHeight="false" outlineLevel="0" collapsed="false">
      <c r="A16" s="24" t="n">
        <v>10024</v>
      </c>
      <c r="B16" s="8" t="s">
        <v>43</v>
      </c>
      <c r="C16" s="25" t="n">
        <v>202</v>
      </c>
      <c r="D16" s="25" t="n">
        <v>202</v>
      </c>
      <c r="E16" s="10" t="n">
        <v>0</v>
      </c>
      <c r="F16" s="10" t="n">
        <v>9845.02</v>
      </c>
      <c r="G16" s="10" t="n">
        <v>9845.02</v>
      </c>
      <c r="H16" s="10" t="n">
        <v>1511.506</v>
      </c>
      <c r="I16" s="10" t="n">
        <v>8333.51</v>
      </c>
      <c r="J16" s="10" t="n">
        <v>5628.89</v>
      </c>
      <c r="K16" s="11" t="n">
        <v>0.8465</v>
      </c>
      <c r="L16" s="11" t="n">
        <v>0.5717</v>
      </c>
      <c r="M16" s="26" t="n">
        <v>47.94</v>
      </c>
    </row>
    <row r="17" customFormat="false" ht="15" hidden="false" customHeight="false" outlineLevel="0" collapsed="false">
      <c r="A17" s="27" t="n">
        <v>10025</v>
      </c>
      <c r="B17" s="12" t="s">
        <v>44</v>
      </c>
      <c r="C17" s="28" t="n">
        <v>10</v>
      </c>
      <c r="D17" s="28" t="n">
        <v>10</v>
      </c>
      <c r="E17" s="14" t="n">
        <v>0</v>
      </c>
      <c r="F17" s="14" t="n">
        <v>587.8</v>
      </c>
      <c r="G17" s="14" t="n">
        <v>587.8</v>
      </c>
      <c r="H17" s="14" t="n">
        <v>72.48</v>
      </c>
      <c r="I17" s="14" t="n">
        <v>515.32</v>
      </c>
      <c r="J17" s="14" t="n">
        <v>353.84</v>
      </c>
      <c r="K17" s="15" t="n">
        <v>0.8767</v>
      </c>
      <c r="L17" s="15" t="n">
        <v>0.602</v>
      </c>
      <c r="M17" s="29" t="n">
        <v>60</v>
      </c>
    </row>
    <row r="18" customFormat="false" ht="15" hidden="false" customHeight="false" outlineLevel="0" collapsed="false">
      <c r="A18" s="24" t="n">
        <v>10027</v>
      </c>
      <c r="B18" s="8" t="s">
        <v>45</v>
      </c>
      <c r="C18" s="25" t="n">
        <v>11</v>
      </c>
      <c r="D18" s="25" t="n">
        <v>11</v>
      </c>
      <c r="E18" s="10" t="n">
        <v>0</v>
      </c>
      <c r="F18" s="10" t="n">
        <v>13958.85</v>
      </c>
      <c r="G18" s="10" t="n">
        <v>13958.85</v>
      </c>
      <c r="H18" s="10" t="n">
        <v>6467.4198</v>
      </c>
      <c r="I18" s="10" t="n">
        <v>7491.43</v>
      </c>
      <c r="J18" s="10" t="n">
        <v>4015.21</v>
      </c>
      <c r="K18" s="11" t="n">
        <v>0.5367</v>
      </c>
      <c r="L18" s="11" t="n">
        <v>0.2876</v>
      </c>
      <c r="M18" s="26" t="n">
        <v>35.8</v>
      </c>
    </row>
    <row r="19" customFormat="false" ht="15" hidden="false" customHeight="false" outlineLevel="0" collapsed="false">
      <c r="A19" s="27" t="n">
        <v>10029</v>
      </c>
      <c r="B19" s="12" t="s">
        <v>44</v>
      </c>
      <c r="C19" s="28" t="n">
        <v>10</v>
      </c>
      <c r="D19" s="28" t="n">
        <v>10</v>
      </c>
      <c r="E19" s="14" t="n">
        <v>0</v>
      </c>
      <c r="F19" s="14" t="n">
        <v>667.1</v>
      </c>
      <c r="G19" s="14" t="n">
        <v>667.1</v>
      </c>
      <c r="H19" s="14" t="n">
        <v>52.36</v>
      </c>
      <c r="I19" s="14" t="n">
        <v>614.74</v>
      </c>
      <c r="J19" s="14" t="n">
        <v>463.61</v>
      </c>
      <c r="K19" s="15" t="n">
        <v>0.9215</v>
      </c>
      <c r="L19" s="15" t="n">
        <v>0.695</v>
      </c>
      <c r="M19" s="29" t="n">
        <v>60</v>
      </c>
    </row>
    <row r="20" customFormat="false" ht="15" hidden="false" customHeight="false" outlineLevel="0" collapsed="false">
      <c r="A20" s="24" t="n">
        <v>10031</v>
      </c>
      <c r="B20" s="8" t="s">
        <v>46</v>
      </c>
      <c r="C20" s="25" t="n">
        <v>32</v>
      </c>
      <c r="D20" s="25" t="n">
        <v>32</v>
      </c>
      <c r="E20" s="10" t="n">
        <v>61.4</v>
      </c>
      <c r="F20" s="10" t="n">
        <v>921</v>
      </c>
      <c r="G20" s="10" t="n">
        <v>982.4</v>
      </c>
      <c r="H20" s="10" t="n">
        <v>185.669</v>
      </c>
      <c r="I20" s="10" t="n">
        <v>796.73</v>
      </c>
      <c r="J20" s="10" t="n">
        <v>571.22</v>
      </c>
      <c r="K20" s="11" t="n">
        <v>0.811</v>
      </c>
      <c r="L20" s="11" t="n">
        <v>0.5815</v>
      </c>
      <c r="M20" s="26" t="n">
        <v>56.69</v>
      </c>
    </row>
    <row r="21" customFormat="false" ht="15" hidden="false" customHeight="false" outlineLevel="0" collapsed="false">
      <c r="A21" s="27" t="n">
        <v>10034</v>
      </c>
      <c r="B21" s="12" t="s">
        <v>46</v>
      </c>
      <c r="C21" s="28" t="n">
        <v>2</v>
      </c>
      <c r="D21" s="28" t="n">
        <v>2</v>
      </c>
      <c r="E21" s="14" t="n">
        <v>71.38</v>
      </c>
      <c r="F21" s="14" t="n">
        <v>0</v>
      </c>
      <c r="G21" s="14" t="n">
        <v>71.38</v>
      </c>
      <c r="H21" s="14" t="n">
        <v>4.39</v>
      </c>
      <c r="I21" s="14" t="n">
        <v>66.99</v>
      </c>
      <c r="J21" s="14" t="n">
        <v>47.38</v>
      </c>
      <c r="K21" s="15" t="n">
        <v>0.9385</v>
      </c>
      <c r="L21" s="15" t="n">
        <v>0.6638</v>
      </c>
      <c r="M21" s="29" t="n">
        <v>7</v>
      </c>
    </row>
    <row r="22" customFormat="false" ht="15" hidden="false" customHeight="false" outlineLevel="0" collapsed="false">
      <c r="A22" s="24" t="n">
        <v>10038</v>
      </c>
      <c r="B22" s="8" t="s">
        <v>47</v>
      </c>
      <c r="C22" s="25" t="n">
        <v>11</v>
      </c>
      <c r="D22" s="25" t="n">
        <v>11</v>
      </c>
      <c r="E22" s="10" t="n">
        <v>0</v>
      </c>
      <c r="F22" s="10" t="n">
        <v>3420.53</v>
      </c>
      <c r="G22" s="10" t="n">
        <v>3420.53</v>
      </c>
      <c r="H22" s="10" t="n">
        <v>835.11</v>
      </c>
      <c r="I22" s="10" t="n">
        <v>2585.42</v>
      </c>
      <c r="J22" s="10" t="n">
        <v>1744.93</v>
      </c>
      <c r="K22" s="11" t="n">
        <v>0.7559</v>
      </c>
      <c r="L22" s="11" t="n">
        <v>0.5101</v>
      </c>
      <c r="M22" s="26" t="n">
        <v>56.02</v>
      </c>
    </row>
    <row r="23" customFormat="false" ht="15" hidden="false" customHeight="false" outlineLevel="0" collapsed="false">
      <c r="A23" s="27" t="n">
        <v>10044</v>
      </c>
      <c r="B23" s="12" t="s">
        <v>48</v>
      </c>
      <c r="C23" s="28" t="n">
        <v>106</v>
      </c>
      <c r="D23" s="28" t="n">
        <v>106</v>
      </c>
      <c r="E23" s="14" t="n">
        <v>0</v>
      </c>
      <c r="F23" s="14" t="n">
        <v>6409.01</v>
      </c>
      <c r="G23" s="14" t="n">
        <v>6409.01</v>
      </c>
      <c r="H23" s="14" t="n">
        <v>697.061</v>
      </c>
      <c r="I23" s="14" t="n">
        <v>5711.95</v>
      </c>
      <c r="J23" s="14" t="n">
        <v>4018.28</v>
      </c>
      <c r="K23" s="15" t="n">
        <v>0.8912</v>
      </c>
      <c r="L23" s="15" t="n">
        <v>0.627</v>
      </c>
      <c r="M23" s="29" t="n">
        <v>51.39</v>
      </c>
    </row>
    <row r="24" customFormat="false" ht="15" hidden="false" customHeight="false" outlineLevel="0" collapsed="false">
      <c r="A24" s="24" t="n">
        <v>10047</v>
      </c>
      <c r="B24" s="8" t="s">
        <v>251</v>
      </c>
      <c r="C24" s="25" t="n">
        <v>10</v>
      </c>
      <c r="D24" s="25" t="n">
        <v>10</v>
      </c>
      <c r="E24" s="10" t="n">
        <v>0</v>
      </c>
      <c r="F24" s="10" t="n">
        <v>3726.6</v>
      </c>
      <c r="G24" s="10" t="n">
        <v>3726.6</v>
      </c>
      <c r="H24" s="10" t="n">
        <v>949.5401</v>
      </c>
      <c r="I24" s="10" t="n">
        <v>2777.06</v>
      </c>
      <c r="J24" s="10" t="n">
        <v>1753.28</v>
      </c>
      <c r="K24" s="11" t="n">
        <v>0.7452</v>
      </c>
      <c r="L24" s="11" t="n">
        <v>0.4705</v>
      </c>
      <c r="M24" s="26" t="n">
        <v>45</v>
      </c>
    </row>
    <row r="25" customFormat="false" ht="15" hidden="false" customHeight="false" outlineLevel="0" collapsed="false">
      <c r="A25" s="27" t="n">
        <v>10052</v>
      </c>
      <c r="B25" s="12" t="s">
        <v>49</v>
      </c>
      <c r="C25" s="28" t="n">
        <v>91</v>
      </c>
      <c r="D25" s="28" t="n">
        <v>91</v>
      </c>
      <c r="E25" s="14" t="n">
        <v>0</v>
      </c>
      <c r="F25" s="14" t="n">
        <v>6743.95</v>
      </c>
      <c r="G25" s="14" t="n">
        <v>6743.95</v>
      </c>
      <c r="H25" s="14" t="n">
        <v>969.452</v>
      </c>
      <c r="I25" s="14" t="n">
        <v>5774.5</v>
      </c>
      <c r="J25" s="14" t="n">
        <v>3991.71</v>
      </c>
      <c r="K25" s="15" t="n">
        <v>0.8562</v>
      </c>
      <c r="L25" s="15" t="n">
        <v>0.5919</v>
      </c>
      <c r="M25" s="29" t="n">
        <v>31.95</v>
      </c>
    </row>
    <row r="26" customFormat="false" ht="15" hidden="false" customHeight="false" outlineLevel="0" collapsed="false">
      <c r="A26" s="24" t="n">
        <v>10064</v>
      </c>
      <c r="B26" s="8" t="s">
        <v>50</v>
      </c>
      <c r="C26" s="25" t="n">
        <v>660</v>
      </c>
      <c r="D26" s="25" t="n">
        <v>660</v>
      </c>
      <c r="E26" s="10" t="n">
        <v>0</v>
      </c>
      <c r="F26" s="10" t="n">
        <v>9109.71</v>
      </c>
      <c r="G26" s="10" t="n">
        <v>9109.71</v>
      </c>
      <c r="H26" s="10" t="n">
        <v>4098.0716</v>
      </c>
      <c r="I26" s="10" t="n">
        <v>5011.64</v>
      </c>
      <c r="J26" s="10" t="n">
        <v>2528.76</v>
      </c>
      <c r="K26" s="11" t="n">
        <v>0.5501</v>
      </c>
      <c r="L26" s="11" t="n">
        <v>0.2776</v>
      </c>
      <c r="M26" s="26" t="n">
        <v>50.27</v>
      </c>
    </row>
    <row r="27" customFormat="false" ht="15" hidden="false" customHeight="false" outlineLevel="0" collapsed="false">
      <c r="A27" s="27" t="n">
        <v>10068</v>
      </c>
      <c r="B27" s="12" t="s">
        <v>51</v>
      </c>
      <c r="C27" s="28" t="n">
        <v>0</v>
      </c>
      <c r="D27" s="28" t="n">
        <v>0</v>
      </c>
      <c r="E27" s="14" t="n">
        <v>0</v>
      </c>
      <c r="F27" s="14" t="n">
        <v>-214.71</v>
      </c>
      <c r="G27" s="14" t="n">
        <v>-214.71</v>
      </c>
      <c r="H27" s="14" t="n">
        <v>-0.8999</v>
      </c>
      <c r="I27" s="14" t="n">
        <v>-213.81</v>
      </c>
      <c r="J27" s="14" t="n">
        <v>-154.83</v>
      </c>
      <c r="K27" s="15" t="n">
        <v>0.9958</v>
      </c>
      <c r="L27" s="15" t="n">
        <v>0.7211</v>
      </c>
      <c r="M27" s="29" t="n">
        <v>15.57</v>
      </c>
    </row>
    <row r="28" customFormat="false" ht="15" hidden="false" customHeight="false" outlineLevel="0" collapsed="false">
      <c r="A28" s="24" t="n">
        <v>10075</v>
      </c>
      <c r="B28" s="8" t="s">
        <v>52</v>
      </c>
      <c r="C28" s="25" t="n">
        <v>3</v>
      </c>
      <c r="D28" s="25" t="n">
        <v>3</v>
      </c>
      <c r="E28" s="10" t="n">
        <v>80.82</v>
      </c>
      <c r="F28" s="10" t="n">
        <v>0</v>
      </c>
      <c r="G28" s="10" t="n">
        <v>80.82</v>
      </c>
      <c r="H28" s="10" t="n">
        <v>6.9099</v>
      </c>
      <c r="I28" s="10" t="n">
        <v>73.91</v>
      </c>
      <c r="J28" s="10" t="n">
        <v>51.71</v>
      </c>
      <c r="K28" s="11" t="n">
        <v>0.9145</v>
      </c>
      <c r="L28" s="11" t="n">
        <v>0.6398</v>
      </c>
      <c r="M28" s="26" t="n">
        <v>7</v>
      </c>
    </row>
    <row r="29" customFormat="false" ht="15" hidden="false" customHeight="false" outlineLevel="0" collapsed="false">
      <c r="A29" s="27" t="n">
        <v>10084</v>
      </c>
      <c r="B29" s="12" t="s">
        <v>53</v>
      </c>
      <c r="C29" s="28" t="n">
        <v>320</v>
      </c>
      <c r="D29" s="28" t="n">
        <v>320</v>
      </c>
      <c r="E29" s="14" t="n">
        <v>0</v>
      </c>
      <c r="F29" s="14" t="n">
        <v>5773.21</v>
      </c>
      <c r="G29" s="14" t="n">
        <v>5773.21</v>
      </c>
      <c r="H29" s="14" t="n">
        <v>1805.749</v>
      </c>
      <c r="I29" s="14" t="n">
        <v>3967.47</v>
      </c>
      <c r="J29" s="14" t="n">
        <v>2396.67</v>
      </c>
      <c r="K29" s="15" t="n">
        <v>0.6872</v>
      </c>
      <c r="L29" s="15" t="n">
        <v>0.4151</v>
      </c>
      <c r="M29" s="29" t="n">
        <v>48.91</v>
      </c>
    </row>
    <row r="30" customFormat="false" ht="15" hidden="false" customHeight="false" outlineLevel="0" collapsed="false">
      <c r="A30" s="24" t="n">
        <v>10087</v>
      </c>
      <c r="B30" s="8" t="s">
        <v>54</v>
      </c>
      <c r="C30" s="25" t="n">
        <v>40</v>
      </c>
      <c r="D30" s="25" t="n">
        <v>40</v>
      </c>
      <c r="E30" s="10" t="n">
        <v>0</v>
      </c>
      <c r="F30" s="10" t="n">
        <v>643</v>
      </c>
      <c r="G30" s="10" t="n">
        <v>643</v>
      </c>
      <c r="H30" s="10" t="n">
        <v>221.11</v>
      </c>
      <c r="I30" s="10" t="n">
        <v>421.89</v>
      </c>
      <c r="J30" s="10" t="n">
        <v>254.16</v>
      </c>
      <c r="K30" s="11" t="n">
        <v>0.6561</v>
      </c>
      <c r="L30" s="11" t="n">
        <v>0.3953</v>
      </c>
      <c r="M30" s="26" t="n">
        <v>58.48</v>
      </c>
    </row>
    <row r="31" customFormat="false" ht="15" hidden="false" customHeight="false" outlineLevel="0" collapsed="false">
      <c r="A31" s="27" t="n">
        <v>10090</v>
      </c>
      <c r="B31" s="12" t="s">
        <v>56</v>
      </c>
      <c r="C31" s="28" t="n">
        <v>70</v>
      </c>
      <c r="D31" s="28" t="n">
        <v>70</v>
      </c>
      <c r="E31" s="14" t="n">
        <v>0</v>
      </c>
      <c r="F31" s="14" t="n">
        <v>13897.1</v>
      </c>
      <c r="G31" s="14" t="n">
        <v>13897.1</v>
      </c>
      <c r="H31" s="14" t="n">
        <v>4127.78</v>
      </c>
      <c r="I31" s="14" t="n">
        <v>9769.32</v>
      </c>
      <c r="J31" s="14" t="n">
        <v>5951.51</v>
      </c>
      <c r="K31" s="15" t="n">
        <v>0.703</v>
      </c>
      <c r="L31" s="15" t="n">
        <v>0.4283</v>
      </c>
      <c r="M31" s="29" t="n">
        <v>31.57</v>
      </c>
    </row>
    <row r="32" customFormat="false" ht="15" hidden="false" customHeight="false" outlineLevel="0" collapsed="false">
      <c r="A32" s="24" t="n">
        <v>10097</v>
      </c>
      <c r="B32" s="8" t="s">
        <v>58</v>
      </c>
      <c r="C32" s="25" t="n">
        <v>1015</v>
      </c>
      <c r="D32" s="25" t="n">
        <v>1015</v>
      </c>
      <c r="E32" s="10" t="n">
        <v>0</v>
      </c>
      <c r="F32" s="10" t="n">
        <v>4111</v>
      </c>
      <c r="G32" s="10" t="n">
        <v>4111</v>
      </c>
      <c r="H32" s="10" t="n">
        <v>1451.3395</v>
      </c>
      <c r="I32" s="10" t="n">
        <v>2659.67</v>
      </c>
      <c r="J32" s="10" t="n">
        <v>1530.29</v>
      </c>
      <c r="K32" s="11" t="n">
        <v>0.647</v>
      </c>
      <c r="L32" s="11" t="n">
        <v>0.3722</v>
      </c>
      <c r="M32" s="26" t="n">
        <v>46.06</v>
      </c>
    </row>
    <row r="33" customFormat="false" ht="15" hidden="false" customHeight="false" outlineLevel="0" collapsed="false">
      <c r="A33" s="27" t="n">
        <v>10098</v>
      </c>
      <c r="B33" s="12" t="s">
        <v>59</v>
      </c>
      <c r="C33" s="28" t="n">
        <v>50</v>
      </c>
      <c r="D33" s="28" t="n">
        <v>50</v>
      </c>
      <c r="E33" s="14" t="n">
        <v>214.4</v>
      </c>
      <c r="F33" s="14" t="n">
        <v>8318.54</v>
      </c>
      <c r="G33" s="14" t="n">
        <v>8532.94</v>
      </c>
      <c r="H33" s="14" t="n">
        <v>3031.66</v>
      </c>
      <c r="I33" s="14" t="n">
        <v>5501.28</v>
      </c>
      <c r="J33" s="14" t="n">
        <v>3257.74</v>
      </c>
      <c r="K33" s="15" t="n">
        <v>0.6447</v>
      </c>
      <c r="L33" s="15" t="n">
        <v>0.3818</v>
      </c>
      <c r="M33" s="29" t="n">
        <v>39.01</v>
      </c>
    </row>
    <row r="34" customFormat="false" ht="15" hidden="false" customHeight="false" outlineLevel="0" collapsed="false">
      <c r="A34" s="24" t="n">
        <v>10100</v>
      </c>
      <c r="B34" s="8" t="s">
        <v>252</v>
      </c>
      <c r="C34" s="25" t="n">
        <v>55</v>
      </c>
      <c r="D34" s="25" t="n">
        <v>55</v>
      </c>
      <c r="E34" s="10" t="n">
        <v>0</v>
      </c>
      <c r="F34" s="10" t="n">
        <v>940.5</v>
      </c>
      <c r="G34" s="10" t="n">
        <v>940.5</v>
      </c>
      <c r="H34" s="10" t="n">
        <v>495.23</v>
      </c>
      <c r="I34" s="10" t="n">
        <v>445.27</v>
      </c>
      <c r="J34" s="10" t="n">
        <v>182.78</v>
      </c>
      <c r="K34" s="11" t="n">
        <v>0.4734</v>
      </c>
      <c r="L34" s="11" t="n">
        <v>0.1943</v>
      </c>
      <c r="M34" s="26" t="n">
        <v>50</v>
      </c>
    </row>
    <row r="35" customFormat="false" ht="15" hidden="false" customHeight="false" outlineLevel="0" collapsed="false">
      <c r="A35" s="27" t="n">
        <v>10102</v>
      </c>
      <c r="B35" s="12" t="s">
        <v>253</v>
      </c>
      <c r="C35" s="28" t="n">
        <v>150</v>
      </c>
      <c r="D35" s="28" t="n">
        <v>150</v>
      </c>
      <c r="E35" s="14" t="n">
        <v>0</v>
      </c>
      <c r="F35" s="14" t="n">
        <v>25440</v>
      </c>
      <c r="G35" s="14" t="n">
        <v>25440</v>
      </c>
      <c r="H35" s="14" t="n">
        <v>8861.925</v>
      </c>
      <c r="I35" s="14" t="n">
        <v>16578.08</v>
      </c>
      <c r="J35" s="14" t="n">
        <v>9589.2</v>
      </c>
      <c r="K35" s="15" t="n">
        <v>0.6517</v>
      </c>
      <c r="L35" s="15" t="n">
        <v>0.3769</v>
      </c>
      <c r="M35" s="29" t="n">
        <v>45</v>
      </c>
    </row>
    <row r="36" customFormat="false" ht="15" hidden="false" customHeight="false" outlineLevel="0" collapsed="false">
      <c r="A36" s="24" t="n">
        <v>10106</v>
      </c>
      <c r="B36" s="8" t="s">
        <v>254</v>
      </c>
      <c r="C36" s="25" t="n">
        <v>10</v>
      </c>
      <c r="D36" s="25" t="n">
        <v>10</v>
      </c>
      <c r="E36" s="10" t="n">
        <v>0</v>
      </c>
      <c r="F36" s="10" t="n">
        <v>101</v>
      </c>
      <c r="G36" s="10" t="n">
        <v>101</v>
      </c>
      <c r="H36" s="10" t="n">
        <v>41.96</v>
      </c>
      <c r="I36" s="10" t="n">
        <v>59.04</v>
      </c>
      <c r="J36" s="10" t="n">
        <v>30.85</v>
      </c>
      <c r="K36" s="11" t="n">
        <v>0.5846</v>
      </c>
      <c r="L36" s="11" t="n">
        <v>0.3054</v>
      </c>
      <c r="M36" s="26" t="n">
        <v>50</v>
      </c>
    </row>
    <row r="37" customFormat="false" ht="15" hidden="false" customHeight="false" outlineLevel="0" collapsed="false">
      <c r="A37" s="27" t="n">
        <v>10107</v>
      </c>
      <c r="B37" s="12" t="s">
        <v>40</v>
      </c>
      <c r="C37" s="28" t="n">
        <v>113</v>
      </c>
      <c r="D37" s="28" t="n">
        <v>113</v>
      </c>
      <c r="E37" s="14" t="n">
        <v>0</v>
      </c>
      <c r="F37" s="14" t="n">
        <v>19498.28</v>
      </c>
      <c r="G37" s="14" t="n">
        <v>19498.28</v>
      </c>
      <c r="H37" s="14" t="n">
        <v>7392.8688</v>
      </c>
      <c r="I37" s="14" t="n">
        <v>12105.41</v>
      </c>
      <c r="J37" s="14" t="n">
        <v>7904.55</v>
      </c>
      <c r="K37" s="15" t="n">
        <v>0.6208</v>
      </c>
      <c r="L37" s="15" t="n">
        <v>0.4054</v>
      </c>
      <c r="M37" s="29" t="n">
        <v>40.87</v>
      </c>
    </row>
    <row r="38" customFormat="false" ht="15" hidden="false" customHeight="false" outlineLevel="0" collapsed="false">
      <c r="A38" s="24" t="n">
        <v>10108</v>
      </c>
      <c r="B38" s="8" t="s">
        <v>60</v>
      </c>
      <c r="C38" s="25" t="n">
        <v>86</v>
      </c>
      <c r="D38" s="25" t="n">
        <v>86</v>
      </c>
      <c r="E38" s="10" t="n">
        <v>0</v>
      </c>
      <c r="F38" s="10" t="n">
        <v>15583.56</v>
      </c>
      <c r="G38" s="10" t="n">
        <v>15583.56</v>
      </c>
      <c r="H38" s="10" t="n">
        <v>5602.6397</v>
      </c>
      <c r="I38" s="10" t="n">
        <v>9980.92</v>
      </c>
      <c r="J38" s="10" t="n">
        <v>7424.54</v>
      </c>
      <c r="K38" s="11" t="n">
        <v>0.6405</v>
      </c>
      <c r="L38" s="11" t="n">
        <v>0.4764</v>
      </c>
      <c r="M38" s="26" t="n">
        <v>55.29</v>
      </c>
    </row>
    <row r="39" customFormat="false" ht="15" hidden="false" customHeight="false" outlineLevel="0" collapsed="false">
      <c r="A39" s="27" t="n">
        <v>10109</v>
      </c>
      <c r="B39" s="12" t="s">
        <v>61</v>
      </c>
      <c r="C39" s="28" t="n">
        <v>240</v>
      </c>
      <c r="D39" s="28" t="n">
        <v>240</v>
      </c>
      <c r="E39" s="14" t="n">
        <v>0</v>
      </c>
      <c r="F39" s="14" t="n">
        <v>31471.83</v>
      </c>
      <c r="G39" s="14" t="n">
        <v>31471.83</v>
      </c>
      <c r="H39" s="14" t="n">
        <v>13922.0303</v>
      </c>
      <c r="I39" s="14" t="n">
        <v>17549.8</v>
      </c>
      <c r="J39" s="14" t="n">
        <v>10017.94</v>
      </c>
      <c r="K39" s="15" t="n">
        <v>0.5576</v>
      </c>
      <c r="L39" s="15" t="n">
        <v>0.3183</v>
      </c>
      <c r="M39" s="29" t="n">
        <v>41.08</v>
      </c>
    </row>
    <row r="40" customFormat="false" ht="15" hidden="false" customHeight="false" outlineLevel="0" collapsed="false">
      <c r="A40" s="24" t="n">
        <v>10110</v>
      </c>
      <c r="B40" s="8" t="s">
        <v>62</v>
      </c>
      <c r="C40" s="25" t="n">
        <v>87</v>
      </c>
      <c r="D40" s="25" t="n">
        <v>87</v>
      </c>
      <c r="E40" s="10" t="n">
        <v>0</v>
      </c>
      <c r="F40" s="10" t="n">
        <v>10580.6</v>
      </c>
      <c r="G40" s="10" t="n">
        <v>10580.6</v>
      </c>
      <c r="H40" s="10" t="n">
        <v>4408.2392</v>
      </c>
      <c r="I40" s="10" t="n">
        <v>6172.36</v>
      </c>
      <c r="J40" s="10" t="n">
        <v>3340.31</v>
      </c>
      <c r="K40" s="11" t="n">
        <v>0.5834</v>
      </c>
      <c r="L40" s="11" t="n">
        <v>0.3157</v>
      </c>
      <c r="M40" s="26" t="n">
        <v>39.81</v>
      </c>
    </row>
    <row r="41" customFormat="false" ht="15" hidden="false" customHeight="false" outlineLevel="0" collapsed="false">
      <c r="A41" s="27" t="n">
        <v>10112</v>
      </c>
      <c r="B41" s="12" t="s">
        <v>139</v>
      </c>
      <c r="C41" s="28" t="n">
        <v>16</v>
      </c>
      <c r="D41" s="28" t="n">
        <v>16</v>
      </c>
      <c r="E41" s="14" t="n">
        <v>0</v>
      </c>
      <c r="F41" s="14" t="n">
        <v>7160.64</v>
      </c>
      <c r="G41" s="14" t="n">
        <v>7160.64</v>
      </c>
      <c r="H41" s="14" t="n">
        <v>3434.7296</v>
      </c>
      <c r="I41" s="14" t="n">
        <v>3725.91</v>
      </c>
      <c r="J41" s="14" t="n">
        <v>1988.74</v>
      </c>
      <c r="K41" s="15" t="n">
        <v>0.5203</v>
      </c>
      <c r="L41" s="15" t="n">
        <v>0.2777</v>
      </c>
      <c r="M41" s="29" t="n">
        <v>31</v>
      </c>
    </row>
    <row r="42" customFormat="false" ht="15" hidden="false" customHeight="false" outlineLevel="0" collapsed="false">
      <c r="A42" s="24" t="n">
        <v>10114</v>
      </c>
      <c r="B42" s="8" t="s">
        <v>63</v>
      </c>
      <c r="C42" s="25" t="n">
        <v>20</v>
      </c>
      <c r="D42" s="25" t="n">
        <v>20</v>
      </c>
      <c r="E42" s="10" t="n">
        <v>0</v>
      </c>
      <c r="F42" s="10" t="n">
        <v>1127.6</v>
      </c>
      <c r="G42" s="10" t="n">
        <v>1127.6</v>
      </c>
      <c r="H42" s="10" t="n">
        <v>438.34</v>
      </c>
      <c r="I42" s="10" t="n">
        <v>689.26</v>
      </c>
      <c r="J42" s="10" t="n">
        <v>551.02</v>
      </c>
      <c r="K42" s="11" t="n">
        <v>0.6113</v>
      </c>
      <c r="L42" s="11" t="n">
        <v>0.4887</v>
      </c>
      <c r="M42" s="26" t="n">
        <v>16</v>
      </c>
    </row>
    <row r="43" customFormat="false" ht="15" hidden="false" customHeight="false" outlineLevel="0" collapsed="false">
      <c r="A43" s="27" t="n">
        <v>10117</v>
      </c>
      <c r="B43" s="12" t="s">
        <v>120</v>
      </c>
      <c r="C43" s="28" t="n">
        <v>10</v>
      </c>
      <c r="D43" s="28" t="n">
        <v>10</v>
      </c>
      <c r="E43" s="14" t="n">
        <v>0</v>
      </c>
      <c r="F43" s="14" t="n">
        <v>2565.5</v>
      </c>
      <c r="G43" s="14" t="n">
        <v>2565.5</v>
      </c>
      <c r="H43" s="14" t="n">
        <v>1572.39</v>
      </c>
      <c r="I43" s="14" t="n">
        <v>993.11</v>
      </c>
      <c r="J43" s="14" t="n">
        <v>288.31</v>
      </c>
      <c r="K43" s="15" t="n">
        <v>0.3871</v>
      </c>
      <c r="L43" s="15" t="n">
        <v>0.1124</v>
      </c>
      <c r="M43" s="29" t="n">
        <v>38</v>
      </c>
    </row>
    <row r="44" customFormat="false" ht="15" hidden="false" customHeight="false" outlineLevel="0" collapsed="false">
      <c r="A44" s="24" t="n">
        <v>10120</v>
      </c>
      <c r="B44" s="8" t="s">
        <v>255</v>
      </c>
      <c r="C44" s="25" t="n">
        <v>4</v>
      </c>
      <c r="D44" s="25" t="n">
        <v>4</v>
      </c>
      <c r="E44" s="10" t="n">
        <v>0</v>
      </c>
      <c r="F44" s="10" t="n">
        <v>882.25</v>
      </c>
      <c r="G44" s="10" t="n">
        <v>882.25</v>
      </c>
      <c r="H44" s="10" t="n">
        <v>397.7699</v>
      </c>
      <c r="I44" s="10" t="n">
        <v>484.48</v>
      </c>
      <c r="J44" s="10" t="n">
        <v>242.1</v>
      </c>
      <c r="K44" s="11" t="n">
        <v>0.5491</v>
      </c>
      <c r="L44" s="11" t="n">
        <v>0.2744</v>
      </c>
      <c r="M44" s="26" t="n">
        <v>36.7</v>
      </c>
    </row>
    <row r="45" customFormat="false" ht="15" hidden="false" customHeight="false" outlineLevel="0" collapsed="false">
      <c r="A45" s="27" t="n">
        <v>10121</v>
      </c>
      <c r="B45" s="12" t="s">
        <v>64</v>
      </c>
      <c r="C45" s="28" t="n">
        <v>267</v>
      </c>
      <c r="D45" s="28" t="n">
        <v>267</v>
      </c>
      <c r="E45" s="14" t="n">
        <v>0</v>
      </c>
      <c r="F45" s="14" t="n">
        <v>9699.65</v>
      </c>
      <c r="G45" s="14" t="n">
        <v>9699.65</v>
      </c>
      <c r="H45" s="14" t="n">
        <v>4679.871</v>
      </c>
      <c r="I45" s="14" t="n">
        <v>5019.78</v>
      </c>
      <c r="J45" s="14" t="n">
        <v>2703.28</v>
      </c>
      <c r="K45" s="15" t="n">
        <v>0.5175</v>
      </c>
      <c r="L45" s="15" t="n">
        <v>0.2787</v>
      </c>
      <c r="M45" s="29" t="n">
        <v>41.75</v>
      </c>
    </row>
    <row r="46" customFormat="false" ht="15" hidden="false" customHeight="false" outlineLevel="0" collapsed="false">
      <c r="A46" s="24" t="n">
        <v>10122</v>
      </c>
      <c r="B46" s="8" t="s">
        <v>65</v>
      </c>
      <c r="C46" s="25" t="n">
        <v>1</v>
      </c>
      <c r="D46" s="25" t="n">
        <v>1</v>
      </c>
      <c r="E46" s="10" t="n">
        <v>0</v>
      </c>
      <c r="F46" s="10" t="n">
        <v>193.55</v>
      </c>
      <c r="G46" s="10" t="n">
        <v>193.55</v>
      </c>
      <c r="H46" s="10" t="n">
        <v>73</v>
      </c>
      <c r="I46" s="10" t="n">
        <v>120.55</v>
      </c>
      <c r="J46" s="10" t="n">
        <v>67.38</v>
      </c>
      <c r="K46" s="11" t="n">
        <v>0.6228</v>
      </c>
      <c r="L46" s="11" t="n">
        <v>0.3481</v>
      </c>
      <c r="M46" s="26" t="n">
        <v>15</v>
      </c>
    </row>
    <row r="47" customFormat="false" ht="15" hidden="false" customHeight="false" outlineLevel="0" collapsed="false">
      <c r="A47" s="27" t="n">
        <v>10126</v>
      </c>
      <c r="B47" s="12" t="s">
        <v>67</v>
      </c>
      <c r="C47" s="28" t="n">
        <v>18</v>
      </c>
      <c r="D47" s="28" t="n">
        <v>18</v>
      </c>
      <c r="E47" s="14" t="n">
        <v>0</v>
      </c>
      <c r="F47" s="14" t="n">
        <v>1010.16</v>
      </c>
      <c r="G47" s="14" t="n">
        <v>1010.16</v>
      </c>
      <c r="H47" s="14" t="n">
        <v>409.3304</v>
      </c>
      <c r="I47" s="14" t="n">
        <v>600.83</v>
      </c>
      <c r="J47" s="14" t="n">
        <v>346.22</v>
      </c>
      <c r="K47" s="15" t="n">
        <v>0.5948</v>
      </c>
      <c r="L47" s="15" t="n">
        <v>0.3427</v>
      </c>
      <c r="M47" s="29" t="n">
        <v>51.53</v>
      </c>
    </row>
    <row r="48" customFormat="false" ht="15" hidden="false" customHeight="false" outlineLevel="0" collapsed="false">
      <c r="A48" s="24" t="n">
        <v>10127</v>
      </c>
      <c r="B48" s="8" t="s">
        <v>68</v>
      </c>
      <c r="C48" s="25" t="n">
        <v>15</v>
      </c>
      <c r="D48" s="25" t="n">
        <v>15</v>
      </c>
      <c r="E48" s="10" t="n">
        <v>0</v>
      </c>
      <c r="F48" s="10" t="n">
        <v>746.7</v>
      </c>
      <c r="G48" s="10" t="n">
        <v>746.7</v>
      </c>
      <c r="H48" s="10" t="n">
        <v>270.04</v>
      </c>
      <c r="I48" s="10" t="n">
        <v>476.66</v>
      </c>
      <c r="J48" s="10" t="n">
        <v>271.53</v>
      </c>
      <c r="K48" s="11" t="n">
        <v>0.6384</v>
      </c>
      <c r="L48" s="11" t="n">
        <v>0.3636</v>
      </c>
      <c r="M48" s="26" t="n">
        <v>28</v>
      </c>
    </row>
    <row r="49" customFormat="false" ht="15" hidden="false" customHeight="false" outlineLevel="0" collapsed="false">
      <c r="A49" s="27" t="n">
        <v>10128</v>
      </c>
      <c r="B49" s="12" t="s">
        <v>256</v>
      </c>
      <c r="C49" s="28" t="n">
        <v>10</v>
      </c>
      <c r="D49" s="28" t="n">
        <v>10</v>
      </c>
      <c r="E49" s="14" t="n">
        <v>0</v>
      </c>
      <c r="F49" s="14" t="n">
        <v>462.2</v>
      </c>
      <c r="G49" s="14" t="n">
        <v>462.2</v>
      </c>
      <c r="H49" s="14" t="n">
        <v>204.95</v>
      </c>
      <c r="I49" s="14" t="n">
        <v>257.25</v>
      </c>
      <c r="J49" s="14" t="n">
        <v>200.59</v>
      </c>
      <c r="K49" s="15" t="n">
        <v>0.5566</v>
      </c>
      <c r="L49" s="15" t="n">
        <v>0.434</v>
      </c>
      <c r="M49" s="29" t="n">
        <v>16</v>
      </c>
    </row>
    <row r="50" customFormat="false" ht="15" hidden="false" customHeight="false" outlineLevel="0" collapsed="false">
      <c r="A50" s="24" t="n">
        <v>10136</v>
      </c>
      <c r="B50" s="8" t="s">
        <v>69</v>
      </c>
      <c r="C50" s="25" t="n">
        <v>5</v>
      </c>
      <c r="D50" s="25" t="n">
        <v>5</v>
      </c>
      <c r="E50" s="10" t="n">
        <v>0</v>
      </c>
      <c r="F50" s="10" t="n">
        <v>1023.85</v>
      </c>
      <c r="G50" s="10" t="n">
        <v>1023.85</v>
      </c>
      <c r="H50" s="10" t="n">
        <v>481.64</v>
      </c>
      <c r="I50" s="10" t="n">
        <v>542.21</v>
      </c>
      <c r="J50" s="10" t="n">
        <v>281.13</v>
      </c>
      <c r="K50" s="11" t="n">
        <v>0.5296</v>
      </c>
      <c r="L50" s="11" t="n">
        <v>0.2746</v>
      </c>
      <c r="M50" s="26" t="n">
        <v>51.64</v>
      </c>
    </row>
    <row r="51" customFormat="false" ht="15" hidden="false" customHeight="false" outlineLevel="0" collapsed="false">
      <c r="A51" s="27" t="n">
        <v>10139</v>
      </c>
      <c r="B51" s="12" t="s">
        <v>71</v>
      </c>
      <c r="C51" s="28" t="n">
        <v>39</v>
      </c>
      <c r="D51" s="28" t="n">
        <v>39</v>
      </c>
      <c r="E51" s="14" t="n">
        <v>0</v>
      </c>
      <c r="F51" s="14" t="n">
        <v>30363.7</v>
      </c>
      <c r="G51" s="14" t="n">
        <v>30363.7</v>
      </c>
      <c r="H51" s="14" t="n">
        <v>9852.3497</v>
      </c>
      <c r="I51" s="14" t="n">
        <v>20511.35</v>
      </c>
      <c r="J51" s="14" t="n">
        <v>12169.79</v>
      </c>
      <c r="K51" s="15" t="n">
        <v>0.6755</v>
      </c>
      <c r="L51" s="15" t="n">
        <v>0.4008</v>
      </c>
      <c r="M51" s="29" t="n">
        <v>49.8</v>
      </c>
    </row>
    <row r="52" customFormat="false" ht="15" hidden="false" customHeight="false" outlineLevel="0" collapsed="false">
      <c r="A52" s="24" t="n">
        <v>10141</v>
      </c>
      <c r="B52" s="8" t="s">
        <v>72</v>
      </c>
      <c r="C52" s="25" t="n">
        <v>442</v>
      </c>
      <c r="D52" s="25" t="n">
        <v>442</v>
      </c>
      <c r="E52" s="10" t="n">
        <v>0</v>
      </c>
      <c r="F52" s="10" t="n">
        <v>29778.75</v>
      </c>
      <c r="G52" s="10" t="n">
        <v>29778.75</v>
      </c>
      <c r="H52" s="10" t="n">
        <v>16202.526</v>
      </c>
      <c r="I52" s="10" t="n">
        <v>13576.23</v>
      </c>
      <c r="J52" s="10" t="n">
        <v>5831.04</v>
      </c>
      <c r="K52" s="11" t="n">
        <v>0.4559</v>
      </c>
      <c r="L52" s="11" t="n">
        <v>0.1958</v>
      </c>
      <c r="M52" s="26" t="n">
        <v>49.36</v>
      </c>
    </row>
    <row r="53" customFormat="false" ht="15" hidden="false" customHeight="false" outlineLevel="0" collapsed="false">
      <c r="A53" s="27" t="n">
        <v>10142</v>
      </c>
      <c r="B53" s="12" t="s">
        <v>73</v>
      </c>
      <c r="C53" s="28" t="n">
        <v>20</v>
      </c>
      <c r="D53" s="28" t="n">
        <v>20</v>
      </c>
      <c r="E53" s="14" t="n">
        <v>0</v>
      </c>
      <c r="F53" s="14" t="n">
        <v>2995.05</v>
      </c>
      <c r="G53" s="14" t="n">
        <v>2995.05</v>
      </c>
      <c r="H53" s="14" t="n">
        <v>1603.5701</v>
      </c>
      <c r="I53" s="14" t="n">
        <v>1391.48</v>
      </c>
      <c r="J53" s="14" t="n">
        <v>914.77</v>
      </c>
      <c r="K53" s="15" t="n">
        <v>0.4646</v>
      </c>
      <c r="L53" s="15" t="n">
        <v>0.3054</v>
      </c>
      <c r="M53" s="29" t="n">
        <v>35.57</v>
      </c>
    </row>
    <row r="54" customFormat="false" ht="15" hidden="false" customHeight="false" outlineLevel="0" collapsed="false">
      <c r="A54" s="24" t="n">
        <v>10143</v>
      </c>
      <c r="B54" s="8" t="s">
        <v>74</v>
      </c>
      <c r="C54" s="25" t="n">
        <v>14</v>
      </c>
      <c r="D54" s="25" t="n">
        <v>14</v>
      </c>
      <c r="E54" s="10" t="n">
        <v>0</v>
      </c>
      <c r="F54" s="10" t="n">
        <v>2283.97</v>
      </c>
      <c r="G54" s="10" t="n">
        <v>2283.97</v>
      </c>
      <c r="H54" s="10" t="n">
        <v>1246.3101</v>
      </c>
      <c r="I54" s="10" t="n">
        <v>1037.66</v>
      </c>
      <c r="J54" s="10" t="n">
        <v>656.84</v>
      </c>
      <c r="K54" s="11" t="n">
        <v>0.4543</v>
      </c>
      <c r="L54" s="11" t="n">
        <v>0.2876</v>
      </c>
      <c r="M54" s="26" t="n">
        <v>35.99</v>
      </c>
    </row>
    <row r="55" customFormat="false" ht="15" hidden="false" customHeight="false" outlineLevel="0" collapsed="false">
      <c r="A55" s="27" t="n">
        <v>10145</v>
      </c>
      <c r="B55" s="12" t="s">
        <v>63</v>
      </c>
      <c r="C55" s="28" t="n">
        <v>46</v>
      </c>
      <c r="D55" s="28" t="n">
        <v>46</v>
      </c>
      <c r="E55" s="14" t="n">
        <v>0</v>
      </c>
      <c r="F55" s="14" t="n">
        <v>2863.24</v>
      </c>
      <c r="G55" s="14" t="n">
        <v>2863.24</v>
      </c>
      <c r="H55" s="14" t="n">
        <v>1262.97</v>
      </c>
      <c r="I55" s="14" t="n">
        <v>1600.27</v>
      </c>
      <c r="J55" s="14" t="n">
        <v>992.57</v>
      </c>
      <c r="K55" s="15" t="n">
        <v>0.5589</v>
      </c>
      <c r="L55" s="15" t="n">
        <v>0.3467</v>
      </c>
      <c r="M55" s="29" t="n">
        <v>33.53</v>
      </c>
    </row>
    <row r="56" customFormat="false" ht="15" hidden="false" customHeight="false" outlineLevel="0" collapsed="false">
      <c r="A56" s="24" t="n">
        <v>10147</v>
      </c>
      <c r="B56" s="8" t="s">
        <v>75</v>
      </c>
      <c r="C56" s="25" t="n">
        <v>5</v>
      </c>
      <c r="D56" s="25" t="n">
        <v>5</v>
      </c>
      <c r="E56" s="10" t="n">
        <v>0</v>
      </c>
      <c r="F56" s="10" t="n">
        <v>1658.05</v>
      </c>
      <c r="G56" s="10" t="n">
        <v>1658.05</v>
      </c>
      <c r="H56" s="10" t="n">
        <v>725.05</v>
      </c>
      <c r="I56" s="10" t="n">
        <v>933</v>
      </c>
      <c r="J56" s="10" t="n">
        <v>477.5</v>
      </c>
      <c r="K56" s="11" t="n">
        <v>0.5627</v>
      </c>
      <c r="L56" s="11" t="n">
        <v>0.288</v>
      </c>
      <c r="M56" s="26" t="n">
        <v>50</v>
      </c>
    </row>
    <row r="57" customFormat="false" ht="15" hidden="false" customHeight="false" outlineLevel="0" collapsed="false">
      <c r="A57" s="27" t="n">
        <v>10148</v>
      </c>
      <c r="B57" s="12" t="s">
        <v>76</v>
      </c>
      <c r="C57" s="28" t="n">
        <v>30</v>
      </c>
      <c r="D57" s="28" t="n">
        <v>30</v>
      </c>
      <c r="E57" s="14" t="n">
        <v>0</v>
      </c>
      <c r="F57" s="14" t="n">
        <v>11258.25</v>
      </c>
      <c r="G57" s="14" t="n">
        <v>11258.25</v>
      </c>
      <c r="H57" s="14" t="n">
        <v>2317.131</v>
      </c>
      <c r="I57" s="14" t="n">
        <v>8941.12</v>
      </c>
      <c r="J57" s="14" t="n">
        <v>6160.08</v>
      </c>
      <c r="K57" s="15" t="n">
        <v>0.7942</v>
      </c>
      <c r="L57" s="15" t="n">
        <v>0.5472</v>
      </c>
      <c r="M57" s="29" t="n">
        <v>40.37</v>
      </c>
    </row>
    <row r="58" customFormat="false" ht="15" hidden="false" customHeight="false" outlineLevel="0" collapsed="false">
      <c r="A58" s="24" t="n">
        <v>10149</v>
      </c>
      <c r="B58" s="8" t="s">
        <v>77</v>
      </c>
      <c r="C58" s="25" t="n">
        <v>31</v>
      </c>
      <c r="D58" s="25" t="n">
        <v>31</v>
      </c>
      <c r="E58" s="10" t="n">
        <v>0</v>
      </c>
      <c r="F58" s="10" t="n">
        <v>1508.15</v>
      </c>
      <c r="G58" s="10" t="n">
        <v>1508.15</v>
      </c>
      <c r="H58" s="10" t="n">
        <v>844.6103</v>
      </c>
      <c r="I58" s="10" t="n">
        <v>663.54</v>
      </c>
      <c r="J58" s="10" t="n">
        <v>297.67</v>
      </c>
      <c r="K58" s="11" t="n">
        <v>0.44</v>
      </c>
      <c r="L58" s="11" t="n">
        <v>0.1974</v>
      </c>
      <c r="M58" s="26" t="n">
        <v>34.97</v>
      </c>
    </row>
    <row r="59" customFormat="false" ht="15" hidden="false" customHeight="false" outlineLevel="0" collapsed="false">
      <c r="A59" s="27" t="n">
        <v>10150</v>
      </c>
      <c r="B59" s="12" t="s">
        <v>78</v>
      </c>
      <c r="C59" s="28" t="n">
        <v>32</v>
      </c>
      <c r="D59" s="28" t="n">
        <v>32</v>
      </c>
      <c r="E59" s="14" t="n">
        <v>0</v>
      </c>
      <c r="F59" s="14" t="n">
        <v>5208.69</v>
      </c>
      <c r="G59" s="14" t="n">
        <v>5208.69</v>
      </c>
      <c r="H59" s="14" t="n">
        <v>2350.2307</v>
      </c>
      <c r="I59" s="14" t="n">
        <v>2858.46</v>
      </c>
      <c r="J59" s="14" t="n">
        <v>1557.01</v>
      </c>
      <c r="K59" s="15" t="n">
        <v>0.5488</v>
      </c>
      <c r="L59" s="15" t="n">
        <v>0.2989</v>
      </c>
      <c r="M59" s="29" t="n">
        <v>31</v>
      </c>
    </row>
    <row r="60" customFormat="false" ht="15" hidden="false" customHeight="false" outlineLevel="0" collapsed="false">
      <c r="A60" s="24" t="n">
        <v>10151</v>
      </c>
      <c r="B60" s="8" t="s">
        <v>79</v>
      </c>
      <c r="C60" s="25" t="n">
        <v>1</v>
      </c>
      <c r="D60" s="25" t="n">
        <v>1</v>
      </c>
      <c r="E60" s="10" t="n">
        <v>0</v>
      </c>
      <c r="F60" s="10" t="n">
        <v>321</v>
      </c>
      <c r="G60" s="10" t="n">
        <v>321</v>
      </c>
      <c r="H60" s="10" t="n">
        <v>77.72</v>
      </c>
      <c r="I60" s="10" t="n">
        <v>243.28</v>
      </c>
      <c r="J60" s="10" t="n">
        <v>155.09</v>
      </c>
      <c r="K60" s="11" t="n">
        <v>0.7579</v>
      </c>
      <c r="L60" s="11" t="n">
        <v>0.4831</v>
      </c>
      <c r="M60" s="26" t="n">
        <v>7</v>
      </c>
    </row>
    <row r="61" customFormat="false" ht="15" hidden="false" customHeight="false" outlineLevel="0" collapsed="false">
      <c r="A61" s="27" t="n">
        <v>10152</v>
      </c>
      <c r="B61" s="12" t="s">
        <v>80</v>
      </c>
      <c r="C61" s="28" t="n">
        <v>47</v>
      </c>
      <c r="D61" s="28" t="n">
        <v>47</v>
      </c>
      <c r="E61" s="14" t="n">
        <v>0</v>
      </c>
      <c r="F61" s="14" t="n">
        <v>3758.33</v>
      </c>
      <c r="G61" s="14" t="n">
        <v>3758.33</v>
      </c>
      <c r="H61" s="14" t="n">
        <v>1227.5996</v>
      </c>
      <c r="I61" s="14" t="n">
        <v>2530.73</v>
      </c>
      <c r="J61" s="14" t="n">
        <v>1490.6</v>
      </c>
      <c r="K61" s="15" t="n">
        <v>0.6734</v>
      </c>
      <c r="L61" s="15" t="n">
        <v>0.3966</v>
      </c>
      <c r="M61" s="29" t="n">
        <v>43.57</v>
      </c>
    </row>
    <row r="62" customFormat="false" ht="15" hidden="false" customHeight="false" outlineLevel="0" collapsed="false">
      <c r="A62" s="24" t="n">
        <v>10154</v>
      </c>
      <c r="B62" s="8" t="s">
        <v>81</v>
      </c>
      <c r="C62" s="25" t="n">
        <v>21</v>
      </c>
      <c r="D62" s="25" t="n">
        <v>21</v>
      </c>
      <c r="E62" s="10" t="n">
        <v>0</v>
      </c>
      <c r="F62" s="10" t="n">
        <v>4891.45</v>
      </c>
      <c r="G62" s="10" t="n">
        <v>4891.45</v>
      </c>
      <c r="H62" s="10" t="n">
        <v>2181.9704</v>
      </c>
      <c r="I62" s="10" t="n">
        <v>2709.48</v>
      </c>
      <c r="J62" s="10" t="n">
        <v>1437.97</v>
      </c>
      <c r="K62" s="11" t="n">
        <v>0.5539</v>
      </c>
      <c r="L62" s="11" t="n">
        <v>0.294</v>
      </c>
      <c r="M62" s="26" t="n">
        <v>43.88</v>
      </c>
    </row>
    <row r="63" customFormat="false" ht="15" hidden="false" customHeight="false" outlineLevel="0" collapsed="false">
      <c r="A63" s="27" t="n">
        <v>10163</v>
      </c>
      <c r="B63" s="12" t="s">
        <v>40</v>
      </c>
      <c r="C63" s="28" t="n">
        <v>15</v>
      </c>
      <c r="D63" s="28" t="n">
        <v>15</v>
      </c>
      <c r="E63" s="14" t="n">
        <v>0</v>
      </c>
      <c r="F63" s="14" t="n">
        <v>2872.8</v>
      </c>
      <c r="G63" s="14" t="n">
        <v>2872.8</v>
      </c>
      <c r="H63" s="14" t="n">
        <v>1063.0695</v>
      </c>
      <c r="I63" s="14" t="n">
        <v>1809.73</v>
      </c>
      <c r="J63" s="14" t="n">
        <v>1457.52</v>
      </c>
      <c r="K63" s="15" t="n">
        <v>0.63</v>
      </c>
      <c r="L63" s="15" t="n">
        <v>0.5074</v>
      </c>
      <c r="M63" s="29" t="n">
        <v>28</v>
      </c>
    </row>
    <row r="64" customFormat="false" ht="15" hidden="false" customHeight="false" outlineLevel="0" collapsed="false">
      <c r="A64" s="24" t="n">
        <v>10164</v>
      </c>
      <c r="B64" s="8" t="s">
        <v>83</v>
      </c>
      <c r="C64" s="25" t="n">
        <v>129</v>
      </c>
      <c r="D64" s="25" t="n">
        <v>129</v>
      </c>
      <c r="E64" s="10" t="n">
        <v>0</v>
      </c>
      <c r="F64" s="10" t="n">
        <v>40163.68</v>
      </c>
      <c r="G64" s="10" t="n">
        <v>40163.68</v>
      </c>
      <c r="H64" s="10" t="n">
        <v>11741.8513</v>
      </c>
      <c r="I64" s="10" t="n">
        <v>28421.83</v>
      </c>
      <c r="J64" s="10" t="n">
        <v>18497.7</v>
      </c>
      <c r="K64" s="11" t="n">
        <v>0.7077</v>
      </c>
      <c r="L64" s="11" t="n">
        <v>0.4606</v>
      </c>
      <c r="M64" s="26" t="n">
        <v>47.56</v>
      </c>
    </row>
    <row r="65" customFormat="false" ht="15" hidden="false" customHeight="false" outlineLevel="0" collapsed="false">
      <c r="A65" s="27" t="n">
        <v>10165</v>
      </c>
      <c r="B65" s="12" t="s">
        <v>257</v>
      </c>
      <c r="C65" s="28" t="n">
        <v>4</v>
      </c>
      <c r="D65" s="28" t="n">
        <v>4</v>
      </c>
      <c r="E65" s="14" t="n">
        <v>0</v>
      </c>
      <c r="F65" s="14" t="n">
        <v>841.64</v>
      </c>
      <c r="G65" s="14" t="n">
        <v>841.64</v>
      </c>
      <c r="H65" s="14" t="n">
        <v>333.52</v>
      </c>
      <c r="I65" s="14" t="n">
        <v>508.12</v>
      </c>
      <c r="J65" s="14" t="n">
        <v>317.45</v>
      </c>
      <c r="K65" s="15" t="n">
        <v>0.6037</v>
      </c>
      <c r="L65" s="15" t="n">
        <v>0.3772</v>
      </c>
      <c r="M65" s="29" t="n">
        <v>60</v>
      </c>
    </row>
    <row r="66" customFormat="false" ht="15" hidden="false" customHeight="false" outlineLevel="0" collapsed="false">
      <c r="A66" s="24" t="n">
        <v>10170</v>
      </c>
      <c r="B66" s="8" t="s">
        <v>84</v>
      </c>
      <c r="C66" s="25" t="n">
        <v>120</v>
      </c>
      <c r="D66" s="25" t="n">
        <v>120</v>
      </c>
      <c r="E66" s="10" t="n">
        <v>0</v>
      </c>
      <c r="F66" s="10" t="n">
        <v>2016</v>
      </c>
      <c r="G66" s="10" t="n">
        <v>2016</v>
      </c>
      <c r="H66" s="10" t="n">
        <v>1005.18</v>
      </c>
      <c r="I66" s="10" t="n">
        <v>1010.82</v>
      </c>
      <c r="J66" s="10" t="n">
        <v>456.99</v>
      </c>
      <c r="K66" s="11" t="n">
        <v>0.5014</v>
      </c>
      <c r="L66" s="11" t="n">
        <v>0.2267</v>
      </c>
      <c r="M66" s="26" t="n">
        <v>50</v>
      </c>
    </row>
    <row r="67" customFormat="false" ht="15" hidden="false" customHeight="false" outlineLevel="0" collapsed="false">
      <c r="A67" s="27" t="n">
        <v>10176</v>
      </c>
      <c r="B67" s="12" t="s">
        <v>75</v>
      </c>
      <c r="C67" s="28" t="n">
        <v>214</v>
      </c>
      <c r="D67" s="28" t="n">
        <v>214</v>
      </c>
      <c r="E67" s="14" t="n">
        <v>0</v>
      </c>
      <c r="F67" s="14" t="n">
        <v>68206.15</v>
      </c>
      <c r="G67" s="14" t="n">
        <v>68206.15</v>
      </c>
      <c r="H67" s="14" t="n">
        <v>19254.011</v>
      </c>
      <c r="I67" s="14" t="n">
        <v>48952.14</v>
      </c>
      <c r="J67" s="14" t="n">
        <v>33184.02</v>
      </c>
      <c r="K67" s="15" t="n">
        <v>0.7177</v>
      </c>
      <c r="L67" s="15" t="n">
        <v>0.4865</v>
      </c>
      <c r="M67" s="29" t="n">
        <v>53.1</v>
      </c>
    </row>
    <row r="68" customFormat="false" ht="15" hidden="false" customHeight="false" outlineLevel="0" collapsed="false">
      <c r="A68" s="24" t="n">
        <v>10178</v>
      </c>
      <c r="B68" s="8" t="s">
        <v>85</v>
      </c>
      <c r="C68" s="25" t="n">
        <v>158</v>
      </c>
      <c r="D68" s="25" t="n">
        <v>158</v>
      </c>
      <c r="E68" s="10" t="n">
        <v>0</v>
      </c>
      <c r="F68" s="10" t="n">
        <v>10403.9</v>
      </c>
      <c r="G68" s="10" t="n">
        <v>10403.9</v>
      </c>
      <c r="H68" s="10" t="n">
        <v>1383.8601</v>
      </c>
      <c r="I68" s="10" t="n">
        <v>9020.04</v>
      </c>
      <c r="J68" s="10" t="n">
        <v>7167.57</v>
      </c>
      <c r="K68" s="11" t="n">
        <v>0.867</v>
      </c>
      <c r="L68" s="11" t="n">
        <v>0.6889</v>
      </c>
      <c r="M68" s="26" t="n">
        <v>59.88</v>
      </c>
    </row>
    <row r="69" customFormat="false" ht="15" hidden="false" customHeight="false" outlineLevel="0" collapsed="false">
      <c r="A69" s="27" t="n">
        <v>10180</v>
      </c>
      <c r="B69" s="12" t="s">
        <v>86</v>
      </c>
      <c r="C69" s="28" t="n">
        <v>83</v>
      </c>
      <c r="D69" s="28" t="n">
        <v>83</v>
      </c>
      <c r="E69" s="14" t="n">
        <v>0</v>
      </c>
      <c r="F69" s="14" t="n">
        <v>4500.13</v>
      </c>
      <c r="G69" s="14" t="n">
        <v>4500.13</v>
      </c>
      <c r="H69" s="14" t="n">
        <v>2849.662</v>
      </c>
      <c r="I69" s="14" t="n">
        <v>1650.47</v>
      </c>
      <c r="J69" s="14" t="n">
        <v>403.3</v>
      </c>
      <c r="K69" s="15" t="n">
        <v>0.3668</v>
      </c>
      <c r="L69" s="15" t="n">
        <v>0.0896</v>
      </c>
      <c r="M69" s="29" t="n">
        <v>47.61</v>
      </c>
    </row>
    <row r="70" customFormat="false" ht="15" hidden="false" customHeight="false" outlineLevel="0" collapsed="false">
      <c r="A70" s="24" t="n">
        <v>10182</v>
      </c>
      <c r="B70" s="8" t="s">
        <v>87</v>
      </c>
      <c r="C70" s="25" t="n">
        <v>4</v>
      </c>
      <c r="D70" s="25" t="n">
        <v>4</v>
      </c>
      <c r="E70" s="10" t="n">
        <v>0</v>
      </c>
      <c r="F70" s="10" t="n">
        <v>893.61</v>
      </c>
      <c r="G70" s="10" t="n">
        <v>893.61</v>
      </c>
      <c r="H70" s="10" t="n">
        <v>288.6099</v>
      </c>
      <c r="I70" s="10" t="n">
        <v>605</v>
      </c>
      <c r="J70" s="10" t="n">
        <v>358.68</v>
      </c>
      <c r="K70" s="11" t="n">
        <v>0.677</v>
      </c>
      <c r="L70" s="11" t="n">
        <v>0.4014</v>
      </c>
      <c r="M70" s="26" t="n">
        <v>54.08</v>
      </c>
    </row>
    <row r="71" customFormat="false" ht="15" hidden="false" customHeight="false" outlineLevel="0" collapsed="false">
      <c r="A71" s="27" t="n">
        <v>10188</v>
      </c>
      <c r="B71" s="12" t="s">
        <v>88</v>
      </c>
      <c r="C71" s="28" t="n">
        <v>80</v>
      </c>
      <c r="D71" s="28" t="n">
        <v>80</v>
      </c>
      <c r="E71" s="14" t="n">
        <v>0</v>
      </c>
      <c r="F71" s="14" t="n">
        <v>328</v>
      </c>
      <c r="G71" s="14" t="n">
        <v>328</v>
      </c>
      <c r="H71" s="14" t="n">
        <v>111.92</v>
      </c>
      <c r="I71" s="14" t="n">
        <v>216.08</v>
      </c>
      <c r="J71" s="14" t="n">
        <v>124.52</v>
      </c>
      <c r="K71" s="15" t="n">
        <v>0.6588</v>
      </c>
      <c r="L71" s="15" t="n">
        <v>0.3796</v>
      </c>
      <c r="M71" s="29" t="n">
        <v>45</v>
      </c>
    </row>
    <row r="72" customFormat="false" ht="15" hidden="false" customHeight="false" outlineLevel="0" collapsed="false">
      <c r="A72" s="24" t="n">
        <v>10189</v>
      </c>
      <c r="B72" s="8" t="s">
        <v>89</v>
      </c>
      <c r="C72" s="25" t="n">
        <v>78</v>
      </c>
      <c r="D72" s="25" t="n">
        <v>78</v>
      </c>
      <c r="E72" s="10" t="n">
        <v>0</v>
      </c>
      <c r="F72" s="10" t="n">
        <v>319.8</v>
      </c>
      <c r="G72" s="10" t="n">
        <v>319.8</v>
      </c>
      <c r="H72" s="10" t="n">
        <v>109.1904</v>
      </c>
      <c r="I72" s="10" t="n">
        <v>210.61</v>
      </c>
      <c r="J72" s="10" t="n">
        <v>121.41</v>
      </c>
      <c r="K72" s="11" t="n">
        <v>0.6586</v>
      </c>
      <c r="L72" s="11" t="n">
        <v>0.3796</v>
      </c>
      <c r="M72" s="26" t="n">
        <v>45.77</v>
      </c>
    </row>
    <row r="73" customFormat="false" ht="15" hidden="false" customHeight="false" outlineLevel="0" collapsed="false">
      <c r="A73" s="27" t="n">
        <v>10191</v>
      </c>
      <c r="B73" s="12" t="s">
        <v>90</v>
      </c>
      <c r="C73" s="28" t="n">
        <v>40</v>
      </c>
      <c r="D73" s="28" t="n">
        <v>40</v>
      </c>
      <c r="E73" s="14" t="n">
        <v>0</v>
      </c>
      <c r="F73" s="14" t="n">
        <v>725.6</v>
      </c>
      <c r="G73" s="14" t="n">
        <v>725.6</v>
      </c>
      <c r="H73" s="14" t="n">
        <v>170.98</v>
      </c>
      <c r="I73" s="14" t="n">
        <v>554.62</v>
      </c>
      <c r="J73" s="14" t="n">
        <v>352.1</v>
      </c>
      <c r="K73" s="15" t="n">
        <v>0.7644</v>
      </c>
      <c r="L73" s="15" t="n">
        <v>0.4853</v>
      </c>
      <c r="M73" s="29" t="n">
        <v>45</v>
      </c>
    </row>
    <row r="74" customFormat="false" ht="15" hidden="false" customHeight="false" outlineLevel="0" collapsed="false">
      <c r="A74" s="24" t="n">
        <v>10193</v>
      </c>
      <c r="B74" s="8" t="s">
        <v>91</v>
      </c>
      <c r="C74" s="25" t="n">
        <v>60</v>
      </c>
      <c r="D74" s="25" t="n">
        <v>60</v>
      </c>
      <c r="E74" s="10" t="n">
        <v>0</v>
      </c>
      <c r="F74" s="10" t="n">
        <v>5220</v>
      </c>
      <c r="G74" s="10" t="n">
        <v>5220</v>
      </c>
      <c r="H74" s="10" t="n">
        <v>1668.459</v>
      </c>
      <c r="I74" s="10" t="n">
        <v>3551.54</v>
      </c>
      <c r="J74" s="10" t="n">
        <v>2094.64</v>
      </c>
      <c r="K74" s="11" t="n">
        <v>0.6804</v>
      </c>
      <c r="L74" s="11" t="n">
        <v>0.4013</v>
      </c>
      <c r="M74" s="26" t="n">
        <v>45</v>
      </c>
    </row>
    <row r="75" customFormat="false" ht="15" hidden="false" customHeight="false" outlineLevel="0" collapsed="false">
      <c r="A75" s="27" t="n">
        <v>10196</v>
      </c>
      <c r="B75" s="12" t="s">
        <v>63</v>
      </c>
      <c r="C75" s="28" t="n">
        <v>1</v>
      </c>
      <c r="D75" s="28" t="n">
        <v>1</v>
      </c>
      <c r="E75" s="14" t="n">
        <v>98.56</v>
      </c>
      <c r="F75" s="14" t="n">
        <v>0</v>
      </c>
      <c r="G75" s="14" t="n">
        <v>98.56</v>
      </c>
      <c r="H75" s="14" t="n">
        <v>27.67</v>
      </c>
      <c r="I75" s="14" t="n">
        <v>70.89</v>
      </c>
      <c r="J75" s="14" t="n">
        <v>36.69</v>
      </c>
      <c r="K75" s="15" t="n">
        <v>0.7193</v>
      </c>
      <c r="L75" s="15" t="n">
        <v>0.3723</v>
      </c>
      <c r="M75" s="29" t="n">
        <v>7</v>
      </c>
    </row>
    <row r="76" customFormat="false" ht="15" hidden="false" customHeight="false" outlineLevel="0" collapsed="false">
      <c r="A76" s="24" t="n">
        <v>10197</v>
      </c>
      <c r="B76" s="8" t="s">
        <v>92</v>
      </c>
      <c r="C76" s="25" t="n">
        <v>15</v>
      </c>
      <c r="D76" s="25" t="n">
        <v>15</v>
      </c>
      <c r="E76" s="10" t="n">
        <v>0</v>
      </c>
      <c r="F76" s="10" t="n">
        <v>7160.4</v>
      </c>
      <c r="G76" s="10" t="n">
        <v>7160.4</v>
      </c>
      <c r="H76" s="10" t="n">
        <v>3423.5097</v>
      </c>
      <c r="I76" s="10" t="n">
        <v>3736.89</v>
      </c>
      <c r="J76" s="10" t="n">
        <v>1999.77</v>
      </c>
      <c r="K76" s="11" t="n">
        <v>0.5219</v>
      </c>
      <c r="L76" s="11" t="n">
        <v>0.2793</v>
      </c>
      <c r="M76" s="26" t="n">
        <v>35.2</v>
      </c>
    </row>
    <row r="77" customFormat="false" ht="15" hidden="false" customHeight="false" outlineLevel="0" collapsed="false">
      <c r="A77" s="27" t="n">
        <v>10199</v>
      </c>
      <c r="B77" s="12" t="s">
        <v>93</v>
      </c>
      <c r="C77" s="28" t="n">
        <v>4</v>
      </c>
      <c r="D77" s="28" t="n">
        <v>4</v>
      </c>
      <c r="E77" s="14" t="n">
        <v>0</v>
      </c>
      <c r="F77" s="14" t="n">
        <v>1202.8</v>
      </c>
      <c r="G77" s="14" t="n">
        <v>1202.8</v>
      </c>
      <c r="H77" s="14" t="n">
        <v>265.68</v>
      </c>
      <c r="I77" s="14" t="n">
        <v>937.12</v>
      </c>
      <c r="J77" s="14" t="n">
        <v>606.69</v>
      </c>
      <c r="K77" s="15" t="n">
        <v>0.7791</v>
      </c>
      <c r="L77" s="15" t="n">
        <v>0.5044</v>
      </c>
      <c r="M77" s="29" t="n">
        <v>60</v>
      </c>
    </row>
    <row r="78" customFormat="false" ht="15" hidden="false" customHeight="false" outlineLevel="0" collapsed="false">
      <c r="A78" s="24" t="n">
        <v>10200</v>
      </c>
      <c r="B78" s="8" t="s">
        <v>94</v>
      </c>
      <c r="C78" s="25" t="n">
        <v>30</v>
      </c>
      <c r="D78" s="25" t="n">
        <v>30</v>
      </c>
      <c r="E78" s="10" t="n">
        <v>0</v>
      </c>
      <c r="F78" s="10" t="n">
        <v>703.2</v>
      </c>
      <c r="G78" s="10" t="n">
        <v>703.2</v>
      </c>
      <c r="H78" s="10" t="n">
        <v>225.4899</v>
      </c>
      <c r="I78" s="10" t="n">
        <v>477.71</v>
      </c>
      <c r="J78" s="10" t="n">
        <v>284.54</v>
      </c>
      <c r="K78" s="11" t="n">
        <v>0.6793</v>
      </c>
      <c r="L78" s="11" t="n">
        <v>0.4046</v>
      </c>
      <c r="M78" s="26" t="n">
        <v>50</v>
      </c>
    </row>
    <row r="79" customFormat="false" ht="15" hidden="false" customHeight="false" outlineLevel="0" collapsed="false">
      <c r="A79" s="27" t="n">
        <v>10201</v>
      </c>
      <c r="B79" s="12" t="s">
        <v>79</v>
      </c>
      <c r="C79" s="28" t="n">
        <v>11</v>
      </c>
      <c r="D79" s="28" t="n">
        <v>11</v>
      </c>
      <c r="E79" s="14" t="n">
        <v>0</v>
      </c>
      <c r="F79" s="14" t="n">
        <v>3661.53</v>
      </c>
      <c r="G79" s="14" t="n">
        <v>3661.53</v>
      </c>
      <c r="H79" s="14" t="n">
        <v>809.5001</v>
      </c>
      <c r="I79" s="14" t="n">
        <v>2852.03</v>
      </c>
      <c r="J79" s="14" t="n">
        <v>2004.92</v>
      </c>
      <c r="K79" s="15" t="n">
        <v>0.7789</v>
      </c>
      <c r="L79" s="15" t="n">
        <v>0.5476</v>
      </c>
      <c r="M79" s="29" t="n">
        <v>35.27</v>
      </c>
    </row>
    <row r="80" customFormat="false" ht="15" hidden="false" customHeight="false" outlineLevel="0" collapsed="false">
      <c r="A80" s="24" t="n">
        <v>10202</v>
      </c>
      <c r="B80" s="8" t="s">
        <v>95</v>
      </c>
      <c r="C80" s="25" t="n">
        <v>605</v>
      </c>
      <c r="D80" s="25" t="n">
        <v>605</v>
      </c>
      <c r="E80" s="10" t="n">
        <v>0</v>
      </c>
      <c r="F80" s="10" t="n">
        <v>36323.9</v>
      </c>
      <c r="G80" s="10" t="n">
        <v>36323.9</v>
      </c>
      <c r="H80" s="10" t="n">
        <v>19667.166</v>
      </c>
      <c r="I80" s="10" t="n">
        <v>16656.74</v>
      </c>
      <c r="J80" s="10" t="n">
        <v>7780.41</v>
      </c>
      <c r="K80" s="11" t="n">
        <v>0.4586</v>
      </c>
      <c r="L80" s="11" t="n">
        <v>0.2142</v>
      </c>
      <c r="M80" s="26" t="n">
        <v>52.69</v>
      </c>
    </row>
    <row r="81" customFormat="false" ht="15" hidden="false" customHeight="false" outlineLevel="0" collapsed="false">
      <c r="A81" s="27" t="n">
        <v>10206</v>
      </c>
      <c r="B81" s="12" t="s">
        <v>97</v>
      </c>
      <c r="C81" s="28" t="n">
        <v>50</v>
      </c>
      <c r="D81" s="28" t="n">
        <v>50</v>
      </c>
      <c r="E81" s="14" t="n">
        <v>0</v>
      </c>
      <c r="F81" s="14" t="n">
        <v>1822</v>
      </c>
      <c r="G81" s="14" t="n">
        <v>1822</v>
      </c>
      <c r="H81" s="14" t="n">
        <v>526.6097</v>
      </c>
      <c r="I81" s="14" t="n">
        <v>1295.39</v>
      </c>
      <c r="J81" s="14" t="n">
        <v>794.84</v>
      </c>
      <c r="K81" s="15" t="n">
        <v>0.711</v>
      </c>
      <c r="L81" s="15" t="n">
        <v>0.4362</v>
      </c>
      <c r="M81" s="29" t="n">
        <v>34.58</v>
      </c>
    </row>
    <row r="82" customFormat="false" ht="15" hidden="false" customHeight="false" outlineLevel="0" collapsed="false">
      <c r="A82" s="24" t="n">
        <v>10208</v>
      </c>
      <c r="B82" s="8" t="s">
        <v>40</v>
      </c>
      <c r="C82" s="25" t="n">
        <v>56</v>
      </c>
      <c r="D82" s="25" t="n">
        <v>56</v>
      </c>
      <c r="E82" s="10" t="n">
        <v>0</v>
      </c>
      <c r="F82" s="10" t="n">
        <v>15855.96</v>
      </c>
      <c r="G82" s="10" t="n">
        <v>15855.96</v>
      </c>
      <c r="H82" s="10" t="n">
        <v>3849.15</v>
      </c>
      <c r="I82" s="10" t="n">
        <v>12006.81</v>
      </c>
      <c r="J82" s="10" t="n">
        <v>7702.15</v>
      </c>
      <c r="K82" s="11" t="n">
        <v>0.7572</v>
      </c>
      <c r="L82" s="11" t="n">
        <v>0.4858</v>
      </c>
      <c r="M82" s="26" t="n">
        <v>33.38</v>
      </c>
    </row>
    <row r="83" customFormat="false" ht="15" hidden="false" customHeight="false" outlineLevel="0" collapsed="false">
      <c r="A83" s="27" t="n">
        <v>10211</v>
      </c>
      <c r="B83" s="12" t="s">
        <v>258</v>
      </c>
      <c r="C83" s="28" t="n">
        <v>2</v>
      </c>
      <c r="D83" s="28" t="n">
        <v>2</v>
      </c>
      <c r="E83" s="14" t="n">
        <v>96.38</v>
      </c>
      <c r="F83" s="14" t="n">
        <v>0</v>
      </c>
      <c r="G83" s="14" t="n">
        <v>96.38</v>
      </c>
      <c r="H83" s="14" t="n">
        <v>23.14</v>
      </c>
      <c r="I83" s="14" t="n">
        <v>73.24</v>
      </c>
      <c r="J83" s="14" t="n">
        <v>46.77</v>
      </c>
      <c r="K83" s="15" t="n">
        <v>0.7599</v>
      </c>
      <c r="L83" s="15" t="n">
        <v>0.4853</v>
      </c>
      <c r="M83" s="29" t="n">
        <v>7</v>
      </c>
    </row>
    <row r="84" customFormat="false" ht="15" hidden="false" customHeight="false" outlineLevel="0" collapsed="false">
      <c r="A84" s="24" t="n">
        <v>10212</v>
      </c>
      <c r="B84" s="8" t="s">
        <v>74</v>
      </c>
      <c r="C84" s="25" t="n">
        <v>120</v>
      </c>
      <c r="D84" s="25" t="n">
        <v>120</v>
      </c>
      <c r="E84" s="10" t="n">
        <v>0</v>
      </c>
      <c r="F84" s="10" t="n">
        <v>21250.8</v>
      </c>
      <c r="G84" s="10" t="n">
        <v>21250.8</v>
      </c>
      <c r="H84" s="10" t="n">
        <v>11534.081</v>
      </c>
      <c r="I84" s="10" t="n">
        <v>9716.72</v>
      </c>
      <c r="J84" s="10" t="n">
        <v>3878.69</v>
      </c>
      <c r="K84" s="11" t="n">
        <v>0.4572</v>
      </c>
      <c r="L84" s="11" t="n">
        <v>0.1825</v>
      </c>
      <c r="M84" s="26" t="n">
        <v>31.5</v>
      </c>
    </row>
    <row r="85" customFormat="false" ht="15" hidden="false" customHeight="false" outlineLevel="0" collapsed="false">
      <c r="A85" s="27" t="n">
        <v>10213</v>
      </c>
      <c r="B85" s="12" t="s">
        <v>259</v>
      </c>
      <c r="C85" s="28" t="n">
        <v>1</v>
      </c>
      <c r="D85" s="28" t="n">
        <v>1</v>
      </c>
      <c r="E85" s="14" t="n">
        <v>192.44</v>
      </c>
      <c r="F85" s="14" t="n">
        <v>0</v>
      </c>
      <c r="G85" s="14" t="n">
        <v>192.44</v>
      </c>
      <c r="H85" s="14" t="n">
        <v>99.04</v>
      </c>
      <c r="I85" s="14" t="n">
        <v>93.4</v>
      </c>
      <c r="J85" s="14" t="n">
        <v>40.53</v>
      </c>
      <c r="K85" s="15" t="n">
        <v>0.4853</v>
      </c>
      <c r="L85" s="15" t="n">
        <v>0.2106</v>
      </c>
      <c r="M85" s="29" t="n">
        <v>7</v>
      </c>
    </row>
    <row r="86" customFormat="false" ht="15" hidden="false" customHeight="false" outlineLevel="0" collapsed="false">
      <c r="A86" s="24" t="n">
        <v>10215</v>
      </c>
      <c r="B86" s="8" t="s">
        <v>87</v>
      </c>
      <c r="C86" s="25" t="n">
        <v>4</v>
      </c>
      <c r="D86" s="25" t="n">
        <v>4</v>
      </c>
      <c r="E86" s="10" t="n">
        <v>0</v>
      </c>
      <c r="F86" s="10" t="n">
        <v>847.7</v>
      </c>
      <c r="G86" s="10" t="n">
        <v>847.7</v>
      </c>
      <c r="H86" s="10" t="n">
        <v>186.94</v>
      </c>
      <c r="I86" s="10" t="n">
        <v>660.76</v>
      </c>
      <c r="J86" s="10" t="n">
        <v>426.22</v>
      </c>
      <c r="K86" s="11" t="n">
        <v>0.7795</v>
      </c>
      <c r="L86" s="11" t="n">
        <v>0.5028</v>
      </c>
      <c r="M86" s="26" t="n">
        <v>31.88</v>
      </c>
    </row>
    <row r="87" customFormat="false" ht="15" hidden="false" customHeight="false" outlineLevel="0" collapsed="false">
      <c r="A87" s="27" t="n">
        <v>10223</v>
      </c>
      <c r="B87" s="12" t="s">
        <v>260</v>
      </c>
      <c r="C87" s="28" t="n">
        <v>125</v>
      </c>
      <c r="D87" s="28" t="n">
        <v>125</v>
      </c>
      <c r="E87" s="14" t="n">
        <v>0</v>
      </c>
      <c r="F87" s="14" t="n">
        <v>10631.25</v>
      </c>
      <c r="G87" s="14" t="n">
        <v>10631.25</v>
      </c>
      <c r="H87" s="14" t="n">
        <v>7265.916</v>
      </c>
      <c r="I87" s="14" t="n">
        <v>3365.33</v>
      </c>
      <c r="J87" s="14" t="n">
        <v>398.15</v>
      </c>
      <c r="K87" s="15" t="n">
        <v>0.3166</v>
      </c>
      <c r="L87" s="15" t="n">
        <v>0.0375</v>
      </c>
      <c r="M87" s="29" t="n">
        <v>50</v>
      </c>
    </row>
    <row r="88" customFormat="false" ht="15" hidden="false" customHeight="false" outlineLevel="0" collapsed="false">
      <c r="A88" s="24" t="n">
        <v>10229</v>
      </c>
      <c r="B88" s="8" t="s">
        <v>100</v>
      </c>
      <c r="C88" s="25" t="n">
        <v>31</v>
      </c>
      <c r="D88" s="25" t="n">
        <v>31</v>
      </c>
      <c r="E88" s="10" t="n">
        <v>0</v>
      </c>
      <c r="F88" s="10" t="n">
        <v>5858.07</v>
      </c>
      <c r="G88" s="10" t="n">
        <v>5858.07</v>
      </c>
      <c r="H88" s="10" t="n">
        <v>910.0903</v>
      </c>
      <c r="I88" s="10" t="n">
        <v>4947.98</v>
      </c>
      <c r="J88" s="10" t="n">
        <v>3313</v>
      </c>
      <c r="K88" s="11" t="n">
        <v>0.8446</v>
      </c>
      <c r="L88" s="11" t="n">
        <v>0.5655</v>
      </c>
      <c r="M88" s="26" t="n">
        <v>31</v>
      </c>
    </row>
    <row r="89" customFormat="false" ht="15" hidden="false" customHeight="false" outlineLevel="0" collapsed="false">
      <c r="A89" s="27" t="n">
        <v>10230</v>
      </c>
      <c r="B89" s="12" t="s">
        <v>101</v>
      </c>
      <c r="C89" s="28" t="n">
        <v>19</v>
      </c>
      <c r="D89" s="28" t="n">
        <v>19</v>
      </c>
      <c r="E89" s="14" t="n">
        <v>0</v>
      </c>
      <c r="F89" s="14" t="n">
        <v>4213.68</v>
      </c>
      <c r="G89" s="14" t="n">
        <v>4213.68</v>
      </c>
      <c r="H89" s="14" t="n">
        <v>1109.7201</v>
      </c>
      <c r="I89" s="14" t="n">
        <v>3103.96</v>
      </c>
      <c r="J89" s="14" t="n">
        <v>1946.39</v>
      </c>
      <c r="K89" s="15" t="n">
        <v>0.7366</v>
      </c>
      <c r="L89" s="15" t="n">
        <v>0.4619</v>
      </c>
      <c r="M89" s="29" t="n">
        <v>31.88</v>
      </c>
    </row>
    <row r="90" customFormat="false" ht="15" hidden="false" customHeight="false" outlineLevel="0" collapsed="false">
      <c r="A90" s="24" t="n">
        <v>10240</v>
      </c>
      <c r="B90" s="8" t="s">
        <v>102</v>
      </c>
      <c r="C90" s="25" t="n">
        <v>200</v>
      </c>
      <c r="D90" s="25" t="n">
        <v>200</v>
      </c>
      <c r="E90" s="10" t="n">
        <v>0</v>
      </c>
      <c r="F90" s="10" t="n">
        <v>8104</v>
      </c>
      <c r="G90" s="10" t="n">
        <v>8104</v>
      </c>
      <c r="H90" s="10" t="n">
        <v>2093.42</v>
      </c>
      <c r="I90" s="10" t="n">
        <v>6010.58</v>
      </c>
      <c r="J90" s="10" t="n">
        <v>3784.25</v>
      </c>
      <c r="K90" s="11" t="n">
        <v>0.7417</v>
      </c>
      <c r="L90" s="11" t="n">
        <v>0.467</v>
      </c>
      <c r="M90" s="26" t="n">
        <v>50</v>
      </c>
    </row>
    <row r="91" customFormat="false" ht="15" hidden="false" customHeight="false" outlineLevel="0" collapsed="false">
      <c r="A91" s="27" t="n">
        <v>10244</v>
      </c>
      <c r="B91" s="12" t="s">
        <v>103</v>
      </c>
      <c r="C91" s="28" t="n">
        <v>10</v>
      </c>
      <c r="D91" s="28" t="n">
        <v>10</v>
      </c>
      <c r="E91" s="14" t="n">
        <v>0</v>
      </c>
      <c r="F91" s="14" t="n">
        <v>1889.7</v>
      </c>
      <c r="G91" s="14" t="n">
        <v>1889.7</v>
      </c>
      <c r="H91" s="14" t="n">
        <v>293.58</v>
      </c>
      <c r="I91" s="14" t="n">
        <v>1596.12</v>
      </c>
      <c r="J91" s="14" t="n">
        <v>1068.71</v>
      </c>
      <c r="K91" s="15" t="n">
        <v>0.8446</v>
      </c>
      <c r="L91" s="15" t="n">
        <v>0.5655</v>
      </c>
      <c r="M91" s="29" t="n">
        <v>32</v>
      </c>
    </row>
    <row r="92" customFormat="false" ht="15" hidden="false" customHeight="false" outlineLevel="0" collapsed="false">
      <c r="A92" s="24" t="n">
        <v>10245</v>
      </c>
      <c r="B92" s="8" t="s">
        <v>261</v>
      </c>
      <c r="C92" s="25" t="n">
        <v>2</v>
      </c>
      <c r="D92" s="25" t="n">
        <v>2</v>
      </c>
      <c r="E92" s="10" t="n">
        <v>450.64</v>
      </c>
      <c r="F92" s="10" t="n">
        <v>0</v>
      </c>
      <c r="G92" s="10" t="n">
        <v>450.64</v>
      </c>
      <c r="H92" s="10" t="n">
        <v>139.54</v>
      </c>
      <c r="I92" s="10" t="n">
        <v>311.1</v>
      </c>
      <c r="J92" s="10" t="n">
        <v>187.3</v>
      </c>
      <c r="K92" s="11" t="n">
        <v>0.6904</v>
      </c>
      <c r="L92" s="11" t="n">
        <v>0.4156</v>
      </c>
      <c r="M92" s="26" t="n">
        <v>7</v>
      </c>
    </row>
    <row r="93" customFormat="false" ht="15" hidden="false" customHeight="false" outlineLevel="0" collapsed="false">
      <c r="A93" s="27" t="n">
        <v>10247</v>
      </c>
      <c r="B93" s="12" t="s">
        <v>104</v>
      </c>
      <c r="C93" s="28" t="n">
        <v>176</v>
      </c>
      <c r="D93" s="28" t="n">
        <v>176</v>
      </c>
      <c r="E93" s="14" t="n">
        <v>0</v>
      </c>
      <c r="F93" s="14" t="n">
        <v>29752.03</v>
      </c>
      <c r="G93" s="14" t="n">
        <v>29752.03</v>
      </c>
      <c r="H93" s="14" t="n">
        <v>12115.0797</v>
      </c>
      <c r="I93" s="14" t="n">
        <v>17636.95</v>
      </c>
      <c r="J93" s="14" t="n">
        <v>9492.79</v>
      </c>
      <c r="K93" s="15" t="n">
        <v>0.5928</v>
      </c>
      <c r="L93" s="15" t="n">
        <v>0.3191</v>
      </c>
      <c r="M93" s="29" t="n">
        <v>45.14</v>
      </c>
    </row>
    <row r="94" customFormat="false" ht="15" hidden="false" customHeight="false" outlineLevel="0" collapsed="false">
      <c r="A94" s="24" t="n">
        <v>10250</v>
      </c>
      <c r="B94" s="8" t="s">
        <v>105</v>
      </c>
      <c r="C94" s="25" t="n">
        <v>46</v>
      </c>
      <c r="D94" s="25" t="n">
        <v>46</v>
      </c>
      <c r="E94" s="10" t="n">
        <v>0</v>
      </c>
      <c r="F94" s="10" t="n">
        <v>9791.82</v>
      </c>
      <c r="G94" s="10" t="n">
        <v>9791.82</v>
      </c>
      <c r="H94" s="10" t="n">
        <v>3045.05</v>
      </c>
      <c r="I94" s="10" t="n">
        <v>6746.77</v>
      </c>
      <c r="J94" s="10" t="n">
        <v>4056.78</v>
      </c>
      <c r="K94" s="11" t="n">
        <v>0.689</v>
      </c>
      <c r="L94" s="11" t="n">
        <v>0.4143</v>
      </c>
      <c r="M94" s="26" t="n">
        <v>41.05</v>
      </c>
    </row>
    <row r="95" customFormat="false" ht="15" hidden="false" customHeight="false" outlineLevel="0" collapsed="false">
      <c r="A95" s="27" t="n">
        <v>10251</v>
      </c>
      <c r="B95" s="12" t="s">
        <v>106</v>
      </c>
      <c r="C95" s="28" t="n">
        <v>2</v>
      </c>
      <c r="D95" s="28" t="n">
        <v>2</v>
      </c>
      <c r="E95" s="14" t="n">
        <v>0</v>
      </c>
      <c r="F95" s="14" t="n">
        <v>419.56</v>
      </c>
      <c r="G95" s="14" t="n">
        <v>419.56</v>
      </c>
      <c r="H95" s="14" t="n">
        <v>125.94</v>
      </c>
      <c r="I95" s="14" t="n">
        <v>293.62</v>
      </c>
      <c r="J95" s="14" t="n">
        <v>178.36</v>
      </c>
      <c r="K95" s="15" t="n">
        <v>0.6998</v>
      </c>
      <c r="L95" s="15" t="n">
        <v>0.4251</v>
      </c>
      <c r="M95" s="29" t="n">
        <v>30</v>
      </c>
    </row>
    <row r="96" customFormat="false" ht="15" hidden="false" customHeight="false" outlineLevel="0" collapsed="false">
      <c r="A96" s="24" t="n">
        <v>10252</v>
      </c>
      <c r="B96" s="8" t="s">
        <v>107</v>
      </c>
      <c r="C96" s="25" t="n">
        <v>11</v>
      </c>
      <c r="D96" s="25" t="n">
        <v>11</v>
      </c>
      <c r="E96" s="10" t="n">
        <v>0</v>
      </c>
      <c r="F96" s="10" t="n">
        <v>1497.39</v>
      </c>
      <c r="G96" s="10" t="n">
        <v>1497.39</v>
      </c>
      <c r="H96" s="10" t="n">
        <v>1013.6897</v>
      </c>
      <c r="I96" s="10" t="n">
        <v>483.7</v>
      </c>
      <c r="J96" s="10" t="n">
        <v>47.31</v>
      </c>
      <c r="K96" s="11" t="n">
        <v>0.323</v>
      </c>
      <c r="L96" s="11" t="n">
        <v>0.0316</v>
      </c>
      <c r="M96" s="26" t="n">
        <v>52.81</v>
      </c>
    </row>
    <row r="97" customFormat="false" ht="15" hidden="false" customHeight="false" outlineLevel="0" collapsed="false">
      <c r="A97" s="27" t="n">
        <v>10254</v>
      </c>
      <c r="B97" s="12" t="s">
        <v>108</v>
      </c>
      <c r="C97" s="28" t="n">
        <v>76</v>
      </c>
      <c r="D97" s="28" t="n">
        <v>76</v>
      </c>
      <c r="E97" s="14" t="n">
        <v>0</v>
      </c>
      <c r="F97" s="14" t="n">
        <v>15612.05</v>
      </c>
      <c r="G97" s="14" t="n">
        <v>15612.05</v>
      </c>
      <c r="H97" s="14" t="n">
        <v>5686.33</v>
      </c>
      <c r="I97" s="14" t="n">
        <v>9925.72</v>
      </c>
      <c r="J97" s="14" t="n">
        <v>6887.23</v>
      </c>
      <c r="K97" s="15" t="n">
        <v>0.6358</v>
      </c>
      <c r="L97" s="15" t="n">
        <v>0.4411</v>
      </c>
      <c r="M97" s="29" t="n">
        <v>58.93</v>
      </c>
    </row>
    <row r="98" customFormat="false" ht="15" hidden="false" customHeight="false" outlineLevel="0" collapsed="false">
      <c r="A98" s="24" t="n">
        <v>10255</v>
      </c>
      <c r="B98" s="8" t="s">
        <v>109</v>
      </c>
      <c r="C98" s="25" t="n">
        <v>62</v>
      </c>
      <c r="D98" s="25" t="n">
        <v>62</v>
      </c>
      <c r="E98" s="10" t="n">
        <v>0</v>
      </c>
      <c r="F98" s="10" t="n">
        <v>10984.56</v>
      </c>
      <c r="G98" s="10" t="n">
        <v>10984.56</v>
      </c>
      <c r="H98" s="10" t="n">
        <v>4146.7799</v>
      </c>
      <c r="I98" s="10" t="n">
        <v>6837.78</v>
      </c>
      <c r="J98" s="10" t="n">
        <v>3886.94</v>
      </c>
      <c r="K98" s="11" t="n">
        <v>0.6225</v>
      </c>
      <c r="L98" s="11" t="n">
        <v>0.3539</v>
      </c>
      <c r="M98" s="26" t="n">
        <v>55.34</v>
      </c>
    </row>
    <row r="99" customFormat="false" ht="15" hidden="false" customHeight="false" outlineLevel="0" collapsed="false">
      <c r="A99" s="27" t="n">
        <v>10256</v>
      </c>
      <c r="B99" s="12" t="s">
        <v>110</v>
      </c>
      <c r="C99" s="28" t="n">
        <v>30</v>
      </c>
      <c r="D99" s="28" t="n">
        <v>30</v>
      </c>
      <c r="E99" s="14" t="n">
        <v>0</v>
      </c>
      <c r="F99" s="14" t="n">
        <v>11001</v>
      </c>
      <c r="G99" s="14" t="n">
        <v>11001</v>
      </c>
      <c r="H99" s="14" t="n">
        <v>3733.9401</v>
      </c>
      <c r="I99" s="14" t="n">
        <v>7267.06</v>
      </c>
      <c r="J99" s="14" t="n">
        <v>4244.88</v>
      </c>
      <c r="K99" s="15" t="n">
        <v>0.6606</v>
      </c>
      <c r="L99" s="15" t="n">
        <v>0.3859</v>
      </c>
      <c r="M99" s="29" t="n">
        <v>50</v>
      </c>
    </row>
    <row r="100" customFormat="false" ht="15" hidden="false" customHeight="false" outlineLevel="0" collapsed="false">
      <c r="A100" s="24" t="n">
        <v>10257</v>
      </c>
      <c r="B100" s="8" t="s">
        <v>111</v>
      </c>
      <c r="C100" s="25" t="n">
        <v>23</v>
      </c>
      <c r="D100" s="25" t="n">
        <v>23</v>
      </c>
      <c r="E100" s="10" t="n">
        <v>0</v>
      </c>
      <c r="F100" s="10" t="n">
        <v>194362</v>
      </c>
      <c r="G100" s="10" t="n">
        <v>194362</v>
      </c>
      <c r="H100" s="10" t="n">
        <v>108051.01</v>
      </c>
      <c r="I100" s="10" t="n">
        <v>86310.99</v>
      </c>
      <c r="J100" s="10" t="n">
        <v>32915.86</v>
      </c>
      <c r="K100" s="11" t="n">
        <v>0.4441</v>
      </c>
      <c r="L100" s="11" t="n">
        <v>0.1694</v>
      </c>
      <c r="M100" s="26" t="n">
        <v>30.56</v>
      </c>
    </row>
    <row r="101" customFormat="false" ht="15" hidden="false" customHeight="false" outlineLevel="0" collapsed="false">
      <c r="A101" s="27" t="n">
        <v>10267</v>
      </c>
      <c r="B101" s="12" t="s">
        <v>112</v>
      </c>
      <c r="C101" s="28" t="n">
        <v>168</v>
      </c>
      <c r="D101" s="28" t="n">
        <v>168</v>
      </c>
      <c r="E101" s="14" t="n">
        <v>0</v>
      </c>
      <c r="F101" s="14" t="n">
        <v>18026.05</v>
      </c>
      <c r="G101" s="14" t="n">
        <v>18026.05</v>
      </c>
      <c r="H101" s="14" t="n">
        <v>4803.9505</v>
      </c>
      <c r="I101" s="14" t="n">
        <v>13222.1</v>
      </c>
      <c r="J101" s="14" t="n">
        <v>10668.19</v>
      </c>
      <c r="K101" s="15" t="n">
        <v>0.7335</v>
      </c>
      <c r="L101" s="15" t="n">
        <v>0.5918</v>
      </c>
      <c r="M101" s="29" t="n">
        <v>53.68</v>
      </c>
    </row>
    <row r="102" customFormat="false" ht="15" hidden="false" customHeight="false" outlineLevel="0" collapsed="false">
      <c r="A102" s="24" t="n">
        <v>10277</v>
      </c>
      <c r="B102" s="8" t="s">
        <v>113</v>
      </c>
      <c r="C102" s="25" t="n">
        <v>400</v>
      </c>
      <c r="D102" s="25" t="n">
        <v>400</v>
      </c>
      <c r="E102" s="10" t="n">
        <v>0</v>
      </c>
      <c r="F102" s="10" t="n">
        <v>4756</v>
      </c>
      <c r="G102" s="10" t="n">
        <v>4756</v>
      </c>
      <c r="H102" s="10" t="n">
        <v>4083.56</v>
      </c>
      <c r="I102" s="10" t="n">
        <v>672.44</v>
      </c>
      <c r="J102" s="10" t="n">
        <v>-634.12</v>
      </c>
      <c r="K102" s="11" t="n">
        <v>0.1414</v>
      </c>
      <c r="L102" s="11" t="n">
        <v>-0.1333</v>
      </c>
      <c r="M102" s="26" t="n">
        <v>50</v>
      </c>
    </row>
    <row r="103" customFormat="false" ht="15" hidden="false" customHeight="false" outlineLevel="0" collapsed="false">
      <c r="A103" s="27" t="n">
        <v>10282</v>
      </c>
      <c r="B103" s="12" t="s">
        <v>116</v>
      </c>
      <c r="C103" s="28" t="n">
        <v>22</v>
      </c>
      <c r="D103" s="28" t="n">
        <v>22</v>
      </c>
      <c r="E103" s="14" t="n">
        <v>0</v>
      </c>
      <c r="F103" s="14" t="n">
        <v>4129.32</v>
      </c>
      <c r="G103" s="14" t="n">
        <v>4129.32</v>
      </c>
      <c r="H103" s="14" t="n">
        <v>2900.7701</v>
      </c>
      <c r="I103" s="14" t="n">
        <v>1228.55</v>
      </c>
      <c r="J103" s="14" t="n">
        <v>106.93</v>
      </c>
      <c r="K103" s="15" t="n">
        <v>0.2975</v>
      </c>
      <c r="L103" s="15" t="n">
        <v>0.0259</v>
      </c>
      <c r="M103" s="29" t="n">
        <v>53.82</v>
      </c>
    </row>
    <row r="104" customFormat="false" ht="15" hidden="false" customHeight="false" outlineLevel="0" collapsed="false">
      <c r="A104" s="24" t="n">
        <v>10283</v>
      </c>
      <c r="B104" s="8" t="s">
        <v>117</v>
      </c>
      <c r="C104" s="25" t="n">
        <v>10</v>
      </c>
      <c r="D104" s="25" t="n">
        <v>10</v>
      </c>
      <c r="E104" s="10" t="n">
        <v>0</v>
      </c>
      <c r="F104" s="10" t="n">
        <v>3567.4</v>
      </c>
      <c r="G104" s="10" t="n">
        <v>3567.4</v>
      </c>
      <c r="H104" s="10" t="n">
        <v>2594.14</v>
      </c>
      <c r="I104" s="10" t="n">
        <v>973.26</v>
      </c>
      <c r="J104" s="10" t="n">
        <v>-6.78</v>
      </c>
      <c r="K104" s="11" t="n">
        <v>0.2728</v>
      </c>
      <c r="L104" s="11" t="n">
        <v>-0.0019</v>
      </c>
      <c r="M104" s="26" t="n">
        <v>60</v>
      </c>
    </row>
    <row r="105" customFormat="false" ht="15" hidden="false" customHeight="false" outlineLevel="0" collapsed="false">
      <c r="A105" s="27" t="n">
        <v>10286</v>
      </c>
      <c r="B105" s="12" t="s">
        <v>119</v>
      </c>
      <c r="C105" s="28" t="n">
        <v>27</v>
      </c>
      <c r="D105" s="28" t="n">
        <v>27</v>
      </c>
      <c r="E105" s="14" t="n">
        <v>0</v>
      </c>
      <c r="F105" s="14" t="n">
        <v>4597.29</v>
      </c>
      <c r="G105" s="14" t="n">
        <v>4597.29</v>
      </c>
      <c r="H105" s="14" t="n">
        <v>1571.5704</v>
      </c>
      <c r="I105" s="14" t="n">
        <v>3025.72</v>
      </c>
      <c r="J105" s="14" t="n">
        <v>1910.42</v>
      </c>
      <c r="K105" s="15" t="n">
        <v>0.6582</v>
      </c>
      <c r="L105" s="15" t="n">
        <v>0.4156</v>
      </c>
      <c r="M105" s="29" t="n">
        <v>35</v>
      </c>
    </row>
    <row r="106" customFormat="false" ht="15" hidden="false" customHeight="false" outlineLevel="0" collapsed="false">
      <c r="A106" s="24" t="n">
        <v>10287</v>
      </c>
      <c r="B106" s="8" t="s">
        <v>40</v>
      </c>
      <c r="C106" s="25" t="n">
        <v>39</v>
      </c>
      <c r="D106" s="25" t="n">
        <v>39</v>
      </c>
      <c r="E106" s="10" t="n">
        <v>0</v>
      </c>
      <c r="F106" s="10" t="n">
        <v>8194.65</v>
      </c>
      <c r="G106" s="10" t="n">
        <v>8194.65</v>
      </c>
      <c r="H106" s="10" t="n">
        <v>2681.6202</v>
      </c>
      <c r="I106" s="10" t="n">
        <v>5513.03</v>
      </c>
      <c r="J106" s="10" t="n">
        <v>3468.56</v>
      </c>
      <c r="K106" s="11" t="n">
        <v>0.6728</v>
      </c>
      <c r="L106" s="11" t="n">
        <v>0.4233</v>
      </c>
      <c r="M106" s="26" t="n">
        <v>34.9</v>
      </c>
    </row>
    <row r="107" customFormat="false" ht="15" hidden="false" customHeight="false" outlineLevel="0" collapsed="false">
      <c r="A107" s="27" t="n">
        <v>10288</v>
      </c>
      <c r="B107" s="12" t="s">
        <v>120</v>
      </c>
      <c r="C107" s="28" t="n">
        <v>6</v>
      </c>
      <c r="D107" s="28" t="n">
        <v>6</v>
      </c>
      <c r="E107" s="14" t="n">
        <v>0</v>
      </c>
      <c r="F107" s="14" t="n">
        <v>1799.76</v>
      </c>
      <c r="G107" s="14" t="n">
        <v>1799.76</v>
      </c>
      <c r="H107" s="14" t="n">
        <v>633.5</v>
      </c>
      <c r="I107" s="14" t="n">
        <v>1166.26</v>
      </c>
      <c r="J107" s="14" t="n">
        <v>671.82</v>
      </c>
      <c r="K107" s="15" t="n">
        <v>0.648</v>
      </c>
      <c r="L107" s="15" t="n">
        <v>0.3733</v>
      </c>
      <c r="M107" s="29" t="n">
        <v>37.83</v>
      </c>
    </row>
    <row r="108" customFormat="false" ht="15" hidden="false" customHeight="false" outlineLevel="0" collapsed="false">
      <c r="A108" s="24" t="n">
        <v>10296</v>
      </c>
      <c r="B108" s="8" t="s">
        <v>121</v>
      </c>
      <c r="C108" s="25" t="n">
        <v>696</v>
      </c>
      <c r="D108" s="25" t="n">
        <v>696</v>
      </c>
      <c r="E108" s="10" t="n">
        <v>0</v>
      </c>
      <c r="F108" s="10" t="n">
        <v>78770.28</v>
      </c>
      <c r="G108" s="10" t="n">
        <v>78770.28</v>
      </c>
      <c r="H108" s="10" t="n">
        <v>52609.554</v>
      </c>
      <c r="I108" s="10" t="n">
        <v>26160.72</v>
      </c>
      <c r="J108" s="10" t="n">
        <v>5870.02</v>
      </c>
      <c r="K108" s="11" t="n">
        <v>0.3321</v>
      </c>
      <c r="L108" s="11" t="n">
        <v>0.0745</v>
      </c>
      <c r="M108" s="26" t="n">
        <v>50</v>
      </c>
    </row>
    <row r="109" customFormat="false" ht="15" hidden="false" customHeight="false" outlineLevel="0" collapsed="false">
      <c r="A109" s="27" t="n">
        <v>10299</v>
      </c>
      <c r="B109" s="12" t="s">
        <v>122</v>
      </c>
      <c r="C109" s="28" t="n">
        <v>37</v>
      </c>
      <c r="D109" s="28" t="n">
        <v>37</v>
      </c>
      <c r="E109" s="14" t="n">
        <v>0</v>
      </c>
      <c r="F109" s="14" t="n">
        <v>5951.41</v>
      </c>
      <c r="G109" s="14" t="n">
        <v>5951.41</v>
      </c>
      <c r="H109" s="14" t="n">
        <v>3949.7802</v>
      </c>
      <c r="I109" s="14" t="n">
        <v>2001.63</v>
      </c>
      <c r="J109" s="14" t="n">
        <v>557.83</v>
      </c>
      <c r="K109" s="15" t="n">
        <v>0.3363</v>
      </c>
      <c r="L109" s="15" t="n">
        <v>0.0937</v>
      </c>
      <c r="M109" s="29" t="n">
        <v>35.42</v>
      </c>
    </row>
    <row r="110" customFormat="false" ht="15" hidden="false" customHeight="false" outlineLevel="0" collapsed="false">
      <c r="A110" s="24" t="n">
        <v>10300</v>
      </c>
      <c r="B110" s="8" t="s">
        <v>123</v>
      </c>
      <c r="C110" s="25" t="n">
        <v>49</v>
      </c>
      <c r="D110" s="25" t="n">
        <v>49</v>
      </c>
      <c r="E110" s="10" t="n">
        <v>0</v>
      </c>
      <c r="F110" s="10" t="n">
        <v>7915.81</v>
      </c>
      <c r="G110" s="10" t="n">
        <v>7915.81</v>
      </c>
      <c r="H110" s="10" t="n">
        <v>5106.0408</v>
      </c>
      <c r="I110" s="10" t="n">
        <v>2809.77</v>
      </c>
      <c r="J110" s="10" t="n">
        <v>889.4</v>
      </c>
      <c r="K110" s="11" t="n">
        <v>0.355</v>
      </c>
      <c r="L110" s="11" t="n">
        <v>0.1124</v>
      </c>
      <c r="M110" s="26" t="n">
        <v>34.76</v>
      </c>
    </row>
    <row r="111" customFormat="false" ht="15" hidden="false" customHeight="false" outlineLevel="0" collapsed="false">
      <c r="A111" s="27" t="n">
        <v>10301</v>
      </c>
      <c r="B111" s="12" t="s">
        <v>124</v>
      </c>
      <c r="C111" s="28" t="n">
        <v>60</v>
      </c>
      <c r="D111" s="28" t="n">
        <v>60</v>
      </c>
      <c r="E111" s="14" t="n">
        <v>0</v>
      </c>
      <c r="F111" s="14" t="n">
        <v>7426.2</v>
      </c>
      <c r="G111" s="14" t="n">
        <v>7426.2</v>
      </c>
      <c r="H111" s="14" t="n">
        <v>4794.5106</v>
      </c>
      <c r="I111" s="14" t="n">
        <v>2631.69</v>
      </c>
      <c r="J111" s="14" t="n">
        <v>830.08</v>
      </c>
      <c r="K111" s="15" t="n">
        <v>0.3544</v>
      </c>
      <c r="L111" s="15" t="n">
        <v>0.1118</v>
      </c>
      <c r="M111" s="29" t="n">
        <v>34.1</v>
      </c>
    </row>
    <row r="112" customFormat="false" ht="15" hidden="false" customHeight="false" outlineLevel="0" collapsed="false">
      <c r="A112" s="24" t="n">
        <v>10304</v>
      </c>
      <c r="B112" s="8" t="s">
        <v>125</v>
      </c>
      <c r="C112" s="25" t="n">
        <v>38</v>
      </c>
      <c r="D112" s="25" t="n">
        <v>38</v>
      </c>
      <c r="E112" s="10" t="n">
        <v>0</v>
      </c>
      <c r="F112" s="10" t="n">
        <v>4703.26</v>
      </c>
      <c r="G112" s="10" t="n">
        <v>4703.26</v>
      </c>
      <c r="H112" s="10" t="n">
        <v>3002.3497</v>
      </c>
      <c r="I112" s="10" t="n">
        <v>1700.91</v>
      </c>
      <c r="J112" s="10" t="n">
        <v>559.9</v>
      </c>
      <c r="K112" s="11" t="n">
        <v>0.3616</v>
      </c>
      <c r="L112" s="11" t="n">
        <v>0.119</v>
      </c>
      <c r="M112" s="26" t="n">
        <v>33.97</v>
      </c>
    </row>
    <row r="113" customFormat="false" ht="15" hidden="false" customHeight="false" outlineLevel="0" collapsed="false">
      <c r="A113" s="27" t="n">
        <v>10322</v>
      </c>
      <c r="B113" s="12" t="s">
        <v>262</v>
      </c>
      <c r="C113" s="28" t="n">
        <v>10</v>
      </c>
      <c r="D113" s="28" t="n">
        <v>10</v>
      </c>
      <c r="E113" s="14" t="n">
        <v>0</v>
      </c>
      <c r="F113" s="14" t="n">
        <v>3537.1</v>
      </c>
      <c r="G113" s="14" t="n">
        <v>3537.1</v>
      </c>
      <c r="H113" s="14" t="n">
        <v>2161.7904</v>
      </c>
      <c r="I113" s="14" t="n">
        <v>1375.31</v>
      </c>
      <c r="J113" s="14" t="n">
        <v>403.6</v>
      </c>
      <c r="K113" s="15" t="n">
        <v>0.3888</v>
      </c>
      <c r="L113" s="15" t="n">
        <v>0.1141</v>
      </c>
      <c r="M113" s="29" t="n">
        <v>37.4</v>
      </c>
    </row>
    <row r="114" customFormat="false" ht="15" hidden="false" customHeight="false" outlineLevel="0" collapsed="false">
      <c r="A114" s="24" t="n">
        <v>10325</v>
      </c>
      <c r="B114" s="8" t="s">
        <v>126</v>
      </c>
      <c r="C114" s="25" t="n">
        <v>55</v>
      </c>
      <c r="D114" s="25" t="n">
        <v>55</v>
      </c>
      <c r="E114" s="10" t="n">
        <v>0</v>
      </c>
      <c r="F114" s="10" t="n">
        <v>11421.85</v>
      </c>
      <c r="G114" s="10" t="n">
        <v>11421.85</v>
      </c>
      <c r="H114" s="10" t="n">
        <v>3790.8204</v>
      </c>
      <c r="I114" s="10" t="n">
        <v>7631.03</v>
      </c>
      <c r="J114" s="10" t="n">
        <v>4493.23</v>
      </c>
      <c r="K114" s="11" t="n">
        <v>0.6681</v>
      </c>
      <c r="L114" s="11" t="n">
        <v>0.3934</v>
      </c>
      <c r="M114" s="26" t="n">
        <v>35.44</v>
      </c>
    </row>
    <row r="115" customFormat="false" ht="15" hidden="false" customHeight="false" outlineLevel="0" collapsed="false">
      <c r="A115" s="27" t="n">
        <v>10331</v>
      </c>
      <c r="B115" s="12" t="s">
        <v>127</v>
      </c>
      <c r="C115" s="28" t="n">
        <v>1</v>
      </c>
      <c r="D115" s="28" t="n">
        <v>1</v>
      </c>
      <c r="E115" s="14" t="n">
        <v>0</v>
      </c>
      <c r="F115" s="14" t="n">
        <v>32.8</v>
      </c>
      <c r="G115" s="14" t="n">
        <v>32.8</v>
      </c>
      <c r="H115" s="14" t="n">
        <v>17.01</v>
      </c>
      <c r="I115" s="14" t="n">
        <v>15.79</v>
      </c>
      <c r="J115" s="14" t="n">
        <v>6.78</v>
      </c>
      <c r="K115" s="15" t="n">
        <v>0.4814</v>
      </c>
      <c r="L115" s="15" t="n">
        <v>0.2067</v>
      </c>
      <c r="M115" s="29" t="n">
        <v>45</v>
      </c>
    </row>
    <row r="116" customFormat="false" ht="15" hidden="false" customHeight="false" outlineLevel="0" collapsed="false">
      <c r="A116" s="24" t="n">
        <v>10337</v>
      </c>
      <c r="B116" s="8" t="s">
        <v>96</v>
      </c>
      <c r="C116" s="25" t="n">
        <v>9</v>
      </c>
      <c r="D116" s="25" t="n">
        <v>9</v>
      </c>
      <c r="E116" s="10" t="n">
        <v>0</v>
      </c>
      <c r="F116" s="10" t="n">
        <v>5265</v>
      </c>
      <c r="G116" s="10" t="n">
        <v>5265</v>
      </c>
      <c r="H116" s="10" t="n">
        <v>1200.87</v>
      </c>
      <c r="I116" s="10" t="n">
        <v>4064.13</v>
      </c>
      <c r="J116" s="10" t="n">
        <v>2594.7</v>
      </c>
      <c r="K116" s="11" t="n">
        <v>0.7719</v>
      </c>
      <c r="L116" s="11" t="n">
        <v>0.4928</v>
      </c>
      <c r="M116" s="26" t="n">
        <v>45</v>
      </c>
    </row>
    <row r="117" customFormat="false" ht="15" hidden="false" customHeight="false" outlineLevel="0" collapsed="false">
      <c r="A117" s="27" t="n">
        <v>10340</v>
      </c>
      <c r="B117" s="12" t="s">
        <v>128</v>
      </c>
      <c r="C117" s="28" t="n">
        <v>79</v>
      </c>
      <c r="D117" s="28" t="n">
        <v>79</v>
      </c>
      <c r="E117" s="14" t="n">
        <v>0</v>
      </c>
      <c r="F117" s="14" t="n">
        <v>597.2</v>
      </c>
      <c r="G117" s="14" t="n">
        <v>597.2</v>
      </c>
      <c r="H117" s="14" t="n">
        <v>380.03</v>
      </c>
      <c r="I117" s="14" t="n">
        <v>217.17</v>
      </c>
      <c r="J117" s="14" t="n">
        <v>60.03</v>
      </c>
      <c r="K117" s="15" t="n">
        <v>0.3636</v>
      </c>
      <c r="L117" s="15" t="n">
        <v>0.1005</v>
      </c>
      <c r="M117" s="29" t="n">
        <v>50</v>
      </c>
    </row>
    <row r="118" customFormat="false" ht="15" hidden="false" customHeight="false" outlineLevel="0" collapsed="false">
      <c r="A118" s="24" t="n">
        <v>10343</v>
      </c>
      <c r="B118" s="8" t="s">
        <v>129</v>
      </c>
      <c r="C118" s="25" t="n">
        <v>8</v>
      </c>
      <c r="D118" s="25" t="n">
        <v>8</v>
      </c>
      <c r="E118" s="10" t="n">
        <v>0</v>
      </c>
      <c r="F118" s="10" t="n">
        <v>1601.76</v>
      </c>
      <c r="G118" s="10" t="n">
        <v>1601.76</v>
      </c>
      <c r="H118" s="10" t="n">
        <v>890.72</v>
      </c>
      <c r="I118" s="10" t="n">
        <v>711.04</v>
      </c>
      <c r="J118" s="10" t="n">
        <v>271</v>
      </c>
      <c r="K118" s="11" t="n">
        <v>0.4439</v>
      </c>
      <c r="L118" s="11" t="n">
        <v>0.1692</v>
      </c>
      <c r="M118" s="26" t="n">
        <v>35.88</v>
      </c>
    </row>
    <row r="119" customFormat="false" ht="15" hidden="false" customHeight="false" outlineLevel="0" collapsed="false">
      <c r="A119" s="27" t="n">
        <v>10346</v>
      </c>
      <c r="B119" s="12" t="s">
        <v>130</v>
      </c>
      <c r="C119" s="28" t="n">
        <v>77</v>
      </c>
      <c r="D119" s="28" t="n">
        <v>77</v>
      </c>
      <c r="E119" s="14" t="n">
        <v>0</v>
      </c>
      <c r="F119" s="14" t="n">
        <v>14550.69</v>
      </c>
      <c r="G119" s="14" t="n">
        <v>14550.69</v>
      </c>
      <c r="H119" s="14" t="n">
        <v>2601.4109</v>
      </c>
      <c r="I119" s="14" t="n">
        <v>11949.28</v>
      </c>
      <c r="J119" s="14" t="n">
        <v>7888.17</v>
      </c>
      <c r="K119" s="15" t="n">
        <v>0.8212</v>
      </c>
      <c r="L119" s="15" t="n">
        <v>0.5421</v>
      </c>
      <c r="M119" s="29" t="n">
        <v>30.39</v>
      </c>
    </row>
    <row r="120" customFormat="false" ht="15" hidden="false" customHeight="false" outlineLevel="0" collapsed="false">
      <c r="A120" s="24" t="n">
        <v>10358</v>
      </c>
      <c r="B120" s="8" t="s">
        <v>129</v>
      </c>
      <c r="C120" s="25" t="n">
        <v>18</v>
      </c>
      <c r="D120" s="25" t="n">
        <v>18</v>
      </c>
      <c r="E120" s="10" t="n">
        <v>0</v>
      </c>
      <c r="F120" s="10" t="n">
        <v>4842.9</v>
      </c>
      <c r="G120" s="10" t="n">
        <v>4842.9</v>
      </c>
      <c r="H120" s="10" t="n">
        <v>2115.72</v>
      </c>
      <c r="I120" s="10" t="n">
        <v>2727.18</v>
      </c>
      <c r="J120" s="10" t="n">
        <v>1375.5</v>
      </c>
      <c r="K120" s="11" t="n">
        <v>0.5631</v>
      </c>
      <c r="L120" s="11" t="n">
        <v>0.284</v>
      </c>
      <c r="M120" s="26" t="n">
        <v>30.83</v>
      </c>
    </row>
    <row r="121" customFormat="false" ht="15" hidden="false" customHeight="false" outlineLevel="0" collapsed="false">
      <c r="A121" s="27" t="n">
        <v>10361</v>
      </c>
      <c r="B121" s="12" t="s">
        <v>96</v>
      </c>
      <c r="C121" s="28" t="n">
        <v>40</v>
      </c>
      <c r="D121" s="28" t="n">
        <v>40</v>
      </c>
      <c r="E121" s="14" t="n">
        <v>0</v>
      </c>
      <c r="F121" s="14" t="n">
        <v>32026.93</v>
      </c>
      <c r="G121" s="14" t="n">
        <v>32026.93</v>
      </c>
      <c r="H121" s="14" t="n">
        <v>10037.0898</v>
      </c>
      <c r="I121" s="14" t="n">
        <v>21989.84</v>
      </c>
      <c r="J121" s="14" t="n">
        <v>13051.12</v>
      </c>
      <c r="K121" s="15" t="n">
        <v>0.6866</v>
      </c>
      <c r="L121" s="15" t="n">
        <v>0.4075</v>
      </c>
      <c r="M121" s="29" t="n">
        <v>30.7</v>
      </c>
    </row>
    <row r="122" customFormat="false" ht="15" hidden="false" customHeight="false" outlineLevel="0" collapsed="false">
      <c r="A122" s="24" t="n">
        <v>10362</v>
      </c>
      <c r="B122" s="8" t="s">
        <v>131</v>
      </c>
      <c r="C122" s="25" t="n">
        <v>2</v>
      </c>
      <c r="D122" s="25" t="n">
        <v>2</v>
      </c>
      <c r="E122" s="10" t="n">
        <v>0</v>
      </c>
      <c r="F122" s="10" t="n">
        <v>158.68</v>
      </c>
      <c r="G122" s="10" t="n">
        <v>158.68</v>
      </c>
      <c r="H122" s="10" t="n">
        <v>69.04</v>
      </c>
      <c r="I122" s="10" t="n">
        <v>89.64</v>
      </c>
      <c r="J122" s="10" t="n">
        <v>46.06</v>
      </c>
      <c r="K122" s="11" t="n">
        <v>0.5649</v>
      </c>
      <c r="L122" s="11" t="n">
        <v>0.2903</v>
      </c>
      <c r="M122" s="26" t="n">
        <v>34</v>
      </c>
    </row>
    <row r="123" customFormat="false" ht="15" hidden="false" customHeight="false" outlineLevel="0" collapsed="false">
      <c r="A123" s="27" t="n">
        <v>10363</v>
      </c>
      <c r="B123" s="12" t="s">
        <v>132</v>
      </c>
      <c r="C123" s="28" t="n">
        <v>88</v>
      </c>
      <c r="D123" s="28" t="n">
        <v>88</v>
      </c>
      <c r="E123" s="14" t="n">
        <v>0</v>
      </c>
      <c r="F123" s="14" t="n">
        <v>4271.28</v>
      </c>
      <c r="G123" s="14" t="n">
        <v>4271.28</v>
      </c>
      <c r="H123" s="14" t="n">
        <v>2989.0484</v>
      </c>
      <c r="I123" s="14" t="n">
        <v>1282.23</v>
      </c>
      <c r="J123" s="14" t="n">
        <v>148.15</v>
      </c>
      <c r="K123" s="15" t="n">
        <v>0.3002</v>
      </c>
      <c r="L123" s="15" t="n">
        <v>0.0347</v>
      </c>
      <c r="M123" s="29" t="n">
        <v>48.09</v>
      </c>
    </row>
    <row r="124" customFormat="false" ht="15" hidden="false" customHeight="false" outlineLevel="0" collapsed="false">
      <c r="A124" s="24" t="n">
        <v>10373</v>
      </c>
      <c r="B124" s="8" t="s">
        <v>263</v>
      </c>
      <c r="C124" s="25" t="n">
        <v>2</v>
      </c>
      <c r="D124" s="25" t="n">
        <v>2</v>
      </c>
      <c r="E124" s="10" t="n">
        <v>0</v>
      </c>
      <c r="F124" s="10" t="n">
        <v>66.08</v>
      </c>
      <c r="G124" s="10" t="n">
        <v>66.08</v>
      </c>
      <c r="H124" s="10" t="n">
        <v>29.9</v>
      </c>
      <c r="I124" s="10" t="n">
        <v>36.18</v>
      </c>
      <c r="J124" s="10" t="n">
        <v>18.02</v>
      </c>
      <c r="K124" s="11" t="n">
        <v>0.5475</v>
      </c>
      <c r="L124" s="11" t="n">
        <v>0.2727</v>
      </c>
      <c r="M124" s="26" t="n">
        <v>60</v>
      </c>
    </row>
    <row r="125" customFormat="false" ht="15" hidden="false" customHeight="false" outlineLevel="0" collapsed="false">
      <c r="A125" s="27" t="n">
        <v>10375</v>
      </c>
      <c r="B125" s="12" t="s">
        <v>133</v>
      </c>
      <c r="C125" s="28" t="n">
        <v>72</v>
      </c>
      <c r="D125" s="28" t="n">
        <v>72</v>
      </c>
      <c r="E125" s="14" t="n">
        <v>0</v>
      </c>
      <c r="F125" s="14" t="n">
        <v>2784</v>
      </c>
      <c r="G125" s="14" t="n">
        <v>2784</v>
      </c>
      <c r="H125" s="14" t="n">
        <v>1186.03</v>
      </c>
      <c r="I125" s="14" t="n">
        <v>1597.97</v>
      </c>
      <c r="J125" s="14" t="n">
        <v>833.15</v>
      </c>
      <c r="K125" s="15" t="n">
        <v>0.574</v>
      </c>
      <c r="L125" s="15" t="n">
        <v>0.2993</v>
      </c>
      <c r="M125" s="29" t="n">
        <v>58.47</v>
      </c>
    </row>
    <row r="126" customFormat="false" ht="15" hidden="false" customHeight="false" outlineLevel="0" collapsed="false">
      <c r="A126" s="24" t="n">
        <v>10376</v>
      </c>
      <c r="B126" s="8" t="s">
        <v>264</v>
      </c>
      <c r="C126" s="25" t="n">
        <v>10</v>
      </c>
      <c r="D126" s="25" t="n">
        <v>10</v>
      </c>
      <c r="E126" s="10" t="n">
        <v>0</v>
      </c>
      <c r="F126" s="10" t="n">
        <v>554.3</v>
      </c>
      <c r="G126" s="10" t="n">
        <v>554.3</v>
      </c>
      <c r="H126" s="10" t="n">
        <v>231.67</v>
      </c>
      <c r="I126" s="10" t="n">
        <v>322.63</v>
      </c>
      <c r="J126" s="10" t="n">
        <v>170.35</v>
      </c>
      <c r="K126" s="11" t="n">
        <v>0.582</v>
      </c>
      <c r="L126" s="11" t="n">
        <v>0.3073</v>
      </c>
      <c r="M126" s="26" t="n">
        <v>60</v>
      </c>
    </row>
    <row r="127" customFormat="false" ht="15" hidden="false" customHeight="false" outlineLevel="0" collapsed="false">
      <c r="A127" s="27" t="n">
        <v>10397</v>
      </c>
      <c r="B127" s="12" t="s">
        <v>134</v>
      </c>
      <c r="C127" s="28" t="n">
        <v>75</v>
      </c>
      <c r="D127" s="28" t="n">
        <v>75</v>
      </c>
      <c r="E127" s="14" t="n">
        <v>0</v>
      </c>
      <c r="F127" s="14" t="n">
        <v>9760.38</v>
      </c>
      <c r="G127" s="14" t="n">
        <v>9760.38</v>
      </c>
      <c r="H127" s="14" t="n">
        <v>3728.0193</v>
      </c>
      <c r="I127" s="14" t="n">
        <v>6032.36</v>
      </c>
      <c r="J127" s="14" t="n">
        <v>3351</v>
      </c>
      <c r="K127" s="15" t="n">
        <v>0.618</v>
      </c>
      <c r="L127" s="15" t="n">
        <v>0.3433</v>
      </c>
      <c r="M127" s="29" t="n">
        <v>43.09</v>
      </c>
    </row>
    <row r="128" customFormat="false" ht="15" hidden="false" customHeight="false" outlineLevel="0" collapsed="false">
      <c r="A128" s="24" t="n">
        <v>10404</v>
      </c>
      <c r="B128" s="8" t="s">
        <v>96</v>
      </c>
      <c r="C128" s="25" t="n">
        <v>22</v>
      </c>
      <c r="D128" s="25" t="n">
        <v>22</v>
      </c>
      <c r="E128" s="10" t="n">
        <v>0</v>
      </c>
      <c r="F128" s="10" t="n">
        <v>4793.58</v>
      </c>
      <c r="G128" s="10" t="n">
        <v>4793.58</v>
      </c>
      <c r="H128" s="10" t="n">
        <v>2469.94</v>
      </c>
      <c r="I128" s="10" t="n">
        <v>2323.64</v>
      </c>
      <c r="J128" s="10" t="n">
        <v>1006.73</v>
      </c>
      <c r="K128" s="11" t="n">
        <v>0.4847</v>
      </c>
      <c r="L128" s="11" t="n">
        <v>0.21</v>
      </c>
      <c r="M128" s="26" t="n">
        <v>35.27</v>
      </c>
    </row>
    <row r="129" customFormat="false" ht="15" hidden="false" customHeight="false" outlineLevel="0" collapsed="false">
      <c r="A129" s="27" t="n">
        <v>10406</v>
      </c>
      <c r="B129" s="12" t="s">
        <v>135</v>
      </c>
      <c r="C129" s="28" t="n">
        <v>5</v>
      </c>
      <c r="D129" s="28" t="n">
        <v>5</v>
      </c>
      <c r="E129" s="14" t="n">
        <v>0</v>
      </c>
      <c r="F129" s="14" t="n">
        <v>1518.95</v>
      </c>
      <c r="G129" s="14" t="n">
        <v>1518.95</v>
      </c>
      <c r="H129" s="14" t="n">
        <v>468.95</v>
      </c>
      <c r="I129" s="14" t="n">
        <v>1050</v>
      </c>
      <c r="J129" s="14" t="n">
        <v>681.5</v>
      </c>
      <c r="K129" s="15" t="n">
        <v>0.6913</v>
      </c>
      <c r="L129" s="15" t="n">
        <v>0.4487</v>
      </c>
      <c r="M129" s="29" t="n">
        <v>39</v>
      </c>
    </row>
    <row r="130" customFormat="false" ht="15" hidden="false" customHeight="false" outlineLevel="0" collapsed="false">
      <c r="A130" s="24" t="n">
        <v>10408</v>
      </c>
      <c r="B130" s="8" t="s">
        <v>136</v>
      </c>
      <c r="C130" s="25" t="n">
        <v>180</v>
      </c>
      <c r="D130" s="25" t="n">
        <v>180</v>
      </c>
      <c r="E130" s="10" t="n">
        <v>0</v>
      </c>
      <c r="F130" s="10" t="n">
        <v>52227</v>
      </c>
      <c r="G130" s="10" t="n">
        <v>52227</v>
      </c>
      <c r="H130" s="10" t="n">
        <v>32070.1395</v>
      </c>
      <c r="I130" s="10" t="n">
        <v>20156.86</v>
      </c>
      <c r="J130" s="10" t="n">
        <v>5809.08</v>
      </c>
      <c r="K130" s="11" t="n">
        <v>0.3859</v>
      </c>
      <c r="L130" s="11" t="n">
        <v>0.1112</v>
      </c>
      <c r="M130" s="26" t="n">
        <v>50</v>
      </c>
    </row>
    <row r="131" customFormat="false" ht="15" hidden="false" customHeight="false" outlineLevel="0" collapsed="false">
      <c r="A131" s="27" t="n">
        <v>10412</v>
      </c>
      <c r="B131" s="12" t="s">
        <v>129</v>
      </c>
      <c r="C131" s="28" t="n">
        <v>27</v>
      </c>
      <c r="D131" s="28" t="n">
        <v>27</v>
      </c>
      <c r="E131" s="14" t="n">
        <v>0</v>
      </c>
      <c r="F131" s="14" t="n">
        <v>9687.14</v>
      </c>
      <c r="G131" s="14" t="n">
        <v>9687.14</v>
      </c>
      <c r="H131" s="14" t="n">
        <v>5032.5197</v>
      </c>
      <c r="I131" s="14" t="n">
        <v>4654.62</v>
      </c>
      <c r="J131" s="14" t="n">
        <v>1950.94</v>
      </c>
      <c r="K131" s="15" t="n">
        <v>0.4805</v>
      </c>
      <c r="L131" s="15" t="n">
        <v>0.2014</v>
      </c>
      <c r="M131" s="29" t="n">
        <v>30.07</v>
      </c>
    </row>
    <row r="132" customFormat="false" ht="15" hidden="false" customHeight="false" outlineLevel="0" collapsed="false">
      <c r="A132" s="24" t="n">
        <v>10413</v>
      </c>
      <c r="B132" s="8" t="s">
        <v>137</v>
      </c>
      <c r="C132" s="25" t="n">
        <v>2</v>
      </c>
      <c r="D132" s="25" t="n">
        <v>2</v>
      </c>
      <c r="E132" s="10" t="n">
        <v>0</v>
      </c>
      <c r="F132" s="10" t="n">
        <v>262.24</v>
      </c>
      <c r="G132" s="10" t="n">
        <v>262.24</v>
      </c>
      <c r="H132" s="10" t="n">
        <v>123.15</v>
      </c>
      <c r="I132" s="10" t="n">
        <v>139.09</v>
      </c>
      <c r="J132" s="10" t="n">
        <v>67.05</v>
      </c>
      <c r="K132" s="11" t="n">
        <v>0.5304</v>
      </c>
      <c r="L132" s="11" t="n">
        <v>0.2557</v>
      </c>
      <c r="M132" s="26" t="n">
        <v>50</v>
      </c>
    </row>
    <row r="133" customFormat="false" ht="15" hidden="false" customHeight="false" outlineLevel="0" collapsed="false">
      <c r="A133" s="27" t="n">
        <v>10419</v>
      </c>
      <c r="B133" s="12" t="s">
        <v>138</v>
      </c>
      <c r="C133" s="28" t="n">
        <v>5</v>
      </c>
      <c r="D133" s="28" t="n">
        <v>5</v>
      </c>
      <c r="E133" s="14" t="n">
        <v>0</v>
      </c>
      <c r="F133" s="14" t="n">
        <v>399.45</v>
      </c>
      <c r="G133" s="14" t="n">
        <v>399.45</v>
      </c>
      <c r="H133" s="14" t="n">
        <v>1282.5</v>
      </c>
      <c r="I133" s="14" t="n">
        <v>-883.05</v>
      </c>
      <c r="J133" s="14" t="n">
        <v>-994.54</v>
      </c>
      <c r="K133" s="15" t="n">
        <v>-2.2107</v>
      </c>
      <c r="L133" s="15" t="n">
        <v>-2.4898</v>
      </c>
      <c r="M133" s="29" t="n">
        <v>30</v>
      </c>
    </row>
    <row r="134" customFormat="false" ht="15" hidden="false" customHeight="false" outlineLevel="0" collapsed="false">
      <c r="A134" s="24" t="n">
        <v>10422</v>
      </c>
      <c r="B134" s="8" t="s">
        <v>139</v>
      </c>
      <c r="C134" s="25" t="n">
        <v>40</v>
      </c>
      <c r="D134" s="25" t="n">
        <v>40</v>
      </c>
      <c r="E134" s="10" t="n">
        <v>0</v>
      </c>
      <c r="F134" s="10" t="n">
        <v>31158.4</v>
      </c>
      <c r="G134" s="10" t="n">
        <v>31158.4</v>
      </c>
      <c r="H134" s="10" t="n">
        <v>10474.8899</v>
      </c>
      <c r="I134" s="10" t="n">
        <v>20683.51</v>
      </c>
      <c r="J134" s="10" t="n">
        <v>12123.68</v>
      </c>
      <c r="K134" s="11" t="n">
        <v>0.6638</v>
      </c>
      <c r="L134" s="11" t="n">
        <v>0.3891</v>
      </c>
      <c r="M134" s="26" t="n">
        <v>30.6</v>
      </c>
    </row>
    <row r="135" customFormat="false" ht="15" hidden="false" customHeight="false" outlineLevel="0" collapsed="false">
      <c r="A135" s="27" t="n">
        <v>10427</v>
      </c>
      <c r="B135" s="12" t="s">
        <v>140</v>
      </c>
      <c r="C135" s="28" t="n">
        <v>4</v>
      </c>
      <c r="D135" s="28" t="n">
        <v>4</v>
      </c>
      <c r="E135" s="14" t="n">
        <v>0</v>
      </c>
      <c r="F135" s="14" t="n">
        <v>877.39</v>
      </c>
      <c r="G135" s="14" t="n">
        <v>877.39</v>
      </c>
      <c r="H135" s="14" t="n">
        <v>350.35</v>
      </c>
      <c r="I135" s="14" t="n">
        <v>527.04</v>
      </c>
      <c r="J135" s="14" t="n">
        <v>364.02</v>
      </c>
      <c r="K135" s="15" t="n">
        <v>0.6007</v>
      </c>
      <c r="L135" s="15" t="n">
        <v>0.4149</v>
      </c>
      <c r="M135" s="29" t="n">
        <v>34.3</v>
      </c>
    </row>
    <row r="136" customFormat="false" ht="15" hidden="false" customHeight="false" outlineLevel="0" collapsed="false">
      <c r="A136" s="24" t="n">
        <v>10428</v>
      </c>
      <c r="B136" s="8" t="s">
        <v>141</v>
      </c>
      <c r="C136" s="25" t="n">
        <v>4</v>
      </c>
      <c r="D136" s="25" t="n">
        <v>4</v>
      </c>
      <c r="E136" s="10" t="n">
        <v>0</v>
      </c>
      <c r="F136" s="10" t="n">
        <v>4177.36</v>
      </c>
      <c r="G136" s="10" t="n">
        <v>4177.36</v>
      </c>
      <c r="H136" s="10" t="n">
        <v>2372.1501</v>
      </c>
      <c r="I136" s="10" t="n">
        <v>1805.21</v>
      </c>
      <c r="J136" s="10" t="n">
        <v>639.32</v>
      </c>
      <c r="K136" s="11" t="n">
        <v>0.4321</v>
      </c>
      <c r="L136" s="11" t="n">
        <v>0.153</v>
      </c>
      <c r="M136" s="26" t="n">
        <v>31</v>
      </c>
    </row>
    <row r="137" customFormat="false" ht="15" hidden="false" customHeight="false" outlineLevel="0" collapsed="false">
      <c r="A137" s="27" t="n">
        <v>10439</v>
      </c>
      <c r="B137" s="12" t="s">
        <v>141</v>
      </c>
      <c r="C137" s="28" t="n">
        <v>45</v>
      </c>
      <c r="D137" s="28" t="n">
        <v>45</v>
      </c>
      <c r="E137" s="14" t="n">
        <v>0</v>
      </c>
      <c r="F137" s="14" t="n">
        <v>53464.05</v>
      </c>
      <c r="G137" s="14" t="n">
        <v>53464.05</v>
      </c>
      <c r="H137" s="14" t="n">
        <v>21212.1001</v>
      </c>
      <c r="I137" s="14" t="n">
        <v>32251.95</v>
      </c>
      <c r="J137" s="14" t="n">
        <v>17330.12</v>
      </c>
      <c r="K137" s="15" t="n">
        <v>0.6032</v>
      </c>
      <c r="L137" s="15" t="n">
        <v>0.3241</v>
      </c>
      <c r="M137" s="29" t="n">
        <v>30.8</v>
      </c>
    </row>
    <row r="138" customFormat="false" ht="15" hidden="false" customHeight="false" outlineLevel="0" collapsed="false">
      <c r="A138" s="24" t="n">
        <v>10444</v>
      </c>
      <c r="B138" s="8" t="s">
        <v>143</v>
      </c>
      <c r="C138" s="25" t="n">
        <v>20</v>
      </c>
      <c r="D138" s="25" t="n">
        <v>20</v>
      </c>
      <c r="E138" s="10" t="n">
        <v>0</v>
      </c>
      <c r="F138" s="10" t="n">
        <v>7067.8</v>
      </c>
      <c r="G138" s="10" t="n">
        <v>7067.8</v>
      </c>
      <c r="H138" s="10" t="n">
        <v>3254.3101</v>
      </c>
      <c r="I138" s="10" t="n">
        <v>3813.49</v>
      </c>
      <c r="J138" s="10" t="n">
        <v>1840.88</v>
      </c>
      <c r="K138" s="11" t="n">
        <v>0.5396</v>
      </c>
      <c r="L138" s="11" t="n">
        <v>0.2605</v>
      </c>
      <c r="M138" s="26" t="n">
        <v>30.3</v>
      </c>
    </row>
    <row r="139" customFormat="false" ht="15" hidden="false" customHeight="false" outlineLevel="0" collapsed="false">
      <c r="A139" s="27" t="n">
        <v>10445</v>
      </c>
      <c r="B139" s="12" t="s">
        <v>144</v>
      </c>
      <c r="C139" s="28" t="n">
        <v>60</v>
      </c>
      <c r="D139" s="28" t="n">
        <v>60</v>
      </c>
      <c r="E139" s="14" t="n">
        <v>0</v>
      </c>
      <c r="F139" s="14" t="n">
        <v>6215.1</v>
      </c>
      <c r="G139" s="14" t="n">
        <v>6215.1</v>
      </c>
      <c r="H139" s="14" t="n">
        <v>3265.8299</v>
      </c>
      <c r="I139" s="14" t="n">
        <v>2949.27</v>
      </c>
      <c r="J139" s="14" t="n">
        <v>1214.61</v>
      </c>
      <c r="K139" s="15" t="n">
        <v>0.4745</v>
      </c>
      <c r="L139" s="15" t="n">
        <v>0.1954</v>
      </c>
      <c r="M139" s="29" t="n">
        <v>30.69</v>
      </c>
    </row>
    <row r="140" customFormat="false" ht="15" hidden="false" customHeight="false" outlineLevel="0" collapsed="false">
      <c r="A140" s="24" t="n">
        <v>10446</v>
      </c>
      <c r="B140" s="8" t="s">
        <v>145</v>
      </c>
      <c r="C140" s="25" t="n">
        <v>90</v>
      </c>
      <c r="D140" s="25" t="n">
        <v>90</v>
      </c>
      <c r="E140" s="10" t="n">
        <v>0</v>
      </c>
      <c r="F140" s="10" t="n">
        <v>3927.6</v>
      </c>
      <c r="G140" s="10" t="n">
        <v>3927.6</v>
      </c>
      <c r="H140" s="10" t="n">
        <v>5412.93</v>
      </c>
      <c r="I140" s="10" t="n">
        <v>-1485.33</v>
      </c>
      <c r="J140" s="10" t="n">
        <v>-2581.53</v>
      </c>
      <c r="K140" s="11" t="n">
        <v>-0.3782</v>
      </c>
      <c r="L140" s="11" t="n">
        <v>-0.6573</v>
      </c>
      <c r="M140" s="26" t="n">
        <v>30</v>
      </c>
    </row>
    <row r="141" customFormat="false" ht="15" hidden="false" customHeight="false" outlineLevel="0" collapsed="false">
      <c r="A141" s="27" t="n">
        <v>10447</v>
      </c>
      <c r="B141" s="12" t="s">
        <v>146</v>
      </c>
      <c r="C141" s="28" t="n">
        <v>170</v>
      </c>
      <c r="D141" s="28" t="n">
        <v>170</v>
      </c>
      <c r="E141" s="14" t="n">
        <v>0</v>
      </c>
      <c r="F141" s="14" t="n">
        <v>1509.6</v>
      </c>
      <c r="G141" s="14" t="n">
        <v>1509.6</v>
      </c>
      <c r="H141" s="14" t="n">
        <v>416.549</v>
      </c>
      <c r="I141" s="14" t="n">
        <v>1093.05</v>
      </c>
      <c r="J141" s="14" t="n">
        <v>671.72</v>
      </c>
      <c r="K141" s="15" t="n">
        <v>0.7241</v>
      </c>
      <c r="L141" s="15" t="n">
        <v>0.445</v>
      </c>
      <c r="M141" s="29" t="n">
        <v>30.41</v>
      </c>
    </row>
    <row r="142" customFormat="false" ht="15" hidden="false" customHeight="false" outlineLevel="0" collapsed="false">
      <c r="A142" s="24" t="n">
        <v>10448</v>
      </c>
      <c r="B142" s="8" t="s">
        <v>147</v>
      </c>
      <c r="C142" s="25" t="n">
        <v>230</v>
      </c>
      <c r="D142" s="25" t="n">
        <v>230</v>
      </c>
      <c r="E142" s="10" t="n">
        <v>0</v>
      </c>
      <c r="F142" s="10" t="n">
        <v>5112.9</v>
      </c>
      <c r="G142" s="10" t="n">
        <v>5112.9</v>
      </c>
      <c r="H142" s="10" t="n">
        <v>1366.614</v>
      </c>
      <c r="I142" s="10" t="n">
        <v>3746.29</v>
      </c>
      <c r="J142" s="10" t="n">
        <v>2505.89</v>
      </c>
      <c r="K142" s="11" t="n">
        <v>0.7327</v>
      </c>
      <c r="L142" s="11" t="n">
        <v>0.4901</v>
      </c>
      <c r="M142" s="26" t="n">
        <v>35.5</v>
      </c>
    </row>
    <row r="143" customFormat="false" ht="15" hidden="false" customHeight="false" outlineLevel="0" collapsed="false">
      <c r="A143" s="27" t="n">
        <v>10475</v>
      </c>
      <c r="B143" s="12" t="s">
        <v>150</v>
      </c>
      <c r="C143" s="28" t="n">
        <v>51</v>
      </c>
      <c r="D143" s="28" t="n">
        <v>51</v>
      </c>
      <c r="E143" s="14" t="n">
        <v>0</v>
      </c>
      <c r="F143" s="14" t="n">
        <v>6728.94</v>
      </c>
      <c r="G143" s="14" t="n">
        <v>6728.94</v>
      </c>
      <c r="H143" s="14" t="n">
        <v>4687.36</v>
      </c>
      <c r="I143" s="14" t="n">
        <v>2041.58</v>
      </c>
      <c r="J143" s="14" t="n">
        <v>192.99</v>
      </c>
      <c r="K143" s="15" t="n">
        <v>0.3034</v>
      </c>
      <c r="L143" s="15" t="n">
        <v>0.0287</v>
      </c>
      <c r="M143" s="29" t="n">
        <v>49.81</v>
      </c>
    </row>
    <row r="144" customFormat="false" ht="15" hidden="false" customHeight="false" outlineLevel="0" collapsed="false">
      <c r="A144" s="24" t="n">
        <v>10476</v>
      </c>
      <c r="B144" s="8" t="s">
        <v>151</v>
      </c>
      <c r="C144" s="25" t="n">
        <v>120</v>
      </c>
      <c r="D144" s="25" t="n">
        <v>120</v>
      </c>
      <c r="E144" s="10" t="n">
        <v>0</v>
      </c>
      <c r="F144" s="10" t="n">
        <v>18202.8</v>
      </c>
      <c r="G144" s="10" t="n">
        <v>18202.8</v>
      </c>
      <c r="H144" s="10" t="n">
        <v>9932.7698</v>
      </c>
      <c r="I144" s="10" t="n">
        <v>8270.03</v>
      </c>
      <c r="J144" s="10" t="n">
        <v>3269.34</v>
      </c>
      <c r="K144" s="11" t="n">
        <v>0.4543</v>
      </c>
      <c r="L144" s="11" t="n">
        <v>0.1796</v>
      </c>
      <c r="M144" s="26" t="n">
        <v>50.2</v>
      </c>
    </row>
    <row r="145" customFormat="false" ht="15" hidden="false" customHeight="false" outlineLevel="0" collapsed="false">
      <c r="A145" s="27" t="n">
        <v>10477</v>
      </c>
      <c r="B145" s="12" t="s">
        <v>152</v>
      </c>
      <c r="C145" s="28" t="n">
        <v>113</v>
      </c>
      <c r="D145" s="28" t="n">
        <v>113</v>
      </c>
      <c r="E145" s="14" t="n">
        <v>0</v>
      </c>
      <c r="F145" s="14" t="n">
        <v>14869.49</v>
      </c>
      <c r="G145" s="14" t="n">
        <v>14869.49</v>
      </c>
      <c r="H145" s="14" t="n">
        <v>8778.51</v>
      </c>
      <c r="I145" s="14" t="n">
        <v>6090.98</v>
      </c>
      <c r="J145" s="14" t="n">
        <v>2006.05</v>
      </c>
      <c r="K145" s="15" t="n">
        <v>0.4096</v>
      </c>
      <c r="L145" s="15" t="n">
        <v>0.1349</v>
      </c>
      <c r="M145" s="29" t="n">
        <v>50.21</v>
      </c>
    </row>
    <row r="146" customFormat="false" ht="15" hidden="false" customHeight="false" outlineLevel="0" collapsed="false">
      <c r="A146" s="24" t="n">
        <v>10481</v>
      </c>
      <c r="B146" s="8" t="s">
        <v>74</v>
      </c>
      <c r="C146" s="25" t="n">
        <v>19</v>
      </c>
      <c r="D146" s="25" t="n">
        <v>19</v>
      </c>
      <c r="E146" s="10" t="n">
        <v>0</v>
      </c>
      <c r="F146" s="10" t="n">
        <v>3929.96</v>
      </c>
      <c r="G146" s="10" t="n">
        <v>3929.96</v>
      </c>
      <c r="H146" s="10" t="n">
        <v>2007.6796</v>
      </c>
      <c r="I146" s="10" t="n">
        <v>1922.28</v>
      </c>
      <c r="J146" s="10" t="n">
        <v>842.65</v>
      </c>
      <c r="K146" s="11" t="n">
        <v>0.4891</v>
      </c>
      <c r="L146" s="11" t="n">
        <v>0.2144</v>
      </c>
      <c r="M146" s="26" t="n">
        <v>30.95</v>
      </c>
    </row>
    <row r="147" customFormat="false" ht="15" hidden="false" customHeight="false" outlineLevel="0" collapsed="false">
      <c r="A147" s="27" t="n">
        <v>10485</v>
      </c>
      <c r="B147" s="12" t="s">
        <v>40</v>
      </c>
      <c r="C147" s="28" t="n">
        <v>94</v>
      </c>
      <c r="D147" s="28" t="n">
        <v>94</v>
      </c>
      <c r="E147" s="14" t="n">
        <v>0</v>
      </c>
      <c r="F147" s="14" t="n">
        <v>15601.3</v>
      </c>
      <c r="G147" s="14" t="n">
        <v>15601.3</v>
      </c>
      <c r="H147" s="14" t="n">
        <v>6837.0297</v>
      </c>
      <c r="I147" s="14" t="n">
        <v>8764.27</v>
      </c>
      <c r="J147" s="14" t="n">
        <v>4478.27</v>
      </c>
      <c r="K147" s="15" t="n">
        <v>0.5618</v>
      </c>
      <c r="L147" s="15" t="n">
        <v>0.287</v>
      </c>
      <c r="M147" s="29" t="n">
        <v>50</v>
      </c>
    </row>
    <row r="148" customFormat="false" ht="15" hidden="false" customHeight="false" outlineLevel="0" collapsed="false">
      <c r="A148" s="24" t="n">
        <v>10488</v>
      </c>
      <c r="B148" s="8" t="s">
        <v>154</v>
      </c>
      <c r="C148" s="25" t="n">
        <v>166</v>
      </c>
      <c r="D148" s="25" t="n">
        <v>166</v>
      </c>
      <c r="E148" s="10" t="n">
        <v>0</v>
      </c>
      <c r="F148" s="10" t="n">
        <v>50103.67</v>
      </c>
      <c r="G148" s="10" t="n">
        <v>50103.67</v>
      </c>
      <c r="H148" s="10" t="n">
        <v>31427.9716</v>
      </c>
      <c r="I148" s="10" t="n">
        <v>18675.7</v>
      </c>
      <c r="J148" s="10" t="n">
        <v>4932.88</v>
      </c>
      <c r="K148" s="11" t="n">
        <v>0.3727</v>
      </c>
      <c r="L148" s="11" t="n">
        <v>0.0985</v>
      </c>
      <c r="M148" s="26" t="n">
        <v>44.95</v>
      </c>
    </row>
    <row r="149" customFormat="false" ht="15" hidden="false" customHeight="false" outlineLevel="0" collapsed="false">
      <c r="A149" s="27" t="n">
        <v>10493</v>
      </c>
      <c r="B149" s="12" t="s">
        <v>155</v>
      </c>
      <c r="C149" s="28" t="n">
        <v>22</v>
      </c>
      <c r="D149" s="28" t="n">
        <v>22</v>
      </c>
      <c r="E149" s="14" t="n">
        <v>0</v>
      </c>
      <c r="F149" s="14" t="n">
        <v>10470.24</v>
      </c>
      <c r="G149" s="14" t="n">
        <v>10470.24</v>
      </c>
      <c r="H149" s="14" t="n">
        <v>6524.4603</v>
      </c>
      <c r="I149" s="14" t="n">
        <v>3945.78</v>
      </c>
      <c r="J149" s="14" t="n">
        <v>1069.41</v>
      </c>
      <c r="K149" s="15" t="n">
        <v>0.3769</v>
      </c>
      <c r="L149" s="15" t="n">
        <v>0.1021</v>
      </c>
      <c r="M149" s="29" t="n">
        <v>32.23</v>
      </c>
    </row>
    <row r="150" customFormat="false" ht="15" hidden="false" customHeight="false" outlineLevel="0" collapsed="false">
      <c r="A150" s="24" t="n">
        <v>10498</v>
      </c>
      <c r="B150" s="8" t="s">
        <v>156</v>
      </c>
      <c r="C150" s="25" t="n">
        <v>22</v>
      </c>
      <c r="D150" s="25" t="n">
        <v>22</v>
      </c>
      <c r="E150" s="10" t="n">
        <v>0</v>
      </c>
      <c r="F150" s="10" t="n">
        <v>6572.5</v>
      </c>
      <c r="G150" s="10" t="n">
        <v>6572.5</v>
      </c>
      <c r="H150" s="10" t="n">
        <v>2095.2008</v>
      </c>
      <c r="I150" s="10" t="n">
        <v>4477.3</v>
      </c>
      <c r="J150" s="10" t="n">
        <v>2671.71</v>
      </c>
      <c r="K150" s="11" t="n">
        <v>0.6812</v>
      </c>
      <c r="L150" s="11" t="n">
        <v>0.4065</v>
      </c>
      <c r="M150" s="26" t="n">
        <v>55</v>
      </c>
    </row>
    <row r="151" customFormat="false" ht="15" hidden="false" customHeight="false" outlineLevel="0" collapsed="false">
      <c r="A151" s="27" t="n">
        <v>10500</v>
      </c>
      <c r="B151" s="12" t="s">
        <v>265</v>
      </c>
      <c r="C151" s="28" t="n">
        <v>25</v>
      </c>
      <c r="D151" s="28" t="n">
        <v>25</v>
      </c>
      <c r="E151" s="14" t="n">
        <v>0</v>
      </c>
      <c r="F151" s="14" t="n">
        <v>5100</v>
      </c>
      <c r="G151" s="14" t="n">
        <v>5100</v>
      </c>
      <c r="H151" s="14" t="n">
        <v>2716.97</v>
      </c>
      <c r="I151" s="14" t="n">
        <v>2383.03</v>
      </c>
      <c r="J151" s="14" t="n">
        <v>981.96</v>
      </c>
      <c r="K151" s="15" t="n">
        <v>0.4673</v>
      </c>
      <c r="L151" s="15" t="n">
        <v>0.1925</v>
      </c>
      <c r="M151" s="29" t="n">
        <v>60</v>
      </c>
    </row>
    <row r="152" customFormat="false" ht="15" hidden="false" customHeight="false" outlineLevel="0" collapsed="false">
      <c r="A152" s="24" t="n">
        <v>10504</v>
      </c>
      <c r="B152" s="8" t="s">
        <v>157</v>
      </c>
      <c r="C152" s="25" t="n">
        <v>2</v>
      </c>
      <c r="D152" s="25" t="n">
        <v>2</v>
      </c>
      <c r="E152" s="10" t="n">
        <v>0</v>
      </c>
      <c r="F152" s="10" t="n">
        <v>9621.8</v>
      </c>
      <c r="G152" s="10" t="n">
        <v>9621.8</v>
      </c>
      <c r="H152" s="10" t="n">
        <v>5279.63</v>
      </c>
      <c r="I152" s="10" t="n">
        <v>4342.17</v>
      </c>
      <c r="J152" s="10" t="n">
        <v>1698.87</v>
      </c>
      <c r="K152" s="11" t="n">
        <v>0.4513</v>
      </c>
      <c r="L152" s="11" t="n">
        <v>0.1766</v>
      </c>
      <c r="M152" s="26" t="n">
        <v>37.5</v>
      </c>
    </row>
    <row r="153" customFormat="false" ht="15" hidden="false" customHeight="false" outlineLevel="0" collapsed="false">
      <c r="A153" s="27" t="n">
        <v>10509</v>
      </c>
      <c r="B153" s="12" t="s">
        <v>266</v>
      </c>
      <c r="C153" s="28" t="n">
        <v>15</v>
      </c>
      <c r="D153" s="28" t="n">
        <v>15</v>
      </c>
      <c r="E153" s="14" t="n">
        <v>0</v>
      </c>
      <c r="F153" s="14" t="n">
        <v>876.75</v>
      </c>
      <c r="G153" s="14" t="n">
        <v>876.75</v>
      </c>
      <c r="H153" s="14" t="n">
        <v>251.7705</v>
      </c>
      <c r="I153" s="14" t="n">
        <v>624.98</v>
      </c>
      <c r="J153" s="14" t="n">
        <v>384.12</v>
      </c>
      <c r="K153" s="15" t="n">
        <v>0.7128</v>
      </c>
      <c r="L153" s="15" t="n">
        <v>0.4381</v>
      </c>
      <c r="M153" s="29" t="n">
        <v>50</v>
      </c>
    </row>
    <row r="154" customFormat="false" ht="15" hidden="false" customHeight="false" outlineLevel="0" collapsed="false">
      <c r="A154" s="24" t="n">
        <v>10539</v>
      </c>
      <c r="B154" s="8" t="s">
        <v>159</v>
      </c>
      <c r="C154" s="25" t="n">
        <v>26</v>
      </c>
      <c r="D154" s="25" t="n">
        <v>26</v>
      </c>
      <c r="E154" s="10" t="n">
        <v>0</v>
      </c>
      <c r="F154" s="10" t="n">
        <v>10833.16</v>
      </c>
      <c r="G154" s="10" t="n">
        <v>10833.16</v>
      </c>
      <c r="H154" s="10" t="n">
        <v>5641.9795</v>
      </c>
      <c r="I154" s="10" t="n">
        <v>5191.18</v>
      </c>
      <c r="J154" s="10" t="n">
        <v>2167.64</v>
      </c>
      <c r="K154" s="11" t="n">
        <v>0.4792</v>
      </c>
      <c r="L154" s="11" t="n">
        <v>0.2001</v>
      </c>
      <c r="M154" s="26" t="n">
        <v>30.42</v>
      </c>
    </row>
    <row r="155" customFormat="false" ht="15" hidden="false" customHeight="false" outlineLevel="0" collapsed="false">
      <c r="A155" s="27" t="n">
        <v>10544</v>
      </c>
      <c r="B155" s="12" t="s">
        <v>160</v>
      </c>
      <c r="C155" s="28" t="n">
        <v>60</v>
      </c>
      <c r="D155" s="28" t="n">
        <v>60</v>
      </c>
      <c r="E155" s="14" t="n">
        <v>0</v>
      </c>
      <c r="F155" s="14" t="n">
        <v>24574.2</v>
      </c>
      <c r="G155" s="14" t="n">
        <v>24574.2</v>
      </c>
      <c r="H155" s="14" t="n">
        <v>11199.591</v>
      </c>
      <c r="I155" s="14" t="n">
        <v>13374.61</v>
      </c>
      <c r="J155" s="14" t="n">
        <v>6515.95</v>
      </c>
      <c r="K155" s="15" t="n">
        <v>0.5443</v>
      </c>
      <c r="L155" s="15" t="n">
        <v>0.2652</v>
      </c>
      <c r="M155" s="29" t="n">
        <v>30.33</v>
      </c>
    </row>
    <row r="156" customFormat="false" ht="15" hidden="false" customHeight="false" outlineLevel="0" collapsed="false">
      <c r="A156" s="24" t="n">
        <v>10545</v>
      </c>
      <c r="B156" s="8" t="s">
        <v>267</v>
      </c>
      <c r="C156" s="25" t="n">
        <v>3</v>
      </c>
      <c r="D156" s="25" t="n">
        <v>3</v>
      </c>
      <c r="E156" s="10" t="n">
        <v>0</v>
      </c>
      <c r="F156" s="10" t="n">
        <v>1249.95</v>
      </c>
      <c r="G156" s="10" t="n">
        <v>1249.95</v>
      </c>
      <c r="H156" s="10" t="n">
        <v>350.52</v>
      </c>
      <c r="I156" s="10" t="n">
        <v>899.43</v>
      </c>
      <c r="J156" s="10" t="n">
        <v>556.04</v>
      </c>
      <c r="K156" s="11" t="n">
        <v>0.7196</v>
      </c>
      <c r="L156" s="11" t="n">
        <v>0.4448</v>
      </c>
      <c r="M156" s="26" t="n">
        <v>50</v>
      </c>
    </row>
    <row r="157" customFormat="false" ht="15" hidden="false" customHeight="false" outlineLevel="0" collapsed="false">
      <c r="A157" s="27" t="n">
        <v>10554</v>
      </c>
      <c r="B157" s="12" t="s">
        <v>161</v>
      </c>
      <c r="C157" s="28" t="n">
        <v>18</v>
      </c>
      <c r="D157" s="28" t="n">
        <v>18</v>
      </c>
      <c r="E157" s="14" t="n">
        <v>0</v>
      </c>
      <c r="F157" s="14" t="n">
        <v>1847.52</v>
      </c>
      <c r="G157" s="14" t="n">
        <v>1847.52</v>
      </c>
      <c r="H157" s="14" t="n">
        <v>253.02</v>
      </c>
      <c r="I157" s="14" t="n">
        <v>1594.5</v>
      </c>
      <c r="J157" s="14" t="n">
        <v>1086.93</v>
      </c>
      <c r="K157" s="15" t="n">
        <v>0.863</v>
      </c>
      <c r="L157" s="15" t="n">
        <v>0.5883</v>
      </c>
      <c r="M157" s="29" t="n">
        <v>50</v>
      </c>
    </row>
    <row r="158" customFormat="false" ht="15" hidden="false" customHeight="false" outlineLevel="0" collapsed="false">
      <c r="A158" s="24" t="n">
        <v>10555</v>
      </c>
      <c r="B158" s="8" t="s">
        <v>162</v>
      </c>
      <c r="C158" s="25" t="n">
        <v>209</v>
      </c>
      <c r="D158" s="25" t="n">
        <v>209</v>
      </c>
      <c r="E158" s="10" t="n">
        <v>0</v>
      </c>
      <c r="F158" s="10" t="n">
        <v>54597.13</v>
      </c>
      <c r="G158" s="10" t="n">
        <v>54597.13</v>
      </c>
      <c r="H158" s="10" t="n">
        <v>36176.2907</v>
      </c>
      <c r="I158" s="10" t="n">
        <v>18420.84</v>
      </c>
      <c r="J158" s="10" t="n">
        <v>3934.93</v>
      </c>
      <c r="K158" s="11" t="n">
        <v>0.3374</v>
      </c>
      <c r="L158" s="11" t="n">
        <v>0.0721</v>
      </c>
      <c r="M158" s="26" t="n">
        <v>49.31</v>
      </c>
    </row>
    <row r="159" customFormat="false" ht="15" hidden="false" customHeight="false" outlineLevel="0" collapsed="false">
      <c r="A159" s="27" t="n">
        <v>10558</v>
      </c>
      <c r="B159" s="12" t="s">
        <v>268</v>
      </c>
      <c r="C159" s="28" t="n">
        <v>1</v>
      </c>
      <c r="D159" s="28" t="n">
        <v>1</v>
      </c>
      <c r="E159" s="14" t="n">
        <v>0</v>
      </c>
      <c r="F159" s="14" t="n">
        <v>163.5</v>
      </c>
      <c r="G159" s="14" t="n">
        <v>163.5</v>
      </c>
      <c r="H159" s="14" t="n">
        <v>32.95</v>
      </c>
      <c r="I159" s="14" t="n">
        <v>130.55</v>
      </c>
      <c r="J159" s="14" t="n">
        <v>84.92</v>
      </c>
      <c r="K159" s="15" t="n">
        <v>0.7985</v>
      </c>
      <c r="L159" s="15" t="n">
        <v>0.5194</v>
      </c>
      <c r="M159" s="29" t="n">
        <v>28</v>
      </c>
    </row>
    <row r="160" customFormat="false" ht="15" hidden="false" customHeight="false" outlineLevel="0" collapsed="false">
      <c r="A160" s="24" t="n">
        <v>10560</v>
      </c>
      <c r="B160" s="8" t="s">
        <v>158</v>
      </c>
      <c r="C160" s="25" t="n">
        <v>89</v>
      </c>
      <c r="D160" s="25" t="n">
        <v>89</v>
      </c>
      <c r="E160" s="10" t="n">
        <v>0</v>
      </c>
      <c r="F160" s="10" t="n">
        <v>18479.82</v>
      </c>
      <c r="G160" s="10" t="n">
        <v>18479.82</v>
      </c>
      <c r="H160" s="10" t="n">
        <v>9154.3697</v>
      </c>
      <c r="I160" s="10" t="n">
        <v>9325.45</v>
      </c>
      <c r="J160" s="10" t="n">
        <v>4248.66</v>
      </c>
      <c r="K160" s="11" t="n">
        <v>0.5046</v>
      </c>
      <c r="L160" s="11" t="n">
        <v>0.2299</v>
      </c>
      <c r="M160" s="26" t="n">
        <v>50.54</v>
      </c>
    </row>
    <row r="161" customFormat="false" ht="15" hidden="false" customHeight="false" outlineLevel="0" collapsed="false">
      <c r="A161" s="27" t="n">
        <v>10563</v>
      </c>
      <c r="B161" s="12" t="s">
        <v>269</v>
      </c>
      <c r="C161" s="28" t="n">
        <v>10</v>
      </c>
      <c r="D161" s="28" t="n">
        <v>10</v>
      </c>
      <c r="E161" s="14" t="n">
        <v>0</v>
      </c>
      <c r="F161" s="14" t="n">
        <v>2180</v>
      </c>
      <c r="G161" s="14" t="n">
        <v>2180</v>
      </c>
      <c r="H161" s="14" t="n">
        <v>979.71</v>
      </c>
      <c r="I161" s="14" t="n">
        <v>1200.29</v>
      </c>
      <c r="J161" s="14" t="n">
        <v>601.4</v>
      </c>
      <c r="K161" s="15" t="n">
        <v>0.5506</v>
      </c>
      <c r="L161" s="15" t="n">
        <v>0.2759</v>
      </c>
      <c r="M161" s="29" t="n">
        <v>60</v>
      </c>
    </row>
    <row r="162" customFormat="false" ht="15" hidden="false" customHeight="false" outlineLevel="0" collapsed="false">
      <c r="A162" s="24" t="n">
        <v>10567</v>
      </c>
      <c r="B162" s="8" t="s">
        <v>164</v>
      </c>
      <c r="C162" s="25" t="n">
        <v>10</v>
      </c>
      <c r="D162" s="25" t="n">
        <v>10</v>
      </c>
      <c r="E162" s="10" t="n">
        <v>0</v>
      </c>
      <c r="F162" s="10" t="n">
        <v>348.4</v>
      </c>
      <c r="G162" s="10" t="n">
        <v>348.4</v>
      </c>
      <c r="H162" s="10" t="n">
        <v>142.1299</v>
      </c>
      <c r="I162" s="10" t="n">
        <v>206.27</v>
      </c>
      <c r="J162" s="10" t="n">
        <v>109.04</v>
      </c>
      <c r="K162" s="11" t="n">
        <v>0.592</v>
      </c>
      <c r="L162" s="11" t="n">
        <v>0.313</v>
      </c>
      <c r="M162" s="26" t="n">
        <v>30.7</v>
      </c>
    </row>
    <row r="163" customFormat="false" ht="15" hidden="false" customHeight="false" outlineLevel="0" collapsed="false">
      <c r="A163" s="27" t="n">
        <v>10571</v>
      </c>
      <c r="B163" s="12" t="s">
        <v>270</v>
      </c>
      <c r="C163" s="28" t="n">
        <v>20</v>
      </c>
      <c r="D163" s="28" t="n">
        <v>20</v>
      </c>
      <c r="E163" s="14" t="n">
        <v>0</v>
      </c>
      <c r="F163" s="14" t="n">
        <v>9504</v>
      </c>
      <c r="G163" s="14" t="n">
        <v>9504</v>
      </c>
      <c r="H163" s="14" t="n">
        <v>2805.5</v>
      </c>
      <c r="I163" s="14" t="n">
        <v>6698.5</v>
      </c>
      <c r="J163" s="14" t="n">
        <v>5533.31</v>
      </c>
      <c r="K163" s="15" t="n">
        <v>0.7048</v>
      </c>
      <c r="L163" s="15" t="n">
        <v>0.5822</v>
      </c>
      <c r="M163" s="29" t="n">
        <v>62</v>
      </c>
    </row>
    <row r="164" customFormat="false" ht="15" hidden="false" customHeight="false" outlineLevel="0" collapsed="false">
      <c r="A164" s="24" t="n">
        <v>10576</v>
      </c>
      <c r="B164" s="8" t="s">
        <v>165</v>
      </c>
      <c r="C164" s="25" t="n">
        <v>40</v>
      </c>
      <c r="D164" s="25" t="n">
        <v>40</v>
      </c>
      <c r="E164" s="10" t="n">
        <v>0</v>
      </c>
      <c r="F164" s="10" t="n">
        <v>820</v>
      </c>
      <c r="G164" s="10" t="n">
        <v>820</v>
      </c>
      <c r="H164" s="10" t="n">
        <v>535.2</v>
      </c>
      <c r="I164" s="10" t="n">
        <v>284.8</v>
      </c>
      <c r="J164" s="10" t="n">
        <v>55.94</v>
      </c>
      <c r="K164" s="11" t="n">
        <v>0.3473</v>
      </c>
      <c r="L164" s="11" t="n">
        <v>0.0682</v>
      </c>
      <c r="M164" s="26" t="n">
        <v>45</v>
      </c>
    </row>
    <row r="165" customFormat="false" ht="15" hidden="false" customHeight="false" outlineLevel="0" collapsed="false">
      <c r="A165" s="27" t="n">
        <v>10588</v>
      </c>
      <c r="B165" s="12" t="s">
        <v>271</v>
      </c>
      <c r="C165" s="28" t="n">
        <v>4</v>
      </c>
      <c r="D165" s="28" t="n">
        <v>4</v>
      </c>
      <c r="E165" s="14" t="n">
        <v>0</v>
      </c>
      <c r="F165" s="14" t="n">
        <v>87.2</v>
      </c>
      <c r="G165" s="14" t="n">
        <v>87.2</v>
      </c>
      <c r="H165" s="14" t="n">
        <v>10.8</v>
      </c>
      <c r="I165" s="14" t="n">
        <v>76.4</v>
      </c>
      <c r="J165" s="14" t="n">
        <v>52.06</v>
      </c>
      <c r="K165" s="15" t="n">
        <v>0.8761</v>
      </c>
      <c r="L165" s="15" t="n">
        <v>0.597</v>
      </c>
      <c r="M165" s="29" t="n">
        <v>50</v>
      </c>
    </row>
    <row r="166" customFormat="false" ht="15" hidden="false" customHeight="false" outlineLevel="0" collapsed="false">
      <c r="A166" s="24" t="n">
        <v>10592</v>
      </c>
      <c r="B166" s="8" t="s">
        <v>167</v>
      </c>
      <c r="C166" s="25" t="n">
        <v>6</v>
      </c>
      <c r="D166" s="25" t="n">
        <v>6</v>
      </c>
      <c r="E166" s="10" t="n">
        <v>0</v>
      </c>
      <c r="F166" s="10" t="n">
        <v>6442.56</v>
      </c>
      <c r="G166" s="10" t="n">
        <v>6442.56</v>
      </c>
      <c r="H166" s="10" t="n">
        <v>1370.7</v>
      </c>
      <c r="I166" s="10" t="n">
        <v>5071.86</v>
      </c>
      <c r="J166" s="10" t="n">
        <v>3301.97</v>
      </c>
      <c r="K166" s="11" t="n">
        <v>0.7872</v>
      </c>
      <c r="L166" s="11" t="n">
        <v>0.5125</v>
      </c>
      <c r="M166" s="26" t="n">
        <v>50</v>
      </c>
    </row>
    <row r="167" customFormat="false" ht="15" hidden="false" customHeight="false" outlineLevel="0" collapsed="false">
      <c r="A167" s="27" t="n">
        <v>10595</v>
      </c>
      <c r="B167" s="12" t="s">
        <v>168</v>
      </c>
      <c r="C167" s="28" t="n">
        <v>5</v>
      </c>
      <c r="D167" s="28" t="n">
        <v>5</v>
      </c>
      <c r="E167" s="14" t="n">
        <v>0</v>
      </c>
      <c r="F167" s="14" t="n">
        <v>1319.9</v>
      </c>
      <c r="G167" s="14" t="n">
        <v>1319.9</v>
      </c>
      <c r="H167" s="14" t="n">
        <v>437.25</v>
      </c>
      <c r="I167" s="14" t="n">
        <v>882.65</v>
      </c>
      <c r="J167" s="14" t="n">
        <v>514.26</v>
      </c>
      <c r="K167" s="15" t="n">
        <v>0.6687</v>
      </c>
      <c r="L167" s="15" t="n">
        <v>0.3896</v>
      </c>
      <c r="M167" s="29" t="n">
        <v>50</v>
      </c>
    </row>
    <row r="168" customFormat="false" ht="15" hidden="false" customHeight="false" outlineLevel="0" collapsed="false">
      <c r="A168" s="24" t="n">
        <v>10597</v>
      </c>
      <c r="B168" s="8" t="s">
        <v>87</v>
      </c>
      <c r="C168" s="25" t="n">
        <v>10</v>
      </c>
      <c r="D168" s="25" t="n">
        <v>10</v>
      </c>
      <c r="E168" s="10" t="n">
        <v>0</v>
      </c>
      <c r="F168" s="10" t="n">
        <v>1305.7</v>
      </c>
      <c r="G168" s="10" t="n">
        <v>1305.7</v>
      </c>
      <c r="H168" s="10" t="n">
        <v>708.04</v>
      </c>
      <c r="I168" s="10" t="n">
        <v>597.66</v>
      </c>
      <c r="J168" s="10" t="n">
        <v>238.96</v>
      </c>
      <c r="K168" s="11" t="n">
        <v>0.4577</v>
      </c>
      <c r="L168" s="11" t="n">
        <v>0.183</v>
      </c>
      <c r="M168" s="26" t="n">
        <v>37</v>
      </c>
    </row>
    <row r="169" customFormat="false" ht="15" hidden="false" customHeight="false" outlineLevel="0" collapsed="false">
      <c r="A169" s="27" t="n">
        <v>10601</v>
      </c>
      <c r="B169" s="12" t="s">
        <v>169</v>
      </c>
      <c r="C169" s="28" t="n">
        <v>31</v>
      </c>
      <c r="D169" s="28" t="n">
        <v>31</v>
      </c>
      <c r="E169" s="14" t="n">
        <v>0</v>
      </c>
      <c r="F169" s="14" t="n">
        <v>2122.64</v>
      </c>
      <c r="G169" s="14" t="n">
        <v>2122.64</v>
      </c>
      <c r="H169" s="14" t="n">
        <v>648.58</v>
      </c>
      <c r="I169" s="14" t="n">
        <v>1474.06</v>
      </c>
      <c r="J169" s="14" t="n">
        <v>1135.39</v>
      </c>
      <c r="K169" s="15" t="n">
        <v>0.6944</v>
      </c>
      <c r="L169" s="15" t="n">
        <v>0.5349</v>
      </c>
      <c r="M169" s="29" t="n">
        <v>26.79</v>
      </c>
    </row>
    <row r="170" customFormat="false" ht="15" hidden="false" customHeight="false" outlineLevel="0" collapsed="false">
      <c r="A170" s="24" t="n">
        <v>10603</v>
      </c>
      <c r="B170" s="8" t="s">
        <v>272</v>
      </c>
      <c r="C170" s="25" t="n">
        <v>10</v>
      </c>
      <c r="D170" s="25" t="n">
        <v>10</v>
      </c>
      <c r="E170" s="10" t="n">
        <v>0</v>
      </c>
      <c r="F170" s="10" t="n">
        <v>1877</v>
      </c>
      <c r="G170" s="10" t="n">
        <v>1877</v>
      </c>
      <c r="H170" s="10" t="n">
        <v>1098.44</v>
      </c>
      <c r="I170" s="10" t="n">
        <v>778.56</v>
      </c>
      <c r="J170" s="10" t="n">
        <v>262.91</v>
      </c>
      <c r="K170" s="11" t="n">
        <v>0.4148</v>
      </c>
      <c r="L170" s="11" t="n">
        <v>0.1401</v>
      </c>
      <c r="M170" s="26" t="n">
        <v>45</v>
      </c>
    </row>
    <row r="171" customFormat="false" ht="15" hidden="false" customHeight="false" outlineLevel="0" collapsed="false">
      <c r="A171" s="27" t="n">
        <v>10615</v>
      </c>
      <c r="B171" s="12" t="s">
        <v>171</v>
      </c>
      <c r="C171" s="28" t="n">
        <v>87</v>
      </c>
      <c r="D171" s="28" t="n">
        <v>87</v>
      </c>
      <c r="E171" s="14" t="n">
        <v>0</v>
      </c>
      <c r="F171" s="14" t="n">
        <v>14636.95</v>
      </c>
      <c r="G171" s="14" t="n">
        <v>14636.95</v>
      </c>
      <c r="H171" s="14" t="n">
        <v>8460.6799</v>
      </c>
      <c r="I171" s="14" t="n">
        <v>6176.27</v>
      </c>
      <c r="J171" s="14" t="n">
        <v>2914.99</v>
      </c>
      <c r="K171" s="15" t="n">
        <v>0.422</v>
      </c>
      <c r="L171" s="15" t="n">
        <v>0.1992</v>
      </c>
      <c r="M171" s="29" t="n">
        <v>43.52</v>
      </c>
    </row>
    <row r="172" customFormat="false" ht="15" hidden="false" customHeight="false" outlineLevel="0" collapsed="false">
      <c r="A172" s="24" t="n">
        <v>10616</v>
      </c>
      <c r="B172" s="8" t="s">
        <v>172</v>
      </c>
      <c r="C172" s="25" t="n">
        <v>190</v>
      </c>
      <c r="D172" s="25" t="n">
        <v>190</v>
      </c>
      <c r="E172" s="10" t="n">
        <v>0</v>
      </c>
      <c r="F172" s="10" t="n">
        <v>42029.4</v>
      </c>
      <c r="G172" s="10" t="n">
        <v>42029.4</v>
      </c>
      <c r="H172" s="10" t="n">
        <v>17434.394</v>
      </c>
      <c r="I172" s="10" t="n">
        <v>24595.01</v>
      </c>
      <c r="J172" s="10" t="n">
        <v>13048.69</v>
      </c>
      <c r="K172" s="11" t="n">
        <v>0.5852</v>
      </c>
      <c r="L172" s="11" t="n">
        <v>0.3105</v>
      </c>
      <c r="M172" s="26" t="n">
        <v>50</v>
      </c>
    </row>
    <row r="173" customFormat="false" ht="15" hidden="false" customHeight="false" outlineLevel="0" collapsed="false">
      <c r="A173" s="27" t="n">
        <v>10617</v>
      </c>
      <c r="B173" s="12" t="s">
        <v>173</v>
      </c>
      <c r="C173" s="28" t="n">
        <v>220</v>
      </c>
      <c r="D173" s="28" t="n">
        <v>220</v>
      </c>
      <c r="E173" s="14" t="n">
        <v>0</v>
      </c>
      <c r="F173" s="14" t="n">
        <v>23575.2</v>
      </c>
      <c r="G173" s="14" t="n">
        <v>23575.2</v>
      </c>
      <c r="H173" s="14" t="n">
        <v>7497.241</v>
      </c>
      <c r="I173" s="14" t="n">
        <v>16077.96</v>
      </c>
      <c r="J173" s="14" t="n">
        <v>9498.1</v>
      </c>
      <c r="K173" s="15" t="n">
        <v>0.682</v>
      </c>
      <c r="L173" s="15" t="n">
        <v>0.4029</v>
      </c>
      <c r="M173" s="29" t="n">
        <v>50</v>
      </c>
    </row>
    <row r="174" customFormat="false" ht="15" hidden="false" customHeight="false" outlineLevel="0" collapsed="false">
      <c r="A174" s="24" t="n">
        <v>10620</v>
      </c>
      <c r="B174" s="8" t="s">
        <v>174</v>
      </c>
      <c r="C174" s="25" t="n">
        <v>63</v>
      </c>
      <c r="D174" s="25" t="n">
        <v>63</v>
      </c>
      <c r="E174" s="10" t="n">
        <v>0</v>
      </c>
      <c r="F174" s="10" t="n">
        <v>5011.65</v>
      </c>
      <c r="G174" s="10" t="n">
        <v>5011.65</v>
      </c>
      <c r="H174" s="10" t="n">
        <v>2346.2679</v>
      </c>
      <c r="I174" s="10" t="n">
        <v>2665.38</v>
      </c>
      <c r="J174" s="10" t="n">
        <v>1288.58</v>
      </c>
      <c r="K174" s="11" t="n">
        <v>0.5318</v>
      </c>
      <c r="L174" s="11" t="n">
        <v>0.2571</v>
      </c>
      <c r="M174" s="26" t="n">
        <v>50</v>
      </c>
    </row>
    <row r="175" customFormat="false" ht="15" hidden="false" customHeight="false" outlineLevel="0" collapsed="false">
      <c r="A175" s="27" t="n">
        <v>10621</v>
      </c>
      <c r="B175" s="12" t="s">
        <v>175</v>
      </c>
      <c r="C175" s="28" t="n">
        <v>15</v>
      </c>
      <c r="D175" s="28" t="n">
        <v>15</v>
      </c>
      <c r="E175" s="14" t="n">
        <v>0</v>
      </c>
      <c r="F175" s="14" t="n">
        <v>8319.35</v>
      </c>
      <c r="G175" s="14" t="n">
        <v>8319.35</v>
      </c>
      <c r="H175" s="14" t="n">
        <v>1395.75</v>
      </c>
      <c r="I175" s="14" t="n">
        <v>6923.6</v>
      </c>
      <c r="J175" s="14" t="n">
        <v>4638.11</v>
      </c>
      <c r="K175" s="15" t="n">
        <v>0.8322</v>
      </c>
      <c r="L175" s="15" t="n">
        <v>0.5575</v>
      </c>
      <c r="M175" s="29" t="n">
        <v>50</v>
      </c>
    </row>
    <row r="176" customFormat="false" ht="15" hidden="false" customHeight="false" outlineLevel="0" collapsed="false">
      <c r="A176" s="24" t="n">
        <v>10624</v>
      </c>
      <c r="B176" s="8" t="s">
        <v>176</v>
      </c>
      <c r="C176" s="25" t="n">
        <v>11</v>
      </c>
      <c r="D176" s="25" t="n">
        <v>11</v>
      </c>
      <c r="E176" s="10" t="n">
        <v>0</v>
      </c>
      <c r="F176" s="10" t="n">
        <v>117612.11</v>
      </c>
      <c r="G176" s="10" t="n">
        <v>117612.11</v>
      </c>
      <c r="H176" s="10" t="n">
        <v>76273.09</v>
      </c>
      <c r="I176" s="10" t="n">
        <v>41339.02</v>
      </c>
      <c r="J176" s="10" t="n">
        <v>9028.65</v>
      </c>
      <c r="K176" s="11" t="n">
        <v>0.3515</v>
      </c>
      <c r="L176" s="11" t="n">
        <v>0.0768</v>
      </c>
      <c r="M176" s="26" t="n">
        <v>45</v>
      </c>
    </row>
    <row r="177" customFormat="false" ht="15" hidden="false" customHeight="false" outlineLevel="0" collapsed="false">
      <c r="A177" s="27" t="n">
        <v>10626</v>
      </c>
      <c r="B177" s="12" t="s">
        <v>177</v>
      </c>
      <c r="C177" s="28" t="n">
        <v>12</v>
      </c>
      <c r="D177" s="28" t="n">
        <v>12</v>
      </c>
      <c r="E177" s="14" t="n">
        <v>0</v>
      </c>
      <c r="F177" s="14" t="n">
        <v>4740</v>
      </c>
      <c r="G177" s="14" t="n">
        <v>4740</v>
      </c>
      <c r="H177" s="14" t="n">
        <v>2737.85</v>
      </c>
      <c r="I177" s="14" t="n">
        <v>2002.15</v>
      </c>
      <c r="J177" s="14" t="n">
        <v>928.33</v>
      </c>
      <c r="K177" s="15" t="n">
        <v>0.4224</v>
      </c>
      <c r="L177" s="15" t="n">
        <v>0.1959</v>
      </c>
      <c r="M177" s="29" t="n">
        <v>44</v>
      </c>
    </row>
    <row r="178" customFormat="false" ht="15" hidden="false" customHeight="false" outlineLevel="0" collapsed="false">
      <c r="A178" s="24" t="n">
        <v>10627</v>
      </c>
      <c r="B178" s="8" t="s">
        <v>178</v>
      </c>
      <c r="C178" s="25" t="n">
        <v>80</v>
      </c>
      <c r="D178" s="25" t="n">
        <v>80</v>
      </c>
      <c r="E178" s="10" t="n">
        <v>0</v>
      </c>
      <c r="F178" s="10" t="n">
        <v>2262.4</v>
      </c>
      <c r="G178" s="10" t="n">
        <v>2262.4</v>
      </c>
      <c r="H178" s="10" t="n">
        <v>597.949</v>
      </c>
      <c r="I178" s="10" t="n">
        <v>1664.45</v>
      </c>
      <c r="J178" s="10" t="n">
        <v>1042.93</v>
      </c>
      <c r="K178" s="11" t="n">
        <v>0.7357</v>
      </c>
      <c r="L178" s="11" t="n">
        <v>0.461</v>
      </c>
      <c r="M178" s="26" t="n">
        <v>50</v>
      </c>
    </row>
    <row r="179" customFormat="false" ht="15" hidden="false" customHeight="false" outlineLevel="0" collapsed="false">
      <c r="A179" s="27" t="n">
        <v>10628</v>
      </c>
      <c r="B179" s="12" t="s">
        <v>179</v>
      </c>
      <c r="C179" s="28" t="n">
        <v>2</v>
      </c>
      <c r="D179" s="28" t="n">
        <v>2</v>
      </c>
      <c r="E179" s="14" t="n">
        <v>0</v>
      </c>
      <c r="F179" s="14" t="n">
        <v>183.12</v>
      </c>
      <c r="G179" s="14" t="n">
        <v>183.12</v>
      </c>
      <c r="H179" s="14" t="n">
        <v>79.49</v>
      </c>
      <c r="I179" s="14" t="n">
        <v>103.63</v>
      </c>
      <c r="J179" s="14" t="n">
        <v>53.33</v>
      </c>
      <c r="K179" s="15" t="n">
        <v>0.5659</v>
      </c>
      <c r="L179" s="15" t="n">
        <v>0.2912</v>
      </c>
      <c r="M179" s="29" t="n">
        <v>50</v>
      </c>
    </row>
    <row r="180" customFormat="false" ht="15" hidden="false" customHeight="false" outlineLevel="0" collapsed="false">
      <c r="A180" s="24" t="n">
        <v>10636</v>
      </c>
      <c r="B180" s="8" t="s">
        <v>273</v>
      </c>
      <c r="C180" s="25" t="n">
        <v>20</v>
      </c>
      <c r="D180" s="25" t="n">
        <v>20</v>
      </c>
      <c r="E180" s="10" t="n">
        <v>0</v>
      </c>
      <c r="F180" s="10" t="n">
        <v>827</v>
      </c>
      <c r="G180" s="10" t="n">
        <v>827</v>
      </c>
      <c r="H180" s="10" t="n">
        <v>198.78</v>
      </c>
      <c r="I180" s="10" t="n">
        <v>628.22</v>
      </c>
      <c r="J180" s="10" t="n">
        <v>397.4</v>
      </c>
      <c r="K180" s="11" t="n">
        <v>0.7596</v>
      </c>
      <c r="L180" s="11" t="n">
        <v>0.4805</v>
      </c>
      <c r="M180" s="26" t="n">
        <v>50</v>
      </c>
    </row>
    <row r="181" customFormat="false" ht="15" hidden="false" customHeight="false" outlineLevel="0" collapsed="false">
      <c r="A181" s="27" t="n">
        <v>10637</v>
      </c>
      <c r="B181" s="12" t="s">
        <v>180</v>
      </c>
      <c r="C181" s="28" t="n">
        <v>77</v>
      </c>
      <c r="D181" s="28" t="n">
        <v>77</v>
      </c>
      <c r="E181" s="14" t="n">
        <v>0</v>
      </c>
      <c r="F181" s="14" t="n">
        <v>73866.6</v>
      </c>
      <c r="G181" s="14" t="n">
        <v>73866.6</v>
      </c>
      <c r="H181" s="14" t="n">
        <v>22744.92</v>
      </c>
      <c r="I181" s="14" t="n">
        <v>51121.68</v>
      </c>
      <c r="J181" s="14" t="n">
        <v>30505.52</v>
      </c>
      <c r="K181" s="15" t="n">
        <v>0.6921</v>
      </c>
      <c r="L181" s="15" t="n">
        <v>0.413</v>
      </c>
      <c r="M181" s="29" t="n">
        <v>45.11</v>
      </c>
    </row>
    <row r="182" customFormat="false" ht="15" hidden="false" customHeight="false" outlineLevel="0" collapsed="false">
      <c r="A182" s="24" t="n">
        <v>10665</v>
      </c>
      <c r="B182" s="8" t="s">
        <v>274</v>
      </c>
      <c r="C182" s="25" t="n">
        <v>10</v>
      </c>
      <c r="D182" s="25" t="n">
        <v>10</v>
      </c>
      <c r="E182" s="10" t="n">
        <v>0</v>
      </c>
      <c r="F182" s="10" t="n">
        <v>1467.4</v>
      </c>
      <c r="G182" s="10" t="n">
        <v>1467.4</v>
      </c>
      <c r="H182" s="10" t="n">
        <v>987.41</v>
      </c>
      <c r="I182" s="10" t="n">
        <v>479.99</v>
      </c>
      <c r="J182" s="10" t="n">
        <v>76.87</v>
      </c>
      <c r="K182" s="11" t="n">
        <v>0.3271</v>
      </c>
      <c r="L182" s="11" t="n">
        <v>0.0524</v>
      </c>
      <c r="M182" s="26" t="n">
        <v>50</v>
      </c>
    </row>
    <row r="183" customFormat="false" ht="15" hidden="false" customHeight="false" outlineLevel="0" collapsed="false">
      <c r="A183" s="27" t="n">
        <v>10673</v>
      </c>
      <c r="B183" s="12" t="s">
        <v>183</v>
      </c>
      <c r="C183" s="28" t="n">
        <v>24</v>
      </c>
      <c r="D183" s="28" t="n">
        <v>24</v>
      </c>
      <c r="E183" s="14" t="n">
        <v>0</v>
      </c>
      <c r="F183" s="14" t="n">
        <v>62899.2</v>
      </c>
      <c r="G183" s="14" t="n">
        <v>62899.2</v>
      </c>
      <c r="H183" s="14" t="n">
        <v>36980.6901</v>
      </c>
      <c r="I183" s="14" t="n">
        <v>25918.51</v>
      </c>
      <c r="J183" s="14" t="n">
        <v>8363.35</v>
      </c>
      <c r="K183" s="15" t="n">
        <v>0.4121</v>
      </c>
      <c r="L183" s="15" t="n">
        <v>0.133</v>
      </c>
      <c r="M183" s="29" t="n">
        <v>30.67</v>
      </c>
    </row>
    <row r="184" customFormat="false" ht="15" hidden="false" customHeight="false" outlineLevel="0" collapsed="false">
      <c r="A184" s="24" t="n">
        <v>10674</v>
      </c>
      <c r="B184" s="8" t="s">
        <v>184</v>
      </c>
      <c r="C184" s="25" t="n">
        <v>198</v>
      </c>
      <c r="D184" s="25" t="n">
        <v>198</v>
      </c>
      <c r="E184" s="10" t="n">
        <v>0</v>
      </c>
      <c r="F184" s="10" t="n">
        <v>28764.66</v>
      </c>
      <c r="G184" s="10" t="n">
        <v>28764.66</v>
      </c>
      <c r="H184" s="10" t="n">
        <v>18297.2901</v>
      </c>
      <c r="I184" s="10" t="n">
        <v>10467.37</v>
      </c>
      <c r="J184" s="10" t="n">
        <v>2592.43</v>
      </c>
      <c r="K184" s="11" t="n">
        <v>0.3639</v>
      </c>
      <c r="L184" s="11" t="n">
        <v>0.0901</v>
      </c>
      <c r="M184" s="26" t="n">
        <v>49.84</v>
      </c>
    </row>
    <row r="185" customFormat="false" ht="15" hidden="false" customHeight="false" outlineLevel="0" collapsed="false">
      <c r="A185" s="27" t="n">
        <v>10678</v>
      </c>
      <c r="B185" s="12" t="s">
        <v>185</v>
      </c>
      <c r="C185" s="28" t="n">
        <v>265</v>
      </c>
      <c r="D185" s="28" t="n">
        <v>265</v>
      </c>
      <c r="E185" s="14" t="n">
        <v>0</v>
      </c>
      <c r="F185" s="14" t="n">
        <v>23702.5</v>
      </c>
      <c r="G185" s="14" t="n">
        <v>23702.5</v>
      </c>
      <c r="H185" s="14" t="n">
        <v>11388.7184</v>
      </c>
      <c r="I185" s="14" t="n">
        <v>12313.78</v>
      </c>
      <c r="J185" s="14" t="n">
        <v>5904.68</v>
      </c>
      <c r="K185" s="15" t="n">
        <v>0.5195</v>
      </c>
      <c r="L185" s="15" t="n">
        <v>0.2491</v>
      </c>
      <c r="M185" s="29" t="n">
        <v>50</v>
      </c>
    </row>
    <row r="186" customFormat="false" ht="15" hidden="false" customHeight="false" outlineLevel="0" collapsed="false">
      <c r="A186" s="24" t="n">
        <v>10679</v>
      </c>
      <c r="B186" s="8" t="s">
        <v>158</v>
      </c>
      <c r="C186" s="25" t="n">
        <v>160</v>
      </c>
      <c r="D186" s="25" t="n">
        <v>160</v>
      </c>
      <c r="E186" s="10" t="n">
        <v>0</v>
      </c>
      <c r="F186" s="10" t="n">
        <v>17056</v>
      </c>
      <c r="G186" s="10" t="n">
        <v>17056</v>
      </c>
      <c r="H186" s="10" t="n">
        <v>14876.63</v>
      </c>
      <c r="I186" s="10" t="n">
        <v>2179.37</v>
      </c>
      <c r="J186" s="10" t="n">
        <v>-2025.8</v>
      </c>
      <c r="K186" s="11" t="n">
        <v>0.1278</v>
      </c>
      <c r="L186" s="11" t="n">
        <v>-0.1188</v>
      </c>
      <c r="M186" s="26" t="n">
        <v>50</v>
      </c>
    </row>
    <row r="187" customFormat="false" ht="15" hidden="false" customHeight="false" outlineLevel="0" collapsed="false">
      <c r="A187" s="27" t="n">
        <v>10686</v>
      </c>
      <c r="B187" s="12" t="s">
        <v>275</v>
      </c>
      <c r="C187" s="28" t="n">
        <v>4</v>
      </c>
      <c r="D187" s="28" t="n">
        <v>4</v>
      </c>
      <c r="E187" s="14" t="n">
        <v>0</v>
      </c>
      <c r="F187" s="14" t="n">
        <v>120202</v>
      </c>
      <c r="G187" s="14" t="n">
        <v>120202</v>
      </c>
      <c r="H187" s="14" t="n">
        <v>30355.51</v>
      </c>
      <c r="I187" s="14" t="n">
        <v>89846.49</v>
      </c>
      <c r="J187" s="14" t="n">
        <v>56824.6</v>
      </c>
      <c r="K187" s="15" t="n">
        <v>0.7475</v>
      </c>
      <c r="L187" s="15" t="n">
        <v>0.4727</v>
      </c>
      <c r="M187" s="29" t="n">
        <v>50</v>
      </c>
    </row>
    <row r="188" customFormat="false" ht="15" hidden="false" customHeight="false" outlineLevel="0" collapsed="false">
      <c r="A188" s="24" t="n">
        <v>10697</v>
      </c>
      <c r="B188" s="8" t="s">
        <v>186</v>
      </c>
      <c r="C188" s="25" t="n">
        <v>2</v>
      </c>
      <c r="D188" s="25" t="n">
        <v>2</v>
      </c>
      <c r="E188" s="10" t="n">
        <v>0</v>
      </c>
      <c r="F188" s="10" t="n">
        <v>531.76</v>
      </c>
      <c r="G188" s="10" t="n">
        <v>531.76</v>
      </c>
      <c r="H188" s="10" t="n">
        <v>160.27</v>
      </c>
      <c r="I188" s="10" t="n">
        <v>371.49</v>
      </c>
      <c r="J188" s="10" t="n">
        <v>225.4</v>
      </c>
      <c r="K188" s="11" t="n">
        <v>0.6986</v>
      </c>
      <c r="L188" s="11" t="n">
        <v>0.4239</v>
      </c>
      <c r="M188" s="26" t="n">
        <v>50</v>
      </c>
    </row>
    <row r="189" customFormat="false" ht="15" hidden="false" customHeight="false" outlineLevel="0" collapsed="false">
      <c r="A189" s="27" t="n">
        <v>10711</v>
      </c>
      <c r="B189" s="12" t="s">
        <v>276</v>
      </c>
      <c r="C189" s="28" t="n">
        <v>1</v>
      </c>
      <c r="D189" s="28" t="n">
        <v>1</v>
      </c>
      <c r="E189" s="14" t="n">
        <v>0</v>
      </c>
      <c r="F189" s="14" t="n">
        <v>203.9</v>
      </c>
      <c r="G189" s="14" t="n">
        <v>203.9</v>
      </c>
      <c r="H189" s="14" t="n">
        <v>110.12</v>
      </c>
      <c r="I189" s="14" t="n">
        <v>93.78</v>
      </c>
      <c r="J189" s="14" t="n">
        <v>37.76</v>
      </c>
      <c r="K189" s="15" t="n">
        <v>0.4599</v>
      </c>
      <c r="L189" s="15" t="n">
        <v>0.1852</v>
      </c>
      <c r="M189" s="29" t="n">
        <v>50</v>
      </c>
    </row>
    <row r="190" customFormat="false" ht="15" hidden="false" customHeight="false" outlineLevel="0" collapsed="false">
      <c r="A190" s="24" t="n">
        <v>10712</v>
      </c>
      <c r="B190" s="8" t="s">
        <v>189</v>
      </c>
      <c r="C190" s="25" t="n">
        <v>2291</v>
      </c>
      <c r="D190" s="25" t="n">
        <v>2291</v>
      </c>
      <c r="E190" s="10" t="n">
        <v>0</v>
      </c>
      <c r="F190" s="10" t="n">
        <v>8591.25</v>
      </c>
      <c r="G190" s="10" t="n">
        <v>8591.25</v>
      </c>
      <c r="H190" s="10" t="n">
        <v>4152.6608</v>
      </c>
      <c r="I190" s="10" t="n">
        <v>4438.58</v>
      </c>
      <c r="J190" s="10" t="n">
        <v>2040.77</v>
      </c>
      <c r="K190" s="11" t="n">
        <v>0.5166</v>
      </c>
      <c r="L190" s="11" t="n">
        <v>0.2375</v>
      </c>
      <c r="M190" s="26" t="n">
        <v>45.28</v>
      </c>
    </row>
    <row r="191" customFormat="false" ht="15" hidden="false" customHeight="false" outlineLevel="0" collapsed="false">
      <c r="A191" s="27" t="n">
        <v>10721</v>
      </c>
      <c r="B191" s="12" t="s">
        <v>190</v>
      </c>
      <c r="C191" s="28" t="n">
        <v>3</v>
      </c>
      <c r="D191" s="28" t="n">
        <v>3</v>
      </c>
      <c r="E191" s="14" t="n">
        <v>0</v>
      </c>
      <c r="F191" s="14" t="n">
        <v>35367.15</v>
      </c>
      <c r="G191" s="14" t="n">
        <v>35367.15</v>
      </c>
      <c r="H191" s="14" t="n">
        <v>19727.82</v>
      </c>
      <c r="I191" s="14" t="n">
        <v>15639.33</v>
      </c>
      <c r="J191" s="14" t="n">
        <v>7059.26</v>
      </c>
      <c r="K191" s="15" t="n">
        <v>0.4422</v>
      </c>
      <c r="L191" s="15" t="n">
        <v>0.1996</v>
      </c>
      <c r="M191" s="29" t="n">
        <v>38</v>
      </c>
    </row>
    <row r="192" customFormat="false" ht="15" hidden="false" customHeight="false" outlineLevel="0" collapsed="false">
      <c r="A192" s="24" t="n">
        <v>10722</v>
      </c>
      <c r="B192" s="8" t="s">
        <v>191</v>
      </c>
      <c r="C192" s="25" t="n">
        <v>12</v>
      </c>
      <c r="D192" s="25" t="n">
        <v>12</v>
      </c>
      <c r="E192" s="10" t="n">
        <v>0</v>
      </c>
      <c r="F192" s="10" t="n">
        <v>131307.56</v>
      </c>
      <c r="G192" s="10" t="n">
        <v>131307.56</v>
      </c>
      <c r="H192" s="10" t="n">
        <v>70688.3299</v>
      </c>
      <c r="I192" s="10" t="n">
        <v>60619.23</v>
      </c>
      <c r="J192" s="10" t="n">
        <v>28764.01</v>
      </c>
      <c r="K192" s="11" t="n">
        <v>0.4617</v>
      </c>
      <c r="L192" s="11" t="n">
        <v>0.2191</v>
      </c>
      <c r="M192" s="26" t="n">
        <v>34.74</v>
      </c>
    </row>
    <row r="193" customFormat="false" ht="15" hidden="false" customHeight="false" outlineLevel="0" collapsed="false">
      <c r="A193" s="27" t="n">
        <v>10723</v>
      </c>
      <c r="B193" s="12" t="s">
        <v>192</v>
      </c>
      <c r="C193" s="28" t="n">
        <v>2</v>
      </c>
      <c r="D193" s="28" t="n">
        <v>2</v>
      </c>
      <c r="E193" s="14" t="n">
        <v>0</v>
      </c>
      <c r="F193" s="14" t="n">
        <v>2200</v>
      </c>
      <c r="G193" s="14" t="n">
        <v>2200</v>
      </c>
      <c r="H193" s="14" t="n">
        <v>1058.61</v>
      </c>
      <c r="I193" s="14" t="n">
        <v>1141.39</v>
      </c>
      <c r="J193" s="14" t="n">
        <v>537.01</v>
      </c>
      <c r="K193" s="15" t="n">
        <v>0.5188</v>
      </c>
      <c r="L193" s="15" t="n">
        <v>0.2441</v>
      </c>
      <c r="M193" s="29" t="n">
        <v>50</v>
      </c>
    </row>
    <row r="194" customFormat="false" ht="15" hidden="false" customHeight="false" outlineLevel="0" collapsed="false">
      <c r="A194" s="24" t="n">
        <v>10730</v>
      </c>
      <c r="B194" s="8" t="s">
        <v>193</v>
      </c>
      <c r="C194" s="25" t="n">
        <v>40</v>
      </c>
      <c r="D194" s="25" t="n">
        <v>40</v>
      </c>
      <c r="E194" s="10" t="n">
        <v>0</v>
      </c>
      <c r="F194" s="10" t="n">
        <v>530</v>
      </c>
      <c r="G194" s="10" t="n">
        <v>530</v>
      </c>
      <c r="H194" s="10" t="n">
        <v>235.19</v>
      </c>
      <c r="I194" s="10" t="n">
        <v>294.81</v>
      </c>
      <c r="J194" s="10" t="n">
        <v>149.21</v>
      </c>
      <c r="K194" s="11" t="n">
        <v>0.5562</v>
      </c>
      <c r="L194" s="11" t="n">
        <v>0.2815</v>
      </c>
      <c r="M194" s="26" t="n">
        <v>31.25</v>
      </c>
    </row>
    <row r="195" customFormat="false" ht="15" hidden="false" customHeight="false" outlineLevel="0" collapsed="false">
      <c r="A195" s="27" t="n">
        <v>10732</v>
      </c>
      <c r="B195" s="12" t="s">
        <v>277</v>
      </c>
      <c r="C195" s="28" t="n">
        <v>1</v>
      </c>
      <c r="D195" s="28" t="n">
        <v>1</v>
      </c>
      <c r="E195" s="14" t="n">
        <v>0</v>
      </c>
      <c r="F195" s="14" t="n">
        <v>964.22</v>
      </c>
      <c r="G195" s="14" t="n">
        <v>964.22</v>
      </c>
      <c r="H195" s="14" t="n">
        <v>357.21</v>
      </c>
      <c r="I195" s="14" t="n">
        <v>607.01</v>
      </c>
      <c r="J195" s="14" t="n">
        <v>337.89</v>
      </c>
      <c r="K195" s="15" t="n">
        <v>0.6295</v>
      </c>
      <c r="L195" s="15" t="n">
        <v>0.3504</v>
      </c>
      <c r="M195" s="29" t="n">
        <v>30</v>
      </c>
    </row>
    <row r="196" customFormat="false" ht="15" hidden="false" customHeight="false" outlineLevel="0" collapsed="false">
      <c r="A196" s="24" t="n">
        <v>40004</v>
      </c>
      <c r="B196" s="8" t="s">
        <v>278</v>
      </c>
      <c r="C196" s="25" t="n">
        <v>2</v>
      </c>
      <c r="D196" s="25" t="n">
        <v>2</v>
      </c>
      <c r="E196" s="10" t="n">
        <v>0</v>
      </c>
      <c r="F196" s="10" t="n">
        <v>396.66</v>
      </c>
      <c r="G196" s="10" t="n">
        <v>396.66</v>
      </c>
      <c r="H196" s="10" t="n">
        <v>37.61</v>
      </c>
      <c r="I196" s="10" t="n">
        <v>359.05</v>
      </c>
      <c r="J196" s="10" t="n">
        <v>250.08</v>
      </c>
      <c r="K196" s="11" t="n">
        <v>0.9052</v>
      </c>
      <c r="L196" s="11" t="n">
        <v>0.6305</v>
      </c>
      <c r="M196" s="26" t="n">
        <v>32</v>
      </c>
    </row>
    <row r="197" customFormat="false" ht="15" hidden="false" customHeight="false" outlineLevel="0" collapsed="false">
      <c r="A197" s="27" t="n">
        <v>40005</v>
      </c>
      <c r="B197" s="12" t="s">
        <v>195</v>
      </c>
      <c r="C197" s="28" t="n">
        <v>1</v>
      </c>
      <c r="D197" s="28" t="n">
        <v>1</v>
      </c>
      <c r="E197" s="14" t="n">
        <v>0</v>
      </c>
      <c r="F197" s="14" t="n">
        <v>458.56</v>
      </c>
      <c r="G197" s="14" t="n">
        <v>458.56</v>
      </c>
      <c r="H197" s="14" t="n">
        <v>173.13</v>
      </c>
      <c r="I197" s="14" t="n">
        <v>285.43</v>
      </c>
      <c r="J197" s="14" t="n">
        <v>157.45</v>
      </c>
      <c r="K197" s="15" t="n">
        <v>0.6224</v>
      </c>
      <c r="L197" s="15" t="n">
        <v>0.3434</v>
      </c>
      <c r="M197" s="29" t="n">
        <v>30</v>
      </c>
    </row>
    <row r="198" customFormat="false" ht="15" hidden="false" customHeight="false" outlineLevel="0" collapsed="false">
      <c r="A198" s="24" t="n">
        <v>40009</v>
      </c>
      <c r="B198" s="8" t="s">
        <v>279</v>
      </c>
      <c r="C198" s="25" t="n">
        <v>7</v>
      </c>
      <c r="D198" s="25" t="n">
        <v>7</v>
      </c>
      <c r="E198" s="10" t="n">
        <v>0</v>
      </c>
      <c r="F198" s="10" t="n">
        <v>382.62</v>
      </c>
      <c r="G198" s="10" t="n">
        <v>382.62</v>
      </c>
      <c r="H198" s="10" t="n">
        <v>163.87</v>
      </c>
      <c r="I198" s="10" t="n">
        <v>218.75</v>
      </c>
      <c r="J198" s="10" t="n">
        <v>113.63</v>
      </c>
      <c r="K198" s="11" t="n">
        <v>0.5717</v>
      </c>
      <c r="L198" s="11" t="n">
        <v>0.297</v>
      </c>
      <c r="M198" s="26" t="n">
        <v>37.71</v>
      </c>
    </row>
    <row r="199" customFormat="false" ht="15" hidden="false" customHeight="false" outlineLevel="0" collapsed="false">
      <c r="A199" s="27" t="n">
        <v>50087</v>
      </c>
      <c r="B199" s="12" t="s">
        <v>280</v>
      </c>
      <c r="C199" s="28" t="n">
        <v>16</v>
      </c>
      <c r="D199" s="28" t="n">
        <v>16</v>
      </c>
      <c r="E199" s="14" t="n">
        <v>0</v>
      </c>
      <c r="F199" s="14" t="n">
        <v>187.36</v>
      </c>
      <c r="G199" s="14" t="n">
        <v>187.36</v>
      </c>
      <c r="H199" s="14" t="n">
        <v>126.2898</v>
      </c>
      <c r="I199" s="14" t="n">
        <v>61.07</v>
      </c>
      <c r="J199" s="14" t="n">
        <v>8.78</v>
      </c>
      <c r="K199" s="15" t="n">
        <v>0.326</v>
      </c>
      <c r="L199" s="15" t="n">
        <v>0.0469</v>
      </c>
      <c r="M199" s="29" t="n">
        <v>50</v>
      </c>
    </row>
    <row r="200" customFormat="false" ht="15" hidden="false" customHeight="false" outlineLevel="0" collapsed="false">
      <c r="A200" s="24" t="n">
        <v>50340</v>
      </c>
      <c r="B200" s="8" t="s">
        <v>196</v>
      </c>
      <c r="C200" s="25" t="n">
        <v>2</v>
      </c>
      <c r="D200" s="25" t="n">
        <v>2</v>
      </c>
      <c r="E200" s="10" t="n">
        <v>0</v>
      </c>
      <c r="F200" s="10" t="n">
        <v>27.48</v>
      </c>
      <c r="G200" s="10" t="n">
        <v>27.48</v>
      </c>
      <c r="H200" s="10" t="n">
        <v>11.52</v>
      </c>
      <c r="I200" s="10" t="n">
        <v>15.96</v>
      </c>
      <c r="J200" s="10" t="n">
        <v>9.74</v>
      </c>
      <c r="K200" s="11" t="n">
        <v>0.5808</v>
      </c>
      <c r="L200" s="11" t="n">
        <v>0.3544</v>
      </c>
      <c r="M200" s="26" t="n">
        <v>7</v>
      </c>
    </row>
    <row r="201" customFormat="false" ht="15" hidden="false" customHeight="false" outlineLevel="0" collapsed="false">
      <c r="A201" s="27" t="n">
        <v>50356</v>
      </c>
      <c r="B201" s="12" t="s">
        <v>281</v>
      </c>
      <c r="C201" s="28" t="n">
        <v>10</v>
      </c>
      <c r="D201" s="28" t="n">
        <v>10</v>
      </c>
      <c r="E201" s="14" t="n">
        <v>0</v>
      </c>
      <c r="F201" s="14" t="n">
        <v>65</v>
      </c>
      <c r="G201" s="14" t="n">
        <v>65</v>
      </c>
      <c r="H201" s="14" t="n">
        <v>12.28</v>
      </c>
      <c r="I201" s="14" t="n">
        <v>52.72</v>
      </c>
      <c r="J201" s="14" t="n">
        <v>44.75</v>
      </c>
      <c r="K201" s="15" t="n">
        <v>0.8111</v>
      </c>
      <c r="L201" s="15" t="n">
        <v>0.6885</v>
      </c>
      <c r="M201" s="29" t="n">
        <v>16</v>
      </c>
    </row>
    <row r="202" customFormat="false" ht="15" hidden="false" customHeight="false" outlineLevel="0" collapsed="false">
      <c r="A202" s="24" t="n">
        <v>50999</v>
      </c>
      <c r="B202" s="8" t="s">
        <v>197</v>
      </c>
      <c r="C202" s="25" t="n">
        <v>9</v>
      </c>
      <c r="D202" s="25" t="n">
        <v>9</v>
      </c>
      <c r="E202" s="10" t="n">
        <v>0</v>
      </c>
      <c r="F202" s="10" t="n">
        <v>1185.6</v>
      </c>
      <c r="G202" s="10" t="n">
        <v>1185.6</v>
      </c>
      <c r="H202" s="10" t="n">
        <v>135.9297</v>
      </c>
      <c r="I202" s="10" t="n">
        <v>1049.67</v>
      </c>
      <c r="J202" s="10" t="n">
        <v>841.88</v>
      </c>
      <c r="K202" s="11" t="n">
        <v>0.8853</v>
      </c>
      <c r="L202" s="11" t="n">
        <v>0.7101</v>
      </c>
      <c r="M202" s="26" t="n">
        <v>12.88</v>
      </c>
    </row>
    <row r="203" customFormat="false" ht="15" hidden="false" customHeight="false" outlineLevel="0" collapsed="false">
      <c r="A203" s="27" t="n">
        <v>51192</v>
      </c>
      <c r="B203" s="12" t="s">
        <v>282</v>
      </c>
      <c r="C203" s="28" t="n">
        <v>6</v>
      </c>
      <c r="D203" s="28" t="n">
        <v>6</v>
      </c>
      <c r="E203" s="14" t="n">
        <v>0</v>
      </c>
      <c r="F203" s="14" t="n">
        <v>296.64</v>
      </c>
      <c r="G203" s="14" t="n">
        <v>296.64</v>
      </c>
      <c r="H203" s="14" t="n">
        <v>34.89</v>
      </c>
      <c r="I203" s="14" t="n">
        <v>261.75</v>
      </c>
      <c r="J203" s="14" t="n">
        <v>194.55</v>
      </c>
      <c r="K203" s="15" t="n">
        <v>0.8824</v>
      </c>
      <c r="L203" s="15" t="n">
        <v>0.6558</v>
      </c>
      <c r="M203" s="29" t="n">
        <v>60</v>
      </c>
    </row>
    <row r="204" customFormat="false" ht="15" hidden="false" customHeight="false" outlineLevel="0" collapsed="false">
      <c r="A204" s="24" t="n">
        <v>51378</v>
      </c>
      <c r="B204" s="8" t="s">
        <v>200</v>
      </c>
      <c r="C204" s="25" t="n">
        <v>11</v>
      </c>
      <c r="D204" s="25" t="n">
        <v>11</v>
      </c>
      <c r="E204" s="10" t="n">
        <v>0</v>
      </c>
      <c r="F204" s="10" t="n">
        <v>2004.65</v>
      </c>
      <c r="G204" s="10" t="n">
        <v>2004.65</v>
      </c>
      <c r="H204" s="10" t="n">
        <v>1331.2301</v>
      </c>
      <c r="I204" s="10" t="n">
        <v>673.42</v>
      </c>
      <c r="J204" s="10" t="n">
        <v>122.71</v>
      </c>
      <c r="K204" s="11" t="n">
        <v>0.3359</v>
      </c>
      <c r="L204" s="11" t="n">
        <v>0.0612</v>
      </c>
      <c r="M204" s="26" t="n">
        <v>58.11</v>
      </c>
    </row>
    <row r="205" customFormat="false" ht="15" hidden="false" customHeight="false" outlineLevel="0" collapsed="false">
      <c r="A205" s="27" t="n">
        <v>51630</v>
      </c>
      <c r="B205" s="12" t="s">
        <v>202</v>
      </c>
      <c r="C205" s="28" t="n">
        <v>8</v>
      </c>
      <c r="D205" s="28" t="n">
        <v>8</v>
      </c>
      <c r="E205" s="14" t="n">
        <v>0</v>
      </c>
      <c r="F205" s="14" t="n">
        <v>274.24</v>
      </c>
      <c r="G205" s="14" t="n">
        <v>274.24</v>
      </c>
      <c r="H205" s="14" t="n">
        <v>42.48</v>
      </c>
      <c r="I205" s="14" t="n">
        <v>231.76</v>
      </c>
      <c r="J205" s="14" t="n">
        <v>156.42</v>
      </c>
      <c r="K205" s="15" t="n">
        <v>0.8451</v>
      </c>
      <c r="L205" s="15" t="n">
        <v>0.5704</v>
      </c>
      <c r="M205" s="29" t="n">
        <v>50</v>
      </c>
    </row>
    <row r="206" customFormat="false" ht="15" hidden="false" customHeight="false" outlineLevel="0" collapsed="false">
      <c r="A206" s="24" t="n">
        <v>51644</v>
      </c>
      <c r="B206" s="8" t="s">
        <v>283</v>
      </c>
      <c r="C206" s="25" t="n">
        <v>200</v>
      </c>
      <c r="D206" s="25" t="n">
        <v>200</v>
      </c>
      <c r="E206" s="10" t="n">
        <v>0</v>
      </c>
      <c r="F206" s="10" t="n">
        <v>338</v>
      </c>
      <c r="G206" s="10" t="n">
        <v>338</v>
      </c>
      <c r="H206" s="10" t="n">
        <v>18.72</v>
      </c>
      <c r="I206" s="10" t="n">
        <v>319.28</v>
      </c>
      <c r="J206" s="10" t="n">
        <v>226.42</v>
      </c>
      <c r="K206" s="11" t="n">
        <v>0.9446</v>
      </c>
      <c r="L206" s="11" t="n">
        <v>0.6699</v>
      </c>
      <c r="M206" s="26" t="n">
        <v>50</v>
      </c>
    </row>
    <row r="207" customFormat="false" ht="15" hidden="false" customHeight="false" outlineLevel="0" collapsed="false">
      <c r="A207" s="27" t="n">
        <v>52566</v>
      </c>
      <c r="B207" s="12" t="s">
        <v>205</v>
      </c>
      <c r="C207" s="28" t="n">
        <v>2</v>
      </c>
      <c r="D207" s="28" t="n">
        <v>2</v>
      </c>
      <c r="E207" s="14" t="n">
        <v>0</v>
      </c>
      <c r="F207" s="14" t="n">
        <v>363.8</v>
      </c>
      <c r="G207" s="14" t="n">
        <v>363.8</v>
      </c>
      <c r="H207" s="14" t="n">
        <v>163.13</v>
      </c>
      <c r="I207" s="14" t="n">
        <v>200.67</v>
      </c>
      <c r="J207" s="14" t="n">
        <v>100.72</v>
      </c>
      <c r="K207" s="15" t="n">
        <v>0.5516</v>
      </c>
      <c r="L207" s="15" t="n">
        <v>0.2769</v>
      </c>
      <c r="M207" s="29" t="n">
        <v>60</v>
      </c>
    </row>
    <row r="208" customFormat="false" ht="15" hidden="false" customHeight="false" outlineLevel="0" collapsed="false">
      <c r="A208" s="24" t="n">
        <v>52585</v>
      </c>
      <c r="B208" s="8" t="s">
        <v>284</v>
      </c>
      <c r="C208" s="25" t="n">
        <v>20</v>
      </c>
      <c r="D208" s="25" t="n">
        <v>20</v>
      </c>
      <c r="E208" s="10" t="n">
        <v>0</v>
      </c>
      <c r="F208" s="10" t="n">
        <v>1648.4</v>
      </c>
      <c r="G208" s="10" t="n">
        <v>1648.4</v>
      </c>
      <c r="H208" s="10" t="n">
        <v>274</v>
      </c>
      <c r="I208" s="10" t="n">
        <v>1374.4</v>
      </c>
      <c r="J208" s="10" t="n">
        <v>921.56</v>
      </c>
      <c r="K208" s="11" t="n">
        <v>0.8338</v>
      </c>
      <c r="L208" s="11" t="n">
        <v>0.5591</v>
      </c>
      <c r="M208" s="26" t="n">
        <v>31.5</v>
      </c>
    </row>
    <row r="209" customFormat="false" ht="15" hidden="false" customHeight="false" outlineLevel="0" collapsed="false">
      <c r="A209" s="27" t="n">
        <v>52589</v>
      </c>
      <c r="B209" s="12" t="s">
        <v>285</v>
      </c>
      <c r="C209" s="28" t="n">
        <v>1</v>
      </c>
      <c r="D209" s="28" t="n">
        <v>1</v>
      </c>
      <c r="E209" s="14" t="n">
        <v>0</v>
      </c>
      <c r="F209" s="14" t="n">
        <v>364.9</v>
      </c>
      <c r="G209" s="14" t="n">
        <v>364.9</v>
      </c>
      <c r="H209" s="14" t="n">
        <v>155.19</v>
      </c>
      <c r="I209" s="14" t="n">
        <v>209.71</v>
      </c>
      <c r="J209" s="14" t="n">
        <v>109.47</v>
      </c>
      <c r="K209" s="15" t="n">
        <v>0.5747</v>
      </c>
      <c r="L209" s="15" t="n">
        <v>0.3</v>
      </c>
      <c r="M209" s="29" t="n">
        <v>30</v>
      </c>
    </row>
    <row r="210" customFormat="false" ht="15" hidden="false" customHeight="false" outlineLevel="0" collapsed="false">
      <c r="A210" s="24" t="n">
        <v>53119</v>
      </c>
      <c r="B210" s="8" t="s">
        <v>210</v>
      </c>
      <c r="C210" s="25" t="n">
        <v>2</v>
      </c>
      <c r="D210" s="25" t="n">
        <v>2</v>
      </c>
      <c r="E210" s="10" t="n">
        <v>0</v>
      </c>
      <c r="F210" s="10" t="n">
        <v>464</v>
      </c>
      <c r="G210" s="10" t="n">
        <v>464</v>
      </c>
      <c r="H210" s="10" t="n">
        <v>197.79</v>
      </c>
      <c r="I210" s="10" t="n">
        <v>266.21</v>
      </c>
      <c r="J210" s="10" t="n">
        <v>138.74</v>
      </c>
      <c r="K210" s="11" t="n">
        <v>0.5737</v>
      </c>
      <c r="L210" s="11" t="n">
        <v>0.299</v>
      </c>
      <c r="M210" s="26" t="n">
        <v>60</v>
      </c>
    </row>
    <row r="211" customFormat="false" ht="15" hidden="false" customHeight="false" outlineLevel="0" collapsed="false">
      <c r="A211" s="27" t="n">
        <v>54797</v>
      </c>
      <c r="B211" s="12" t="s">
        <v>286</v>
      </c>
      <c r="C211" s="28" t="n">
        <v>6</v>
      </c>
      <c r="D211" s="28" t="n">
        <v>6</v>
      </c>
      <c r="E211" s="14" t="n">
        <v>0</v>
      </c>
      <c r="F211" s="14" t="n">
        <v>986.4</v>
      </c>
      <c r="G211" s="14" t="n">
        <v>986.4</v>
      </c>
      <c r="H211" s="14" t="n">
        <v>156.7002</v>
      </c>
      <c r="I211" s="14" t="n">
        <v>829.7</v>
      </c>
      <c r="J211" s="14" t="n">
        <v>558.71</v>
      </c>
      <c r="K211" s="15" t="n">
        <v>0.8411</v>
      </c>
      <c r="L211" s="15" t="n">
        <v>0.5664</v>
      </c>
      <c r="M211" s="29" t="n">
        <v>71</v>
      </c>
    </row>
    <row r="212" customFormat="false" ht="15" hidden="false" customHeight="false" outlineLevel="0" collapsed="false">
      <c r="A212" s="24" t="n">
        <v>54801</v>
      </c>
      <c r="B212" s="8" t="s">
        <v>213</v>
      </c>
      <c r="C212" s="25" t="n">
        <v>55</v>
      </c>
      <c r="D212" s="25" t="n">
        <v>55</v>
      </c>
      <c r="E212" s="10" t="n">
        <v>0</v>
      </c>
      <c r="F212" s="10" t="n">
        <v>18661.5</v>
      </c>
      <c r="G212" s="10" t="n">
        <v>18661.5</v>
      </c>
      <c r="H212" s="10" t="n">
        <v>9379.3096</v>
      </c>
      <c r="I212" s="10" t="n">
        <v>9282.19</v>
      </c>
      <c r="J212" s="10" t="n">
        <v>4155.51</v>
      </c>
      <c r="K212" s="11" t="n">
        <v>0.4974</v>
      </c>
      <c r="L212" s="11" t="n">
        <v>0.2227</v>
      </c>
      <c r="M212" s="26" t="n">
        <v>31.38</v>
      </c>
    </row>
    <row r="213" customFormat="false" ht="15" hidden="false" customHeight="false" outlineLevel="0" collapsed="false">
      <c r="A213" s="27" t="n">
        <v>55105</v>
      </c>
      <c r="B213" s="12" t="s">
        <v>287</v>
      </c>
      <c r="C213" s="28" t="n">
        <v>17</v>
      </c>
      <c r="D213" s="28" t="n">
        <v>17</v>
      </c>
      <c r="E213" s="14" t="n">
        <v>0</v>
      </c>
      <c r="F213" s="14" t="n">
        <v>48.79</v>
      </c>
      <c r="G213" s="14" t="n">
        <v>48.79</v>
      </c>
      <c r="H213" s="14" t="n">
        <v>20.5604</v>
      </c>
      <c r="I213" s="14" t="n">
        <v>28.23</v>
      </c>
      <c r="J213" s="14" t="n">
        <v>16.39</v>
      </c>
      <c r="K213" s="15" t="n">
        <v>0.5786</v>
      </c>
      <c r="L213" s="15" t="n">
        <v>0.3359</v>
      </c>
      <c r="M213" s="29" t="n">
        <v>32.76</v>
      </c>
    </row>
    <row r="214" customFormat="false" ht="15" hidden="false" customHeight="false" outlineLevel="0" collapsed="false">
      <c r="A214" s="24" t="n">
        <v>55626</v>
      </c>
      <c r="B214" s="8" t="s">
        <v>288</v>
      </c>
      <c r="C214" s="25" t="n">
        <v>20</v>
      </c>
      <c r="D214" s="25" t="n">
        <v>20</v>
      </c>
      <c r="E214" s="10" t="n">
        <v>0</v>
      </c>
      <c r="F214" s="10" t="n">
        <v>1673.2</v>
      </c>
      <c r="G214" s="10" t="n">
        <v>1673.2</v>
      </c>
      <c r="H214" s="10" t="n">
        <v>759.5</v>
      </c>
      <c r="I214" s="10" t="n">
        <v>913.7</v>
      </c>
      <c r="J214" s="10" t="n">
        <v>507.78</v>
      </c>
      <c r="K214" s="11" t="n">
        <v>0.5461</v>
      </c>
      <c r="L214" s="11" t="n">
        <v>0.3035</v>
      </c>
      <c r="M214" s="26" t="n">
        <v>36.25</v>
      </c>
    </row>
    <row r="215" customFormat="false" ht="15" hidden="false" customHeight="false" outlineLevel="0" collapsed="false">
      <c r="A215" s="27" t="n">
        <v>55631</v>
      </c>
      <c r="B215" s="12" t="s">
        <v>217</v>
      </c>
      <c r="C215" s="28" t="n">
        <v>2</v>
      </c>
      <c r="D215" s="28" t="n">
        <v>2</v>
      </c>
      <c r="E215" s="14" t="n">
        <v>0</v>
      </c>
      <c r="F215" s="14" t="n">
        <v>406.22</v>
      </c>
      <c r="G215" s="14" t="n">
        <v>406.22</v>
      </c>
      <c r="H215" s="14" t="n">
        <v>193.41</v>
      </c>
      <c r="I215" s="14" t="n">
        <v>212.81</v>
      </c>
      <c r="J215" s="14" t="n">
        <v>101.21</v>
      </c>
      <c r="K215" s="15" t="n">
        <v>0.5239</v>
      </c>
      <c r="L215" s="15" t="n">
        <v>0.2492</v>
      </c>
      <c r="M215" s="29" t="n">
        <v>35</v>
      </c>
    </row>
    <row r="216" customFormat="false" ht="15" hidden="false" customHeight="false" outlineLevel="0" collapsed="false">
      <c r="A216" s="24" t="n">
        <v>56262</v>
      </c>
      <c r="B216" s="8" t="s">
        <v>218</v>
      </c>
      <c r="C216" s="25" t="n">
        <v>10</v>
      </c>
      <c r="D216" s="25" t="n">
        <v>10</v>
      </c>
      <c r="E216" s="10" t="n">
        <v>0</v>
      </c>
      <c r="F216" s="10" t="n">
        <v>4035.9</v>
      </c>
      <c r="G216" s="10" t="n">
        <v>4035.9</v>
      </c>
      <c r="H216" s="10" t="n">
        <v>1631.14</v>
      </c>
      <c r="I216" s="10" t="n">
        <v>2404.76</v>
      </c>
      <c r="J216" s="10" t="n">
        <v>1296.02</v>
      </c>
      <c r="K216" s="11" t="n">
        <v>0.5958</v>
      </c>
      <c r="L216" s="11" t="n">
        <v>0.3211</v>
      </c>
      <c r="M216" s="26" t="n">
        <v>38</v>
      </c>
    </row>
    <row r="217" customFormat="false" ht="15" hidden="false" customHeight="false" outlineLevel="0" collapsed="false">
      <c r="A217" s="27" t="n">
        <v>56334</v>
      </c>
      <c r="B217" s="12" t="s">
        <v>289</v>
      </c>
      <c r="C217" s="28" t="n">
        <v>10</v>
      </c>
      <c r="D217" s="28" t="n">
        <v>10</v>
      </c>
      <c r="E217" s="14" t="n">
        <v>0</v>
      </c>
      <c r="F217" s="14" t="n">
        <v>1739.6</v>
      </c>
      <c r="G217" s="14" t="n">
        <v>1739.6</v>
      </c>
      <c r="H217" s="14" t="n">
        <v>576.93</v>
      </c>
      <c r="I217" s="14" t="n">
        <v>1162.67</v>
      </c>
      <c r="J217" s="14" t="n">
        <v>740.64</v>
      </c>
      <c r="K217" s="15" t="n">
        <v>0.6684</v>
      </c>
      <c r="L217" s="15" t="n">
        <v>0.4258</v>
      </c>
      <c r="M217" s="29" t="n">
        <v>36.6</v>
      </c>
    </row>
    <row r="218" customFormat="false" ht="15" hidden="false" customHeight="false" outlineLevel="0" collapsed="false">
      <c r="A218" s="24" t="n">
        <v>56376</v>
      </c>
      <c r="B218" s="8" t="s">
        <v>290</v>
      </c>
      <c r="C218" s="25" t="n">
        <v>40</v>
      </c>
      <c r="D218" s="25" t="n">
        <v>40</v>
      </c>
      <c r="E218" s="10" t="n">
        <v>0</v>
      </c>
      <c r="F218" s="10" t="n">
        <v>12406.15</v>
      </c>
      <c r="G218" s="10" t="n">
        <v>12406.15</v>
      </c>
      <c r="H218" s="10" t="n">
        <v>5124.5898</v>
      </c>
      <c r="I218" s="10" t="n">
        <v>7281.56</v>
      </c>
      <c r="J218" s="10" t="n">
        <v>4241.46</v>
      </c>
      <c r="K218" s="11" t="n">
        <v>0.5869</v>
      </c>
      <c r="L218" s="11" t="n">
        <v>0.3419</v>
      </c>
      <c r="M218" s="26" t="n">
        <v>35.85</v>
      </c>
    </row>
    <row r="219" customFormat="false" ht="15" hidden="false" customHeight="false" outlineLevel="0" collapsed="false">
      <c r="A219" s="27" t="n">
        <v>56390</v>
      </c>
      <c r="B219" s="12" t="s">
        <v>219</v>
      </c>
      <c r="C219" s="28" t="n">
        <v>16</v>
      </c>
      <c r="D219" s="28" t="n">
        <v>16</v>
      </c>
      <c r="E219" s="14" t="n">
        <v>0</v>
      </c>
      <c r="F219" s="14" t="n">
        <v>14130.88</v>
      </c>
      <c r="G219" s="14" t="n">
        <v>14130.88</v>
      </c>
      <c r="H219" s="14" t="n">
        <v>8272.72</v>
      </c>
      <c r="I219" s="14" t="n">
        <v>5858.16</v>
      </c>
      <c r="J219" s="14" t="n">
        <v>1976.13</v>
      </c>
      <c r="K219" s="15" t="n">
        <v>0.4146</v>
      </c>
      <c r="L219" s="15" t="n">
        <v>0.1398</v>
      </c>
      <c r="M219" s="29" t="n">
        <v>36.12</v>
      </c>
    </row>
    <row r="220" customFormat="false" ht="15" hidden="false" customHeight="false" outlineLevel="0" collapsed="false">
      <c r="A220" s="24" t="n">
        <v>56391</v>
      </c>
      <c r="B220" s="8" t="s">
        <v>220</v>
      </c>
      <c r="C220" s="25" t="n">
        <v>8</v>
      </c>
      <c r="D220" s="25" t="n">
        <v>8</v>
      </c>
      <c r="E220" s="10" t="n">
        <v>0</v>
      </c>
      <c r="F220" s="10" t="n">
        <v>6140.24</v>
      </c>
      <c r="G220" s="10" t="n">
        <v>6140.24</v>
      </c>
      <c r="H220" s="10" t="n">
        <v>3660.88</v>
      </c>
      <c r="I220" s="10" t="n">
        <v>2479.36</v>
      </c>
      <c r="J220" s="10" t="n">
        <v>792.52</v>
      </c>
      <c r="K220" s="11" t="n">
        <v>0.4038</v>
      </c>
      <c r="L220" s="11" t="n">
        <v>0.1291</v>
      </c>
      <c r="M220" s="26" t="n">
        <v>36.13</v>
      </c>
    </row>
    <row r="221" customFormat="false" ht="15" hidden="false" customHeight="false" outlineLevel="0" collapsed="false">
      <c r="A221" s="27" t="n">
        <v>56482</v>
      </c>
      <c r="B221" s="12" t="s">
        <v>221</v>
      </c>
      <c r="C221" s="28" t="n">
        <v>46</v>
      </c>
      <c r="D221" s="28" t="n">
        <v>46</v>
      </c>
      <c r="E221" s="14" t="n">
        <v>0</v>
      </c>
      <c r="F221" s="14" t="n">
        <v>3157.96</v>
      </c>
      <c r="G221" s="14" t="n">
        <v>3157.96</v>
      </c>
      <c r="H221" s="14" t="n">
        <v>624.7898</v>
      </c>
      <c r="I221" s="14" t="n">
        <v>2533.17</v>
      </c>
      <c r="J221" s="14" t="n">
        <v>1732.63</v>
      </c>
      <c r="K221" s="15" t="n">
        <v>0.8022</v>
      </c>
      <c r="L221" s="15" t="n">
        <v>0.5487</v>
      </c>
      <c r="M221" s="29" t="n">
        <v>60</v>
      </c>
    </row>
    <row r="222" customFormat="false" ht="15" hidden="false" customHeight="false" outlineLevel="0" collapsed="false">
      <c r="A222" s="24" t="n">
        <v>56512</v>
      </c>
      <c r="B222" s="8" t="s">
        <v>222</v>
      </c>
      <c r="C222" s="25" t="n">
        <v>29</v>
      </c>
      <c r="D222" s="25" t="n">
        <v>29</v>
      </c>
      <c r="E222" s="10" t="n">
        <v>0</v>
      </c>
      <c r="F222" s="10" t="n">
        <v>38599</v>
      </c>
      <c r="G222" s="10" t="n">
        <v>38599</v>
      </c>
      <c r="H222" s="10" t="n">
        <v>19832.4401</v>
      </c>
      <c r="I222" s="10" t="n">
        <v>18766.56</v>
      </c>
      <c r="J222" s="10" t="n">
        <v>7993.58</v>
      </c>
      <c r="K222" s="11" t="n">
        <v>0.4862</v>
      </c>
      <c r="L222" s="11" t="n">
        <v>0.2071</v>
      </c>
      <c r="M222" s="26" t="n">
        <v>31.72</v>
      </c>
    </row>
    <row r="223" customFormat="false" ht="15" hidden="false" customHeight="false" outlineLevel="0" collapsed="false">
      <c r="A223" s="27" t="n">
        <v>56529</v>
      </c>
      <c r="B223" s="12" t="s">
        <v>223</v>
      </c>
      <c r="C223" s="28" t="n">
        <v>40</v>
      </c>
      <c r="D223" s="28" t="n">
        <v>40</v>
      </c>
      <c r="E223" s="14" t="n">
        <v>0</v>
      </c>
      <c r="F223" s="14" t="n">
        <v>577</v>
      </c>
      <c r="G223" s="14" t="n">
        <v>577</v>
      </c>
      <c r="H223" s="14" t="n">
        <v>409.96</v>
      </c>
      <c r="I223" s="14" t="n">
        <v>167.04</v>
      </c>
      <c r="J223" s="14" t="n">
        <v>6</v>
      </c>
      <c r="K223" s="15" t="n">
        <v>0.2895</v>
      </c>
      <c r="L223" s="15" t="n">
        <v>0.0104</v>
      </c>
      <c r="M223" s="29" t="n">
        <v>45</v>
      </c>
    </row>
    <row r="224" customFormat="false" ht="15" hidden="false" customHeight="false" outlineLevel="0" collapsed="false">
      <c r="A224" s="24" t="n">
        <v>56530</v>
      </c>
      <c r="B224" s="8" t="s">
        <v>291</v>
      </c>
      <c r="C224" s="25" t="n">
        <v>50</v>
      </c>
      <c r="D224" s="25" t="n">
        <v>50</v>
      </c>
      <c r="E224" s="10" t="n">
        <v>0</v>
      </c>
      <c r="F224" s="10" t="n">
        <v>1550</v>
      </c>
      <c r="G224" s="10" t="n">
        <v>1550</v>
      </c>
      <c r="H224" s="10" t="n">
        <v>130.75</v>
      </c>
      <c r="I224" s="10" t="n">
        <v>1419.25</v>
      </c>
      <c r="J224" s="10" t="n">
        <v>993.43</v>
      </c>
      <c r="K224" s="11" t="n">
        <v>0.9156</v>
      </c>
      <c r="L224" s="11" t="n">
        <v>0.6409</v>
      </c>
      <c r="M224" s="26" t="n">
        <v>45</v>
      </c>
    </row>
    <row r="225" customFormat="false" ht="15" hidden="false" customHeight="false" outlineLevel="0" collapsed="false">
      <c r="A225" s="27" t="n">
        <v>56575</v>
      </c>
      <c r="B225" s="12" t="s">
        <v>224</v>
      </c>
      <c r="C225" s="28" t="n">
        <v>60</v>
      </c>
      <c r="D225" s="28" t="n">
        <v>60</v>
      </c>
      <c r="E225" s="14" t="n">
        <v>0</v>
      </c>
      <c r="F225" s="14" t="n">
        <v>1430</v>
      </c>
      <c r="G225" s="14" t="n">
        <v>1430</v>
      </c>
      <c r="H225" s="14" t="n">
        <v>765.37</v>
      </c>
      <c r="I225" s="14" t="n">
        <v>664.63</v>
      </c>
      <c r="J225" s="14" t="n">
        <v>265.51</v>
      </c>
      <c r="K225" s="15" t="n">
        <v>0.4648</v>
      </c>
      <c r="L225" s="15" t="n">
        <v>0.1857</v>
      </c>
      <c r="M225" s="29" t="n">
        <v>45</v>
      </c>
    </row>
    <row r="226" customFormat="false" ht="15" hidden="false" customHeight="false" outlineLevel="0" collapsed="false">
      <c r="A226" s="24" t="n">
        <v>56698</v>
      </c>
      <c r="B226" s="8" t="s">
        <v>292</v>
      </c>
      <c r="C226" s="25" t="n">
        <v>2</v>
      </c>
      <c r="D226" s="25" t="n">
        <v>2</v>
      </c>
      <c r="E226" s="10" t="n">
        <v>0</v>
      </c>
      <c r="F226" s="10" t="n">
        <v>1669.2</v>
      </c>
      <c r="G226" s="10" t="n">
        <v>1669.2</v>
      </c>
      <c r="H226" s="10" t="n">
        <v>990.49</v>
      </c>
      <c r="I226" s="10" t="n">
        <v>678.71</v>
      </c>
      <c r="J226" s="10" t="n">
        <v>220.14</v>
      </c>
      <c r="K226" s="11" t="n">
        <v>0.4066</v>
      </c>
      <c r="L226" s="11" t="n">
        <v>0.1319</v>
      </c>
      <c r="M226" s="26" t="n">
        <v>34.5</v>
      </c>
    </row>
    <row r="227" customFormat="false" ht="15" hidden="false" customHeight="false" outlineLevel="0" collapsed="false">
      <c r="A227" s="27" t="n">
        <v>56699</v>
      </c>
      <c r="B227" s="12" t="s">
        <v>293</v>
      </c>
      <c r="C227" s="28" t="n">
        <v>4</v>
      </c>
      <c r="D227" s="28" t="n">
        <v>4</v>
      </c>
      <c r="E227" s="14" t="n">
        <v>0</v>
      </c>
      <c r="F227" s="14" t="n">
        <v>3932.02</v>
      </c>
      <c r="G227" s="14" t="n">
        <v>3932.02</v>
      </c>
      <c r="H227" s="14" t="n">
        <v>2259.32</v>
      </c>
      <c r="I227" s="14" t="n">
        <v>1672.7</v>
      </c>
      <c r="J227" s="14" t="n">
        <v>592.5</v>
      </c>
      <c r="K227" s="15" t="n">
        <v>0.4254</v>
      </c>
      <c r="L227" s="15" t="n">
        <v>0.1507</v>
      </c>
      <c r="M227" s="29" t="n">
        <v>34.5</v>
      </c>
    </row>
    <row r="228" customFormat="false" ht="15" hidden="false" customHeight="false" outlineLevel="0" collapsed="false">
      <c r="A228" s="24" t="n">
        <v>56764</v>
      </c>
      <c r="B228" s="8" t="s">
        <v>294</v>
      </c>
      <c r="C228" s="25" t="n">
        <v>30</v>
      </c>
      <c r="D228" s="25" t="n">
        <v>30</v>
      </c>
      <c r="E228" s="10" t="n">
        <v>0</v>
      </c>
      <c r="F228" s="10" t="n">
        <v>13690</v>
      </c>
      <c r="G228" s="10" t="n">
        <v>13690</v>
      </c>
      <c r="H228" s="10" t="n">
        <v>8965.5</v>
      </c>
      <c r="I228" s="10" t="n">
        <v>4724.5</v>
      </c>
      <c r="J228" s="10" t="n">
        <v>963.59</v>
      </c>
      <c r="K228" s="11" t="n">
        <v>0.3451</v>
      </c>
      <c r="L228" s="11" t="n">
        <v>0.0704</v>
      </c>
      <c r="M228" s="26" t="n">
        <v>44</v>
      </c>
    </row>
    <row r="229" customFormat="false" ht="15" hidden="false" customHeight="false" outlineLevel="0" collapsed="false">
      <c r="A229" s="27" t="n">
        <v>56772</v>
      </c>
      <c r="B229" s="12" t="s">
        <v>228</v>
      </c>
      <c r="C229" s="28" t="n">
        <v>20</v>
      </c>
      <c r="D229" s="28" t="n">
        <v>20</v>
      </c>
      <c r="E229" s="14" t="n">
        <v>0</v>
      </c>
      <c r="F229" s="14" t="n">
        <v>225.6</v>
      </c>
      <c r="G229" s="14" t="n">
        <v>225.6</v>
      </c>
      <c r="H229" s="14" t="n">
        <v>78</v>
      </c>
      <c r="I229" s="14" t="n">
        <v>147.6</v>
      </c>
      <c r="J229" s="14" t="n">
        <v>84.64</v>
      </c>
      <c r="K229" s="15" t="n">
        <v>0.6543</v>
      </c>
      <c r="L229" s="15" t="n">
        <v>0.3752</v>
      </c>
      <c r="M229" s="29" t="n">
        <v>45</v>
      </c>
    </row>
    <row r="230" customFormat="false" ht="15" hidden="false" customHeight="false" outlineLevel="0" collapsed="false">
      <c r="A230" s="24" t="n">
        <v>57115</v>
      </c>
      <c r="B230" s="8" t="s">
        <v>295</v>
      </c>
      <c r="C230" s="25" t="n">
        <v>1</v>
      </c>
      <c r="D230" s="25" t="n">
        <v>1</v>
      </c>
      <c r="E230" s="10" t="n">
        <v>0</v>
      </c>
      <c r="F230" s="10" t="n">
        <v>285</v>
      </c>
      <c r="G230" s="10" t="n">
        <v>285</v>
      </c>
      <c r="H230" s="10" t="n">
        <v>115.56</v>
      </c>
      <c r="I230" s="10" t="n">
        <v>169.44</v>
      </c>
      <c r="J230" s="10" t="n">
        <v>89.9</v>
      </c>
      <c r="K230" s="11" t="n">
        <v>0.5945</v>
      </c>
      <c r="L230" s="11" t="n">
        <v>0.3154</v>
      </c>
      <c r="M230" s="26" t="n">
        <v>32</v>
      </c>
    </row>
    <row r="231" customFormat="false" ht="15" hidden="false" customHeight="false" outlineLevel="0" collapsed="false">
      <c r="A231" s="27" t="n">
        <v>57161</v>
      </c>
      <c r="B231" s="12" t="s">
        <v>231</v>
      </c>
      <c r="C231" s="28" t="n">
        <v>8</v>
      </c>
      <c r="D231" s="28" t="n">
        <v>8</v>
      </c>
      <c r="E231" s="14" t="n">
        <v>0</v>
      </c>
      <c r="F231" s="14" t="n">
        <v>93.76</v>
      </c>
      <c r="G231" s="14" t="n">
        <v>93.76</v>
      </c>
      <c r="H231" s="14" t="n">
        <v>0</v>
      </c>
      <c r="I231" s="14" t="n">
        <v>93.76</v>
      </c>
      <c r="J231" s="14" t="n">
        <v>93.76</v>
      </c>
      <c r="K231" s="15" t="n">
        <v>1</v>
      </c>
      <c r="L231" s="15" t="n">
        <v>1</v>
      </c>
      <c r="M231" s="29" t="n">
        <v>34.25</v>
      </c>
    </row>
    <row r="232" customFormat="false" ht="15" hidden="false" customHeight="false" outlineLevel="0" collapsed="false">
      <c r="A232" s="24" t="n">
        <v>57240</v>
      </c>
      <c r="B232" s="8" t="s">
        <v>232</v>
      </c>
      <c r="C232" s="25" t="n">
        <v>22</v>
      </c>
      <c r="D232" s="25" t="n">
        <v>22</v>
      </c>
      <c r="E232" s="10" t="n">
        <v>0</v>
      </c>
      <c r="F232" s="10" t="n">
        <v>402.38</v>
      </c>
      <c r="G232" s="10" t="n">
        <v>402.38</v>
      </c>
      <c r="H232" s="10" t="n">
        <v>64.8004</v>
      </c>
      <c r="I232" s="10" t="n">
        <v>337.58</v>
      </c>
      <c r="J232" s="10" t="n">
        <v>239.96</v>
      </c>
      <c r="K232" s="11" t="n">
        <v>0.839</v>
      </c>
      <c r="L232" s="11" t="n">
        <v>0.5964</v>
      </c>
      <c r="M232" s="26" t="n">
        <v>35.27</v>
      </c>
    </row>
    <row r="233" customFormat="false" ht="15" hidden="false" customHeight="false" outlineLevel="0" collapsed="false">
      <c r="A233" s="27" t="n">
        <v>57270</v>
      </c>
      <c r="B233" s="12" t="s">
        <v>296</v>
      </c>
      <c r="C233" s="28" t="n">
        <v>10</v>
      </c>
      <c r="D233" s="28" t="n">
        <v>10</v>
      </c>
      <c r="E233" s="14" t="n">
        <v>0</v>
      </c>
      <c r="F233" s="14" t="n">
        <v>1496.2</v>
      </c>
      <c r="G233" s="14" t="n">
        <v>1496.2</v>
      </c>
      <c r="H233" s="14" t="n">
        <v>1152.73</v>
      </c>
      <c r="I233" s="14" t="n">
        <v>343.47</v>
      </c>
      <c r="J233" s="14" t="n">
        <v>-19.5</v>
      </c>
      <c r="K233" s="15" t="n">
        <v>0.2296</v>
      </c>
      <c r="L233" s="15" t="n">
        <v>-0.013</v>
      </c>
      <c r="M233" s="29" t="n">
        <v>38</v>
      </c>
    </row>
    <row r="234" customFormat="false" ht="15" hidden="false" customHeight="false" outlineLevel="0" collapsed="false">
      <c r="A234" s="24" t="n">
        <v>57312</v>
      </c>
      <c r="B234" s="8" t="s">
        <v>297</v>
      </c>
      <c r="C234" s="25" t="n">
        <v>60</v>
      </c>
      <c r="D234" s="25" t="n">
        <v>60</v>
      </c>
      <c r="E234" s="10" t="n">
        <v>0</v>
      </c>
      <c r="F234" s="10" t="n">
        <v>1673.4</v>
      </c>
      <c r="G234" s="10" t="n">
        <v>1673.4</v>
      </c>
      <c r="H234" s="10" t="n">
        <v>751.52</v>
      </c>
      <c r="I234" s="10" t="n">
        <v>921.88</v>
      </c>
      <c r="J234" s="10" t="n">
        <v>454.84</v>
      </c>
      <c r="K234" s="11" t="n">
        <v>0.5509</v>
      </c>
      <c r="L234" s="11" t="n">
        <v>0.2718</v>
      </c>
      <c r="M234" s="26" t="n">
        <v>45</v>
      </c>
    </row>
    <row r="235" customFormat="false" ht="15" hidden="false" customHeight="false" outlineLevel="0" collapsed="false">
      <c r="A235" s="27" t="n">
        <v>90354</v>
      </c>
      <c r="B235" s="12" t="s">
        <v>238</v>
      </c>
      <c r="C235" s="28" t="n">
        <v>2000</v>
      </c>
      <c r="D235" s="28" t="n">
        <v>2000</v>
      </c>
      <c r="E235" s="14" t="n">
        <v>0</v>
      </c>
      <c r="F235" s="14" t="n">
        <v>16130</v>
      </c>
      <c r="G235" s="14" t="n">
        <v>16130</v>
      </c>
      <c r="H235" s="14" t="n">
        <v>8397.1</v>
      </c>
      <c r="I235" s="14" t="n">
        <v>7732.9</v>
      </c>
      <c r="J235" s="14" t="n">
        <v>3301.67</v>
      </c>
      <c r="K235" s="15" t="n">
        <v>0.4794</v>
      </c>
      <c r="L235" s="15" t="n">
        <v>0.2047</v>
      </c>
      <c r="M235" s="29" t="n">
        <v>60</v>
      </c>
    </row>
    <row r="236" customFormat="false" ht="15" hidden="false" customHeight="false" outlineLevel="0" collapsed="false">
      <c r="A236" s="24" t="n">
        <v>90366</v>
      </c>
      <c r="B236" s="8" t="s">
        <v>239</v>
      </c>
      <c r="C236" s="25" t="n">
        <v>1520</v>
      </c>
      <c r="D236" s="25" t="n">
        <v>1520</v>
      </c>
      <c r="E236" s="10" t="n">
        <v>0</v>
      </c>
      <c r="F236" s="10" t="n">
        <v>54080</v>
      </c>
      <c r="G236" s="10" t="n">
        <v>54080</v>
      </c>
      <c r="H236" s="10" t="n">
        <v>35887.3</v>
      </c>
      <c r="I236" s="10" t="n">
        <v>18192.71</v>
      </c>
      <c r="J236" s="10" t="n">
        <v>3335.84</v>
      </c>
      <c r="K236" s="11" t="n">
        <v>0.3364</v>
      </c>
      <c r="L236" s="11" t="n">
        <v>0.0617</v>
      </c>
      <c r="M236" s="26" t="n">
        <v>107.68</v>
      </c>
    </row>
    <row r="237" customFormat="false" ht="15" hidden="false" customHeight="false" outlineLevel="0" collapsed="false">
      <c r="A237" s="27" t="n">
        <v>90372</v>
      </c>
      <c r="B237" s="12" t="s">
        <v>240</v>
      </c>
      <c r="C237" s="28" t="n">
        <v>98</v>
      </c>
      <c r="D237" s="28" t="n">
        <v>98</v>
      </c>
      <c r="E237" s="14" t="n">
        <v>0</v>
      </c>
      <c r="F237" s="14" t="n">
        <v>1325.94</v>
      </c>
      <c r="G237" s="14" t="n">
        <v>1325.94</v>
      </c>
      <c r="H237" s="14" t="n">
        <v>594.55</v>
      </c>
      <c r="I237" s="14" t="n">
        <v>731.39</v>
      </c>
      <c r="J237" s="14" t="n">
        <v>367.14</v>
      </c>
      <c r="K237" s="15" t="n">
        <v>0.5516</v>
      </c>
      <c r="L237" s="15" t="n">
        <v>0.2769</v>
      </c>
      <c r="M237" s="29" t="n">
        <v>107.45</v>
      </c>
    </row>
    <row r="238" customFormat="false" ht="15" hidden="false" customHeight="false" outlineLevel="0" collapsed="false">
      <c r="A238" s="24" t="n">
        <v>90375</v>
      </c>
      <c r="B238" s="8" t="s">
        <v>241</v>
      </c>
      <c r="C238" s="25" t="n">
        <v>575</v>
      </c>
      <c r="D238" s="25" t="n">
        <v>575</v>
      </c>
      <c r="E238" s="10" t="n">
        <v>0</v>
      </c>
      <c r="F238" s="10" t="n">
        <v>425.5</v>
      </c>
      <c r="G238" s="10" t="n">
        <v>425.5</v>
      </c>
      <c r="H238" s="10" t="n">
        <v>586.4785</v>
      </c>
      <c r="I238" s="10" t="n">
        <v>-160.97</v>
      </c>
      <c r="J238" s="10" t="n">
        <v>-277.87</v>
      </c>
      <c r="K238" s="11" t="n">
        <v>-0.3783</v>
      </c>
      <c r="L238" s="11" t="n">
        <v>-0.653</v>
      </c>
      <c r="M238" s="26" t="n">
        <v>88.09</v>
      </c>
    </row>
    <row r="239" customFormat="false" ht="15" hidden="false" customHeight="false" outlineLevel="0" collapsed="false">
      <c r="A239" s="27" t="n">
        <v>90376</v>
      </c>
      <c r="B239" s="12" t="s">
        <v>242</v>
      </c>
      <c r="C239" s="28" t="n">
        <v>140</v>
      </c>
      <c r="D239" s="28" t="n">
        <v>140</v>
      </c>
      <c r="E239" s="14" t="n">
        <v>0</v>
      </c>
      <c r="F239" s="14" t="n">
        <v>3629.51</v>
      </c>
      <c r="G239" s="14" t="n">
        <v>3629.51</v>
      </c>
      <c r="H239" s="14" t="n">
        <v>1344.1473</v>
      </c>
      <c r="I239" s="14" t="n">
        <v>2285.36</v>
      </c>
      <c r="J239" s="14" t="n">
        <v>1186.37</v>
      </c>
      <c r="K239" s="15" t="n">
        <v>0.6297</v>
      </c>
      <c r="L239" s="15" t="n">
        <v>0.3269</v>
      </c>
      <c r="M239" s="29" t="n">
        <v>30</v>
      </c>
    </row>
    <row r="240" customFormat="false" ht="15" hidden="false" customHeight="false" outlineLevel="0" collapsed="false">
      <c r="A240" s="24" t="n">
        <v>90419</v>
      </c>
      <c r="B240" s="8" t="s">
        <v>298</v>
      </c>
      <c r="C240" s="25" t="n">
        <v>50</v>
      </c>
      <c r="D240" s="25" t="n">
        <v>50</v>
      </c>
      <c r="E240" s="10" t="n">
        <v>0</v>
      </c>
      <c r="F240" s="10" t="n">
        <v>10756</v>
      </c>
      <c r="G240" s="10" t="n">
        <v>10756</v>
      </c>
      <c r="H240" s="10" t="n">
        <v>6867.58</v>
      </c>
      <c r="I240" s="10" t="n">
        <v>3888.42</v>
      </c>
      <c r="J240" s="10" t="n">
        <v>933.53</v>
      </c>
      <c r="K240" s="11" t="n">
        <v>0.3615</v>
      </c>
      <c r="L240" s="11" t="n">
        <v>0.0868</v>
      </c>
      <c r="M240" s="26" t="n">
        <v>60</v>
      </c>
    </row>
    <row r="241" customFormat="false" ht="15" hidden="false" customHeight="false" outlineLevel="0" collapsed="false">
      <c r="A241" s="27" t="n">
        <v>90424</v>
      </c>
      <c r="B241" s="12" t="s">
        <v>243</v>
      </c>
      <c r="C241" s="28" t="n">
        <v>167</v>
      </c>
      <c r="D241" s="28" t="n">
        <v>167</v>
      </c>
      <c r="E241" s="14" t="n">
        <v>0</v>
      </c>
      <c r="F241" s="14" t="n">
        <v>10741</v>
      </c>
      <c r="G241" s="14" t="n">
        <v>10741</v>
      </c>
      <c r="H241" s="14" t="n">
        <v>3172.24</v>
      </c>
      <c r="I241" s="14" t="n">
        <v>7568.76</v>
      </c>
      <c r="J241" s="14" t="n">
        <v>4618</v>
      </c>
      <c r="K241" s="15" t="n">
        <v>0.7047</v>
      </c>
      <c r="L241" s="15" t="n">
        <v>0.4299</v>
      </c>
      <c r="M241" s="29" t="n">
        <v>79.65</v>
      </c>
    </row>
    <row r="242" customFormat="false" ht="15" hidden="false" customHeight="false" outlineLevel="0" collapsed="false">
      <c r="A242" s="24" t="n">
        <v>90435</v>
      </c>
      <c r="B242" s="8" t="s">
        <v>244</v>
      </c>
      <c r="C242" s="25" t="n">
        <v>605</v>
      </c>
      <c r="D242" s="25" t="n">
        <v>605</v>
      </c>
      <c r="E242" s="10" t="n">
        <v>0</v>
      </c>
      <c r="F242" s="10" t="n">
        <v>12705</v>
      </c>
      <c r="G242" s="10" t="n">
        <v>12705</v>
      </c>
      <c r="H242" s="10" t="n">
        <v>2849.452</v>
      </c>
      <c r="I242" s="10" t="n">
        <v>9855.55</v>
      </c>
      <c r="J242" s="10" t="n">
        <v>6365.27</v>
      </c>
      <c r="K242" s="11" t="n">
        <v>0.7757</v>
      </c>
      <c r="L242" s="11" t="n">
        <v>0.501</v>
      </c>
      <c r="M242" s="26" t="n">
        <v>108.18</v>
      </c>
    </row>
    <row r="243" customFormat="false" ht="15" hidden="false" customHeight="false" outlineLevel="0" collapsed="false">
      <c r="A243" s="27" t="n">
        <v>90520</v>
      </c>
      <c r="B243" s="12" t="s">
        <v>299</v>
      </c>
      <c r="C243" s="28" t="n">
        <v>5</v>
      </c>
      <c r="D243" s="28" t="n">
        <v>5</v>
      </c>
      <c r="E243" s="14" t="n">
        <v>4640.9</v>
      </c>
      <c r="F243" s="14" t="n">
        <v>0</v>
      </c>
      <c r="G243" s="14" t="n">
        <v>4640.9</v>
      </c>
      <c r="H243" s="14" t="n">
        <v>1933.34</v>
      </c>
      <c r="I243" s="14" t="n">
        <v>2707.56</v>
      </c>
      <c r="J243" s="14" t="n">
        <v>1718.79</v>
      </c>
      <c r="K243" s="15" t="n">
        <v>0.5834</v>
      </c>
      <c r="L243" s="15" t="n">
        <v>0.3704</v>
      </c>
      <c r="M243" s="29" t="n">
        <v>0</v>
      </c>
    </row>
    <row r="244" customFormat="false" ht="15" hidden="false" customHeight="false" outlineLevel="0" collapsed="false">
      <c r="A244" s="24" t="n">
        <v>90539</v>
      </c>
      <c r="B244" s="8" t="s">
        <v>300</v>
      </c>
      <c r="C244" s="25" t="n">
        <v>2</v>
      </c>
      <c r="D244" s="25" t="n">
        <v>2</v>
      </c>
      <c r="E244" s="10" t="n">
        <v>0</v>
      </c>
      <c r="F244" s="10" t="n">
        <v>1137.5</v>
      </c>
      <c r="G244" s="10" t="n">
        <v>1137.5</v>
      </c>
      <c r="H244" s="10" t="n">
        <v>1127.22</v>
      </c>
      <c r="I244" s="10" t="n">
        <v>10.28</v>
      </c>
      <c r="J244" s="10" t="n">
        <v>-395.09</v>
      </c>
      <c r="K244" s="11" t="n">
        <v>0.009</v>
      </c>
      <c r="L244" s="11" t="n">
        <v>-0.3473</v>
      </c>
      <c r="M244" s="26" t="n">
        <v>30</v>
      </c>
    </row>
    <row r="245" customFormat="false" ht="15" hidden="false" customHeight="false" outlineLevel="0" collapsed="false">
      <c r="A245" s="27" t="n">
        <v>90544</v>
      </c>
      <c r="B245" s="12" t="s">
        <v>246</v>
      </c>
      <c r="C245" s="28" t="n">
        <v>150</v>
      </c>
      <c r="D245" s="28" t="n">
        <v>150</v>
      </c>
      <c r="E245" s="14" t="n">
        <v>0</v>
      </c>
      <c r="F245" s="14" t="n">
        <v>48222</v>
      </c>
      <c r="G245" s="14" t="n">
        <v>48222</v>
      </c>
      <c r="H245" s="14" t="n">
        <v>23199.1</v>
      </c>
      <c r="I245" s="14" t="n">
        <v>25022.9</v>
      </c>
      <c r="J245" s="14" t="n">
        <v>9568.42</v>
      </c>
      <c r="K245" s="15" t="n">
        <v>0.5189</v>
      </c>
      <c r="L245" s="15" t="n">
        <v>0.1984</v>
      </c>
      <c r="M245" s="29" t="n">
        <v>60</v>
      </c>
    </row>
    <row r="246" customFormat="false" ht="15" hidden="false" customHeight="false" outlineLevel="0" collapsed="false">
      <c r="A246" s="24" t="n">
        <v>90564</v>
      </c>
      <c r="B246" s="8" t="s">
        <v>301</v>
      </c>
      <c r="C246" s="25" t="n">
        <v>99</v>
      </c>
      <c r="D246" s="25" t="n">
        <v>99</v>
      </c>
      <c r="E246" s="10" t="n">
        <v>0</v>
      </c>
      <c r="F246" s="10" t="n">
        <v>7524</v>
      </c>
      <c r="G246" s="10" t="n">
        <v>7524</v>
      </c>
      <c r="H246" s="10" t="n">
        <v>2552.5665</v>
      </c>
      <c r="I246" s="10" t="n">
        <v>4971.43</v>
      </c>
      <c r="J246" s="10" t="n">
        <v>2314.79</v>
      </c>
      <c r="K246" s="11" t="n">
        <v>0.6607</v>
      </c>
      <c r="L246" s="11" t="n">
        <v>0.3077</v>
      </c>
      <c r="M246" s="26" t="n">
        <v>35</v>
      </c>
    </row>
    <row r="247" customFormat="false" ht="15" hidden="false" customHeight="false" outlineLevel="0" collapsed="false">
      <c r="A247" s="27" t="n">
        <v>90603</v>
      </c>
      <c r="B247" s="12" t="s">
        <v>242</v>
      </c>
      <c r="C247" s="28" t="n">
        <v>10</v>
      </c>
      <c r="D247" s="28" t="n">
        <v>10</v>
      </c>
      <c r="E247" s="14" t="n">
        <v>0</v>
      </c>
      <c r="F247" s="14" t="n">
        <v>409.2</v>
      </c>
      <c r="G247" s="14" t="n">
        <v>409.2</v>
      </c>
      <c r="H247" s="14" t="n">
        <v>140.78</v>
      </c>
      <c r="I247" s="14" t="n">
        <v>268.42</v>
      </c>
      <c r="J247" s="14" t="n">
        <v>132.35</v>
      </c>
      <c r="K247" s="15" t="n">
        <v>0.656</v>
      </c>
      <c r="L247" s="15" t="n">
        <v>0.3234</v>
      </c>
      <c r="M247" s="29" t="n">
        <v>30</v>
      </c>
    </row>
    <row r="248" customFormat="false" ht="15" hidden="false" customHeight="false" outlineLevel="0" collapsed="false">
      <c r="A248" s="24" t="n">
        <v>90604</v>
      </c>
      <c r="B248" s="8" t="s">
        <v>302</v>
      </c>
      <c r="C248" s="25" t="n">
        <v>40</v>
      </c>
      <c r="D248" s="25" t="n">
        <v>40</v>
      </c>
      <c r="E248" s="10" t="n">
        <v>0</v>
      </c>
      <c r="F248" s="10" t="n">
        <v>3400</v>
      </c>
      <c r="G248" s="10" t="n">
        <v>3400</v>
      </c>
      <c r="H248" s="10" t="n">
        <v>1297.68</v>
      </c>
      <c r="I248" s="10" t="n">
        <v>2102.32</v>
      </c>
      <c r="J248" s="10" t="n">
        <v>922.58</v>
      </c>
      <c r="K248" s="11" t="n">
        <v>0.6183</v>
      </c>
      <c r="L248" s="11" t="n">
        <v>0.2713</v>
      </c>
      <c r="M248" s="26" t="n">
        <v>44</v>
      </c>
    </row>
    <row r="249" customFormat="false" ht="15" hidden="false" customHeight="false" outlineLevel="0" collapsed="false">
      <c r="A249" s="27" t="n">
        <v>90663</v>
      </c>
      <c r="B249" s="12" t="s">
        <v>303</v>
      </c>
      <c r="C249" s="28" t="n">
        <v>15</v>
      </c>
      <c r="D249" s="28" t="n">
        <v>15</v>
      </c>
      <c r="E249" s="14" t="n">
        <v>0</v>
      </c>
      <c r="F249" s="14" t="n">
        <v>222000</v>
      </c>
      <c r="G249" s="14" t="n">
        <v>222000</v>
      </c>
      <c r="H249" s="14" t="n">
        <v>143342.57</v>
      </c>
      <c r="I249" s="14" t="n">
        <v>78657.43</v>
      </c>
      <c r="J249" s="14" t="n">
        <v>5791.11</v>
      </c>
      <c r="K249" s="15" t="n">
        <v>0.3543</v>
      </c>
      <c r="L249" s="15" t="n">
        <v>0.0261</v>
      </c>
      <c r="M249" s="29" t="n">
        <v>279.92</v>
      </c>
    </row>
    <row r="250" customFormat="false" ht="15" hidden="false" customHeight="false" outlineLevel="0" collapsed="false">
      <c r="A250" s="24" t="n">
        <v>90668</v>
      </c>
      <c r="B250" s="8" t="s">
        <v>304</v>
      </c>
      <c r="C250" s="25" t="n">
        <v>20</v>
      </c>
      <c r="D250" s="25" t="n">
        <v>20</v>
      </c>
      <c r="E250" s="10" t="n">
        <v>0</v>
      </c>
      <c r="F250" s="10" t="n">
        <v>6200</v>
      </c>
      <c r="G250" s="10" t="n">
        <v>6200</v>
      </c>
      <c r="H250" s="10" t="n">
        <v>2862.24</v>
      </c>
      <c r="I250" s="10" t="n">
        <v>3337.76</v>
      </c>
      <c r="J250" s="10" t="n">
        <v>1186.47</v>
      </c>
      <c r="K250" s="11" t="n">
        <v>0.5383</v>
      </c>
      <c r="L250" s="11" t="n">
        <v>0.1914</v>
      </c>
      <c r="M250" s="26" t="n">
        <v>44</v>
      </c>
    </row>
    <row r="251" customFormat="false" ht="15" hidden="false" customHeight="false" outlineLevel="0" collapsed="false">
      <c r="A251" s="27" t="n">
        <v>90691</v>
      </c>
      <c r="B251" s="12" t="s">
        <v>305</v>
      </c>
      <c r="C251" s="28" t="n">
        <v>3</v>
      </c>
      <c r="D251" s="28" t="n">
        <v>3</v>
      </c>
      <c r="E251" s="14" t="n">
        <v>0</v>
      </c>
      <c r="F251" s="14" t="n">
        <v>3226</v>
      </c>
      <c r="G251" s="14" t="n">
        <v>3226</v>
      </c>
      <c r="H251" s="14" t="n">
        <v>3824.96</v>
      </c>
      <c r="I251" s="14" t="n">
        <v>-598.96</v>
      </c>
      <c r="J251" s="14" t="n">
        <v>-1748.63</v>
      </c>
      <c r="K251" s="15" t="n">
        <v>-0.1857</v>
      </c>
      <c r="L251" s="15" t="n">
        <v>-0.542</v>
      </c>
      <c r="M251" s="29" t="n">
        <v>32.1</v>
      </c>
    </row>
    <row r="252" customFormat="false" ht="15" hidden="false" customHeight="false" outlineLevel="0" collapsed="false">
      <c r="A252" s="24" t="n">
        <v>90720</v>
      </c>
      <c r="B252" s="8" t="s">
        <v>306</v>
      </c>
      <c r="C252" s="25" t="n">
        <v>2</v>
      </c>
      <c r="D252" s="25" t="n">
        <v>2</v>
      </c>
      <c r="E252" s="10" t="n">
        <v>0</v>
      </c>
      <c r="F252" s="10" t="n">
        <v>6400</v>
      </c>
      <c r="G252" s="10" t="n">
        <v>6400</v>
      </c>
      <c r="H252" s="10" t="n">
        <v>2745.19</v>
      </c>
      <c r="I252" s="10" t="n">
        <v>3654.81</v>
      </c>
      <c r="J252" s="10" t="n">
        <v>1395.04</v>
      </c>
      <c r="K252" s="11" t="n">
        <v>0.5711</v>
      </c>
      <c r="L252" s="11" t="n">
        <v>0.218</v>
      </c>
      <c r="M252" s="26" t="n">
        <v>60</v>
      </c>
    </row>
    <row r="253" customFormat="false" ht="15" hidden="false" customHeight="false" outlineLevel="0" collapsed="false">
      <c r="A253" s="27" t="n">
        <v>90726</v>
      </c>
      <c r="B253" s="12" t="s">
        <v>307</v>
      </c>
      <c r="C253" s="28" t="n">
        <v>1</v>
      </c>
      <c r="D253" s="28" t="n">
        <v>1</v>
      </c>
      <c r="E253" s="14" t="n">
        <v>0</v>
      </c>
      <c r="F253" s="14" t="n">
        <v>500</v>
      </c>
      <c r="G253" s="14" t="n">
        <v>500</v>
      </c>
      <c r="H253" s="14" t="n">
        <v>0</v>
      </c>
      <c r="I253" s="14" t="n">
        <v>500</v>
      </c>
      <c r="J253" s="14" t="n">
        <v>500</v>
      </c>
      <c r="K253" s="15" t="n">
        <v>1</v>
      </c>
      <c r="L253" s="15" t="n">
        <v>1</v>
      </c>
      <c r="M253" s="29" t="n">
        <v>30</v>
      </c>
    </row>
    <row r="254" customFormat="false" ht="15" hidden="false" customHeight="false" outlineLevel="0" collapsed="false">
      <c r="A254" s="16" t="s">
        <v>249</v>
      </c>
      <c r="B254" s="16" t="str">
        <f aca="false">COUNTA(A6:A253)&amp;" produtos"</f>
        <v>248 produtos</v>
      </c>
      <c r="C254" s="30" t="n">
        <f aca="false">SUM(C6:C253)</f>
        <v>25277</v>
      </c>
      <c r="D254" s="30" t="n">
        <f aca="false">SUM(D6:D253)</f>
        <v>25277</v>
      </c>
      <c r="E254" s="18" t="n">
        <f aca="false">SUM(E6:E253)</f>
        <v>7898.88</v>
      </c>
      <c r="F254" s="18" t="n">
        <f aca="false">SUM(F6:F253)</f>
        <v>3266809.69</v>
      </c>
      <c r="G254" s="18" t="n">
        <f aca="false">SUM(G6:G253)</f>
        <v>3274708.57</v>
      </c>
      <c r="H254" s="18" t="n">
        <f aca="false">SUM(H6:H253)</f>
        <v>1516738.5814</v>
      </c>
      <c r="I254" s="18" t="n">
        <f aca="false">SUM(I6:I253)</f>
        <v>1757970.05</v>
      </c>
      <c r="J254" s="18" t="n">
        <f aca="false">SUM(J6:J253)</f>
        <v>888420.93</v>
      </c>
      <c r="K254" s="19" t="n">
        <f aca="false">IFERROR(I254/G254,0)</f>
        <v>0.536832518809453</v>
      </c>
      <c r="L254" s="19" t="n">
        <f aca="false">IFERROR(J254/G254,0)</f>
        <v>0.271297708180487</v>
      </c>
      <c r="M254" s="31" t="n">
        <f aca="false">IFERROR(SUMPRODUCT(M6:M253,G6:G253)/G254,0)</f>
        <v>60.7708748465211</v>
      </c>
    </row>
  </sheetData>
  <autoFilter ref="A5:M253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308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1081</v>
      </c>
      <c r="D6" s="25" t="n">
        <v>1081</v>
      </c>
      <c r="E6" s="10" t="n">
        <v>845.34</v>
      </c>
      <c r="F6" s="10" t="n">
        <v>31229.95</v>
      </c>
      <c r="G6" s="10" t="n">
        <v>32075.29</v>
      </c>
      <c r="H6" s="10" t="n">
        <v>14711.7184</v>
      </c>
      <c r="I6" s="10" t="n">
        <v>17363.57</v>
      </c>
      <c r="J6" s="10" t="n">
        <v>9016.94</v>
      </c>
      <c r="K6" s="11" t="n">
        <v>0.5413</v>
      </c>
      <c r="L6" s="11" t="n">
        <v>0.2811</v>
      </c>
      <c r="M6" s="26" t="n">
        <v>47.01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191</v>
      </c>
      <c r="D7" s="28" t="n">
        <v>191</v>
      </c>
      <c r="E7" s="14" t="n">
        <v>1324.67</v>
      </c>
      <c r="F7" s="14" t="n">
        <v>60166.18</v>
      </c>
      <c r="G7" s="14" t="n">
        <v>61490.85</v>
      </c>
      <c r="H7" s="14" t="n">
        <v>16008.6207</v>
      </c>
      <c r="I7" s="14" t="n">
        <v>45482.23</v>
      </c>
      <c r="J7" s="14" t="n">
        <v>29081.05</v>
      </c>
      <c r="K7" s="15" t="n">
        <v>0.7397</v>
      </c>
      <c r="L7" s="15" t="n">
        <v>0.4729</v>
      </c>
      <c r="M7" s="29" t="n">
        <v>46.21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2</v>
      </c>
      <c r="D8" s="25" t="n">
        <v>2</v>
      </c>
      <c r="E8" s="10" t="n">
        <v>0</v>
      </c>
      <c r="F8" s="10" t="n">
        <v>198</v>
      </c>
      <c r="G8" s="10" t="n">
        <v>198</v>
      </c>
      <c r="H8" s="10" t="n">
        <v>96.45</v>
      </c>
      <c r="I8" s="10" t="n">
        <v>101.55</v>
      </c>
      <c r="J8" s="10" t="n">
        <v>47.15</v>
      </c>
      <c r="K8" s="11" t="n">
        <v>0.5129</v>
      </c>
      <c r="L8" s="11" t="n">
        <v>0.2381</v>
      </c>
      <c r="M8" s="26" t="n">
        <v>60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568</v>
      </c>
      <c r="D9" s="28" t="n">
        <v>568</v>
      </c>
      <c r="E9" s="14" t="n">
        <v>1635.01</v>
      </c>
      <c r="F9" s="14" t="n">
        <v>52172.88</v>
      </c>
      <c r="G9" s="14" t="n">
        <v>53807.89</v>
      </c>
      <c r="H9" s="14" t="n">
        <v>7116.674</v>
      </c>
      <c r="I9" s="14" t="n">
        <v>46691.22</v>
      </c>
      <c r="J9" s="14" t="n">
        <v>33389.69</v>
      </c>
      <c r="K9" s="15" t="n">
        <v>0.8677</v>
      </c>
      <c r="L9" s="15" t="n">
        <v>0.6205</v>
      </c>
      <c r="M9" s="29" t="n">
        <v>45.48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45</v>
      </c>
      <c r="D10" s="25" t="n">
        <v>45</v>
      </c>
      <c r="E10" s="10" t="n">
        <v>258.47</v>
      </c>
      <c r="F10" s="10" t="n">
        <v>2830.68</v>
      </c>
      <c r="G10" s="10" t="n">
        <v>3089.15</v>
      </c>
      <c r="H10" s="10" t="n">
        <v>375.9603</v>
      </c>
      <c r="I10" s="10" t="n">
        <v>2713.19</v>
      </c>
      <c r="J10" s="10" t="n">
        <v>1883.05</v>
      </c>
      <c r="K10" s="11" t="n">
        <v>0.8783</v>
      </c>
      <c r="L10" s="11" t="n">
        <v>0.6096</v>
      </c>
      <c r="M10" s="26" t="n">
        <v>36.3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268</v>
      </c>
      <c r="D11" s="28" t="n">
        <v>268</v>
      </c>
      <c r="E11" s="14" t="n">
        <v>2433.14</v>
      </c>
      <c r="F11" s="14" t="n">
        <v>82303.67</v>
      </c>
      <c r="G11" s="14" t="n">
        <v>84736.81</v>
      </c>
      <c r="H11" s="14" t="n">
        <v>22664.4916</v>
      </c>
      <c r="I11" s="14" t="n">
        <v>62072.32</v>
      </c>
      <c r="J11" s="14" t="n">
        <v>39680.22</v>
      </c>
      <c r="K11" s="15" t="n">
        <v>0.7325</v>
      </c>
      <c r="L11" s="15" t="n">
        <v>0.4683</v>
      </c>
      <c r="M11" s="29" t="n">
        <v>47.78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2349</v>
      </c>
      <c r="D12" s="25" t="n">
        <v>2349</v>
      </c>
      <c r="E12" s="10" t="n">
        <v>1226.79</v>
      </c>
      <c r="F12" s="10" t="n">
        <v>392592.1</v>
      </c>
      <c r="G12" s="10" t="n">
        <v>393818.89</v>
      </c>
      <c r="H12" s="10" t="n">
        <v>149031.0094</v>
      </c>
      <c r="I12" s="10" t="n">
        <v>244787.88</v>
      </c>
      <c r="J12" s="10" t="n">
        <v>142399.36</v>
      </c>
      <c r="K12" s="11" t="n">
        <v>0.6216</v>
      </c>
      <c r="L12" s="11" t="n">
        <v>0.3616</v>
      </c>
      <c r="M12" s="26" t="n">
        <v>51.69</v>
      </c>
    </row>
    <row r="13" customFormat="false" ht="15" hidden="false" customHeight="false" outlineLevel="0" collapsed="false">
      <c r="A13" s="27" t="n">
        <v>10018</v>
      </c>
      <c r="B13" s="12" t="s">
        <v>38</v>
      </c>
      <c r="C13" s="28" t="n">
        <v>6</v>
      </c>
      <c r="D13" s="28" t="n">
        <v>6</v>
      </c>
      <c r="E13" s="14" t="n">
        <v>0</v>
      </c>
      <c r="F13" s="14" t="n">
        <v>513.12</v>
      </c>
      <c r="G13" s="14" t="n">
        <v>513.12</v>
      </c>
      <c r="H13" s="14" t="n">
        <v>196.8</v>
      </c>
      <c r="I13" s="14" t="n">
        <v>316.32</v>
      </c>
      <c r="J13" s="14" t="n">
        <v>186.9</v>
      </c>
      <c r="K13" s="15" t="n">
        <v>0.6165</v>
      </c>
      <c r="L13" s="15" t="n">
        <v>0.3642</v>
      </c>
      <c r="M13" s="29" t="n">
        <v>27.08</v>
      </c>
    </row>
    <row r="14" customFormat="false" ht="15" hidden="false" customHeight="false" outlineLevel="0" collapsed="false">
      <c r="A14" s="24" t="n">
        <v>10019</v>
      </c>
      <c r="B14" s="8" t="s">
        <v>35</v>
      </c>
      <c r="C14" s="25" t="n">
        <v>3</v>
      </c>
      <c r="D14" s="25" t="n">
        <v>3</v>
      </c>
      <c r="E14" s="10" t="n">
        <v>0</v>
      </c>
      <c r="F14" s="10" t="n">
        <v>930.9</v>
      </c>
      <c r="G14" s="10" t="n">
        <v>930.9</v>
      </c>
      <c r="H14" s="10" t="n">
        <v>216.57</v>
      </c>
      <c r="I14" s="10" t="n">
        <v>714.33</v>
      </c>
      <c r="J14" s="10" t="n">
        <v>472.51</v>
      </c>
      <c r="K14" s="11" t="n">
        <v>0.7674</v>
      </c>
      <c r="L14" s="11" t="n">
        <v>0.5076</v>
      </c>
      <c r="M14" s="26" t="n">
        <v>43.55</v>
      </c>
    </row>
    <row r="15" customFormat="false" ht="15" hidden="false" customHeight="false" outlineLevel="0" collapsed="false">
      <c r="A15" s="27" t="n">
        <v>10021</v>
      </c>
      <c r="B15" s="12" t="s">
        <v>41</v>
      </c>
      <c r="C15" s="28" t="n">
        <v>11</v>
      </c>
      <c r="D15" s="28" t="n">
        <v>11</v>
      </c>
      <c r="E15" s="14" t="n">
        <v>0</v>
      </c>
      <c r="F15" s="14" t="n">
        <v>4481.56</v>
      </c>
      <c r="G15" s="14" t="n">
        <v>4481.56</v>
      </c>
      <c r="H15" s="14" t="n">
        <v>841.51</v>
      </c>
      <c r="I15" s="14" t="n">
        <v>3640.05</v>
      </c>
      <c r="J15" s="14" t="n">
        <v>2423.76</v>
      </c>
      <c r="K15" s="15" t="n">
        <v>0.8122</v>
      </c>
      <c r="L15" s="15" t="n">
        <v>0.5408</v>
      </c>
      <c r="M15" s="29" t="n">
        <v>41.97</v>
      </c>
    </row>
    <row r="16" customFormat="false" ht="15" hidden="false" customHeight="false" outlineLevel="0" collapsed="false">
      <c r="A16" s="24" t="n">
        <v>10022</v>
      </c>
      <c r="B16" s="8" t="s">
        <v>42</v>
      </c>
      <c r="C16" s="25" t="n">
        <v>4</v>
      </c>
      <c r="D16" s="25" t="n">
        <v>4</v>
      </c>
      <c r="E16" s="10" t="n">
        <v>0</v>
      </c>
      <c r="F16" s="10" t="n">
        <v>1240</v>
      </c>
      <c r="G16" s="10" t="n">
        <v>1240</v>
      </c>
      <c r="H16" s="10" t="n">
        <v>322.93</v>
      </c>
      <c r="I16" s="10" t="n">
        <v>917.07</v>
      </c>
      <c r="J16" s="10" t="n">
        <v>576.41</v>
      </c>
      <c r="K16" s="11" t="n">
        <v>0.7396</v>
      </c>
      <c r="L16" s="11" t="n">
        <v>0.4648</v>
      </c>
      <c r="M16" s="26" t="n">
        <v>7</v>
      </c>
    </row>
    <row r="17" customFormat="false" ht="15" hidden="false" customHeight="false" outlineLevel="0" collapsed="false">
      <c r="A17" s="27" t="n">
        <v>10024</v>
      </c>
      <c r="B17" s="12" t="s">
        <v>43</v>
      </c>
      <c r="C17" s="28" t="n">
        <v>120</v>
      </c>
      <c r="D17" s="28" t="n">
        <v>120</v>
      </c>
      <c r="E17" s="14" t="n">
        <v>0</v>
      </c>
      <c r="F17" s="14" t="n">
        <v>5791.2</v>
      </c>
      <c r="G17" s="14" t="n">
        <v>5791.2</v>
      </c>
      <c r="H17" s="14" t="n">
        <v>899.124</v>
      </c>
      <c r="I17" s="14" t="n">
        <v>4892.08</v>
      </c>
      <c r="J17" s="14" t="n">
        <v>3301.12</v>
      </c>
      <c r="K17" s="15" t="n">
        <v>0.8447</v>
      </c>
      <c r="L17" s="15" t="n">
        <v>0.57</v>
      </c>
      <c r="M17" s="29" t="n">
        <v>50</v>
      </c>
    </row>
    <row r="18" customFormat="false" ht="15" hidden="false" customHeight="false" outlineLevel="0" collapsed="false">
      <c r="A18" s="24" t="n">
        <v>10025</v>
      </c>
      <c r="B18" s="8" t="s">
        <v>44</v>
      </c>
      <c r="C18" s="25" t="n">
        <v>80</v>
      </c>
      <c r="D18" s="25" t="n">
        <v>80</v>
      </c>
      <c r="E18" s="10" t="n">
        <v>0</v>
      </c>
      <c r="F18" s="10" t="n">
        <v>5755.36</v>
      </c>
      <c r="G18" s="10" t="n">
        <v>5755.36</v>
      </c>
      <c r="H18" s="10" t="n">
        <v>579.9598</v>
      </c>
      <c r="I18" s="10" t="n">
        <v>5175.4</v>
      </c>
      <c r="J18" s="10" t="n">
        <v>3643.4</v>
      </c>
      <c r="K18" s="11" t="n">
        <v>0.8992</v>
      </c>
      <c r="L18" s="11" t="n">
        <v>0.633</v>
      </c>
      <c r="M18" s="26" t="n">
        <v>42.92</v>
      </c>
    </row>
    <row r="19" customFormat="false" ht="15" hidden="false" customHeight="false" outlineLevel="0" collapsed="false">
      <c r="A19" s="27" t="n">
        <v>10027</v>
      </c>
      <c r="B19" s="12" t="s">
        <v>45</v>
      </c>
      <c r="C19" s="28" t="n">
        <v>27</v>
      </c>
      <c r="D19" s="28" t="n">
        <v>27</v>
      </c>
      <c r="E19" s="14" t="n">
        <v>0</v>
      </c>
      <c r="F19" s="14" t="n">
        <v>30355.26</v>
      </c>
      <c r="G19" s="14" t="n">
        <v>30355.26</v>
      </c>
      <c r="H19" s="14" t="n">
        <v>15000.1502</v>
      </c>
      <c r="I19" s="14" t="n">
        <v>15355.11</v>
      </c>
      <c r="J19" s="14" t="n">
        <v>8245.63</v>
      </c>
      <c r="K19" s="15" t="n">
        <v>0.5058</v>
      </c>
      <c r="L19" s="15" t="n">
        <v>0.2716</v>
      </c>
      <c r="M19" s="29" t="n">
        <v>40.48</v>
      </c>
    </row>
    <row r="20" customFormat="false" ht="15" hidden="false" customHeight="false" outlineLevel="0" collapsed="false">
      <c r="A20" s="24" t="n">
        <v>10031</v>
      </c>
      <c r="B20" s="8" t="s">
        <v>46</v>
      </c>
      <c r="C20" s="25" t="n">
        <v>12</v>
      </c>
      <c r="D20" s="25" t="n">
        <v>12</v>
      </c>
      <c r="E20" s="10" t="n">
        <v>0</v>
      </c>
      <c r="F20" s="10" t="n">
        <v>368.4</v>
      </c>
      <c r="G20" s="10" t="n">
        <v>368.4</v>
      </c>
      <c r="H20" s="10" t="n">
        <v>69.68</v>
      </c>
      <c r="I20" s="10" t="n">
        <v>298.72</v>
      </c>
      <c r="J20" s="10" t="n">
        <v>215.26</v>
      </c>
      <c r="K20" s="11" t="n">
        <v>0.8109</v>
      </c>
      <c r="L20" s="11" t="n">
        <v>0.5843</v>
      </c>
      <c r="M20" s="26" t="n">
        <v>13.33</v>
      </c>
    </row>
    <row r="21" customFormat="false" ht="15" hidden="false" customHeight="false" outlineLevel="0" collapsed="false">
      <c r="A21" s="27" t="n">
        <v>10032</v>
      </c>
      <c r="B21" s="12" t="s">
        <v>309</v>
      </c>
      <c r="C21" s="28" t="n">
        <v>14</v>
      </c>
      <c r="D21" s="28" t="n">
        <v>14</v>
      </c>
      <c r="E21" s="14" t="n">
        <v>0</v>
      </c>
      <c r="F21" s="14" t="n">
        <v>621.32</v>
      </c>
      <c r="G21" s="14" t="n">
        <v>621.32</v>
      </c>
      <c r="H21" s="14" t="n">
        <v>7.63</v>
      </c>
      <c r="I21" s="14" t="n">
        <v>613.69</v>
      </c>
      <c r="J21" s="14" t="n">
        <v>472.93</v>
      </c>
      <c r="K21" s="15" t="n">
        <v>0.9877</v>
      </c>
      <c r="L21" s="15" t="n">
        <v>0.7612</v>
      </c>
      <c r="M21" s="29" t="n">
        <v>12.14</v>
      </c>
    </row>
    <row r="22" customFormat="false" ht="15" hidden="false" customHeight="false" outlineLevel="0" collapsed="false">
      <c r="A22" s="24" t="n">
        <v>10035</v>
      </c>
      <c r="B22" s="8" t="s">
        <v>47</v>
      </c>
      <c r="C22" s="25" t="n">
        <v>2</v>
      </c>
      <c r="D22" s="25" t="n">
        <v>2</v>
      </c>
      <c r="E22" s="10" t="n">
        <v>0</v>
      </c>
      <c r="F22" s="10" t="n">
        <v>670.5</v>
      </c>
      <c r="G22" s="10" t="n">
        <v>670.5</v>
      </c>
      <c r="H22" s="10" t="n">
        <v>218.57</v>
      </c>
      <c r="I22" s="10" t="n">
        <v>451.93</v>
      </c>
      <c r="J22" s="10" t="n">
        <v>300.03</v>
      </c>
      <c r="K22" s="11" t="n">
        <v>0.674</v>
      </c>
      <c r="L22" s="11" t="n">
        <v>0.4475</v>
      </c>
      <c r="M22" s="26" t="n">
        <v>28</v>
      </c>
    </row>
    <row r="23" customFormat="false" ht="15" hidden="false" customHeight="false" outlineLevel="0" collapsed="false">
      <c r="A23" s="27" t="n">
        <v>10036</v>
      </c>
      <c r="B23" s="12" t="s">
        <v>310</v>
      </c>
      <c r="C23" s="28" t="n">
        <v>10</v>
      </c>
      <c r="D23" s="28" t="n">
        <v>10</v>
      </c>
      <c r="E23" s="14" t="n">
        <v>0</v>
      </c>
      <c r="F23" s="14" t="n">
        <v>8023.4</v>
      </c>
      <c r="G23" s="14" t="n">
        <v>8023.4</v>
      </c>
      <c r="H23" s="14" t="n">
        <v>1106.93</v>
      </c>
      <c r="I23" s="14" t="n">
        <v>6916.47</v>
      </c>
      <c r="J23" s="14" t="n">
        <v>5932.8</v>
      </c>
      <c r="K23" s="15" t="n">
        <v>0.862</v>
      </c>
      <c r="L23" s="15" t="n">
        <v>0.7394</v>
      </c>
      <c r="M23" s="29" t="n">
        <v>30</v>
      </c>
    </row>
    <row r="24" customFormat="false" ht="15" hidden="false" customHeight="false" outlineLevel="0" collapsed="false">
      <c r="A24" s="24" t="n">
        <v>10038</v>
      </c>
      <c r="B24" s="8" t="s">
        <v>47</v>
      </c>
      <c r="C24" s="25" t="n">
        <v>22</v>
      </c>
      <c r="D24" s="25" t="n">
        <v>22</v>
      </c>
      <c r="E24" s="10" t="n">
        <v>0</v>
      </c>
      <c r="F24" s="10" t="n">
        <v>5775.7</v>
      </c>
      <c r="G24" s="10" t="n">
        <v>5775.7</v>
      </c>
      <c r="H24" s="10" t="n">
        <v>1640.4904</v>
      </c>
      <c r="I24" s="10" t="n">
        <v>4135.21</v>
      </c>
      <c r="J24" s="10" t="n">
        <v>3012.91</v>
      </c>
      <c r="K24" s="11" t="n">
        <v>0.716</v>
      </c>
      <c r="L24" s="11" t="n">
        <v>0.5217</v>
      </c>
      <c r="M24" s="26" t="n">
        <v>47.36</v>
      </c>
    </row>
    <row r="25" customFormat="false" ht="15" hidden="false" customHeight="false" outlineLevel="0" collapsed="false">
      <c r="A25" s="27" t="n">
        <v>10044</v>
      </c>
      <c r="B25" s="12" t="s">
        <v>48</v>
      </c>
      <c r="C25" s="28" t="n">
        <v>926</v>
      </c>
      <c r="D25" s="28" t="n">
        <v>926</v>
      </c>
      <c r="E25" s="14" t="n">
        <v>173.56</v>
      </c>
      <c r="F25" s="14" t="n">
        <v>45101.63</v>
      </c>
      <c r="G25" s="14" t="n">
        <v>45275.19</v>
      </c>
      <c r="H25" s="14" t="n">
        <v>6092.972</v>
      </c>
      <c r="I25" s="14" t="n">
        <v>39182.22</v>
      </c>
      <c r="J25" s="14" t="n">
        <v>32517.17</v>
      </c>
      <c r="K25" s="15" t="n">
        <v>0.8654</v>
      </c>
      <c r="L25" s="15" t="n">
        <v>0.7182</v>
      </c>
      <c r="M25" s="29" t="n">
        <v>51.72</v>
      </c>
    </row>
    <row r="26" customFormat="false" ht="15" hidden="false" customHeight="false" outlineLevel="0" collapsed="false">
      <c r="A26" s="24" t="n">
        <v>10047</v>
      </c>
      <c r="B26" s="8" t="s">
        <v>251</v>
      </c>
      <c r="C26" s="25" t="n">
        <v>20</v>
      </c>
      <c r="D26" s="25" t="n">
        <v>20</v>
      </c>
      <c r="E26" s="10" t="n">
        <v>0</v>
      </c>
      <c r="F26" s="10" t="n">
        <v>7453.2</v>
      </c>
      <c r="G26" s="10" t="n">
        <v>7453.2</v>
      </c>
      <c r="H26" s="10" t="n">
        <v>1833.22</v>
      </c>
      <c r="I26" s="10" t="n">
        <v>5619.98</v>
      </c>
      <c r="J26" s="10" t="n">
        <v>3572.43</v>
      </c>
      <c r="K26" s="11" t="n">
        <v>0.754</v>
      </c>
      <c r="L26" s="11" t="n">
        <v>0.4793</v>
      </c>
      <c r="M26" s="26" t="n">
        <v>45</v>
      </c>
    </row>
    <row r="27" customFormat="false" ht="15" hidden="false" customHeight="false" outlineLevel="0" collapsed="false">
      <c r="A27" s="27" t="n">
        <v>10052</v>
      </c>
      <c r="B27" s="12" t="s">
        <v>49</v>
      </c>
      <c r="C27" s="28" t="n">
        <v>103</v>
      </c>
      <c r="D27" s="28" t="n">
        <v>103</v>
      </c>
      <c r="E27" s="14" t="n">
        <v>0</v>
      </c>
      <c r="F27" s="14" t="n">
        <v>8371.49</v>
      </c>
      <c r="G27" s="14" t="n">
        <v>8371.49</v>
      </c>
      <c r="H27" s="14" t="n">
        <v>1092.7404</v>
      </c>
      <c r="I27" s="14" t="n">
        <v>7278.75</v>
      </c>
      <c r="J27" s="14" t="n">
        <v>5516.11</v>
      </c>
      <c r="K27" s="15" t="n">
        <v>0.8695</v>
      </c>
      <c r="L27" s="15" t="n">
        <v>0.6589</v>
      </c>
      <c r="M27" s="29" t="n">
        <v>37.37</v>
      </c>
    </row>
    <row r="28" customFormat="false" ht="15" hidden="false" customHeight="false" outlineLevel="0" collapsed="false">
      <c r="A28" s="24" t="n">
        <v>10064</v>
      </c>
      <c r="B28" s="8" t="s">
        <v>50</v>
      </c>
      <c r="C28" s="25" t="n">
        <v>622</v>
      </c>
      <c r="D28" s="25" t="n">
        <v>622</v>
      </c>
      <c r="E28" s="10" t="n">
        <v>0</v>
      </c>
      <c r="F28" s="10" t="n">
        <v>8683.64</v>
      </c>
      <c r="G28" s="10" t="n">
        <v>8683.64</v>
      </c>
      <c r="H28" s="10" t="n">
        <v>3841.211</v>
      </c>
      <c r="I28" s="10" t="n">
        <v>4842.43</v>
      </c>
      <c r="J28" s="10" t="n">
        <v>2489.45</v>
      </c>
      <c r="K28" s="11" t="n">
        <v>0.5576</v>
      </c>
      <c r="L28" s="11" t="n">
        <v>0.2867</v>
      </c>
      <c r="M28" s="26" t="n">
        <v>60.87</v>
      </c>
    </row>
    <row r="29" customFormat="false" ht="15" hidden="false" customHeight="false" outlineLevel="0" collapsed="false">
      <c r="A29" s="27" t="n">
        <v>10068</v>
      </c>
      <c r="B29" s="12" t="s">
        <v>51</v>
      </c>
      <c r="C29" s="28" t="n">
        <v>4</v>
      </c>
      <c r="D29" s="28" t="n">
        <v>4</v>
      </c>
      <c r="E29" s="14" t="n">
        <v>0</v>
      </c>
      <c r="F29" s="14" t="n">
        <v>1526.28</v>
      </c>
      <c r="G29" s="14" t="n">
        <v>1526.28</v>
      </c>
      <c r="H29" s="14" t="n">
        <v>324.52</v>
      </c>
      <c r="I29" s="14" t="n">
        <v>1201.76</v>
      </c>
      <c r="J29" s="14" t="n">
        <v>782.46</v>
      </c>
      <c r="K29" s="15" t="n">
        <v>0.7874</v>
      </c>
      <c r="L29" s="15" t="n">
        <v>0.5127</v>
      </c>
      <c r="M29" s="29" t="n">
        <v>46</v>
      </c>
    </row>
    <row r="30" customFormat="false" ht="15" hidden="false" customHeight="false" outlineLevel="0" collapsed="false">
      <c r="A30" s="24" t="n">
        <v>10078</v>
      </c>
      <c r="B30" s="8" t="s">
        <v>311</v>
      </c>
      <c r="C30" s="25" t="n">
        <v>15</v>
      </c>
      <c r="D30" s="25" t="n">
        <v>15</v>
      </c>
      <c r="E30" s="10" t="n">
        <v>0</v>
      </c>
      <c r="F30" s="10" t="n">
        <v>67.5</v>
      </c>
      <c r="G30" s="10" t="n">
        <v>67.5</v>
      </c>
      <c r="H30" s="10" t="n">
        <v>1.59</v>
      </c>
      <c r="I30" s="10" t="n">
        <v>65.91</v>
      </c>
      <c r="J30" s="10" t="n">
        <v>47.37</v>
      </c>
      <c r="K30" s="11" t="n">
        <v>0.9764</v>
      </c>
      <c r="L30" s="11" t="n">
        <v>0.7018</v>
      </c>
      <c r="M30" s="26" t="n">
        <v>60</v>
      </c>
    </row>
    <row r="31" customFormat="false" ht="15" hidden="false" customHeight="false" outlineLevel="0" collapsed="false">
      <c r="A31" s="27" t="n">
        <v>10079</v>
      </c>
      <c r="B31" s="12" t="s">
        <v>312</v>
      </c>
      <c r="C31" s="28" t="n">
        <v>15</v>
      </c>
      <c r="D31" s="28" t="n">
        <v>15</v>
      </c>
      <c r="E31" s="14" t="n">
        <v>0</v>
      </c>
      <c r="F31" s="14" t="n">
        <v>67.5</v>
      </c>
      <c r="G31" s="14" t="n">
        <v>67.5</v>
      </c>
      <c r="H31" s="14" t="n">
        <v>13.5</v>
      </c>
      <c r="I31" s="14" t="n">
        <v>54</v>
      </c>
      <c r="J31" s="14" t="n">
        <v>35.46</v>
      </c>
      <c r="K31" s="15" t="n">
        <v>0.8</v>
      </c>
      <c r="L31" s="15" t="n">
        <v>0.5253</v>
      </c>
      <c r="M31" s="29" t="n">
        <v>60</v>
      </c>
    </row>
    <row r="32" customFormat="false" ht="15" hidden="false" customHeight="false" outlineLevel="0" collapsed="false">
      <c r="A32" s="24" t="n">
        <v>10084</v>
      </c>
      <c r="B32" s="8" t="s">
        <v>53</v>
      </c>
      <c r="C32" s="25" t="n">
        <v>379</v>
      </c>
      <c r="D32" s="25" t="n">
        <v>379</v>
      </c>
      <c r="E32" s="10" t="n">
        <v>0</v>
      </c>
      <c r="F32" s="10" t="n">
        <v>4542.94</v>
      </c>
      <c r="G32" s="10" t="n">
        <v>4542.94</v>
      </c>
      <c r="H32" s="10" t="n">
        <v>1337.5108</v>
      </c>
      <c r="I32" s="10" t="n">
        <v>3205.44</v>
      </c>
      <c r="J32" s="10" t="n">
        <v>1977.5</v>
      </c>
      <c r="K32" s="11" t="n">
        <v>0.7056</v>
      </c>
      <c r="L32" s="11" t="n">
        <v>0.4353</v>
      </c>
      <c r="M32" s="26" t="n">
        <v>47.91</v>
      </c>
    </row>
    <row r="33" customFormat="false" ht="15" hidden="false" customHeight="false" outlineLevel="0" collapsed="false">
      <c r="A33" s="27" t="n">
        <v>10087</v>
      </c>
      <c r="B33" s="12" t="s">
        <v>54</v>
      </c>
      <c r="C33" s="28" t="n">
        <v>51</v>
      </c>
      <c r="D33" s="28" t="n">
        <v>51</v>
      </c>
      <c r="E33" s="14" t="n">
        <v>0</v>
      </c>
      <c r="F33" s="14" t="n">
        <v>841.5</v>
      </c>
      <c r="G33" s="14" t="n">
        <v>841.5</v>
      </c>
      <c r="H33" s="14" t="n">
        <v>276.5303</v>
      </c>
      <c r="I33" s="14" t="n">
        <v>564.97</v>
      </c>
      <c r="J33" s="14" t="n">
        <v>340.92</v>
      </c>
      <c r="K33" s="15" t="n">
        <v>0.6714</v>
      </c>
      <c r="L33" s="15" t="n">
        <v>0.4051</v>
      </c>
      <c r="M33" s="29" t="n">
        <v>51.46</v>
      </c>
    </row>
    <row r="34" customFormat="false" ht="15" hidden="false" customHeight="false" outlineLevel="0" collapsed="false">
      <c r="A34" s="24" t="n">
        <v>10088</v>
      </c>
      <c r="B34" s="8" t="s">
        <v>55</v>
      </c>
      <c r="C34" s="25" t="n">
        <v>44</v>
      </c>
      <c r="D34" s="25" t="n">
        <v>44</v>
      </c>
      <c r="E34" s="10" t="n">
        <v>0</v>
      </c>
      <c r="F34" s="10" t="n">
        <v>2415.6</v>
      </c>
      <c r="G34" s="10" t="n">
        <v>2415.6</v>
      </c>
      <c r="H34" s="10" t="n">
        <v>559.482</v>
      </c>
      <c r="I34" s="10" t="n">
        <v>1856.12</v>
      </c>
      <c r="J34" s="10" t="n">
        <v>1192.51</v>
      </c>
      <c r="K34" s="11" t="n">
        <v>0.7684</v>
      </c>
      <c r="L34" s="11" t="n">
        <v>0.4937</v>
      </c>
      <c r="M34" s="26" t="n">
        <v>5</v>
      </c>
    </row>
    <row r="35" customFormat="false" ht="15" hidden="false" customHeight="false" outlineLevel="0" collapsed="false">
      <c r="A35" s="27" t="n">
        <v>10089</v>
      </c>
      <c r="B35" s="12" t="s">
        <v>313</v>
      </c>
      <c r="C35" s="28" t="n">
        <v>1</v>
      </c>
      <c r="D35" s="28" t="n">
        <v>1</v>
      </c>
      <c r="E35" s="14" t="n">
        <v>0</v>
      </c>
      <c r="F35" s="14" t="n">
        <v>351</v>
      </c>
      <c r="G35" s="14" t="n">
        <v>351</v>
      </c>
      <c r="H35" s="14" t="n">
        <v>79.18</v>
      </c>
      <c r="I35" s="14" t="n">
        <v>271.82</v>
      </c>
      <c r="J35" s="14" t="n">
        <v>175.39</v>
      </c>
      <c r="K35" s="15" t="n">
        <v>0.7744</v>
      </c>
      <c r="L35" s="15" t="n">
        <v>0.4997</v>
      </c>
      <c r="M35" s="29" t="n">
        <v>60</v>
      </c>
    </row>
    <row r="36" customFormat="false" ht="15" hidden="false" customHeight="false" outlineLevel="0" collapsed="false">
      <c r="A36" s="24" t="n">
        <v>10090</v>
      </c>
      <c r="B36" s="8" t="s">
        <v>56</v>
      </c>
      <c r="C36" s="25" t="n">
        <v>105</v>
      </c>
      <c r="D36" s="25" t="n">
        <v>105</v>
      </c>
      <c r="E36" s="10" t="n">
        <v>0</v>
      </c>
      <c r="F36" s="10" t="n">
        <v>20422.85</v>
      </c>
      <c r="G36" s="10" t="n">
        <v>20422.85</v>
      </c>
      <c r="H36" s="10" t="n">
        <v>6177.821</v>
      </c>
      <c r="I36" s="10" t="n">
        <v>14245.03</v>
      </c>
      <c r="J36" s="10" t="n">
        <v>9627.18</v>
      </c>
      <c r="K36" s="11" t="n">
        <v>0.6975</v>
      </c>
      <c r="L36" s="11" t="n">
        <v>0.4714</v>
      </c>
      <c r="M36" s="26" t="n">
        <v>39</v>
      </c>
    </row>
    <row r="37" customFormat="false" ht="15" hidden="false" customHeight="false" outlineLevel="0" collapsed="false">
      <c r="A37" s="27" t="n">
        <v>10097</v>
      </c>
      <c r="B37" s="12" t="s">
        <v>58</v>
      </c>
      <c r="C37" s="28" t="n">
        <v>2200</v>
      </c>
      <c r="D37" s="28" t="n">
        <v>2200</v>
      </c>
      <c r="E37" s="14" t="n">
        <v>0</v>
      </c>
      <c r="F37" s="14" t="n">
        <v>8470</v>
      </c>
      <c r="G37" s="14" t="n">
        <v>8470</v>
      </c>
      <c r="H37" s="14" t="n">
        <v>3241.386</v>
      </c>
      <c r="I37" s="14" t="n">
        <v>5228.62</v>
      </c>
      <c r="J37" s="14" t="n">
        <v>2901.75</v>
      </c>
      <c r="K37" s="15" t="n">
        <v>0.6173</v>
      </c>
      <c r="L37" s="15" t="n">
        <v>0.3426</v>
      </c>
      <c r="M37" s="29" t="n">
        <v>49.43</v>
      </c>
    </row>
    <row r="38" customFormat="false" ht="15" hidden="false" customHeight="false" outlineLevel="0" collapsed="false">
      <c r="A38" s="24" t="n">
        <v>10098</v>
      </c>
      <c r="B38" s="8" t="s">
        <v>59</v>
      </c>
      <c r="C38" s="25" t="n">
        <v>33</v>
      </c>
      <c r="D38" s="25" t="n">
        <v>33</v>
      </c>
      <c r="E38" s="10" t="n">
        <v>0</v>
      </c>
      <c r="F38" s="10" t="n">
        <v>5547.1</v>
      </c>
      <c r="G38" s="10" t="n">
        <v>5547.1</v>
      </c>
      <c r="H38" s="10" t="n">
        <v>1988.2599</v>
      </c>
      <c r="I38" s="10" t="n">
        <v>3558.84</v>
      </c>
      <c r="J38" s="10" t="n">
        <v>2143.31</v>
      </c>
      <c r="K38" s="11" t="n">
        <v>0.6416</v>
      </c>
      <c r="L38" s="11" t="n">
        <v>0.3864</v>
      </c>
      <c r="M38" s="26" t="n">
        <v>43.47</v>
      </c>
    </row>
    <row r="39" customFormat="false" ht="15" hidden="false" customHeight="false" outlineLevel="0" collapsed="false">
      <c r="A39" s="27" t="n">
        <v>10100</v>
      </c>
      <c r="B39" s="12" t="s">
        <v>252</v>
      </c>
      <c r="C39" s="28" t="n">
        <v>11</v>
      </c>
      <c r="D39" s="28" t="n">
        <v>11</v>
      </c>
      <c r="E39" s="14" t="n">
        <v>0</v>
      </c>
      <c r="F39" s="14" t="n">
        <v>292.57</v>
      </c>
      <c r="G39" s="14" t="n">
        <v>292.57</v>
      </c>
      <c r="H39" s="14" t="n">
        <v>99.05</v>
      </c>
      <c r="I39" s="14" t="n">
        <v>193.52</v>
      </c>
      <c r="J39" s="14" t="n">
        <v>120.31</v>
      </c>
      <c r="K39" s="15" t="n">
        <v>0.6614</v>
      </c>
      <c r="L39" s="15" t="n">
        <v>0.4112</v>
      </c>
      <c r="M39" s="29" t="n">
        <v>46.42</v>
      </c>
    </row>
    <row r="40" customFormat="false" ht="15" hidden="false" customHeight="false" outlineLevel="0" collapsed="false">
      <c r="A40" s="24" t="n">
        <v>10102</v>
      </c>
      <c r="B40" s="8" t="s">
        <v>253</v>
      </c>
      <c r="C40" s="25" t="n">
        <v>150</v>
      </c>
      <c r="D40" s="25" t="n">
        <v>150</v>
      </c>
      <c r="E40" s="10" t="n">
        <v>0</v>
      </c>
      <c r="F40" s="10" t="n">
        <v>25440</v>
      </c>
      <c r="G40" s="10" t="n">
        <v>25440</v>
      </c>
      <c r="H40" s="10" t="n">
        <v>8798.34</v>
      </c>
      <c r="I40" s="10" t="n">
        <v>16641.66</v>
      </c>
      <c r="J40" s="10" t="n">
        <v>9652.78</v>
      </c>
      <c r="K40" s="11" t="n">
        <v>0.6542</v>
      </c>
      <c r="L40" s="11" t="n">
        <v>0.3794</v>
      </c>
      <c r="M40" s="26" t="n">
        <v>45</v>
      </c>
    </row>
    <row r="41" customFormat="false" ht="15" hidden="false" customHeight="false" outlineLevel="0" collapsed="false">
      <c r="A41" s="27" t="n">
        <v>10107</v>
      </c>
      <c r="B41" s="12" t="s">
        <v>40</v>
      </c>
      <c r="C41" s="28" t="n">
        <v>188</v>
      </c>
      <c r="D41" s="28" t="n">
        <v>188</v>
      </c>
      <c r="E41" s="14" t="n">
        <v>0</v>
      </c>
      <c r="F41" s="14" t="n">
        <v>30271.71</v>
      </c>
      <c r="G41" s="14" t="n">
        <v>30271.71</v>
      </c>
      <c r="H41" s="14" t="n">
        <v>12424.9497</v>
      </c>
      <c r="I41" s="14" t="n">
        <v>17846.76</v>
      </c>
      <c r="J41" s="14" t="n">
        <v>10883.93</v>
      </c>
      <c r="K41" s="15" t="n">
        <v>0.5896</v>
      </c>
      <c r="L41" s="15" t="n">
        <v>0.3595</v>
      </c>
      <c r="M41" s="29" t="n">
        <v>48.02</v>
      </c>
    </row>
    <row r="42" customFormat="false" ht="15" hidden="false" customHeight="false" outlineLevel="0" collapsed="false">
      <c r="A42" s="24" t="n">
        <v>10108</v>
      </c>
      <c r="B42" s="8" t="s">
        <v>60</v>
      </c>
      <c r="C42" s="25" t="n">
        <v>49</v>
      </c>
      <c r="D42" s="25" t="n">
        <v>49</v>
      </c>
      <c r="E42" s="10" t="n">
        <v>1564.84</v>
      </c>
      <c r="F42" s="10" t="n">
        <v>8015.77</v>
      </c>
      <c r="G42" s="10" t="n">
        <v>9580.61</v>
      </c>
      <c r="H42" s="10" t="n">
        <v>3201.66</v>
      </c>
      <c r="I42" s="10" t="n">
        <v>6378.95</v>
      </c>
      <c r="J42" s="10" t="n">
        <v>3875.8</v>
      </c>
      <c r="K42" s="11" t="n">
        <v>0.6658</v>
      </c>
      <c r="L42" s="11" t="n">
        <v>0.4045</v>
      </c>
      <c r="M42" s="26" t="n">
        <v>38.87</v>
      </c>
    </row>
    <row r="43" customFormat="false" ht="15" hidden="false" customHeight="false" outlineLevel="0" collapsed="false">
      <c r="A43" s="27" t="n">
        <v>10109</v>
      </c>
      <c r="B43" s="12" t="s">
        <v>61</v>
      </c>
      <c r="C43" s="28" t="n">
        <v>284</v>
      </c>
      <c r="D43" s="28" t="n">
        <v>284</v>
      </c>
      <c r="E43" s="14" t="n">
        <v>758.49</v>
      </c>
      <c r="F43" s="14" t="n">
        <v>35237.22</v>
      </c>
      <c r="G43" s="14" t="n">
        <v>35995.71</v>
      </c>
      <c r="H43" s="14" t="n">
        <v>16200.8104</v>
      </c>
      <c r="I43" s="14" t="n">
        <v>19794.9</v>
      </c>
      <c r="J43" s="14" t="n">
        <v>10113.04</v>
      </c>
      <c r="K43" s="15" t="n">
        <v>0.5499</v>
      </c>
      <c r="L43" s="15" t="n">
        <v>0.281</v>
      </c>
      <c r="M43" s="29" t="n">
        <v>37.65</v>
      </c>
    </row>
    <row r="44" customFormat="false" ht="15" hidden="false" customHeight="false" outlineLevel="0" collapsed="false">
      <c r="A44" s="24" t="n">
        <v>10110</v>
      </c>
      <c r="B44" s="8" t="s">
        <v>62</v>
      </c>
      <c r="C44" s="25" t="n">
        <v>344</v>
      </c>
      <c r="D44" s="25" t="n">
        <v>344</v>
      </c>
      <c r="E44" s="10" t="n">
        <v>0</v>
      </c>
      <c r="F44" s="10" t="n">
        <v>46828.45</v>
      </c>
      <c r="G44" s="10" t="n">
        <v>46828.45</v>
      </c>
      <c r="H44" s="10" t="n">
        <v>18707.4699</v>
      </c>
      <c r="I44" s="10" t="n">
        <v>28120.98</v>
      </c>
      <c r="J44" s="10" t="n">
        <v>19817.64</v>
      </c>
      <c r="K44" s="11" t="n">
        <v>0.6005</v>
      </c>
      <c r="L44" s="11" t="n">
        <v>0.4232</v>
      </c>
      <c r="M44" s="26" t="n">
        <v>34.86</v>
      </c>
    </row>
    <row r="45" customFormat="false" ht="15" hidden="false" customHeight="false" outlineLevel="0" collapsed="false">
      <c r="A45" s="27" t="n">
        <v>10112</v>
      </c>
      <c r="B45" s="12" t="s">
        <v>139</v>
      </c>
      <c r="C45" s="28" t="n">
        <v>1</v>
      </c>
      <c r="D45" s="28" t="n">
        <v>1</v>
      </c>
      <c r="E45" s="14" t="n">
        <v>0</v>
      </c>
      <c r="F45" s="14" t="n">
        <v>447.54</v>
      </c>
      <c r="G45" s="14" t="n">
        <v>447.54</v>
      </c>
      <c r="H45" s="14" t="n">
        <v>221.41</v>
      </c>
      <c r="I45" s="14" t="n">
        <v>226.13</v>
      </c>
      <c r="J45" s="14" t="n">
        <v>117.56</v>
      </c>
      <c r="K45" s="15" t="n">
        <v>0.5053</v>
      </c>
      <c r="L45" s="15" t="n">
        <v>0.2627</v>
      </c>
      <c r="M45" s="29" t="n">
        <v>41</v>
      </c>
    </row>
    <row r="46" customFormat="false" ht="15" hidden="false" customHeight="false" outlineLevel="0" collapsed="false">
      <c r="A46" s="24" t="n">
        <v>10114</v>
      </c>
      <c r="B46" s="8" t="s">
        <v>63</v>
      </c>
      <c r="C46" s="25" t="n">
        <v>40</v>
      </c>
      <c r="D46" s="25" t="n">
        <v>40</v>
      </c>
      <c r="E46" s="10" t="n">
        <v>68.95</v>
      </c>
      <c r="F46" s="10" t="n">
        <v>2087.87</v>
      </c>
      <c r="G46" s="10" t="n">
        <v>2156.82</v>
      </c>
      <c r="H46" s="10" t="n">
        <v>880.58</v>
      </c>
      <c r="I46" s="10" t="n">
        <v>1276.24</v>
      </c>
      <c r="J46" s="10" t="n">
        <v>915.66</v>
      </c>
      <c r="K46" s="11" t="n">
        <v>0.5917</v>
      </c>
      <c r="L46" s="11" t="n">
        <v>0.4245</v>
      </c>
      <c r="M46" s="26" t="n">
        <v>26.89</v>
      </c>
    </row>
    <row r="47" customFormat="false" ht="15" hidden="false" customHeight="false" outlineLevel="0" collapsed="false">
      <c r="A47" s="27" t="n">
        <v>10121</v>
      </c>
      <c r="B47" s="12" t="s">
        <v>64</v>
      </c>
      <c r="C47" s="28" t="n">
        <v>489</v>
      </c>
      <c r="D47" s="28" t="n">
        <v>489</v>
      </c>
      <c r="E47" s="14" t="n">
        <v>0</v>
      </c>
      <c r="F47" s="14" t="n">
        <v>18540.03</v>
      </c>
      <c r="G47" s="14" t="n">
        <v>18540.03</v>
      </c>
      <c r="H47" s="14" t="n">
        <v>8570.4121</v>
      </c>
      <c r="I47" s="14" t="n">
        <v>9969.62</v>
      </c>
      <c r="J47" s="14" t="n">
        <v>5337.33</v>
      </c>
      <c r="K47" s="15" t="n">
        <v>0.5377</v>
      </c>
      <c r="L47" s="15" t="n">
        <v>0.2879</v>
      </c>
      <c r="M47" s="29" t="n">
        <v>45</v>
      </c>
    </row>
    <row r="48" customFormat="false" ht="15" hidden="false" customHeight="false" outlineLevel="0" collapsed="false">
      <c r="A48" s="24" t="n">
        <v>10124</v>
      </c>
      <c r="B48" s="8" t="s">
        <v>66</v>
      </c>
      <c r="C48" s="25" t="n">
        <v>53</v>
      </c>
      <c r="D48" s="25" t="n">
        <v>53</v>
      </c>
      <c r="E48" s="10" t="n">
        <v>0</v>
      </c>
      <c r="F48" s="10" t="n">
        <v>4817.33</v>
      </c>
      <c r="G48" s="10" t="n">
        <v>4817.33</v>
      </c>
      <c r="H48" s="10" t="n">
        <v>2075.6</v>
      </c>
      <c r="I48" s="10" t="n">
        <v>2741.73</v>
      </c>
      <c r="J48" s="10" t="n">
        <v>2105.05</v>
      </c>
      <c r="K48" s="11" t="n">
        <v>0.5691</v>
      </c>
      <c r="L48" s="11" t="n">
        <v>0.437</v>
      </c>
      <c r="M48" s="26" t="n">
        <v>42.61</v>
      </c>
    </row>
    <row r="49" customFormat="false" ht="15" hidden="false" customHeight="false" outlineLevel="0" collapsed="false">
      <c r="A49" s="27" t="n">
        <v>10126</v>
      </c>
      <c r="B49" s="12" t="s">
        <v>67</v>
      </c>
      <c r="C49" s="28" t="n">
        <v>23</v>
      </c>
      <c r="D49" s="28" t="n">
        <v>23</v>
      </c>
      <c r="E49" s="14" t="n">
        <v>0</v>
      </c>
      <c r="F49" s="14" t="n">
        <v>988.32</v>
      </c>
      <c r="G49" s="14" t="n">
        <v>988.32</v>
      </c>
      <c r="H49" s="14" t="n">
        <v>520.95</v>
      </c>
      <c r="I49" s="14" t="n">
        <v>467.37</v>
      </c>
      <c r="J49" s="14" t="n">
        <v>277.74</v>
      </c>
      <c r="K49" s="15" t="n">
        <v>0.4729</v>
      </c>
      <c r="L49" s="15" t="n">
        <v>0.281</v>
      </c>
      <c r="M49" s="29" t="n">
        <v>48.55</v>
      </c>
    </row>
    <row r="50" customFormat="false" ht="15" hidden="false" customHeight="false" outlineLevel="0" collapsed="false">
      <c r="A50" s="24" t="n">
        <v>10127</v>
      </c>
      <c r="B50" s="8" t="s">
        <v>68</v>
      </c>
      <c r="C50" s="25" t="n">
        <v>30</v>
      </c>
      <c r="D50" s="25" t="n">
        <v>30</v>
      </c>
      <c r="E50" s="10" t="n">
        <v>0</v>
      </c>
      <c r="F50" s="10" t="n">
        <v>3296.5</v>
      </c>
      <c r="G50" s="10" t="n">
        <v>3296.5</v>
      </c>
      <c r="H50" s="10" t="n">
        <v>543.85</v>
      </c>
      <c r="I50" s="10" t="n">
        <v>2752.65</v>
      </c>
      <c r="J50" s="10" t="n">
        <v>2348.5</v>
      </c>
      <c r="K50" s="11" t="n">
        <v>0.835</v>
      </c>
      <c r="L50" s="11" t="n">
        <v>0.7124</v>
      </c>
      <c r="M50" s="26" t="n">
        <v>29.54</v>
      </c>
    </row>
    <row r="51" customFormat="false" ht="15" hidden="false" customHeight="false" outlineLevel="0" collapsed="false">
      <c r="A51" s="27" t="n">
        <v>10136</v>
      </c>
      <c r="B51" s="12" t="s">
        <v>69</v>
      </c>
      <c r="C51" s="28" t="n">
        <v>29</v>
      </c>
      <c r="D51" s="28" t="n">
        <v>29</v>
      </c>
      <c r="E51" s="14" t="n">
        <v>0</v>
      </c>
      <c r="F51" s="14" t="n">
        <v>4751.36</v>
      </c>
      <c r="G51" s="14" t="n">
        <v>4751.36</v>
      </c>
      <c r="H51" s="14" t="n">
        <v>2726.3999</v>
      </c>
      <c r="I51" s="14" t="n">
        <v>2024.96</v>
      </c>
      <c r="J51" s="14" t="n">
        <v>737.84</v>
      </c>
      <c r="K51" s="15" t="n">
        <v>0.4262</v>
      </c>
      <c r="L51" s="15" t="n">
        <v>0.1553</v>
      </c>
      <c r="M51" s="29" t="n">
        <v>47.42</v>
      </c>
    </row>
    <row r="52" customFormat="false" ht="15" hidden="false" customHeight="false" outlineLevel="0" collapsed="false">
      <c r="A52" s="24" t="n">
        <v>10137</v>
      </c>
      <c r="B52" s="8" t="s">
        <v>70</v>
      </c>
      <c r="C52" s="25" t="n">
        <v>28</v>
      </c>
      <c r="D52" s="25" t="n">
        <v>28</v>
      </c>
      <c r="E52" s="10" t="n">
        <v>0</v>
      </c>
      <c r="F52" s="10" t="n">
        <v>4562.22</v>
      </c>
      <c r="G52" s="10" t="n">
        <v>4562.22</v>
      </c>
      <c r="H52" s="10" t="n">
        <v>2623.9305</v>
      </c>
      <c r="I52" s="10" t="n">
        <v>1938.29</v>
      </c>
      <c r="J52" s="10" t="n">
        <v>694.02</v>
      </c>
      <c r="K52" s="11" t="n">
        <v>0.4249</v>
      </c>
      <c r="L52" s="11" t="n">
        <v>0.1521</v>
      </c>
      <c r="M52" s="26" t="n">
        <v>49.09</v>
      </c>
    </row>
    <row r="53" customFormat="false" ht="15" hidden="false" customHeight="false" outlineLevel="0" collapsed="false">
      <c r="A53" s="27" t="n">
        <v>10139</v>
      </c>
      <c r="B53" s="12" t="s">
        <v>71</v>
      </c>
      <c r="C53" s="28" t="n">
        <v>51</v>
      </c>
      <c r="D53" s="28" t="n">
        <v>51</v>
      </c>
      <c r="E53" s="14" t="n">
        <v>0</v>
      </c>
      <c r="F53" s="14" t="n">
        <v>40170.66</v>
      </c>
      <c r="G53" s="14" t="n">
        <v>40170.66</v>
      </c>
      <c r="H53" s="14" t="n">
        <v>12644.5002</v>
      </c>
      <c r="I53" s="14" t="n">
        <v>27526.16</v>
      </c>
      <c r="J53" s="14" t="n">
        <v>16490.45</v>
      </c>
      <c r="K53" s="15" t="n">
        <v>0.6852</v>
      </c>
      <c r="L53" s="15" t="n">
        <v>0.4105</v>
      </c>
      <c r="M53" s="29" t="n">
        <v>50.06</v>
      </c>
    </row>
    <row r="54" customFormat="false" ht="15" hidden="false" customHeight="false" outlineLevel="0" collapsed="false">
      <c r="A54" s="24" t="n">
        <v>10141</v>
      </c>
      <c r="B54" s="8" t="s">
        <v>72</v>
      </c>
      <c r="C54" s="25" t="n">
        <v>579</v>
      </c>
      <c r="D54" s="25" t="n">
        <v>579</v>
      </c>
      <c r="E54" s="10" t="n">
        <v>0</v>
      </c>
      <c r="F54" s="10" t="n">
        <v>38988.05</v>
      </c>
      <c r="G54" s="10" t="n">
        <v>38988.05</v>
      </c>
      <c r="H54" s="10" t="n">
        <v>19767.0206</v>
      </c>
      <c r="I54" s="10" t="n">
        <v>19221.03</v>
      </c>
      <c r="J54" s="10" t="n">
        <v>8575.61</v>
      </c>
      <c r="K54" s="11" t="n">
        <v>0.493</v>
      </c>
      <c r="L54" s="11" t="n">
        <v>0.22</v>
      </c>
      <c r="M54" s="26" t="n">
        <v>48.14</v>
      </c>
    </row>
    <row r="55" customFormat="false" ht="15" hidden="false" customHeight="false" outlineLevel="0" collapsed="false">
      <c r="A55" s="27" t="n">
        <v>10142</v>
      </c>
      <c r="B55" s="12" t="s">
        <v>73</v>
      </c>
      <c r="C55" s="28" t="n">
        <v>16</v>
      </c>
      <c r="D55" s="28" t="n">
        <v>16</v>
      </c>
      <c r="E55" s="14" t="n">
        <v>0</v>
      </c>
      <c r="F55" s="14" t="n">
        <v>2853.92</v>
      </c>
      <c r="G55" s="14" t="n">
        <v>2853.92</v>
      </c>
      <c r="H55" s="14" t="n">
        <v>1291.16</v>
      </c>
      <c r="I55" s="14" t="n">
        <v>1562.76</v>
      </c>
      <c r="J55" s="14" t="n">
        <v>778.72</v>
      </c>
      <c r="K55" s="15" t="n">
        <v>0.5476</v>
      </c>
      <c r="L55" s="15" t="n">
        <v>0.2729</v>
      </c>
      <c r="M55" s="29" t="n">
        <v>41.25</v>
      </c>
    </row>
    <row r="56" customFormat="false" ht="15" hidden="false" customHeight="false" outlineLevel="0" collapsed="false">
      <c r="A56" s="24" t="n">
        <v>10143</v>
      </c>
      <c r="B56" s="8" t="s">
        <v>74</v>
      </c>
      <c r="C56" s="25" t="n">
        <v>35</v>
      </c>
      <c r="D56" s="25" t="n">
        <v>35</v>
      </c>
      <c r="E56" s="10" t="n">
        <v>0</v>
      </c>
      <c r="F56" s="10" t="n">
        <v>6657.73</v>
      </c>
      <c r="G56" s="10" t="n">
        <v>6657.73</v>
      </c>
      <c r="H56" s="10" t="n">
        <v>3127.09</v>
      </c>
      <c r="I56" s="10" t="n">
        <v>3530.64</v>
      </c>
      <c r="J56" s="10" t="n">
        <v>1775.55</v>
      </c>
      <c r="K56" s="11" t="n">
        <v>0.5303</v>
      </c>
      <c r="L56" s="11" t="n">
        <v>0.2667</v>
      </c>
      <c r="M56" s="26" t="n">
        <v>40.67</v>
      </c>
    </row>
    <row r="57" customFormat="false" ht="15" hidden="false" customHeight="false" outlineLevel="0" collapsed="false">
      <c r="A57" s="27" t="n">
        <v>10145</v>
      </c>
      <c r="B57" s="12" t="s">
        <v>63</v>
      </c>
      <c r="C57" s="28" t="n">
        <v>100</v>
      </c>
      <c r="D57" s="28" t="n">
        <v>100</v>
      </c>
      <c r="E57" s="14" t="n">
        <v>0</v>
      </c>
      <c r="F57" s="14" t="n">
        <v>5923.4</v>
      </c>
      <c r="G57" s="14" t="n">
        <v>5923.4</v>
      </c>
      <c r="H57" s="14" t="n">
        <v>2712.4306</v>
      </c>
      <c r="I57" s="14" t="n">
        <v>3210.97</v>
      </c>
      <c r="J57" s="14" t="n">
        <v>2022.6</v>
      </c>
      <c r="K57" s="15" t="n">
        <v>0.5421</v>
      </c>
      <c r="L57" s="15" t="n">
        <v>0.3415</v>
      </c>
      <c r="M57" s="29" t="n">
        <v>66.13</v>
      </c>
    </row>
    <row r="58" customFormat="false" ht="15" hidden="false" customHeight="false" outlineLevel="0" collapsed="false">
      <c r="A58" s="24" t="n">
        <v>10147</v>
      </c>
      <c r="B58" s="8" t="s">
        <v>75</v>
      </c>
      <c r="C58" s="25" t="n">
        <v>5</v>
      </c>
      <c r="D58" s="25" t="n">
        <v>5</v>
      </c>
      <c r="E58" s="10" t="n">
        <v>0</v>
      </c>
      <c r="F58" s="10" t="n">
        <v>1658.05</v>
      </c>
      <c r="G58" s="10" t="n">
        <v>1658.05</v>
      </c>
      <c r="H58" s="10" t="n">
        <v>712.55</v>
      </c>
      <c r="I58" s="10" t="n">
        <v>945.5</v>
      </c>
      <c r="J58" s="10" t="n">
        <v>490</v>
      </c>
      <c r="K58" s="11" t="n">
        <v>0.5702</v>
      </c>
      <c r="L58" s="11" t="n">
        <v>0.2955</v>
      </c>
      <c r="M58" s="26" t="n">
        <v>50</v>
      </c>
    </row>
    <row r="59" customFormat="false" ht="15" hidden="false" customHeight="false" outlineLevel="0" collapsed="false">
      <c r="A59" s="27" t="n">
        <v>10148</v>
      </c>
      <c r="B59" s="12" t="s">
        <v>76</v>
      </c>
      <c r="C59" s="28" t="n">
        <v>56</v>
      </c>
      <c r="D59" s="28" t="n">
        <v>56</v>
      </c>
      <c r="E59" s="14" t="n">
        <v>0</v>
      </c>
      <c r="F59" s="14" t="n">
        <v>21746.48</v>
      </c>
      <c r="G59" s="14" t="n">
        <v>21746.48</v>
      </c>
      <c r="H59" s="14" t="n">
        <v>4095.2604</v>
      </c>
      <c r="I59" s="14" t="n">
        <v>17651.22</v>
      </c>
      <c r="J59" s="14" t="n">
        <v>12375.51</v>
      </c>
      <c r="K59" s="15" t="n">
        <v>0.8117</v>
      </c>
      <c r="L59" s="15" t="n">
        <v>0.5691</v>
      </c>
      <c r="M59" s="29" t="n">
        <v>38.59</v>
      </c>
    </row>
    <row r="60" customFormat="false" ht="15" hidden="false" customHeight="false" outlineLevel="0" collapsed="false">
      <c r="A60" s="24" t="n">
        <v>10149</v>
      </c>
      <c r="B60" s="8" t="s">
        <v>77</v>
      </c>
      <c r="C60" s="25" t="n">
        <v>31</v>
      </c>
      <c r="D60" s="25" t="n">
        <v>31</v>
      </c>
      <c r="E60" s="10" t="n">
        <v>0</v>
      </c>
      <c r="F60" s="10" t="n">
        <v>1508.15</v>
      </c>
      <c r="G60" s="10" t="n">
        <v>1508.15</v>
      </c>
      <c r="H60" s="10" t="n">
        <v>842.0204</v>
      </c>
      <c r="I60" s="10" t="n">
        <v>666.13</v>
      </c>
      <c r="J60" s="10" t="n">
        <v>300.27</v>
      </c>
      <c r="K60" s="11" t="n">
        <v>0.4417</v>
      </c>
      <c r="L60" s="11" t="n">
        <v>0.1991</v>
      </c>
      <c r="M60" s="26" t="n">
        <v>38.16</v>
      </c>
    </row>
    <row r="61" customFormat="false" ht="15" hidden="false" customHeight="false" outlineLevel="0" collapsed="false">
      <c r="A61" s="27" t="n">
        <v>10150</v>
      </c>
      <c r="B61" s="12" t="s">
        <v>78</v>
      </c>
      <c r="C61" s="28" t="n">
        <v>26</v>
      </c>
      <c r="D61" s="28" t="n">
        <v>26</v>
      </c>
      <c r="E61" s="14" t="n">
        <v>0</v>
      </c>
      <c r="F61" s="14" t="n">
        <v>1801.02</v>
      </c>
      <c r="G61" s="14" t="n">
        <v>1801.02</v>
      </c>
      <c r="H61" s="14" t="n">
        <v>686.4</v>
      </c>
      <c r="I61" s="14" t="n">
        <v>1114.62</v>
      </c>
      <c r="J61" s="14" t="n">
        <v>619.84</v>
      </c>
      <c r="K61" s="15" t="n">
        <v>0.6189</v>
      </c>
      <c r="L61" s="15" t="n">
        <v>0.3442</v>
      </c>
      <c r="M61" s="29" t="n">
        <v>31.35</v>
      </c>
    </row>
    <row r="62" customFormat="false" ht="15" hidden="false" customHeight="false" outlineLevel="0" collapsed="false">
      <c r="A62" s="24" t="n">
        <v>10151</v>
      </c>
      <c r="B62" s="8" t="s">
        <v>79</v>
      </c>
      <c r="C62" s="25" t="n">
        <v>11</v>
      </c>
      <c r="D62" s="25" t="n">
        <v>11</v>
      </c>
      <c r="E62" s="10" t="n">
        <v>0</v>
      </c>
      <c r="F62" s="10" t="n">
        <v>3210</v>
      </c>
      <c r="G62" s="10" t="n">
        <v>3210</v>
      </c>
      <c r="H62" s="10" t="n">
        <v>782.01</v>
      </c>
      <c r="I62" s="10" t="n">
        <v>2427.99</v>
      </c>
      <c r="J62" s="10" t="n">
        <v>1985.61</v>
      </c>
      <c r="K62" s="11" t="n">
        <v>0.7564</v>
      </c>
      <c r="L62" s="11" t="n">
        <v>0.6186</v>
      </c>
      <c r="M62" s="26" t="n">
        <v>53.6</v>
      </c>
    </row>
    <row r="63" customFormat="false" ht="15" hidden="false" customHeight="false" outlineLevel="0" collapsed="false">
      <c r="A63" s="27" t="n">
        <v>10152</v>
      </c>
      <c r="B63" s="12" t="s">
        <v>80</v>
      </c>
      <c r="C63" s="28" t="n">
        <v>173</v>
      </c>
      <c r="D63" s="28" t="n">
        <v>173</v>
      </c>
      <c r="E63" s="14" t="n">
        <v>0</v>
      </c>
      <c r="F63" s="14" t="n">
        <v>12578.42</v>
      </c>
      <c r="G63" s="14" t="n">
        <v>12578.42</v>
      </c>
      <c r="H63" s="14" t="n">
        <v>4963.1105</v>
      </c>
      <c r="I63" s="14" t="n">
        <v>7615.31</v>
      </c>
      <c r="J63" s="14" t="n">
        <v>4104.8</v>
      </c>
      <c r="K63" s="15" t="n">
        <v>0.6054</v>
      </c>
      <c r="L63" s="15" t="n">
        <v>0.3263</v>
      </c>
      <c r="M63" s="29" t="n">
        <v>49.53</v>
      </c>
    </row>
    <row r="64" customFormat="false" ht="15" hidden="false" customHeight="false" outlineLevel="0" collapsed="false">
      <c r="A64" s="24" t="n">
        <v>10154</v>
      </c>
      <c r="B64" s="8" t="s">
        <v>81</v>
      </c>
      <c r="C64" s="25" t="n">
        <v>127</v>
      </c>
      <c r="D64" s="25" t="n">
        <v>127</v>
      </c>
      <c r="E64" s="10" t="n">
        <v>838.59</v>
      </c>
      <c r="F64" s="10" t="n">
        <v>22382.95</v>
      </c>
      <c r="G64" s="10" t="n">
        <v>23221.54</v>
      </c>
      <c r="H64" s="10" t="n">
        <v>12712.4696</v>
      </c>
      <c r="I64" s="10" t="n">
        <v>10509.07</v>
      </c>
      <c r="J64" s="10" t="n">
        <v>6024.51</v>
      </c>
      <c r="K64" s="11" t="n">
        <v>0.4526</v>
      </c>
      <c r="L64" s="11" t="n">
        <v>0.2594</v>
      </c>
      <c r="M64" s="26" t="n">
        <v>43.52</v>
      </c>
    </row>
    <row r="65" customFormat="false" ht="15" hidden="false" customHeight="false" outlineLevel="0" collapsed="false">
      <c r="A65" s="27" t="n">
        <v>10161</v>
      </c>
      <c r="B65" s="12" t="s">
        <v>314</v>
      </c>
      <c r="C65" s="28" t="n">
        <v>12</v>
      </c>
      <c r="D65" s="28" t="n">
        <v>12</v>
      </c>
      <c r="E65" s="14" t="n">
        <v>0</v>
      </c>
      <c r="F65" s="14" t="n">
        <v>549.84</v>
      </c>
      <c r="G65" s="14" t="n">
        <v>549.84</v>
      </c>
      <c r="H65" s="14" t="n">
        <v>205.97</v>
      </c>
      <c r="I65" s="14" t="n">
        <v>343.87</v>
      </c>
      <c r="J65" s="14" t="n">
        <v>192.82</v>
      </c>
      <c r="K65" s="15" t="n">
        <v>0.6254</v>
      </c>
      <c r="L65" s="15" t="n">
        <v>0.3507</v>
      </c>
      <c r="M65" s="29" t="n">
        <v>55.33</v>
      </c>
    </row>
    <row r="66" customFormat="false" ht="15" hidden="false" customHeight="false" outlineLevel="0" collapsed="false">
      <c r="A66" s="24" t="n">
        <v>10164</v>
      </c>
      <c r="B66" s="8" t="s">
        <v>83</v>
      </c>
      <c r="C66" s="25" t="n">
        <v>217</v>
      </c>
      <c r="D66" s="25" t="n">
        <v>217</v>
      </c>
      <c r="E66" s="10" t="n">
        <v>0</v>
      </c>
      <c r="F66" s="10" t="n">
        <v>66354.57</v>
      </c>
      <c r="G66" s="10" t="n">
        <v>66354.57</v>
      </c>
      <c r="H66" s="10" t="n">
        <v>18758.5203</v>
      </c>
      <c r="I66" s="10" t="n">
        <v>47596.05</v>
      </c>
      <c r="J66" s="10" t="n">
        <v>29848.12</v>
      </c>
      <c r="K66" s="11" t="n">
        <v>0.7173</v>
      </c>
      <c r="L66" s="11" t="n">
        <v>0.4498</v>
      </c>
      <c r="M66" s="26" t="n">
        <v>50.68</v>
      </c>
    </row>
    <row r="67" customFormat="false" ht="15" hidden="false" customHeight="false" outlineLevel="0" collapsed="false">
      <c r="A67" s="27" t="n">
        <v>10165</v>
      </c>
      <c r="B67" s="12" t="s">
        <v>257</v>
      </c>
      <c r="C67" s="28" t="n">
        <v>30</v>
      </c>
      <c r="D67" s="28" t="n">
        <v>30</v>
      </c>
      <c r="E67" s="14" t="n">
        <v>0</v>
      </c>
      <c r="F67" s="14" t="n">
        <v>30305.1</v>
      </c>
      <c r="G67" s="14" t="n">
        <v>30305.1</v>
      </c>
      <c r="H67" s="14" t="n">
        <v>2588.769</v>
      </c>
      <c r="I67" s="14" t="n">
        <v>27716.33</v>
      </c>
      <c r="J67" s="14" t="n">
        <v>24000.93</v>
      </c>
      <c r="K67" s="15" t="n">
        <v>0.9146</v>
      </c>
      <c r="L67" s="15" t="n">
        <v>0.792</v>
      </c>
      <c r="M67" s="29" t="n">
        <v>30</v>
      </c>
    </row>
    <row r="68" customFormat="false" ht="15" hidden="false" customHeight="false" outlineLevel="0" collapsed="false">
      <c r="A68" s="24" t="n">
        <v>10170</v>
      </c>
      <c r="B68" s="8" t="s">
        <v>84</v>
      </c>
      <c r="C68" s="25" t="n">
        <v>76</v>
      </c>
      <c r="D68" s="25" t="n">
        <v>76</v>
      </c>
      <c r="E68" s="10" t="n">
        <v>0</v>
      </c>
      <c r="F68" s="10" t="n">
        <v>1276.8</v>
      </c>
      <c r="G68" s="10" t="n">
        <v>1276.8</v>
      </c>
      <c r="H68" s="10" t="n">
        <v>636.52</v>
      </c>
      <c r="I68" s="10" t="n">
        <v>640.28</v>
      </c>
      <c r="J68" s="10" t="n">
        <v>289.52</v>
      </c>
      <c r="K68" s="11" t="n">
        <v>0.5015</v>
      </c>
      <c r="L68" s="11" t="n">
        <v>0.2268</v>
      </c>
      <c r="M68" s="26" t="n">
        <v>50</v>
      </c>
    </row>
    <row r="69" customFormat="false" ht="15" hidden="false" customHeight="false" outlineLevel="0" collapsed="false">
      <c r="A69" s="27" t="n">
        <v>10176</v>
      </c>
      <c r="B69" s="12" t="s">
        <v>75</v>
      </c>
      <c r="C69" s="28" t="n">
        <v>167</v>
      </c>
      <c r="D69" s="28" t="n">
        <v>167</v>
      </c>
      <c r="E69" s="14" t="n">
        <v>0</v>
      </c>
      <c r="F69" s="14" t="n">
        <v>54208.22</v>
      </c>
      <c r="G69" s="14" t="n">
        <v>54208.22</v>
      </c>
      <c r="H69" s="14" t="n">
        <v>15237.51</v>
      </c>
      <c r="I69" s="14" t="n">
        <v>38970.71</v>
      </c>
      <c r="J69" s="14" t="n">
        <v>24515.98</v>
      </c>
      <c r="K69" s="15" t="n">
        <v>0.7189</v>
      </c>
      <c r="L69" s="15" t="n">
        <v>0.4523</v>
      </c>
      <c r="M69" s="29" t="n">
        <v>52.55</v>
      </c>
    </row>
    <row r="70" customFormat="false" ht="15" hidden="false" customHeight="false" outlineLevel="0" collapsed="false">
      <c r="A70" s="24" t="n">
        <v>10178</v>
      </c>
      <c r="B70" s="8" t="s">
        <v>85</v>
      </c>
      <c r="C70" s="25" t="n">
        <v>129</v>
      </c>
      <c r="D70" s="25" t="n">
        <v>129</v>
      </c>
      <c r="E70" s="10" t="n">
        <v>0</v>
      </c>
      <c r="F70" s="10" t="n">
        <v>8091.34</v>
      </c>
      <c r="G70" s="10" t="n">
        <v>8091.34</v>
      </c>
      <c r="H70" s="10" t="n">
        <v>1134.5422</v>
      </c>
      <c r="I70" s="10" t="n">
        <v>6956.8</v>
      </c>
      <c r="J70" s="10" t="n">
        <v>4763.25</v>
      </c>
      <c r="K70" s="11" t="n">
        <v>0.8598</v>
      </c>
      <c r="L70" s="11" t="n">
        <v>0.5887</v>
      </c>
      <c r="M70" s="26" t="n">
        <v>50.85</v>
      </c>
    </row>
    <row r="71" customFormat="false" ht="15" hidden="false" customHeight="false" outlineLevel="0" collapsed="false">
      <c r="A71" s="27" t="n">
        <v>10182</v>
      </c>
      <c r="B71" s="12" t="s">
        <v>87</v>
      </c>
      <c r="C71" s="28" t="n">
        <v>6</v>
      </c>
      <c r="D71" s="28" t="n">
        <v>6</v>
      </c>
      <c r="E71" s="14" t="n">
        <v>0</v>
      </c>
      <c r="F71" s="14" t="n">
        <v>1099.89</v>
      </c>
      <c r="G71" s="14" t="n">
        <v>1099.89</v>
      </c>
      <c r="H71" s="14" t="n">
        <v>297.86</v>
      </c>
      <c r="I71" s="14" t="n">
        <v>802.03</v>
      </c>
      <c r="J71" s="14" t="n">
        <v>509.45</v>
      </c>
      <c r="K71" s="15" t="n">
        <v>0.7292</v>
      </c>
      <c r="L71" s="15" t="n">
        <v>0.4632</v>
      </c>
      <c r="M71" s="29" t="n">
        <v>49.85</v>
      </c>
    </row>
    <row r="72" customFormat="false" ht="15" hidden="false" customHeight="false" outlineLevel="0" collapsed="false">
      <c r="A72" s="24" t="n">
        <v>10188</v>
      </c>
      <c r="B72" s="8" t="s">
        <v>88</v>
      </c>
      <c r="C72" s="25" t="n">
        <v>60</v>
      </c>
      <c r="D72" s="25" t="n">
        <v>60</v>
      </c>
      <c r="E72" s="10" t="n">
        <v>0</v>
      </c>
      <c r="F72" s="10" t="n">
        <v>246</v>
      </c>
      <c r="G72" s="10" t="n">
        <v>246</v>
      </c>
      <c r="H72" s="10" t="n">
        <v>83.94</v>
      </c>
      <c r="I72" s="10" t="n">
        <v>162.06</v>
      </c>
      <c r="J72" s="10" t="n">
        <v>93.39</v>
      </c>
      <c r="K72" s="11" t="n">
        <v>0.6588</v>
      </c>
      <c r="L72" s="11" t="n">
        <v>0.3796</v>
      </c>
      <c r="M72" s="26" t="n">
        <v>45</v>
      </c>
    </row>
    <row r="73" customFormat="false" ht="15" hidden="false" customHeight="false" outlineLevel="0" collapsed="false">
      <c r="A73" s="27" t="n">
        <v>10189</v>
      </c>
      <c r="B73" s="12" t="s">
        <v>89</v>
      </c>
      <c r="C73" s="28" t="n">
        <v>72</v>
      </c>
      <c r="D73" s="28" t="n">
        <v>72</v>
      </c>
      <c r="E73" s="14" t="n">
        <v>0</v>
      </c>
      <c r="F73" s="14" t="n">
        <v>295.2</v>
      </c>
      <c r="G73" s="14" t="n">
        <v>295.2</v>
      </c>
      <c r="H73" s="14" t="n">
        <v>100.7904</v>
      </c>
      <c r="I73" s="14" t="n">
        <v>194.41</v>
      </c>
      <c r="J73" s="14" t="n">
        <v>112.07</v>
      </c>
      <c r="K73" s="15" t="n">
        <v>0.6586</v>
      </c>
      <c r="L73" s="15" t="n">
        <v>0.3796</v>
      </c>
      <c r="M73" s="29" t="n">
        <v>45</v>
      </c>
    </row>
    <row r="74" customFormat="false" ht="15" hidden="false" customHeight="false" outlineLevel="0" collapsed="false">
      <c r="A74" s="24" t="n">
        <v>10191</v>
      </c>
      <c r="B74" s="8" t="s">
        <v>90</v>
      </c>
      <c r="C74" s="25" t="n">
        <v>40</v>
      </c>
      <c r="D74" s="25" t="n">
        <v>40</v>
      </c>
      <c r="E74" s="10" t="n">
        <v>0</v>
      </c>
      <c r="F74" s="10" t="n">
        <v>725.6</v>
      </c>
      <c r="G74" s="10" t="n">
        <v>725.6</v>
      </c>
      <c r="H74" s="10" t="n">
        <v>182.64</v>
      </c>
      <c r="I74" s="10" t="n">
        <v>542.96</v>
      </c>
      <c r="J74" s="10" t="n">
        <v>340.44</v>
      </c>
      <c r="K74" s="11" t="n">
        <v>0.7483</v>
      </c>
      <c r="L74" s="11" t="n">
        <v>0.4692</v>
      </c>
      <c r="M74" s="26" t="n">
        <v>45</v>
      </c>
    </row>
    <row r="75" customFormat="false" ht="15" hidden="false" customHeight="false" outlineLevel="0" collapsed="false">
      <c r="A75" s="27" t="n">
        <v>10193</v>
      </c>
      <c r="B75" s="12" t="s">
        <v>91</v>
      </c>
      <c r="C75" s="28" t="n">
        <v>30</v>
      </c>
      <c r="D75" s="28" t="n">
        <v>30</v>
      </c>
      <c r="E75" s="14" t="n">
        <v>0</v>
      </c>
      <c r="F75" s="14" t="n">
        <v>2610</v>
      </c>
      <c r="G75" s="14" t="n">
        <v>2610</v>
      </c>
      <c r="H75" s="14" t="n">
        <v>842.8605</v>
      </c>
      <c r="I75" s="14" t="n">
        <v>1767.14</v>
      </c>
      <c r="J75" s="14" t="n">
        <v>1038.69</v>
      </c>
      <c r="K75" s="15" t="n">
        <v>0.6771</v>
      </c>
      <c r="L75" s="15" t="n">
        <v>0.398</v>
      </c>
      <c r="M75" s="29" t="n">
        <v>45</v>
      </c>
    </row>
    <row r="76" customFormat="false" ht="15" hidden="false" customHeight="false" outlineLevel="0" collapsed="false">
      <c r="A76" s="24" t="n">
        <v>10197</v>
      </c>
      <c r="B76" s="8" t="s">
        <v>92</v>
      </c>
      <c r="C76" s="25" t="n">
        <v>4</v>
      </c>
      <c r="D76" s="25" t="n">
        <v>4</v>
      </c>
      <c r="E76" s="10" t="n">
        <v>0</v>
      </c>
      <c r="F76" s="10" t="n">
        <v>1909.44</v>
      </c>
      <c r="G76" s="10" t="n">
        <v>1909.44</v>
      </c>
      <c r="H76" s="10" t="n">
        <v>915.93</v>
      </c>
      <c r="I76" s="10" t="n">
        <v>993.51</v>
      </c>
      <c r="J76" s="10" t="n">
        <v>530.28</v>
      </c>
      <c r="K76" s="11" t="n">
        <v>0.5203</v>
      </c>
      <c r="L76" s="11" t="n">
        <v>0.2777</v>
      </c>
      <c r="M76" s="26" t="n">
        <v>34</v>
      </c>
    </row>
    <row r="77" customFormat="false" ht="15" hidden="false" customHeight="false" outlineLevel="0" collapsed="false">
      <c r="A77" s="27" t="n">
        <v>10199</v>
      </c>
      <c r="B77" s="12" t="s">
        <v>93</v>
      </c>
      <c r="C77" s="28" t="n">
        <v>1</v>
      </c>
      <c r="D77" s="28" t="n">
        <v>1</v>
      </c>
      <c r="E77" s="14" t="n">
        <v>0</v>
      </c>
      <c r="F77" s="14" t="n">
        <v>310</v>
      </c>
      <c r="G77" s="14" t="n">
        <v>310</v>
      </c>
      <c r="H77" s="14" t="n">
        <v>39.79</v>
      </c>
      <c r="I77" s="14" t="n">
        <v>270.21</v>
      </c>
      <c r="J77" s="14" t="n">
        <v>199.98</v>
      </c>
      <c r="K77" s="15" t="n">
        <v>0.8716</v>
      </c>
      <c r="L77" s="15" t="n">
        <v>0.6451</v>
      </c>
      <c r="M77" s="29" t="n">
        <v>28</v>
      </c>
    </row>
    <row r="78" customFormat="false" ht="15" hidden="false" customHeight="false" outlineLevel="0" collapsed="false">
      <c r="A78" s="24" t="n">
        <v>10200</v>
      </c>
      <c r="B78" s="8" t="s">
        <v>94</v>
      </c>
      <c r="C78" s="25" t="n">
        <v>50</v>
      </c>
      <c r="D78" s="25" t="n">
        <v>50</v>
      </c>
      <c r="E78" s="10" t="n">
        <v>0</v>
      </c>
      <c r="F78" s="10" t="n">
        <v>1217.3</v>
      </c>
      <c r="G78" s="10" t="n">
        <v>1217.3</v>
      </c>
      <c r="H78" s="10" t="n">
        <v>376.3803</v>
      </c>
      <c r="I78" s="10" t="n">
        <v>840.92</v>
      </c>
      <c r="J78" s="10" t="n">
        <v>506.61</v>
      </c>
      <c r="K78" s="11" t="n">
        <v>0.6908</v>
      </c>
      <c r="L78" s="11" t="n">
        <v>0.4162</v>
      </c>
      <c r="M78" s="26" t="n">
        <v>48.78</v>
      </c>
    </row>
    <row r="79" customFormat="false" ht="15" hidden="false" customHeight="false" outlineLevel="0" collapsed="false">
      <c r="A79" s="27" t="n">
        <v>10201</v>
      </c>
      <c r="B79" s="12" t="s">
        <v>79</v>
      </c>
      <c r="C79" s="28" t="n">
        <v>93</v>
      </c>
      <c r="D79" s="28" t="n">
        <v>93</v>
      </c>
      <c r="E79" s="14" t="n">
        <v>0</v>
      </c>
      <c r="F79" s="14" t="n">
        <v>32782.29</v>
      </c>
      <c r="G79" s="14" t="n">
        <v>32782.29</v>
      </c>
      <c r="H79" s="14" t="n">
        <v>7630.853</v>
      </c>
      <c r="I79" s="14" t="n">
        <v>25151.44</v>
      </c>
      <c r="J79" s="14" t="n">
        <v>21092.89</v>
      </c>
      <c r="K79" s="15" t="n">
        <v>0.7672</v>
      </c>
      <c r="L79" s="15" t="n">
        <v>0.6434</v>
      </c>
      <c r="M79" s="29" t="n">
        <v>50.44</v>
      </c>
    </row>
    <row r="80" customFormat="false" ht="15" hidden="false" customHeight="false" outlineLevel="0" collapsed="false">
      <c r="A80" s="24" t="n">
        <v>10202</v>
      </c>
      <c r="B80" s="8" t="s">
        <v>95</v>
      </c>
      <c r="C80" s="25" t="n">
        <v>625</v>
      </c>
      <c r="D80" s="25" t="n">
        <v>625</v>
      </c>
      <c r="E80" s="10" t="n">
        <v>0</v>
      </c>
      <c r="F80" s="10" t="n">
        <v>35590.5</v>
      </c>
      <c r="G80" s="10" t="n">
        <v>35590.5</v>
      </c>
      <c r="H80" s="10" t="n">
        <v>19732.304</v>
      </c>
      <c r="I80" s="10" t="n">
        <v>15858.2</v>
      </c>
      <c r="J80" s="10" t="n">
        <v>6080.79</v>
      </c>
      <c r="K80" s="11" t="n">
        <v>0.4456</v>
      </c>
      <c r="L80" s="11" t="n">
        <v>0.1709</v>
      </c>
      <c r="M80" s="26" t="n">
        <v>49.78</v>
      </c>
    </row>
    <row r="81" customFormat="false" ht="15" hidden="false" customHeight="false" outlineLevel="0" collapsed="false">
      <c r="A81" s="27" t="n">
        <v>10204</v>
      </c>
      <c r="B81" s="12" t="s">
        <v>96</v>
      </c>
      <c r="C81" s="28" t="n">
        <v>2</v>
      </c>
      <c r="D81" s="28" t="n">
        <v>2</v>
      </c>
      <c r="E81" s="14" t="n">
        <v>0</v>
      </c>
      <c r="F81" s="14" t="n">
        <v>933.16</v>
      </c>
      <c r="G81" s="14" t="n">
        <v>933.16</v>
      </c>
      <c r="H81" s="14" t="n">
        <v>297.71</v>
      </c>
      <c r="I81" s="14" t="n">
        <v>635.45</v>
      </c>
      <c r="J81" s="14" t="n">
        <v>375</v>
      </c>
      <c r="K81" s="15" t="n">
        <v>0.681</v>
      </c>
      <c r="L81" s="15" t="n">
        <v>0.4019</v>
      </c>
      <c r="M81" s="29" t="n">
        <v>30</v>
      </c>
    </row>
    <row r="82" customFormat="false" ht="15" hidden="false" customHeight="false" outlineLevel="0" collapsed="false">
      <c r="A82" s="24" t="n">
        <v>10206</v>
      </c>
      <c r="B82" s="8" t="s">
        <v>97</v>
      </c>
      <c r="C82" s="25" t="n">
        <v>60</v>
      </c>
      <c r="D82" s="25" t="n">
        <v>60</v>
      </c>
      <c r="E82" s="10" t="n">
        <v>0</v>
      </c>
      <c r="F82" s="10" t="n">
        <v>2265.04</v>
      </c>
      <c r="G82" s="10" t="n">
        <v>2265.04</v>
      </c>
      <c r="H82" s="10" t="n">
        <v>671.5395</v>
      </c>
      <c r="I82" s="10" t="n">
        <v>1593.5</v>
      </c>
      <c r="J82" s="10" t="n">
        <v>971.28</v>
      </c>
      <c r="K82" s="11" t="n">
        <v>0.7035</v>
      </c>
      <c r="L82" s="11" t="n">
        <v>0.4288</v>
      </c>
      <c r="M82" s="26" t="n">
        <v>28.86</v>
      </c>
    </row>
    <row r="83" customFormat="false" ht="15" hidden="false" customHeight="false" outlineLevel="0" collapsed="false">
      <c r="A83" s="27" t="n">
        <v>10208</v>
      </c>
      <c r="B83" s="12" t="s">
        <v>40</v>
      </c>
      <c r="C83" s="28" t="n">
        <v>85</v>
      </c>
      <c r="D83" s="28" t="n">
        <v>85</v>
      </c>
      <c r="E83" s="14" t="n">
        <v>869.74</v>
      </c>
      <c r="F83" s="14" t="n">
        <v>21758.16</v>
      </c>
      <c r="G83" s="14" t="n">
        <v>22627.9</v>
      </c>
      <c r="H83" s="14" t="n">
        <v>5891.3668</v>
      </c>
      <c r="I83" s="14" t="n">
        <v>16736.53</v>
      </c>
      <c r="J83" s="14" t="n">
        <v>11002.83</v>
      </c>
      <c r="K83" s="15" t="n">
        <v>0.7396</v>
      </c>
      <c r="L83" s="15" t="n">
        <v>0.4863</v>
      </c>
      <c r="M83" s="29" t="n">
        <v>35.77</v>
      </c>
    </row>
    <row r="84" customFormat="false" ht="15" hidden="false" customHeight="false" outlineLevel="0" collapsed="false">
      <c r="A84" s="24" t="n">
        <v>10211</v>
      </c>
      <c r="B84" s="8" t="s">
        <v>258</v>
      </c>
      <c r="C84" s="25" t="n">
        <v>64</v>
      </c>
      <c r="D84" s="25" t="n">
        <v>64</v>
      </c>
      <c r="E84" s="10" t="n">
        <v>0</v>
      </c>
      <c r="F84" s="10" t="n">
        <v>2836.56</v>
      </c>
      <c r="G84" s="10" t="n">
        <v>2836.56</v>
      </c>
      <c r="H84" s="10" t="n">
        <v>741.2492</v>
      </c>
      <c r="I84" s="10" t="n">
        <v>2095.31</v>
      </c>
      <c r="J84" s="10" t="n">
        <v>1316.04</v>
      </c>
      <c r="K84" s="11" t="n">
        <v>0.7387</v>
      </c>
      <c r="L84" s="11" t="n">
        <v>0.464</v>
      </c>
      <c r="M84" s="26" t="n">
        <v>58.44</v>
      </c>
    </row>
    <row r="85" customFormat="false" ht="15" hidden="false" customHeight="false" outlineLevel="0" collapsed="false">
      <c r="A85" s="27" t="n">
        <v>10212</v>
      </c>
      <c r="B85" s="12" t="s">
        <v>74</v>
      </c>
      <c r="C85" s="28" t="n">
        <v>201</v>
      </c>
      <c r="D85" s="28" t="n">
        <v>201</v>
      </c>
      <c r="E85" s="14" t="n">
        <v>0</v>
      </c>
      <c r="F85" s="14" t="n">
        <v>35595.09</v>
      </c>
      <c r="G85" s="14" t="n">
        <v>35595.09</v>
      </c>
      <c r="H85" s="14" t="n">
        <v>19026.5895</v>
      </c>
      <c r="I85" s="14" t="n">
        <v>16568.5</v>
      </c>
      <c r="J85" s="14" t="n">
        <v>6789.79</v>
      </c>
      <c r="K85" s="15" t="n">
        <v>0.4655</v>
      </c>
      <c r="L85" s="15" t="n">
        <v>0.1908</v>
      </c>
      <c r="M85" s="29" t="n">
        <v>31.05</v>
      </c>
    </row>
    <row r="86" customFormat="false" ht="15" hidden="false" customHeight="false" outlineLevel="0" collapsed="false">
      <c r="A86" s="24" t="n">
        <v>10215</v>
      </c>
      <c r="B86" s="8" t="s">
        <v>87</v>
      </c>
      <c r="C86" s="25" t="n">
        <v>15</v>
      </c>
      <c r="D86" s="25" t="n">
        <v>15</v>
      </c>
      <c r="E86" s="10" t="n">
        <v>0</v>
      </c>
      <c r="F86" s="10" t="n">
        <v>2873.07</v>
      </c>
      <c r="G86" s="10" t="n">
        <v>2873.07</v>
      </c>
      <c r="H86" s="10" t="n">
        <v>708.5796</v>
      </c>
      <c r="I86" s="10" t="n">
        <v>2164.49</v>
      </c>
      <c r="J86" s="10" t="n">
        <v>1740.48</v>
      </c>
      <c r="K86" s="11" t="n">
        <v>0.7534</v>
      </c>
      <c r="L86" s="11" t="n">
        <v>0.6058</v>
      </c>
      <c r="M86" s="26" t="n">
        <v>39.73</v>
      </c>
    </row>
    <row r="87" customFormat="false" ht="15" hidden="false" customHeight="false" outlineLevel="0" collapsed="false">
      <c r="A87" s="27" t="n">
        <v>10216</v>
      </c>
      <c r="B87" s="12" t="s">
        <v>98</v>
      </c>
      <c r="C87" s="28" t="n">
        <v>8</v>
      </c>
      <c r="D87" s="28" t="n">
        <v>8</v>
      </c>
      <c r="E87" s="14" t="n">
        <v>0</v>
      </c>
      <c r="F87" s="14" t="n">
        <v>1744</v>
      </c>
      <c r="G87" s="14" t="n">
        <v>1744</v>
      </c>
      <c r="H87" s="14" t="n">
        <v>763.74</v>
      </c>
      <c r="I87" s="14" t="n">
        <v>980.26</v>
      </c>
      <c r="J87" s="14" t="n">
        <v>501.14</v>
      </c>
      <c r="K87" s="15" t="n">
        <v>0.5621</v>
      </c>
      <c r="L87" s="15" t="n">
        <v>0.2874</v>
      </c>
      <c r="M87" s="29" t="n">
        <v>30</v>
      </c>
    </row>
    <row r="88" customFormat="false" ht="15" hidden="false" customHeight="false" outlineLevel="0" collapsed="false">
      <c r="A88" s="24" t="n">
        <v>10221</v>
      </c>
      <c r="B88" s="8" t="s">
        <v>70</v>
      </c>
      <c r="C88" s="25" t="n">
        <v>2</v>
      </c>
      <c r="D88" s="25" t="n">
        <v>2</v>
      </c>
      <c r="E88" s="10" t="n">
        <v>0</v>
      </c>
      <c r="F88" s="10" t="n">
        <v>436</v>
      </c>
      <c r="G88" s="10" t="n">
        <v>436</v>
      </c>
      <c r="H88" s="10" t="n">
        <v>160.8</v>
      </c>
      <c r="I88" s="10" t="n">
        <v>275.2</v>
      </c>
      <c r="J88" s="10" t="n">
        <v>155.42</v>
      </c>
      <c r="K88" s="11" t="n">
        <v>0.6312</v>
      </c>
      <c r="L88" s="11" t="n">
        <v>0.3565</v>
      </c>
      <c r="M88" s="26" t="n">
        <v>59</v>
      </c>
    </row>
    <row r="89" customFormat="false" ht="15" hidden="false" customHeight="false" outlineLevel="0" collapsed="false">
      <c r="A89" s="27" t="n">
        <v>10223</v>
      </c>
      <c r="B89" s="12" t="s">
        <v>260</v>
      </c>
      <c r="C89" s="28" t="n">
        <v>95</v>
      </c>
      <c r="D89" s="28" t="n">
        <v>95</v>
      </c>
      <c r="E89" s="14" t="n">
        <v>0</v>
      </c>
      <c r="F89" s="14" t="n">
        <v>8613.55</v>
      </c>
      <c r="G89" s="14" t="n">
        <v>8613.55</v>
      </c>
      <c r="H89" s="14" t="n">
        <v>5305.04</v>
      </c>
      <c r="I89" s="14" t="n">
        <v>3308.51</v>
      </c>
      <c r="J89" s="14" t="n">
        <v>910.53</v>
      </c>
      <c r="K89" s="15" t="n">
        <v>0.3841</v>
      </c>
      <c r="L89" s="15" t="n">
        <v>0.1057</v>
      </c>
      <c r="M89" s="29" t="n">
        <v>51.61</v>
      </c>
    </row>
    <row r="90" customFormat="false" ht="15" hidden="false" customHeight="false" outlineLevel="0" collapsed="false">
      <c r="A90" s="24" t="n">
        <v>10229</v>
      </c>
      <c r="B90" s="8" t="s">
        <v>100</v>
      </c>
      <c r="C90" s="25" t="n">
        <v>110</v>
      </c>
      <c r="D90" s="25" t="n">
        <v>110</v>
      </c>
      <c r="E90" s="10" t="n">
        <v>0</v>
      </c>
      <c r="F90" s="10" t="n">
        <v>20904.66</v>
      </c>
      <c r="G90" s="10" t="n">
        <v>20904.66</v>
      </c>
      <c r="H90" s="10" t="n">
        <v>3331.4</v>
      </c>
      <c r="I90" s="10" t="n">
        <v>17573.26</v>
      </c>
      <c r="J90" s="10" t="n">
        <v>12526.15</v>
      </c>
      <c r="K90" s="11" t="n">
        <v>0.8406</v>
      </c>
      <c r="L90" s="11" t="n">
        <v>0.5992</v>
      </c>
      <c r="M90" s="26" t="n">
        <v>35.41</v>
      </c>
    </row>
    <row r="91" customFormat="false" ht="15" hidden="false" customHeight="false" outlineLevel="0" collapsed="false">
      <c r="A91" s="27" t="n">
        <v>10230</v>
      </c>
      <c r="B91" s="12" t="s">
        <v>101</v>
      </c>
      <c r="C91" s="28" t="n">
        <v>43</v>
      </c>
      <c r="D91" s="28" t="n">
        <v>43</v>
      </c>
      <c r="E91" s="14" t="n">
        <v>0</v>
      </c>
      <c r="F91" s="14" t="n">
        <v>8955.47</v>
      </c>
      <c r="G91" s="14" t="n">
        <v>8955.47</v>
      </c>
      <c r="H91" s="14" t="n">
        <v>2507.2304</v>
      </c>
      <c r="I91" s="14" t="n">
        <v>6448.24</v>
      </c>
      <c r="J91" s="14" t="n">
        <v>4354.29</v>
      </c>
      <c r="K91" s="15" t="n">
        <v>0.72</v>
      </c>
      <c r="L91" s="15" t="n">
        <v>0.4862</v>
      </c>
      <c r="M91" s="29" t="n">
        <v>35.72</v>
      </c>
    </row>
    <row r="92" customFormat="false" ht="15" hidden="false" customHeight="false" outlineLevel="0" collapsed="false">
      <c r="A92" s="24" t="n">
        <v>10240</v>
      </c>
      <c r="B92" s="8" t="s">
        <v>102</v>
      </c>
      <c r="C92" s="25" t="n">
        <v>280</v>
      </c>
      <c r="D92" s="25" t="n">
        <v>280</v>
      </c>
      <c r="E92" s="10" t="n">
        <v>0</v>
      </c>
      <c r="F92" s="10" t="n">
        <v>12843.6</v>
      </c>
      <c r="G92" s="10" t="n">
        <v>12843.6</v>
      </c>
      <c r="H92" s="10" t="n">
        <v>2638.775</v>
      </c>
      <c r="I92" s="10" t="n">
        <v>10204.83</v>
      </c>
      <c r="J92" s="10" t="n">
        <v>6806.8</v>
      </c>
      <c r="K92" s="11" t="n">
        <v>0.7945</v>
      </c>
      <c r="L92" s="11" t="n">
        <v>0.53</v>
      </c>
      <c r="M92" s="26" t="n">
        <v>30</v>
      </c>
    </row>
    <row r="93" customFormat="false" ht="15" hidden="false" customHeight="false" outlineLevel="0" collapsed="false">
      <c r="A93" s="27" t="n">
        <v>10244</v>
      </c>
      <c r="B93" s="12" t="s">
        <v>103</v>
      </c>
      <c r="C93" s="28" t="n">
        <v>60</v>
      </c>
      <c r="D93" s="28" t="n">
        <v>60</v>
      </c>
      <c r="E93" s="14" t="n">
        <v>0</v>
      </c>
      <c r="F93" s="14" t="n">
        <v>11338.2</v>
      </c>
      <c r="G93" s="14" t="n">
        <v>11338.2</v>
      </c>
      <c r="H93" s="14" t="n">
        <v>1813</v>
      </c>
      <c r="I93" s="14" t="n">
        <v>9525.2</v>
      </c>
      <c r="J93" s="14" t="n">
        <v>6360.71</v>
      </c>
      <c r="K93" s="15" t="n">
        <v>0.8401</v>
      </c>
      <c r="L93" s="15" t="n">
        <v>0.561</v>
      </c>
      <c r="M93" s="29" t="n">
        <v>31.17</v>
      </c>
    </row>
    <row r="94" customFormat="false" ht="15" hidden="false" customHeight="false" outlineLevel="0" collapsed="false">
      <c r="A94" s="24" t="n">
        <v>10247</v>
      </c>
      <c r="B94" s="8" t="s">
        <v>104</v>
      </c>
      <c r="C94" s="25" t="n">
        <v>252</v>
      </c>
      <c r="D94" s="25" t="n">
        <v>252</v>
      </c>
      <c r="E94" s="10" t="n">
        <v>0</v>
      </c>
      <c r="F94" s="10" t="n">
        <v>41685.07</v>
      </c>
      <c r="G94" s="10" t="n">
        <v>41685.07</v>
      </c>
      <c r="H94" s="10" t="n">
        <v>17370.6929</v>
      </c>
      <c r="I94" s="10" t="n">
        <v>24314.38</v>
      </c>
      <c r="J94" s="10" t="n">
        <v>13014.64</v>
      </c>
      <c r="K94" s="11" t="n">
        <v>0.5833</v>
      </c>
      <c r="L94" s="11" t="n">
        <v>0.3122</v>
      </c>
      <c r="M94" s="26" t="n">
        <v>50.38</v>
      </c>
    </row>
    <row r="95" customFormat="false" ht="15" hidden="false" customHeight="false" outlineLevel="0" collapsed="false">
      <c r="A95" s="27" t="n">
        <v>10250</v>
      </c>
      <c r="B95" s="12" t="s">
        <v>105</v>
      </c>
      <c r="C95" s="28" t="n">
        <v>73</v>
      </c>
      <c r="D95" s="28" t="n">
        <v>73</v>
      </c>
      <c r="E95" s="14" t="n">
        <v>445.83</v>
      </c>
      <c r="F95" s="14" t="n">
        <v>14555.36</v>
      </c>
      <c r="G95" s="14" t="n">
        <v>15001.19</v>
      </c>
      <c r="H95" s="14" t="n">
        <v>4865.4605</v>
      </c>
      <c r="I95" s="14" t="n">
        <v>10135.73</v>
      </c>
      <c r="J95" s="14" t="n">
        <v>6014.71</v>
      </c>
      <c r="K95" s="15" t="n">
        <v>0.6757</v>
      </c>
      <c r="L95" s="15" t="n">
        <v>0.4009</v>
      </c>
      <c r="M95" s="29" t="n">
        <v>41.05</v>
      </c>
    </row>
    <row r="96" customFormat="false" ht="15" hidden="false" customHeight="false" outlineLevel="0" collapsed="false">
      <c r="A96" s="24" t="n">
        <v>10251</v>
      </c>
      <c r="B96" s="8" t="s">
        <v>106</v>
      </c>
      <c r="C96" s="25" t="n">
        <v>4</v>
      </c>
      <c r="D96" s="25" t="n">
        <v>4</v>
      </c>
      <c r="E96" s="10" t="n">
        <v>222.89</v>
      </c>
      <c r="F96" s="10" t="n">
        <v>629.34</v>
      </c>
      <c r="G96" s="10" t="n">
        <v>852.23</v>
      </c>
      <c r="H96" s="10" t="n">
        <v>251.46</v>
      </c>
      <c r="I96" s="10" t="n">
        <v>600.77</v>
      </c>
      <c r="J96" s="10" t="n">
        <v>366.65</v>
      </c>
      <c r="K96" s="11" t="n">
        <v>0.7049</v>
      </c>
      <c r="L96" s="11" t="n">
        <v>0.4302</v>
      </c>
      <c r="M96" s="26" t="n">
        <v>24.45</v>
      </c>
    </row>
    <row r="97" customFormat="false" ht="15" hidden="false" customHeight="false" outlineLevel="0" collapsed="false">
      <c r="A97" s="27" t="n">
        <v>10252</v>
      </c>
      <c r="B97" s="12" t="s">
        <v>107</v>
      </c>
      <c r="C97" s="28" t="n">
        <v>2</v>
      </c>
      <c r="D97" s="28" t="n">
        <v>2</v>
      </c>
      <c r="E97" s="14" t="n">
        <v>0</v>
      </c>
      <c r="F97" s="14" t="n">
        <v>421.44</v>
      </c>
      <c r="G97" s="14" t="n">
        <v>421.44</v>
      </c>
      <c r="H97" s="14" t="n">
        <v>186.18</v>
      </c>
      <c r="I97" s="14" t="n">
        <v>235.26</v>
      </c>
      <c r="J97" s="14" t="n">
        <v>119.48</v>
      </c>
      <c r="K97" s="15" t="n">
        <v>0.5582</v>
      </c>
      <c r="L97" s="15" t="n">
        <v>0.2835</v>
      </c>
      <c r="M97" s="29" t="n">
        <v>59</v>
      </c>
    </row>
    <row r="98" customFormat="false" ht="15" hidden="false" customHeight="false" outlineLevel="0" collapsed="false">
      <c r="A98" s="24" t="n">
        <v>10254</v>
      </c>
      <c r="B98" s="8" t="s">
        <v>108</v>
      </c>
      <c r="C98" s="25" t="n">
        <v>79</v>
      </c>
      <c r="D98" s="25" t="n">
        <v>79</v>
      </c>
      <c r="E98" s="10" t="n">
        <v>668.75</v>
      </c>
      <c r="F98" s="10" t="n">
        <v>13382.44</v>
      </c>
      <c r="G98" s="10" t="n">
        <v>14051.19</v>
      </c>
      <c r="H98" s="10" t="n">
        <v>5911.5101</v>
      </c>
      <c r="I98" s="10" t="n">
        <v>8139.68</v>
      </c>
      <c r="J98" s="10" t="n">
        <v>4614.27</v>
      </c>
      <c r="K98" s="11" t="n">
        <v>0.5793</v>
      </c>
      <c r="L98" s="11" t="n">
        <v>0.3284</v>
      </c>
      <c r="M98" s="26" t="n">
        <v>47.6</v>
      </c>
    </row>
    <row r="99" customFormat="false" ht="15" hidden="false" customHeight="false" outlineLevel="0" collapsed="false">
      <c r="A99" s="27" t="n">
        <v>10255</v>
      </c>
      <c r="B99" s="12" t="s">
        <v>109</v>
      </c>
      <c r="C99" s="28" t="n">
        <v>25</v>
      </c>
      <c r="D99" s="28" t="n">
        <v>25</v>
      </c>
      <c r="E99" s="14" t="n">
        <v>445.83</v>
      </c>
      <c r="F99" s="14" t="n">
        <v>4586.64</v>
      </c>
      <c r="G99" s="14" t="n">
        <v>5032.47</v>
      </c>
      <c r="H99" s="14" t="n">
        <v>1662.9101</v>
      </c>
      <c r="I99" s="14" t="n">
        <v>3369.56</v>
      </c>
      <c r="J99" s="14" t="n">
        <v>1987.05</v>
      </c>
      <c r="K99" s="15" t="n">
        <v>0.6696</v>
      </c>
      <c r="L99" s="15" t="n">
        <v>0.3948</v>
      </c>
      <c r="M99" s="29" t="n">
        <v>54.28</v>
      </c>
    </row>
    <row r="100" customFormat="false" ht="15" hidden="false" customHeight="false" outlineLevel="0" collapsed="false">
      <c r="A100" s="24" t="n">
        <v>10256</v>
      </c>
      <c r="B100" s="8" t="s">
        <v>110</v>
      </c>
      <c r="C100" s="25" t="n">
        <v>94</v>
      </c>
      <c r="D100" s="25" t="n">
        <v>94</v>
      </c>
      <c r="E100" s="10" t="n">
        <v>0</v>
      </c>
      <c r="F100" s="10" t="n">
        <v>32637.85</v>
      </c>
      <c r="G100" s="10" t="n">
        <v>32637.85</v>
      </c>
      <c r="H100" s="10" t="n">
        <v>11496.359</v>
      </c>
      <c r="I100" s="10" t="n">
        <v>21141.49</v>
      </c>
      <c r="J100" s="10" t="n">
        <v>12175.22</v>
      </c>
      <c r="K100" s="11" t="n">
        <v>0.6478</v>
      </c>
      <c r="L100" s="11" t="n">
        <v>0.373</v>
      </c>
      <c r="M100" s="26" t="n">
        <v>50</v>
      </c>
    </row>
    <row r="101" customFormat="false" ht="15" hidden="false" customHeight="false" outlineLevel="0" collapsed="false">
      <c r="A101" s="27" t="n">
        <v>10257</v>
      </c>
      <c r="B101" s="12" t="s">
        <v>111</v>
      </c>
      <c r="C101" s="28" t="n">
        <v>39</v>
      </c>
      <c r="D101" s="28" t="n">
        <v>39</v>
      </c>
      <c r="E101" s="14" t="n">
        <v>0</v>
      </c>
      <c r="F101" s="14" t="n">
        <v>330306</v>
      </c>
      <c r="G101" s="14" t="n">
        <v>330306</v>
      </c>
      <c r="H101" s="14" t="n">
        <v>182709.54</v>
      </c>
      <c r="I101" s="14" t="n">
        <v>147596.46</v>
      </c>
      <c r="J101" s="14" t="n">
        <v>56854.78</v>
      </c>
      <c r="K101" s="15" t="n">
        <v>0.4468</v>
      </c>
      <c r="L101" s="15" t="n">
        <v>0.1721</v>
      </c>
      <c r="M101" s="29" t="n">
        <v>31</v>
      </c>
    </row>
    <row r="102" customFormat="false" ht="15" hidden="false" customHeight="false" outlineLevel="0" collapsed="false">
      <c r="A102" s="24" t="n">
        <v>10267</v>
      </c>
      <c r="B102" s="8" t="s">
        <v>112</v>
      </c>
      <c r="C102" s="25" t="n">
        <v>93</v>
      </c>
      <c r="D102" s="25" t="n">
        <v>93</v>
      </c>
      <c r="E102" s="10" t="n">
        <v>0</v>
      </c>
      <c r="F102" s="10" t="n">
        <v>10494.51</v>
      </c>
      <c r="G102" s="10" t="n">
        <v>10494.51</v>
      </c>
      <c r="H102" s="10" t="n">
        <v>2637.9798</v>
      </c>
      <c r="I102" s="10" t="n">
        <v>7856.53</v>
      </c>
      <c r="J102" s="10" t="n">
        <v>6067.68</v>
      </c>
      <c r="K102" s="11" t="n">
        <v>0.7486</v>
      </c>
      <c r="L102" s="11" t="n">
        <v>0.5782</v>
      </c>
      <c r="M102" s="26" t="n">
        <v>37</v>
      </c>
    </row>
    <row r="103" customFormat="false" ht="15" hidden="false" customHeight="false" outlineLevel="0" collapsed="false">
      <c r="A103" s="27" t="n">
        <v>10268</v>
      </c>
      <c r="B103" s="12" t="s">
        <v>63</v>
      </c>
      <c r="C103" s="28" t="n">
        <v>22</v>
      </c>
      <c r="D103" s="28" t="n">
        <v>22</v>
      </c>
      <c r="E103" s="14" t="n">
        <v>0</v>
      </c>
      <c r="F103" s="14" t="n">
        <v>1259.28</v>
      </c>
      <c r="G103" s="14" t="n">
        <v>1259.28</v>
      </c>
      <c r="H103" s="14" t="n">
        <v>604.131</v>
      </c>
      <c r="I103" s="14" t="n">
        <v>655.15</v>
      </c>
      <c r="J103" s="14" t="n">
        <v>500.76</v>
      </c>
      <c r="K103" s="15" t="n">
        <v>0.5203</v>
      </c>
      <c r="L103" s="15" t="n">
        <v>0.3977</v>
      </c>
      <c r="M103" s="29" t="n">
        <v>28</v>
      </c>
    </row>
    <row r="104" customFormat="false" ht="15" hidden="false" customHeight="false" outlineLevel="0" collapsed="false">
      <c r="A104" s="24" t="n">
        <v>10275</v>
      </c>
      <c r="B104" s="8" t="s">
        <v>315</v>
      </c>
      <c r="C104" s="25" t="n">
        <v>330</v>
      </c>
      <c r="D104" s="25" t="n">
        <v>330</v>
      </c>
      <c r="E104" s="10" t="n">
        <v>0</v>
      </c>
      <c r="F104" s="10" t="n">
        <v>8013.69</v>
      </c>
      <c r="G104" s="10" t="n">
        <v>8013.69</v>
      </c>
      <c r="H104" s="10" t="n">
        <v>3100.619</v>
      </c>
      <c r="I104" s="10" t="n">
        <v>4913.07</v>
      </c>
      <c r="J104" s="10" t="n">
        <v>2983.74</v>
      </c>
      <c r="K104" s="11" t="n">
        <v>0.6131</v>
      </c>
      <c r="L104" s="11" t="n">
        <v>0.3723</v>
      </c>
      <c r="M104" s="26" t="n">
        <v>39.29</v>
      </c>
    </row>
    <row r="105" customFormat="false" ht="15" hidden="false" customHeight="false" outlineLevel="0" collapsed="false">
      <c r="A105" s="27" t="n">
        <v>10276</v>
      </c>
      <c r="B105" s="12" t="s">
        <v>316</v>
      </c>
      <c r="C105" s="28" t="n">
        <v>20</v>
      </c>
      <c r="D105" s="28" t="n">
        <v>20</v>
      </c>
      <c r="E105" s="14" t="n">
        <v>0</v>
      </c>
      <c r="F105" s="14" t="n">
        <v>453.2</v>
      </c>
      <c r="G105" s="14" t="n">
        <v>453.2</v>
      </c>
      <c r="H105" s="14" t="n">
        <v>120.99</v>
      </c>
      <c r="I105" s="14" t="n">
        <v>332.21</v>
      </c>
      <c r="J105" s="14" t="n">
        <v>276.64</v>
      </c>
      <c r="K105" s="15" t="n">
        <v>0.733</v>
      </c>
      <c r="L105" s="15" t="n">
        <v>0.6104</v>
      </c>
      <c r="M105" s="29" t="n">
        <v>30</v>
      </c>
    </row>
    <row r="106" customFormat="false" ht="15" hidden="false" customHeight="false" outlineLevel="0" collapsed="false">
      <c r="A106" s="24" t="n">
        <v>10277</v>
      </c>
      <c r="B106" s="8" t="s">
        <v>113</v>
      </c>
      <c r="C106" s="25" t="n">
        <v>500</v>
      </c>
      <c r="D106" s="25" t="n">
        <v>500</v>
      </c>
      <c r="E106" s="10" t="n">
        <v>0</v>
      </c>
      <c r="F106" s="10" t="n">
        <v>9492.41</v>
      </c>
      <c r="G106" s="10" t="n">
        <v>9492.41</v>
      </c>
      <c r="H106" s="10" t="n">
        <v>4577.854</v>
      </c>
      <c r="I106" s="10" t="n">
        <v>4914.56</v>
      </c>
      <c r="J106" s="10" t="n">
        <v>2390.16</v>
      </c>
      <c r="K106" s="11" t="n">
        <v>0.5177</v>
      </c>
      <c r="L106" s="11" t="n">
        <v>0.2518</v>
      </c>
      <c r="M106" s="26" t="n">
        <v>43.53</v>
      </c>
    </row>
    <row r="107" customFormat="false" ht="15" hidden="false" customHeight="false" outlineLevel="0" collapsed="false">
      <c r="A107" s="27" t="n">
        <v>10278</v>
      </c>
      <c r="B107" s="12" t="s">
        <v>114</v>
      </c>
      <c r="C107" s="28" t="n">
        <v>20</v>
      </c>
      <c r="D107" s="28" t="n">
        <v>20</v>
      </c>
      <c r="E107" s="14" t="n">
        <v>0</v>
      </c>
      <c r="F107" s="14" t="n">
        <v>453.2</v>
      </c>
      <c r="G107" s="14" t="n">
        <v>453.2</v>
      </c>
      <c r="H107" s="14" t="n">
        <v>144.11</v>
      </c>
      <c r="I107" s="14" t="n">
        <v>309.09</v>
      </c>
      <c r="J107" s="14" t="n">
        <v>253.53</v>
      </c>
      <c r="K107" s="15" t="n">
        <v>0.682</v>
      </c>
      <c r="L107" s="15" t="n">
        <v>0.5594</v>
      </c>
      <c r="M107" s="29" t="n">
        <v>30</v>
      </c>
    </row>
    <row r="108" customFormat="false" ht="15" hidden="false" customHeight="false" outlineLevel="0" collapsed="false">
      <c r="A108" s="24" t="n">
        <v>10279</v>
      </c>
      <c r="B108" s="8" t="s">
        <v>115</v>
      </c>
      <c r="C108" s="25" t="n">
        <v>35</v>
      </c>
      <c r="D108" s="25" t="n">
        <v>35</v>
      </c>
      <c r="E108" s="10" t="n">
        <v>0</v>
      </c>
      <c r="F108" s="10" t="n">
        <v>1610</v>
      </c>
      <c r="G108" s="10" t="n">
        <v>1610</v>
      </c>
      <c r="H108" s="10" t="n">
        <v>767.3995</v>
      </c>
      <c r="I108" s="10" t="n">
        <v>842.6</v>
      </c>
      <c r="J108" s="10" t="n">
        <v>645.21</v>
      </c>
      <c r="K108" s="11" t="n">
        <v>0.5234</v>
      </c>
      <c r="L108" s="11" t="n">
        <v>0.4008</v>
      </c>
      <c r="M108" s="26" t="n">
        <v>28</v>
      </c>
    </row>
    <row r="109" customFormat="false" ht="15" hidden="false" customHeight="false" outlineLevel="0" collapsed="false">
      <c r="A109" s="27" t="n">
        <v>10282</v>
      </c>
      <c r="B109" s="12" t="s">
        <v>116</v>
      </c>
      <c r="C109" s="28" t="n">
        <v>10</v>
      </c>
      <c r="D109" s="28" t="n">
        <v>10</v>
      </c>
      <c r="E109" s="14" t="n">
        <v>0</v>
      </c>
      <c r="F109" s="14" t="n">
        <v>2602.72</v>
      </c>
      <c r="G109" s="14" t="n">
        <v>2602.72</v>
      </c>
      <c r="H109" s="14" t="n">
        <v>1319.58</v>
      </c>
      <c r="I109" s="14" t="n">
        <v>1283.14</v>
      </c>
      <c r="J109" s="14" t="n">
        <v>590.38</v>
      </c>
      <c r="K109" s="15" t="n">
        <v>0.493</v>
      </c>
      <c r="L109" s="15" t="n">
        <v>0.2268</v>
      </c>
      <c r="M109" s="29" t="n">
        <v>50.59</v>
      </c>
    </row>
    <row r="110" customFormat="false" ht="15" hidden="false" customHeight="false" outlineLevel="0" collapsed="false">
      <c r="A110" s="24" t="n">
        <v>10283</v>
      </c>
      <c r="B110" s="8" t="s">
        <v>117</v>
      </c>
      <c r="C110" s="25" t="n">
        <v>5</v>
      </c>
      <c r="D110" s="25" t="n">
        <v>5</v>
      </c>
      <c r="E110" s="10" t="n">
        <v>0</v>
      </c>
      <c r="F110" s="10" t="n">
        <v>1783.7</v>
      </c>
      <c r="G110" s="10" t="n">
        <v>1783.7</v>
      </c>
      <c r="H110" s="10" t="n">
        <v>1294.16</v>
      </c>
      <c r="I110" s="10" t="n">
        <v>489.54</v>
      </c>
      <c r="J110" s="10" t="n">
        <v>-0.48</v>
      </c>
      <c r="K110" s="11" t="n">
        <v>0.2745</v>
      </c>
      <c r="L110" s="11" t="n">
        <v>-0.0003</v>
      </c>
      <c r="M110" s="26" t="n">
        <v>59</v>
      </c>
    </row>
    <row r="111" customFormat="false" ht="15" hidden="false" customHeight="false" outlineLevel="0" collapsed="false">
      <c r="A111" s="27" t="n">
        <v>10284</v>
      </c>
      <c r="B111" s="12" t="s">
        <v>118</v>
      </c>
      <c r="C111" s="28" t="n">
        <v>4</v>
      </c>
      <c r="D111" s="28" t="n">
        <v>4</v>
      </c>
      <c r="E111" s="14" t="n">
        <v>326.27</v>
      </c>
      <c r="F111" s="14" t="n">
        <v>76.02</v>
      </c>
      <c r="G111" s="14" t="n">
        <v>402.29</v>
      </c>
      <c r="H111" s="14" t="n">
        <v>94.79</v>
      </c>
      <c r="I111" s="14" t="n">
        <v>307.5</v>
      </c>
      <c r="J111" s="14" t="n">
        <v>196.98</v>
      </c>
      <c r="K111" s="15" t="n">
        <v>0.7644</v>
      </c>
      <c r="L111" s="15" t="n">
        <v>0.4896</v>
      </c>
      <c r="M111" s="29" t="n">
        <v>13.69</v>
      </c>
    </row>
    <row r="112" customFormat="false" ht="15" hidden="false" customHeight="false" outlineLevel="0" collapsed="false">
      <c r="A112" s="24" t="n">
        <v>10286</v>
      </c>
      <c r="B112" s="8" t="s">
        <v>119</v>
      </c>
      <c r="C112" s="25" t="n">
        <v>25</v>
      </c>
      <c r="D112" s="25" t="n">
        <v>25</v>
      </c>
      <c r="E112" s="10" t="n">
        <v>0</v>
      </c>
      <c r="F112" s="10" t="n">
        <v>4475.64</v>
      </c>
      <c r="G112" s="10" t="n">
        <v>4475.64</v>
      </c>
      <c r="H112" s="10" t="n">
        <v>1454.2301</v>
      </c>
      <c r="I112" s="10" t="n">
        <v>3021.41</v>
      </c>
      <c r="J112" s="10" t="n">
        <v>2135</v>
      </c>
      <c r="K112" s="11" t="n">
        <v>0.6751</v>
      </c>
      <c r="L112" s="11" t="n">
        <v>0.477</v>
      </c>
      <c r="M112" s="26" t="n">
        <v>48.48</v>
      </c>
    </row>
    <row r="113" customFormat="false" ht="15" hidden="false" customHeight="false" outlineLevel="0" collapsed="false">
      <c r="A113" s="27" t="n">
        <v>10287</v>
      </c>
      <c r="B113" s="12" t="s">
        <v>40</v>
      </c>
      <c r="C113" s="28" t="n">
        <v>31</v>
      </c>
      <c r="D113" s="28" t="n">
        <v>31</v>
      </c>
      <c r="E113" s="14" t="n">
        <v>0</v>
      </c>
      <c r="F113" s="14" t="n">
        <v>6109.02</v>
      </c>
      <c r="G113" s="14" t="n">
        <v>6109.02</v>
      </c>
      <c r="H113" s="14" t="n">
        <v>2122.5405</v>
      </c>
      <c r="I113" s="14" t="n">
        <v>3986.48</v>
      </c>
      <c r="J113" s="14" t="n">
        <v>2838.83</v>
      </c>
      <c r="K113" s="15" t="n">
        <v>0.6526</v>
      </c>
      <c r="L113" s="15" t="n">
        <v>0.4647</v>
      </c>
      <c r="M113" s="29" t="n">
        <v>49.29</v>
      </c>
    </row>
    <row r="114" customFormat="false" ht="15" hidden="false" customHeight="false" outlineLevel="0" collapsed="false">
      <c r="A114" s="24" t="n">
        <v>10288</v>
      </c>
      <c r="B114" s="8" t="s">
        <v>120</v>
      </c>
      <c r="C114" s="25" t="n">
        <v>2</v>
      </c>
      <c r="D114" s="25" t="n">
        <v>2</v>
      </c>
      <c r="E114" s="10" t="n">
        <v>0</v>
      </c>
      <c r="F114" s="10" t="n">
        <v>599.92</v>
      </c>
      <c r="G114" s="10" t="n">
        <v>599.92</v>
      </c>
      <c r="H114" s="10" t="n">
        <v>211.67</v>
      </c>
      <c r="I114" s="10" t="n">
        <v>388.25</v>
      </c>
      <c r="J114" s="10" t="n">
        <v>223.44</v>
      </c>
      <c r="K114" s="11" t="n">
        <v>0.6472</v>
      </c>
      <c r="L114" s="11" t="n">
        <v>0.3724</v>
      </c>
      <c r="M114" s="26" t="n">
        <v>45</v>
      </c>
    </row>
    <row r="115" customFormat="false" ht="15" hidden="false" customHeight="false" outlineLevel="0" collapsed="false">
      <c r="A115" s="27" t="n">
        <v>10296</v>
      </c>
      <c r="B115" s="12" t="s">
        <v>121</v>
      </c>
      <c r="C115" s="28" t="n">
        <v>748</v>
      </c>
      <c r="D115" s="28" t="n">
        <v>748</v>
      </c>
      <c r="E115" s="14" t="n">
        <v>0</v>
      </c>
      <c r="F115" s="14" t="n">
        <v>85793.7</v>
      </c>
      <c r="G115" s="14" t="n">
        <v>85793.7</v>
      </c>
      <c r="H115" s="14" t="n">
        <v>56973.3426</v>
      </c>
      <c r="I115" s="14" t="n">
        <v>28820.36</v>
      </c>
      <c r="J115" s="14" t="n">
        <v>6600.18</v>
      </c>
      <c r="K115" s="15" t="n">
        <v>0.3359</v>
      </c>
      <c r="L115" s="15" t="n">
        <v>0.0769</v>
      </c>
      <c r="M115" s="29" t="n">
        <v>50.2</v>
      </c>
    </row>
    <row r="116" customFormat="false" ht="15" hidden="false" customHeight="false" outlineLevel="0" collapsed="false">
      <c r="A116" s="24" t="n">
        <v>10298</v>
      </c>
      <c r="B116" s="8" t="s">
        <v>79</v>
      </c>
      <c r="C116" s="25" t="n">
        <v>20</v>
      </c>
      <c r="D116" s="25" t="n">
        <v>20</v>
      </c>
      <c r="E116" s="10" t="n">
        <v>0</v>
      </c>
      <c r="F116" s="10" t="n">
        <v>13650.2</v>
      </c>
      <c r="G116" s="10" t="n">
        <v>13650.2</v>
      </c>
      <c r="H116" s="10" t="n">
        <v>2319.43</v>
      </c>
      <c r="I116" s="10" t="n">
        <v>11330.77</v>
      </c>
      <c r="J116" s="10" t="n">
        <v>9657.26</v>
      </c>
      <c r="K116" s="11" t="n">
        <v>0.8301</v>
      </c>
      <c r="L116" s="11" t="n">
        <v>0.7075</v>
      </c>
      <c r="M116" s="26" t="n">
        <v>30</v>
      </c>
    </row>
    <row r="117" customFormat="false" ht="15" hidden="false" customHeight="false" outlineLevel="0" collapsed="false">
      <c r="A117" s="27" t="n">
        <v>10299</v>
      </c>
      <c r="B117" s="12" t="s">
        <v>122</v>
      </c>
      <c r="C117" s="28" t="n">
        <v>48</v>
      </c>
      <c r="D117" s="28" t="n">
        <v>48</v>
      </c>
      <c r="E117" s="14" t="n">
        <v>242.35</v>
      </c>
      <c r="F117" s="14" t="n">
        <v>7617.18</v>
      </c>
      <c r="G117" s="14" t="n">
        <v>7859.53</v>
      </c>
      <c r="H117" s="14" t="n">
        <v>5147.3899</v>
      </c>
      <c r="I117" s="14" t="n">
        <v>2712.14</v>
      </c>
      <c r="J117" s="14" t="n">
        <v>797.63</v>
      </c>
      <c r="K117" s="15" t="n">
        <v>0.3451</v>
      </c>
      <c r="L117" s="15" t="n">
        <v>0.1015</v>
      </c>
      <c r="M117" s="29" t="n">
        <v>37.54</v>
      </c>
    </row>
    <row r="118" customFormat="false" ht="15" hidden="false" customHeight="false" outlineLevel="0" collapsed="false">
      <c r="A118" s="24" t="n">
        <v>10300</v>
      </c>
      <c r="B118" s="8" t="s">
        <v>123</v>
      </c>
      <c r="C118" s="25" t="n">
        <v>49</v>
      </c>
      <c r="D118" s="25" t="n">
        <v>49</v>
      </c>
      <c r="E118" s="10" t="n">
        <v>0</v>
      </c>
      <c r="F118" s="10" t="n">
        <v>7925.4</v>
      </c>
      <c r="G118" s="10" t="n">
        <v>7925.4</v>
      </c>
      <c r="H118" s="10" t="n">
        <v>5171.7901</v>
      </c>
      <c r="I118" s="10" t="n">
        <v>2753.61</v>
      </c>
      <c r="J118" s="10" t="n">
        <v>830.94</v>
      </c>
      <c r="K118" s="11" t="n">
        <v>0.3474</v>
      </c>
      <c r="L118" s="11" t="n">
        <v>0.1048</v>
      </c>
      <c r="M118" s="26" t="n">
        <v>38.87</v>
      </c>
    </row>
    <row r="119" customFormat="false" ht="15" hidden="false" customHeight="false" outlineLevel="0" collapsed="false">
      <c r="A119" s="27" t="n">
        <v>10301</v>
      </c>
      <c r="B119" s="12" t="s">
        <v>124</v>
      </c>
      <c r="C119" s="28" t="n">
        <v>66</v>
      </c>
      <c r="D119" s="28" t="n">
        <v>66</v>
      </c>
      <c r="E119" s="14" t="n">
        <v>0</v>
      </c>
      <c r="F119" s="14" t="n">
        <v>8168.82</v>
      </c>
      <c r="G119" s="14" t="n">
        <v>8168.82</v>
      </c>
      <c r="H119" s="14" t="n">
        <v>5326.0817</v>
      </c>
      <c r="I119" s="14" t="n">
        <v>2842.74</v>
      </c>
      <c r="J119" s="14" t="n">
        <v>860.98</v>
      </c>
      <c r="K119" s="15" t="n">
        <v>0.348</v>
      </c>
      <c r="L119" s="15" t="n">
        <v>0.1054</v>
      </c>
      <c r="M119" s="29" t="n">
        <v>39.29</v>
      </c>
    </row>
    <row r="120" customFormat="false" ht="15" hidden="false" customHeight="false" outlineLevel="0" collapsed="false">
      <c r="A120" s="24" t="n">
        <v>10304</v>
      </c>
      <c r="B120" s="8" t="s">
        <v>125</v>
      </c>
      <c r="C120" s="25" t="n">
        <v>46</v>
      </c>
      <c r="D120" s="25" t="n">
        <v>46</v>
      </c>
      <c r="E120" s="10" t="n">
        <v>0</v>
      </c>
      <c r="F120" s="10" t="n">
        <v>5693.42</v>
      </c>
      <c r="G120" s="10" t="n">
        <v>5693.42</v>
      </c>
      <c r="H120" s="10" t="n">
        <v>3683.6695</v>
      </c>
      <c r="I120" s="10" t="n">
        <v>2009.75</v>
      </c>
      <c r="J120" s="10" t="n">
        <v>628.53</v>
      </c>
      <c r="K120" s="11" t="n">
        <v>0.353</v>
      </c>
      <c r="L120" s="11" t="n">
        <v>0.1104</v>
      </c>
      <c r="M120" s="26" t="n">
        <v>38.61</v>
      </c>
    </row>
    <row r="121" customFormat="false" ht="15" hidden="false" customHeight="false" outlineLevel="0" collapsed="false">
      <c r="A121" s="27" t="n">
        <v>10325</v>
      </c>
      <c r="B121" s="12" t="s">
        <v>126</v>
      </c>
      <c r="C121" s="28" t="n">
        <v>56</v>
      </c>
      <c r="D121" s="28" t="n">
        <v>56</v>
      </c>
      <c r="E121" s="14" t="n">
        <v>0</v>
      </c>
      <c r="F121" s="14" t="n">
        <v>11629.52</v>
      </c>
      <c r="G121" s="14" t="n">
        <v>11629.52</v>
      </c>
      <c r="H121" s="14" t="n">
        <v>2388.9396</v>
      </c>
      <c r="I121" s="14" t="n">
        <v>9240.58</v>
      </c>
      <c r="J121" s="14" t="n">
        <v>6045.72</v>
      </c>
      <c r="K121" s="15" t="n">
        <v>0.7946</v>
      </c>
      <c r="L121" s="15" t="n">
        <v>0.5199</v>
      </c>
      <c r="M121" s="29" t="n">
        <v>37.02</v>
      </c>
    </row>
    <row r="122" customFormat="false" ht="15" hidden="false" customHeight="false" outlineLevel="0" collapsed="false">
      <c r="A122" s="24" t="n">
        <v>10328</v>
      </c>
      <c r="B122" s="8" t="s">
        <v>317</v>
      </c>
      <c r="C122" s="25" t="n">
        <v>50</v>
      </c>
      <c r="D122" s="25" t="n">
        <v>50</v>
      </c>
      <c r="E122" s="10" t="n">
        <v>0</v>
      </c>
      <c r="F122" s="10" t="n">
        <v>3192</v>
      </c>
      <c r="G122" s="10" t="n">
        <v>3192</v>
      </c>
      <c r="H122" s="10" t="n">
        <v>674.369</v>
      </c>
      <c r="I122" s="10" t="n">
        <v>2517.63</v>
      </c>
      <c r="J122" s="10" t="n">
        <v>2126.29</v>
      </c>
      <c r="K122" s="11" t="n">
        <v>0.7887</v>
      </c>
      <c r="L122" s="11" t="n">
        <v>0.6661</v>
      </c>
      <c r="M122" s="26" t="n">
        <v>30</v>
      </c>
    </row>
    <row r="123" customFormat="false" ht="15" hidden="false" customHeight="false" outlineLevel="0" collapsed="false">
      <c r="A123" s="27" t="n">
        <v>10331</v>
      </c>
      <c r="B123" s="12" t="s">
        <v>127</v>
      </c>
      <c r="C123" s="28" t="n">
        <v>1</v>
      </c>
      <c r="D123" s="28" t="n">
        <v>1</v>
      </c>
      <c r="E123" s="14" t="n">
        <v>0</v>
      </c>
      <c r="F123" s="14" t="n">
        <v>32.8</v>
      </c>
      <c r="G123" s="14" t="n">
        <v>32.8</v>
      </c>
      <c r="H123" s="14" t="n">
        <v>17.01</v>
      </c>
      <c r="I123" s="14" t="n">
        <v>15.79</v>
      </c>
      <c r="J123" s="14" t="n">
        <v>6.78</v>
      </c>
      <c r="K123" s="15" t="n">
        <v>0.4814</v>
      </c>
      <c r="L123" s="15" t="n">
        <v>0.2067</v>
      </c>
      <c r="M123" s="29" t="n">
        <v>45</v>
      </c>
    </row>
    <row r="124" customFormat="false" ht="15" hidden="false" customHeight="false" outlineLevel="0" collapsed="false">
      <c r="A124" s="24" t="n">
        <v>10333</v>
      </c>
      <c r="B124" s="8" t="s">
        <v>318</v>
      </c>
      <c r="C124" s="25" t="n">
        <v>1</v>
      </c>
      <c r="D124" s="25" t="n">
        <v>1</v>
      </c>
      <c r="E124" s="10" t="n">
        <v>0</v>
      </c>
      <c r="F124" s="10" t="n">
        <v>86.71</v>
      </c>
      <c r="G124" s="10" t="n">
        <v>86.71</v>
      </c>
      <c r="H124" s="10" t="n">
        <v>32.01</v>
      </c>
      <c r="I124" s="10" t="n">
        <v>54.7</v>
      </c>
      <c r="J124" s="10" t="n">
        <v>30.88</v>
      </c>
      <c r="K124" s="11" t="n">
        <v>0.6308</v>
      </c>
      <c r="L124" s="11" t="n">
        <v>0.3561</v>
      </c>
      <c r="M124" s="26" t="n">
        <v>7</v>
      </c>
    </row>
    <row r="125" customFormat="false" ht="15" hidden="false" customHeight="false" outlineLevel="0" collapsed="false">
      <c r="A125" s="27" t="n">
        <v>10337</v>
      </c>
      <c r="B125" s="12" t="s">
        <v>96</v>
      </c>
      <c r="C125" s="28" t="n">
        <v>5</v>
      </c>
      <c r="D125" s="28" t="n">
        <v>5</v>
      </c>
      <c r="E125" s="14" t="n">
        <v>0</v>
      </c>
      <c r="F125" s="14" t="n">
        <v>2925</v>
      </c>
      <c r="G125" s="14" t="n">
        <v>2925</v>
      </c>
      <c r="H125" s="14" t="n">
        <v>667.21</v>
      </c>
      <c r="I125" s="14" t="n">
        <v>2257.79</v>
      </c>
      <c r="J125" s="14" t="n">
        <v>1441.41</v>
      </c>
      <c r="K125" s="15" t="n">
        <v>0.7719</v>
      </c>
      <c r="L125" s="15" t="n">
        <v>0.4928</v>
      </c>
      <c r="M125" s="29" t="n">
        <v>45</v>
      </c>
    </row>
    <row r="126" customFormat="false" ht="15" hidden="false" customHeight="false" outlineLevel="0" collapsed="false">
      <c r="A126" s="24" t="n">
        <v>10340</v>
      </c>
      <c r="B126" s="8" t="s">
        <v>128</v>
      </c>
      <c r="C126" s="25" t="n">
        <v>150</v>
      </c>
      <c r="D126" s="25" t="n">
        <v>150</v>
      </c>
      <c r="E126" s="10" t="n">
        <v>0</v>
      </c>
      <c r="F126" s="10" t="n">
        <v>1235.44</v>
      </c>
      <c r="G126" s="10" t="n">
        <v>1235.44</v>
      </c>
      <c r="H126" s="10" t="n">
        <v>727.6499</v>
      </c>
      <c r="I126" s="10" t="n">
        <v>507.79</v>
      </c>
      <c r="J126" s="10" t="n">
        <v>183.24</v>
      </c>
      <c r="K126" s="11" t="n">
        <v>0.411</v>
      </c>
      <c r="L126" s="11" t="n">
        <v>0.1483</v>
      </c>
      <c r="M126" s="26" t="n">
        <v>50</v>
      </c>
    </row>
    <row r="127" customFormat="false" ht="15" hidden="false" customHeight="false" outlineLevel="0" collapsed="false">
      <c r="A127" s="27" t="n">
        <v>10343</v>
      </c>
      <c r="B127" s="12" t="s">
        <v>129</v>
      </c>
      <c r="C127" s="28" t="n">
        <v>20</v>
      </c>
      <c r="D127" s="28" t="n">
        <v>20</v>
      </c>
      <c r="E127" s="14" t="n">
        <v>0</v>
      </c>
      <c r="F127" s="14" t="n">
        <v>4004.4</v>
      </c>
      <c r="G127" s="14" t="n">
        <v>4004.4</v>
      </c>
      <c r="H127" s="14" t="n">
        <v>1851.3199</v>
      </c>
      <c r="I127" s="14" t="n">
        <v>2153.08</v>
      </c>
      <c r="J127" s="14" t="n">
        <v>1053</v>
      </c>
      <c r="K127" s="15" t="n">
        <v>0.5377</v>
      </c>
      <c r="L127" s="15" t="n">
        <v>0.263</v>
      </c>
      <c r="M127" s="29" t="n">
        <v>36.65</v>
      </c>
    </row>
    <row r="128" customFormat="false" ht="15" hidden="false" customHeight="false" outlineLevel="0" collapsed="false">
      <c r="A128" s="24" t="n">
        <v>10346</v>
      </c>
      <c r="B128" s="8" t="s">
        <v>130</v>
      </c>
      <c r="C128" s="25" t="n">
        <v>124</v>
      </c>
      <c r="D128" s="25" t="n">
        <v>124</v>
      </c>
      <c r="E128" s="10" t="n">
        <v>0</v>
      </c>
      <c r="F128" s="10" t="n">
        <v>23432.28</v>
      </c>
      <c r="G128" s="10" t="n">
        <v>23432.28</v>
      </c>
      <c r="H128" s="10" t="n">
        <v>4190.01</v>
      </c>
      <c r="I128" s="10" t="n">
        <v>19242.27</v>
      </c>
      <c r="J128" s="10" t="n">
        <v>12702.36</v>
      </c>
      <c r="K128" s="11" t="n">
        <v>0.8212</v>
      </c>
      <c r="L128" s="11" t="n">
        <v>0.5421</v>
      </c>
      <c r="M128" s="26" t="n">
        <v>31.36</v>
      </c>
    </row>
    <row r="129" customFormat="false" ht="15" hidden="false" customHeight="false" outlineLevel="0" collapsed="false">
      <c r="A129" s="27" t="n">
        <v>10358</v>
      </c>
      <c r="B129" s="12" t="s">
        <v>129</v>
      </c>
      <c r="C129" s="28" t="n">
        <v>19</v>
      </c>
      <c r="D129" s="28" t="n">
        <v>19</v>
      </c>
      <c r="E129" s="14" t="n">
        <v>0</v>
      </c>
      <c r="F129" s="14" t="n">
        <v>5111.95</v>
      </c>
      <c r="G129" s="14" t="n">
        <v>5111.95</v>
      </c>
      <c r="H129" s="14" t="n">
        <v>2845.5898</v>
      </c>
      <c r="I129" s="14" t="n">
        <v>2266.36</v>
      </c>
      <c r="J129" s="14" t="n">
        <v>839.64</v>
      </c>
      <c r="K129" s="15" t="n">
        <v>0.4433</v>
      </c>
      <c r="L129" s="15" t="n">
        <v>0.1643</v>
      </c>
      <c r="M129" s="29" t="n">
        <v>31.47</v>
      </c>
    </row>
    <row r="130" customFormat="false" ht="15" hidden="false" customHeight="false" outlineLevel="0" collapsed="false">
      <c r="A130" s="24" t="n">
        <v>10361</v>
      </c>
      <c r="B130" s="8" t="s">
        <v>96</v>
      </c>
      <c r="C130" s="25" t="n">
        <v>63</v>
      </c>
      <c r="D130" s="25" t="n">
        <v>63</v>
      </c>
      <c r="E130" s="10" t="n">
        <v>0</v>
      </c>
      <c r="F130" s="10" t="n">
        <v>49370.23</v>
      </c>
      <c r="G130" s="10" t="n">
        <v>49370.23</v>
      </c>
      <c r="H130" s="10" t="n">
        <v>14714.6102</v>
      </c>
      <c r="I130" s="10" t="n">
        <v>34655.62</v>
      </c>
      <c r="J130" s="10" t="n">
        <v>20876.72</v>
      </c>
      <c r="K130" s="11" t="n">
        <v>0.702</v>
      </c>
      <c r="L130" s="11" t="n">
        <v>0.4229</v>
      </c>
      <c r="M130" s="26" t="n">
        <v>31.34</v>
      </c>
    </row>
    <row r="131" customFormat="false" ht="15" hidden="false" customHeight="false" outlineLevel="0" collapsed="false">
      <c r="A131" s="27" t="n">
        <v>10362</v>
      </c>
      <c r="B131" s="12" t="s">
        <v>131</v>
      </c>
      <c r="C131" s="28" t="n">
        <v>37</v>
      </c>
      <c r="D131" s="28" t="n">
        <v>37</v>
      </c>
      <c r="E131" s="14" t="n">
        <v>0</v>
      </c>
      <c r="F131" s="14" t="n">
        <v>2935.58</v>
      </c>
      <c r="G131" s="14" t="n">
        <v>2935.58</v>
      </c>
      <c r="H131" s="14" t="n">
        <v>1277.1302</v>
      </c>
      <c r="I131" s="14" t="n">
        <v>1658.45</v>
      </c>
      <c r="J131" s="14" t="n">
        <v>851.97</v>
      </c>
      <c r="K131" s="15" t="n">
        <v>0.5649</v>
      </c>
      <c r="L131" s="15" t="n">
        <v>0.2902</v>
      </c>
      <c r="M131" s="29" t="n">
        <v>34.84</v>
      </c>
    </row>
    <row r="132" customFormat="false" ht="15" hidden="false" customHeight="false" outlineLevel="0" collapsed="false">
      <c r="A132" s="24" t="n">
        <v>10363</v>
      </c>
      <c r="B132" s="8" t="s">
        <v>132</v>
      </c>
      <c r="C132" s="25" t="n">
        <v>85</v>
      </c>
      <c r="D132" s="25" t="n">
        <v>85</v>
      </c>
      <c r="E132" s="10" t="n">
        <v>0</v>
      </c>
      <c r="F132" s="10" t="n">
        <v>5319.93</v>
      </c>
      <c r="G132" s="10" t="n">
        <v>5319.93</v>
      </c>
      <c r="H132" s="10" t="n">
        <v>2939.51</v>
      </c>
      <c r="I132" s="10" t="n">
        <v>2380.42</v>
      </c>
      <c r="J132" s="10" t="n">
        <v>1344.33</v>
      </c>
      <c r="K132" s="11" t="n">
        <v>0.4475</v>
      </c>
      <c r="L132" s="11" t="n">
        <v>0.2527</v>
      </c>
      <c r="M132" s="26" t="n">
        <v>51.27</v>
      </c>
    </row>
    <row r="133" customFormat="false" ht="15" hidden="false" customHeight="false" outlineLevel="0" collapsed="false">
      <c r="A133" s="27" t="n">
        <v>10374</v>
      </c>
      <c r="B133" s="12" t="s">
        <v>319</v>
      </c>
      <c r="C133" s="28" t="n">
        <v>10</v>
      </c>
      <c r="D133" s="28" t="n">
        <v>10</v>
      </c>
      <c r="E133" s="14" t="n">
        <v>0</v>
      </c>
      <c r="F133" s="14" t="n">
        <v>481.7</v>
      </c>
      <c r="G133" s="14" t="n">
        <v>481.7</v>
      </c>
      <c r="H133" s="14" t="n">
        <v>182.54</v>
      </c>
      <c r="I133" s="14" t="n">
        <v>299.16</v>
      </c>
      <c r="J133" s="14" t="n">
        <v>166.83</v>
      </c>
      <c r="K133" s="15" t="n">
        <v>0.6211</v>
      </c>
      <c r="L133" s="15" t="n">
        <v>0.3463</v>
      </c>
      <c r="M133" s="29" t="n">
        <v>51</v>
      </c>
    </row>
    <row r="134" customFormat="false" ht="15" hidden="false" customHeight="false" outlineLevel="0" collapsed="false">
      <c r="A134" s="24" t="n">
        <v>10375</v>
      </c>
      <c r="B134" s="8" t="s">
        <v>133</v>
      </c>
      <c r="C134" s="25" t="n">
        <v>180</v>
      </c>
      <c r="D134" s="25" t="n">
        <v>180</v>
      </c>
      <c r="E134" s="10" t="n">
        <v>0</v>
      </c>
      <c r="F134" s="10" t="n">
        <v>6937.7</v>
      </c>
      <c r="G134" s="10" t="n">
        <v>6937.7</v>
      </c>
      <c r="H134" s="10" t="n">
        <v>2986.44</v>
      </c>
      <c r="I134" s="10" t="n">
        <v>3951.26</v>
      </c>
      <c r="J134" s="10" t="n">
        <v>1992.14</v>
      </c>
      <c r="K134" s="11" t="n">
        <v>0.5695</v>
      </c>
      <c r="L134" s="11" t="n">
        <v>0.2871</v>
      </c>
      <c r="M134" s="26" t="n">
        <v>58.32</v>
      </c>
    </row>
    <row r="135" customFormat="false" ht="15" hidden="false" customHeight="false" outlineLevel="0" collapsed="false">
      <c r="A135" s="27" t="n">
        <v>10376</v>
      </c>
      <c r="B135" s="12" t="s">
        <v>264</v>
      </c>
      <c r="C135" s="28" t="n">
        <v>3</v>
      </c>
      <c r="D135" s="28" t="n">
        <v>3</v>
      </c>
      <c r="E135" s="14" t="n">
        <v>0</v>
      </c>
      <c r="F135" s="14" t="n">
        <v>287.07</v>
      </c>
      <c r="G135" s="14" t="n">
        <v>287.07</v>
      </c>
      <c r="H135" s="14" t="n">
        <v>69.8001</v>
      </c>
      <c r="I135" s="14" t="n">
        <v>217.27</v>
      </c>
      <c r="J135" s="14" t="n">
        <v>117.66</v>
      </c>
      <c r="K135" s="15" t="n">
        <v>0.7569</v>
      </c>
      <c r="L135" s="15" t="n">
        <v>0.4099</v>
      </c>
      <c r="M135" s="29" t="n">
        <v>23</v>
      </c>
    </row>
    <row r="136" customFormat="false" ht="15" hidden="false" customHeight="false" outlineLevel="0" collapsed="false">
      <c r="A136" s="24" t="n">
        <v>10397</v>
      </c>
      <c r="B136" s="8" t="s">
        <v>134</v>
      </c>
      <c r="C136" s="25" t="n">
        <v>93</v>
      </c>
      <c r="D136" s="25" t="n">
        <v>93</v>
      </c>
      <c r="E136" s="10" t="n">
        <v>0</v>
      </c>
      <c r="F136" s="10" t="n">
        <v>11234.94</v>
      </c>
      <c r="G136" s="10" t="n">
        <v>11234.94</v>
      </c>
      <c r="H136" s="10" t="n">
        <v>3617.5899</v>
      </c>
      <c r="I136" s="10" t="n">
        <v>7617.35</v>
      </c>
      <c r="J136" s="10" t="n">
        <v>4530.89</v>
      </c>
      <c r="K136" s="11" t="n">
        <v>0.678</v>
      </c>
      <c r="L136" s="11" t="n">
        <v>0.4033</v>
      </c>
      <c r="M136" s="26" t="n">
        <v>41.04</v>
      </c>
    </row>
    <row r="137" customFormat="false" ht="15" hidden="false" customHeight="false" outlineLevel="0" collapsed="false">
      <c r="A137" s="27" t="n">
        <v>10404</v>
      </c>
      <c r="B137" s="12" t="s">
        <v>96</v>
      </c>
      <c r="C137" s="28" t="n">
        <v>30</v>
      </c>
      <c r="D137" s="28" t="n">
        <v>30</v>
      </c>
      <c r="E137" s="14" t="n">
        <v>0</v>
      </c>
      <c r="F137" s="14" t="n">
        <v>6536.7</v>
      </c>
      <c r="G137" s="14" t="n">
        <v>6536.7</v>
      </c>
      <c r="H137" s="14" t="n">
        <v>3174.9302</v>
      </c>
      <c r="I137" s="14" t="n">
        <v>3361.77</v>
      </c>
      <c r="J137" s="14" t="n">
        <v>1566</v>
      </c>
      <c r="K137" s="15" t="n">
        <v>0.5143</v>
      </c>
      <c r="L137" s="15" t="n">
        <v>0.2396</v>
      </c>
      <c r="M137" s="29" t="n">
        <v>40.33</v>
      </c>
    </row>
    <row r="138" customFormat="false" ht="15" hidden="false" customHeight="false" outlineLevel="0" collapsed="false">
      <c r="A138" s="24" t="n">
        <v>10406</v>
      </c>
      <c r="B138" s="8" t="s">
        <v>135</v>
      </c>
      <c r="C138" s="25" t="n">
        <v>100</v>
      </c>
      <c r="D138" s="25" t="n">
        <v>100</v>
      </c>
      <c r="E138" s="10" t="n">
        <v>0</v>
      </c>
      <c r="F138" s="10" t="n">
        <v>15820</v>
      </c>
      <c r="G138" s="10" t="n">
        <v>15820</v>
      </c>
      <c r="H138" s="10" t="n">
        <v>6705.99</v>
      </c>
      <c r="I138" s="10" t="n">
        <v>9114.01</v>
      </c>
      <c r="J138" s="10" t="n">
        <v>7174.48</v>
      </c>
      <c r="K138" s="11" t="n">
        <v>0.5761</v>
      </c>
      <c r="L138" s="11" t="n">
        <v>0.4535</v>
      </c>
      <c r="M138" s="26" t="n">
        <v>33</v>
      </c>
    </row>
    <row r="139" customFormat="false" ht="15" hidden="false" customHeight="false" outlineLevel="0" collapsed="false">
      <c r="A139" s="27" t="n">
        <v>10408</v>
      </c>
      <c r="B139" s="12" t="s">
        <v>136</v>
      </c>
      <c r="C139" s="28" t="n">
        <v>223</v>
      </c>
      <c r="D139" s="28" t="n">
        <v>223</v>
      </c>
      <c r="E139" s="14" t="n">
        <v>0</v>
      </c>
      <c r="F139" s="14" t="n">
        <v>63436.16</v>
      </c>
      <c r="G139" s="14" t="n">
        <v>63436.16</v>
      </c>
      <c r="H139" s="14" t="n">
        <v>39808.8509</v>
      </c>
      <c r="I139" s="14" t="n">
        <v>23627.31</v>
      </c>
      <c r="J139" s="14" t="n">
        <v>6200.16</v>
      </c>
      <c r="K139" s="15" t="n">
        <v>0.3725</v>
      </c>
      <c r="L139" s="15" t="n">
        <v>0.0977</v>
      </c>
      <c r="M139" s="29" t="n">
        <v>50</v>
      </c>
    </row>
    <row r="140" customFormat="false" ht="15" hidden="false" customHeight="false" outlineLevel="0" collapsed="false">
      <c r="A140" s="24" t="n">
        <v>10410</v>
      </c>
      <c r="B140" s="8" t="s">
        <v>320</v>
      </c>
      <c r="C140" s="25" t="n">
        <v>5</v>
      </c>
      <c r="D140" s="25" t="n">
        <v>5</v>
      </c>
      <c r="E140" s="10" t="n">
        <v>0</v>
      </c>
      <c r="F140" s="10" t="n">
        <v>456.4</v>
      </c>
      <c r="G140" s="10" t="n">
        <v>456.4</v>
      </c>
      <c r="H140" s="10" t="n">
        <v>190.21</v>
      </c>
      <c r="I140" s="10" t="n">
        <v>266.19</v>
      </c>
      <c r="J140" s="10" t="n">
        <v>140.81</v>
      </c>
      <c r="K140" s="11" t="n">
        <v>0.5832</v>
      </c>
      <c r="L140" s="11" t="n">
        <v>0.3085</v>
      </c>
      <c r="M140" s="26" t="n">
        <v>7</v>
      </c>
    </row>
    <row r="141" customFormat="false" ht="15" hidden="false" customHeight="false" outlineLevel="0" collapsed="false">
      <c r="A141" s="27" t="n">
        <v>10412</v>
      </c>
      <c r="B141" s="12" t="s">
        <v>129</v>
      </c>
      <c r="C141" s="28" t="n">
        <v>110</v>
      </c>
      <c r="D141" s="28" t="n">
        <v>110</v>
      </c>
      <c r="E141" s="14" t="n">
        <v>0</v>
      </c>
      <c r="F141" s="14" t="n">
        <v>34793.22</v>
      </c>
      <c r="G141" s="14" t="n">
        <v>34793.22</v>
      </c>
      <c r="H141" s="14" t="n">
        <v>15539.5701</v>
      </c>
      <c r="I141" s="14" t="n">
        <v>19253.65</v>
      </c>
      <c r="J141" s="14" t="n">
        <v>9542.77</v>
      </c>
      <c r="K141" s="15" t="n">
        <v>0.5534</v>
      </c>
      <c r="L141" s="15" t="n">
        <v>0.2743</v>
      </c>
      <c r="M141" s="29" t="n">
        <v>31.17</v>
      </c>
    </row>
    <row r="142" customFormat="false" ht="15" hidden="false" customHeight="false" outlineLevel="0" collapsed="false">
      <c r="A142" s="24" t="n">
        <v>10414</v>
      </c>
      <c r="B142" s="8" t="s">
        <v>321</v>
      </c>
      <c r="C142" s="25" t="n">
        <v>2</v>
      </c>
      <c r="D142" s="25" t="n">
        <v>2</v>
      </c>
      <c r="E142" s="10" t="n">
        <v>0</v>
      </c>
      <c r="F142" s="10" t="n">
        <v>464.2</v>
      </c>
      <c r="G142" s="10" t="n">
        <v>464.2</v>
      </c>
      <c r="H142" s="10" t="n">
        <v>240.72</v>
      </c>
      <c r="I142" s="10" t="n">
        <v>223.48</v>
      </c>
      <c r="J142" s="10" t="n">
        <v>93.93</v>
      </c>
      <c r="K142" s="11" t="n">
        <v>0.4814</v>
      </c>
      <c r="L142" s="11" t="n">
        <v>0.2023</v>
      </c>
      <c r="M142" s="26" t="n">
        <v>50</v>
      </c>
    </row>
    <row r="143" customFormat="false" ht="15" hidden="false" customHeight="false" outlineLevel="0" collapsed="false">
      <c r="A143" s="27" t="n">
        <v>10419</v>
      </c>
      <c r="B143" s="12" t="s">
        <v>138</v>
      </c>
      <c r="C143" s="28" t="n">
        <v>25</v>
      </c>
      <c r="D143" s="28" t="n">
        <v>25</v>
      </c>
      <c r="E143" s="14" t="n">
        <v>0</v>
      </c>
      <c r="F143" s="14" t="n">
        <v>1997.25</v>
      </c>
      <c r="G143" s="14" t="n">
        <v>1997.25</v>
      </c>
      <c r="H143" s="14" t="n">
        <v>1754.62</v>
      </c>
      <c r="I143" s="14" t="n">
        <v>242.63</v>
      </c>
      <c r="J143" s="14" t="n">
        <v>-314.8</v>
      </c>
      <c r="K143" s="15" t="n">
        <v>0.1215</v>
      </c>
      <c r="L143" s="15" t="n">
        <v>-0.1576</v>
      </c>
      <c r="M143" s="29" t="n">
        <v>30.8</v>
      </c>
    </row>
    <row r="144" customFormat="false" ht="15" hidden="false" customHeight="false" outlineLevel="0" collapsed="false">
      <c r="A144" s="24" t="n">
        <v>10422</v>
      </c>
      <c r="B144" s="8" t="s">
        <v>139</v>
      </c>
      <c r="C144" s="25" t="n">
        <v>51</v>
      </c>
      <c r="D144" s="25" t="n">
        <v>51</v>
      </c>
      <c r="E144" s="10" t="n">
        <v>0</v>
      </c>
      <c r="F144" s="10" t="n">
        <v>39719.25</v>
      </c>
      <c r="G144" s="10" t="n">
        <v>39719.25</v>
      </c>
      <c r="H144" s="10" t="n">
        <v>13463.9204</v>
      </c>
      <c r="I144" s="10" t="n">
        <v>26255.33</v>
      </c>
      <c r="J144" s="10" t="n">
        <v>15343.62</v>
      </c>
      <c r="K144" s="11" t="n">
        <v>0.661</v>
      </c>
      <c r="L144" s="11" t="n">
        <v>0.3863</v>
      </c>
      <c r="M144" s="26" t="n">
        <v>31.16</v>
      </c>
    </row>
    <row r="145" customFormat="false" ht="15" hidden="false" customHeight="false" outlineLevel="0" collapsed="false">
      <c r="A145" s="27" t="n">
        <v>10427</v>
      </c>
      <c r="B145" s="12" t="s">
        <v>140</v>
      </c>
      <c r="C145" s="28" t="n">
        <v>107</v>
      </c>
      <c r="D145" s="28" t="n">
        <v>107</v>
      </c>
      <c r="E145" s="14" t="n">
        <v>0</v>
      </c>
      <c r="F145" s="14" t="n">
        <v>22105.76</v>
      </c>
      <c r="G145" s="14" t="n">
        <v>22105.76</v>
      </c>
      <c r="H145" s="14" t="n">
        <v>9370.48</v>
      </c>
      <c r="I145" s="14" t="n">
        <v>12735.28</v>
      </c>
      <c r="J145" s="14" t="n">
        <v>9793.24</v>
      </c>
      <c r="K145" s="15" t="n">
        <v>0.5761</v>
      </c>
      <c r="L145" s="15" t="n">
        <v>0.443</v>
      </c>
      <c r="M145" s="29" t="n">
        <v>32.21</v>
      </c>
    </row>
    <row r="146" customFormat="false" ht="15" hidden="false" customHeight="false" outlineLevel="0" collapsed="false">
      <c r="A146" s="24" t="n">
        <v>10428</v>
      </c>
      <c r="B146" s="8" t="s">
        <v>141</v>
      </c>
      <c r="C146" s="25" t="n">
        <v>3</v>
      </c>
      <c r="D146" s="25" t="n">
        <v>3</v>
      </c>
      <c r="E146" s="10" t="n">
        <v>0</v>
      </c>
      <c r="F146" s="10" t="n">
        <v>3133.02</v>
      </c>
      <c r="G146" s="10" t="n">
        <v>3133.02</v>
      </c>
      <c r="H146" s="10" t="n">
        <v>1806.73</v>
      </c>
      <c r="I146" s="10" t="n">
        <v>1326.29</v>
      </c>
      <c r="J146" s="10" t="n">
        <v>451.85</v>
      </c>
      <c r="K146" s="11" t="n">
        <v>0.4233</v>
      </c>
      <c r="L146" s="11" t="n">
        <v>0.1442</v>
      </c>
      <c r="M146" s="26" t="n">
        <v>31</v>
      </c>
    </row>
    <row r="147" customFormat="false" ht="15" hidden="false" customHeight="false" outlineLevel="0" collapsed="false">
      <c r="A147" s="27" t="n">
        <v>10432</v>
      </c>
      <c r="B147" s="12" t="s">
        <v>322</v>
      </c>
      <c r="C147" s="28" t="n">
        <v>2</v>
      </c>
      <c r="D147" s="28" t="n">
        <v>2</v>
      </c>
      <c r="E147" s="14" t="n">
        <v>0</v>
      </c>
      <c r="F147" s="14" t="n">
        <v>80</v>
      </c>
      <c r="G147" s="14" t="n">
        <v>80</v>
      </c>
      <c r="H147" s="14" t="n">
        <v>32.88</v>
      </c>
      <c r="I147" s="14" t="n">
        <v>47.12</v>
      </c>
      <c r="J147" s="14" t="n">
        <v>29</v>
      </c>
      <c r="K147" s="15" t="n">
        <v>0.589</v>
      </c>
      <c r="L147" s="15" t="n">
        <v>0.3625</v>
      </c>
      <c r="M147" s="29" t="n">
        <v>7</v>
      </c>
    </row>
    <row r="148" customFormat="false" ht="15" hidden="false" customHeight="false" outlineLevel="0" collapsed="false">
      <c r="A148" s="24" t="n">
        <v>10439</v>
      </c>
      <c r="B148" s="8" t="s">
        <v>141</v>
      </c>
      <c r="C148" s="25" t="n">
        <v>55</v>
      </c>
      <c r="D148" s="25" t="n">
        <v>55</v>
      </c>
      <c r="E148" s="10" t="n">
        <v>0</v>
      </c>
      <c r="F148" s="10" t="n">
        <v>65344.95</v>
      </c>
      <c r="G148" s="10" t="n">
        <v>65344.95</v>
      </c>
      <c r="H148" s="10" t="n">
        <v>25010.9202</v>
      </c>
      <c r="I148" s="10" t="n">
        <v>40334.03</v>
      </c>
      <c r="J148" s="10" t="n">
        <v>22096.32</v>
      </c>
      <c r="K148" s="11" t="n">
        <v>0.6172</v>
      </c>
      <c r="L148" s="11" t="n">
        <v>0.3381</v>
      </c>
      <c r="M148" s="26" t="n">
        <v>31</v>
      </c>
    </row>
    <row r="149" customFormat="false" ht="15" hidden="false" customHeight="false" outlineLevel="0" collapsed="false">
      <c r="A149" s="27" t="n">
        <v>10444</v>
      </c>
      <c r="B149" s="12" t="s">
        <v>143</v>
      </c>
      <c r="C149" s="28" t="n">
        <v>12</v>
      </c>
      <c r="D149" s="28" t="n">
        <v>12</v>
      </c>
      <c r="E149" s="14" t="n">
        <v>0</v>
      </c>
      <c r="F149" s="14" t="n">
        <v>4240.68</v>
      </c>
      <c r="G149" s="14" t="n">
        <v>4240.68</v>
      </c>
      <c r="H149" s="14" t="n">
        <v>1892.11</v>
      </c>
      <c r="I149" s="14" t="n">
        <v>2348.57</v>
      </c>
      <c r="J149" s="14" t="n">
        <v>1164.99</v>
      </c>
      <c r="K149" s="15" t="n">
        <v>0.5538</v>
      </c>
      <c r="L149" s="15" t="n">
        <v>0.2747</v>
      </c>
      <c r="M149" s="29" t="n">
        <v>30.25</v>
      </c>
    </row>
    <row r="150" customFormat="false" ht="15" hidden="false" customHeight="false" outlineLevel="0" collapsed="false">
      <c r="A150" s="24" t="n">
        <v>10445</v>
      </c>
      <c r="B150" s="8" t="s">
        <v>144</v>
      </c>
      <c r="C150" s="25" t="n">
        <v>53</v>
      </c>
      <c r="D150" s="25" t="n">
        <v>53</v>
      </c>
      <c r="E150" s="10" t="n">
        <v>0</v>
      </c>
      <c r="F150" s="10" t="n">
        <v>5697.47</v>
      </c>
      <c r="G150" s="10" t="n">
        <v>5697.47</v>
      </c>
      <c r="H150" s="10" t="n">
        <v>2611.4404</v>
      </c>
      <c r="I150" s="10" t="n">
        <v>3086.03</v>
      </c>
      <c r="J150" s="10" t="n">
        <v>1495.87</v>
      </c>
      <c r="K150" s="11" t="n">
        <v>0.5416</v>
      </c>
      <c r="L150" s="11" t="n">
        <v>0.2625</v>
      </c>
      <c r="M150" s="26" t="n">
        <v>30.74</v>
      </c>
    </row>
    <row r="151" customFormat="false" ht="15" hidden="false" customHeight="false" outlineLevel="0" collapsed="false">
      <c r="A151" s="27" t="n">
        <v>10446</v>
      </c>
      <c r="B151" s="12" t="s">
        <v>145</v>
      </c>
      <c r="C151" s="28" t="n">
        <v>115</v>
      </c>
      <c r="D151" s="28" t="n">
        <v>115</v>
      </c>
      <c r="E151" s="14" t="n">
        <v>0</v>
      </c>
      <c r="F151" s="14" t="n">
        <v>5018.6</v>
      </c>
      <c r="G151" s="14" t="n">
        <v>5018.6</v>
      </c>
      <c r="H151" s="14" t="n">
        <v>7322.21</v>
      </c>
      <c r="I151" s="14" t="n">
        <v>-2303.61</v>
      </c>
      <c r="J151" s="14" t="n">
        <v>-3704.31</v>
      </c>
      <c r="K151" s="15" t="n">
        <v>-0.459</v>
      </c>
      <c r="L151" s="15" t="n">
        <v>-0.7381</v>
      </c>
      <c r="M151" s="29" t="n">
        <v>30.87</v>
      </c>
    </row>
    <row r="152" customFormat="false" ht="15" hidden="false" customHeight="false" outlineLevel="0" collapsed="false">
      <c r="A152" s="24" t="n">
        <v>10447</v>
      </c>
      <c r="B152" s="8" t="s">
        <v>146</v>
      </c>
      <c r="C152" s="25" t="n">
        <v>170</v>
      </c>
      <c r="D152" s="25" t="n">
        <v>170</v>
      </c>
      <c r="E152" s="10" t="n">
        <v>0</v>
      </c>
      <c r="F152" s="10" t="n">
        <v>1509.6</v>
      </c>
      <c r="G152" s="10" t="n">
        <v>1509.6</v>
      </c>
      <c r="H152" s="10" t="n">
        <v>375.35</v>
      </c>
      <c r="I152" s="10" t="n">
        <v>1134.25</v>
      </c>
      <c r="J152" s="10" t="n">
        <v>712.92</v>
      </c>
      <c r="K152" s="11" t="n">
        <v>0.7514</v>
      </c>
      <c r="L152" s="11" t="n">
        <v>0.4723</v>
      </c>
      <c r="M152" s="26" t="n">
        <v>30.59</v>
      </c>
    </row>
    <row r="153" customFormat="false" ht="15" hidden="false" customHeight="false" outlineLevel="0" collapsed="false">
      <c r="A153" s="27" t="n">
        <v>10448</v>
      </c>
      <c r="B153" s="12" t="s">
        <v>147</v>
      </c>
      <c r="C153" s="28" t="n">
        <v>306</v>
      </c>
      <c r="D153" s="28" t="n">
        <v>306</v>
      </c>
      <c r="E153" s="14" t="n">
        <v>0</v>
      </c>
      <c r="F153" s="14" t="n">
        <v>6802.38</v>
      </c>
      <c r="G153" s="14" t="n">
        <v>6802.38</v>
      </c>
      <c r="H153" s="14" t="n">
        <v>1812.0399</v>
      </c>
      <c r="I153" s="14" t="n">
        <v>4990.34</v>
      </c>
      <c r="J153" s="14" t="n">
        <v>3340.08</v>
      </c>
      <c r="K153" s="15" t="n">
        <v>0.7336</v>
      </c>
      <c r="L153" s="15" t="n">
        <v>0.491</v>
      </c>
      <c r="M153" s="29" t="n">
        <v>39.28</v>
      </c>
    </row>
    <row r="154" customFormat="false" ht="15" hidden="false" customHeight="false" outlineLevel="0" collapsed="false">
      <c r="A154" s="24" t="n">
        <v>10475</v>
      </c>
      <c r="B154" s="8" t="s">
        <v>150</v>
      </c>
      <c r="C154" s="25" t="n">
        <v>83</v>
      </c>
      <c r="D154" s="25" t="n">
        <v>83</v>
      </c>
      <c r="E154" s="10" t="n">
        <v>0</v>
      </c>
      <c r="F154" s="10" t="n">
        <v>10820.71</v>
      </c>
      <c r="G154" s="10" t="n">
        <v>10820.71</v>
      </c>
      <c r="H154" s="10" t="n">
        <v>7664.2595</v>
      </c>
      <c r="I154" s="10" t="n">
        <v>3156.45</v>
      </c>
      <c r="J154" s="10" t="n">
        <v>183.79</v>
      </c>
      <c r="K154" s="11" t="n">
        <v>0.2917</v>
      </c>
      <c r="L154" s="11" t="n">
        <v>0.017</v>
      </c>
      <c r="M154" s="26" t="n">
        <v>50</v>
      </c>
    </row>
    <row r="155" customFormat="false" ht="15" hidden="false" customHeight="false" outlineLevel="0" collapsed="false">
      <c r="A155" s="27" t="n">
        <v>10476</v>
      </c>
      <c r="B155" s="12" t="s">
        <v>151</v>
      </c>
      <c r="C155" s="28" t="n">
        <v>123</v>
      </c>
      <c r="D155" s="28" t="n">
        <v>123</v>
      </c>
      <c r="E155" s="14" t="n">
        <v>0</v>
      </c>
      <c r="F155" s="14" t="n">
        <v>18672.54</v>
      </c>
      <c r="G155" s="14" t="n">
        <v>18672.54</v>
      </c>
      <c r="H155" s="14" t="n">
        <v>10310.1104</v>
      </c>
      <c r="I155" s="14" t="n">
        <v>8362.43</v>
      </c>
      <c r="J155" s="14" t="n">
        <v>3240.84</v>
      </c>
      <c r="K155" s="15" t="n">
        <v>0.4478</v>
      </c>
      <c r="L155" s="15" t="n">
        <v>0.1736</v>
      </c>
      <c r="M155" s="29" t="n">
        <v>49.8</v>
      </c>
    </row>
    <row r="156" customFormat="false" ht="15" hidden="false" customHeight="false" outlineLevel="0" collapsed="false">
      <c r="A156" s="24" t="n">
        <v>10477</v>
      </c>
      <c r="B156" s="8" t="s">
        <v>152</v>
      </c>
      <c r="C156" s="25" t="n">
        <v>127</v>
      </c>
      <c r="D156" s="25" t="n">
        <v>127</v>
      </c>
      <c r="E156" s="10" t="n">
        <v>0</v>
      </c>
      <c r="F156" s="10" t="n">
        <v>16740.02</v>
      </c>
      <c r="G156" s="10" t="n">
        <v>16740.02</v>
      </c>
      <c r="H156" s="10" t="n">
        <v>9982.54</v>
      </c>
      <c r="I156" s="10" t="n">
        <v>6757.48</v>
      </c>
      <c r="J156" s="10" t="n">
        <v>2166.28</v>
      </c>
      <c r="K156" s="11" t="n">
        <v>0.4037</v>
      </c>
      <c r="L156" s="11" t="n">
        <v>0.1294</v>
      </c>
      <c r="M156" s="26" t="n">
        <v>49.79</v>
      </c>
    </row>
    <row r="157" customFormat="false" ht="15" hidden="false" customHeight="false" outlineLevel="0" collapsed="false">
      <c r="A157" s="27" t="n">
        <v>10481</v>
      </c>
      <c r="B157" s="12" t="s">
        <v>74</v>
      </c>
      <c r="C157" s="28" t="n">
        <v>30</v>
      </c>
      <c r="D157" s="28" t="n">
        <v>30</v>
      </c>
      <c r="E157" s="14" t="n">
        <v>0</v>
      </c>
      <c r="F157" s="14" t="n">
        <v>6205.2</v>
      </c>
      <c r="G157" s="14" t="n">
        <v>6205.2</v>
      </c>
      <c r="H157" s="14" t="n">
        <v>3133.7301</v>
      </c>
      <c r="I157" s="14" t="n">
        <v>3071.47</v>
      </c>
      <c r="J157" s="14" t="n">
        <v>1366.8</v>
      </c>
      <c r="K157" s="15" t="n">
        <v>0.495</v>
      </c>
      <c r="L157" s="15" t="n">
        <v>0.2203</v>
      </c>
      <c r="M157" s="29" t="n">
        <v>31.5</v>
      </c>
    </row>
    <row r="158" customFormat="false" ht="15" hidden="false" customHeight="false" outlineLevel="0" collapsed="false">
      <c r="A158" s="24" t="n">
        <v>10485</v>
      </c>
      <c r="B158" s="8" t="s">
        <v>40</v>
      </c>
      <c r="C158" s="25" t="n">
        <v>141</v>
      </c>
      <c r="D158" s="25" t="n">
        <v>141</v>
      </c>
      <c r="E158" s="10" t="n">
        <v>0</v>
      </c>
      <c r="F158" s="10" t="n">
        <v>19982.91</v>
      </c>
      <c r="G158" s="10" t="n">
        <v>19982.91</v>
      </c>
      <c r="H158" s="10" t="n">
        <v>9162.3207</v>
      </c>
      <c r="I158" s="10" t="n">
        <v>10820.59</v>
      </c>
      <c r="J158" s="10" t="n">
        <v>5330.88</v>
      </c>
      <c r="K158" s="11" t="n">
        <v>0.5415</v>
      </c>
      <c r="L158" s="11" t="n">
        <v>0.2668</v>
      </c>
      <c r="M158" s="26" t="n">
        <v>50</v>
      </c>
    </row>
    <row r="159" customFormat="false" ht="15" hidden="false" customHeight="false" outlineLevel="0" collapsed="false">
      <c r="A159" s="27" t="n">
        <v>10488</v>
      </c>
      <c r="B159" s="12" t="s">
        <v>154</v>
      </c>
      <c r="C159" s="28" t="n">
        <v>365</v>
      </c>
      <c r="D159" s="28" t="n">
        <v>365</v>
      </c>
      <c r="E159" s="14" t="n">
        <v>436.85</v>
      </c>
      <c r="F159" s="14" t="n">
        <v>106320.36</v>
      </c>
      <c r="G159" s="14" t="n">
        <v>106757.21</v>
      </c>
      <c r="H159" s="14" t="n">
        <v>64272.8509</v>
      </c>
      <c r="I159" s="14" t="n">
        <v>42484.36</v>
      </c>
      <c r="J159" s="14" t="n">
        <v>15561.14</v>
      </c>
      <c r="K159" s="15" t="n">
        <v>0.398</v>
      </c>
      <c r="L159" s="15" t="n">
        <v>0.1458</v>
      </c>
      <c r="M159" s="29" t="n">
        <v>45.45</v>
      </c>
    </row>
    <row r="160" customFormat="false" ht="15" hidden="false" customHeight="false" outlineLevel="0" collapsed="false">
      <c r="A160" s="24" t="n">
        <v>10493</v>
      </c>
      <c r="B160" s="8" t="s">
        <v>155</v>
      </c>
      <c r="C160" s="25" t="n">
        <v>41</v>
      </c>
      <c r="D160" s="25" t="n">
        <v>41</v>
      </c>
      <c r="E160" s="10" t="n">
        <v>0</v>
      </c>
      <c r="F160" s="10" t="n">
        <v>19512.72</v>
      </c>
      <c r="G160" s="10" t="n">
        <v>19512.72</v>
      </c>
      <c r="H160" s="10" t="n">
        <v>12007.1096</v>
      </c>
      <c r="I160" s="10" t="n">
        <v>7505.61</v>
      </c>
      <c r="J160" s="10" t="n">
        <v>2145.06</v>
      </c>
      <c r="K160" s="11" t="n">
        <v>0.3847</v>
      </c>
      <c r="L160" s="11" t="n">
        <v>0.1099</v>
      </c>
      <c r="M160" s="26" t="n">
        <v>37.59</v>
      </c>
    </row>
    <row r="161" customFormat="false" ht="15" hidden="false" customHeight="false" outlineLevel="0" collapsed="false">
      <c r="A161" s="27" t="n">
        <v>10498</v>
      </c>
      <c r="B161" s="12" t="s">
        <v>156</v>
      </c>
      <c r="C161" s="28" t="n">
        <v>10</v>
      </c>
      <c r="D161" s="28" t="n">
        <v>10</v>
      </c>
      <c r="E161" s="14" t="n">
        <v>0</v>
      </c>
      <c r="F161" s="14" t="n">
        <v>2953.5</v>
      </c>
      <c r="G161" s="14" t="n">
        <v>2953.5</v>
      </c>
      <c r="H161" s="14" t="n">
        <v>942.92</v>
      </c>
      <c r="I161" s="14" t="n">
        <v>2010.58</v>
      </c>
      <c r="J161" s="14" t="n">
        <v>1648.48</v>
      </c>
      <c r="K161" s="15" t="n">
        <v>0.6807</v>
      </c>
      <c r="L161" s="15" t="n">
        <v>0.5581</v>
      </c>
      <c r="M161" s="29" t="n">
        <v>30</v>
      </c>
    </row>
    <row r="162" customFormat="false" ht="15" hidden="false" customHeight="false" outlineLevel="0" collapsed="false">
      <c r="A162" s="24" t="n">
        <v>10504</v>
      </c>
      <c r="B162" s="8" t="s">
        <v>157</v>
      </c>
      <c r="C162" s="25" t="n">
        <v>2</v>
      </c>
      <c r="D162" s="25" t="n">
        <v>2</v>
      </c>
      <c r="E162" s="10" t="n">
        <v>0</v>
      </c>
      <c r="F162" s="10" t="n">
        <v>8923.23</v>
      </c>
      <c r="G162" s="10" t="n">
        <v>8923.23</v>
      </c>
      <c r="H162" s="10" t="n">
        <v>5129.04</v>
      </c>
      <c r="I162" s="10" t="n">
        <v>3794.19</v>
      </c>
      <c r="J162" s="10" t="n">
        <v>1342.8</v>
      </c>
      <c r="K162" s="11" t="n">
        <v>0.4252</v>
      </c>
      <c r="L162" s="11" t="n">
        <v>0.1505</v>
      </c>
      <c r="M162" s="26" t="n">
        <v>33.46</v>
      </c>
    </row>
    <row r="163" customFormat="false" ht="15" hidden="false" customHeight="false" outlineLevel="0" collapsed="false">
      <c r="A163" s="27" t="n">
        <v>10509</v>
      </c>
      <c r="B163" s="12" t="s">
        <v>266</v>
      </c>
      <c r="C163" s="28" t="n">
        <v>5</v>
      </c>
      <c r="D163" s="28" t="n">
        <v>5</v>
      </c>
      <c r="E163" s="14" t="n">
        <v>0</v>
      </c>
      <c r="F163" s="14" t="n">
        <v>333.27</v>
      </c>
      <c r="G163" s="14" t="n">
        <v>333.27</v>
      </c>
      <c r="H163" s="14" t="n">
        <v>83.8</v>
      </c>
      <c r="I163" s="14" t="n">
        <v>249.47</v>
      </c>
      <c r="J163" s="14" t="n">
        <v>146.51</v>
      </c>
      <c r="K163" s="15" t="n">
        <v>0.7486</v>
      </c>
      <c r="L163" s="15" t="n">
        <v>0.4396</v>
      </c>
      <c r="M163" s="29" t="n">
        <v>37.21</v>
      </c>
    </row>
    <row r="164" customFormat="false" ht="15" hidden="false" customHeight="false" outlineLevel="0" collapsed="false">
      <c r="A164" s="24" t="n">
        <v>10535</v>
      </c>
      <c r="B164" s="8" t="s">
        <v>158</v>
      </c>
      <c r="C164" s="25" t="n">
        <v>20</v>
      </c>
      <c r="D164" s="25" t="n">
        <v>20</v>
      </c>
      <c r="E164" s="10" t="n">
        <v>0</v>
      </c>
      <c r="F164" s="10" t="n">
        <v>4040</v>
      </c>
      <c r="G164" s="10" t="n">
        <v>4040</v>
      </c>
      <c r="H164" s="10" t="n">
        <v>1717.25</v>
      </c>
      <c r="I164" s="10" t="n">
        <v>2322.75</v>
      </c>
      <c r="J164" s="10" t="n">
        <v>1212.88</v>
      </c>
      <c r="K164" s="11" t="n">
        <v>0.5749</v>
      </c>
      <c r="L164" s="11" t="n">
        <v>0.3002</v>
      </c>
      <c r="M164" s="26" t="n">
        <v>28</v>
      </c>
    </row>
    <row r="165" customFormat="false" ht="15" hidden="false" customHeight="false" outlineLevel="0" collapsed="false">
      <c r="A165" s="27" t="n">
        <v>10539</v>
      </c>
      <c r="B165" s="12" t="s">
        <v>159</v>
      </c>
      <c r="C165" s="28" t="n">
        <v>36</v>
      </c>
      <c r="D165" s="28" t="n">
        <v>36</v>
      </c>
      <c r="E165" s="14" t="n">
        <v>0</v>
      </c>
      <c r="F165" s="14" t="n">
        <v>14999.76</v>
      </c>
      <c r="G165" s="14" t="n">
        <v>14999.76</v>
      </c>
      <c r="H165" s="14" t="n">
        <v>34917.1601</v>
      </c>
      <c r="I165" s="14" t="n">
        <v>-19917.4</v>
      </c>
      <c r="J165" s="14" t="n">
        <v>-24103.82</v>
      </c>
      <c r="K165" s="15" t="n">
        <v>-1.3278</v>
      </c>
      <c r="L165" s="15" t="n">
        <v>-1.6069</v>
      </c>
      <c r="M165" s="29" t="n">
        <v>30.81</v>
      </c>
    </row>
    <row r="166" customFormat="false" ht="15" hidden="false" customHeight="false" outlineLevel="0" collapsed="false">
      <c r="A166" s="24" t="n">
        <v>10544</v>
      </c>
      <c r="B166" s="8" t="s">
        <v>160</v>
      </c>
      <c r="C166" s="25" t="n">
        <v>80</v>
      </c>
      <c r="D166" s="25" t="n">
        <v>80</v>
      </c>
      <c r="E166" s="10" t="n">
        <v>0</v>
      </c>
      <c r="F166" s="10" t="n">
        <v>32765.6</v>
      </c>
      <c r="G166" s="10" t="n">
        <v>32765.6</v>
      </c>
      <c r="H166" s="10" t="n">
        <v>123091.11</v>
      </c>
      <c r="I166" s="10" t="n">
        <v>-90325.51</v>
      </c>
      <c r="J166" s="10" t="n">
        <v>-99470.37</v>
      </c>
      <c r="K166" s="11" t="n">
        <v>-2.7567</v>
      </c>
      <c r="L166" s="11" t="n">
        <v>-3.0358</v>
      </c>
      <c r="M166" s="26" t="n">
        <v>30.87</v>
      </c>
    </row>
    <row r="167" customFormat="false" ht="15" hidden="false" customHeight="false" outlineLevel="0" collapsed="false">
      <c r="A167" s="27" t="n">
        <v>10554</v>
      </c>
      <c r="B167" s="12" t="s">
        <v>161</v>
      </c>
      <c r="C167" s="28" t="n">
        <v>29</v>
      </c>
      <c r="D167" s="28" t="n">
        <v>29</v>
      </c>
      <c r="E167" s="14" t="n">
        <v>0</v>
      </c>
      <c r="F167" s="14" t="n">
        <v>2976.56</v>
      </c>
      <c r="G167" s="14" t="n">
        <v>2976.56</v>
      </c>
      <c r="H167" s="14" t="n">
        <v>471.83</v>
      </c>
      <c r="I167" s="14" t="n">
        <v>2504.73</v>
      </c>
      <c r="J167" s="14" t="n">
        <v>1686.98</v>
      </c>
      <c r="K167" s="15" t="n">
        <v>0.8415</v>
      </c>
      <c r="L167" s="15" t="n">
        <v>0.5668</v>
      </c>
      <c r="M167" s="29" t="n">
        <v>50.1</v>
      </c>
    </row>
    <row r="168" customFormat="false" ht="15" hidden="false" customHeight="false" outlineLevel="0" collapsed="false">
      <c r="A168" s="24" t="n">
        <v>10555</v>
      </c>
      <c r="B168" s="8" t="s">
        <v>162</v>
      </c>
      <c r="C168" s="25" t="n">
        <v>229</v>
      </c>
      <c r="D168" s="25" t="n">
        <v>229</v>
      </c>
      <c r="E168" s="10" t="n">
        <v>0</v>
      </c>
      <c r="F168" s="10" t="n">
        <v>60224.4</v>
      </c>
      <c r="G168" s="10" t="n">
        <v>60224.4</v>
      </c>
      <c r="H168" s="10" t="n">
        <v>36773.1104</v>
      </c>
      <c r="I168" s="10" t="n">
        <v>23451.29</v>
      </c>
      <c r="J168" s="10" t="n">
        <v>7563.02</v>
      </c>
      <c r="K168" s="11" t="n">
        <v>0.3894</v>
      </c>
      <c r="L168" s="11" t="n">
        <v>0.1256</v>
      </c>
      <c r="M168" s="26" t="n">
        <v>50</v>
      </c>
    </row>
    <row r="169" customFormat="false" ht="15" hidden="false" customHeight="false" outlineLevel="0" collapsed="false">
      <c r="A169" s="27" t="n">
        <v>10560</v>
      </c>
      <c r="B169" s="12" t="s">
        <v>158</v>
      </c>
      <c r="C169" s="28" t="n">
        <v>111</v>
      </c>
      <c r="D169" s="28" t="n">
        <v>111</v>
      </c>
      <c r="E169" s="14" t="n">
        <v>0</v>
      </c>
      <c r="F169" s="14" t="n">
        <v>23309.96</v>
      </c>
      <c r="G169" s="14" t="n">
        <v>23309.96</v>
      </c>
      <c r="H169" s="14" t="n">
        <v>11344.0162</v>
      </c>
      <c r="I169" s="14" t="n">
        <v>11965.94</v>
      </c>
      <c r="J169" s="14" t="n">
        <v>5562.27</v>
      </c>
      <c r="K169" s="15" t="n">
        <v>0.5133</v>
      </c>
      <c r="L169" s="15" t="n">
        <v>0.2386</v>
      </c>
      <c r="M169" s="29" t="n">
        <v>469.8</v>
      </c>
    </row>
    <row r="170" customFormat="false" ht="15" hidden="false" customHeight="false" outlineLevel="0" collapsed="false">
      <c r="A170" s="24" t="n">
        <v>10567</v>
      </c>
      <c r="B170" s="8" t="s">
        <v>164</v>
      </c>
      <c r="C170" s="25" t="n">
        <v>2</v>
      </c>
      <c r="D170" s="25" t="n">
        <v>2</v>
      </c>
      <c r="E170" s="10" t="n">
        <v>0</v>
      </c>
      <c r="F170" s="10" t="n">
        <v>69.68</v>
      </c>
      <c r="G170" s="10" t="n">
        <v>69.68</v>
      </c>
      <c r="H170" s="10" t="n">
        <v>28.43</v>
      </c>
      <c r="I170" s="10" t="n">
        <v>41.25</v>
      </c>
      <c r="J170" s="10" t="n">
        <v>21.81</v>
      </c>
      <c r="K170" s="11" t="n">
        <v>0.592</v>
      </c>
      <c r="L170" s="11" t="n">
        <v>0.313</v>
      </c>
      <c r="M170" s="26" t="n">
        <v>30</v>
      </c>
    </row>
    <row r="171" customFormat="false" ht="15" hidden="false" customHeight="false" outlineLevel="0" collapsed="false">
      <c r="A171" s="27" t="n">
        <v>10570</v>
      </c>
      <c r="B171" s="12" t="s">
        <v>323</v>
      </c>
      <c r="C171" s="28" t="n">
        <v>300</v>
      </c>
      <c r="D171" s="28" t="n">
        <v>300</v>
      </c>
      <c r="E171" s="14" t="n">
        <v>0</v>
      </c>
      <c r="F171" s="14" t="n">
        <v>7500</v>
      </c>
      <c r="G171" s="14" t="n">
        <v>7500</v>
      </c>
      <c r="H171" s="14" t="n">
        <v>3995.164</v>
      </c>
      <c r="I171" s="14" t="n">
        <v>3504.84</v>
      </c>
      <c r="J171" s="14" t="n">
        <v>1444.44</v>
      </c>
      <c r="K171" s="15" t="n">
        <v>0.4673</v>
      </c>
      <c r="L171" s="15" t="n">
        <v>0.1926</v>
      </c>
      <c r="M171" s="29" t="n">
        <v>60</v>
      </c>
    </row>
    <row r="172" customFormat="false" ht="15" hidden="false" customHeight="false" outlineLevel="0" collapsed="false">
      <c r="A172" s="24" t="n">
        <v>10576</v>
      </c>
      <c r="B172" s="8" t="s">
        <v>165</v>
      </c>
      <c r="C172" s="25" t="n">
        <v>30</v>
      </c>
      <c r="D172" s="25" t="n">
        <v>30</v>
      </c>
      <c r="E172" s="10" t="n">
        <v>0</v>
      </c>
      <c r="F172" s="10" t="n">
        <v>753</v>
      </c>
      <c r="G172" s="10" t="n">
        <v>753</v>
      </c>
      <c r="H172" s="10" t="n">
        <v>501.62</v>
      </c>
      <c r="I172" s="10" t="n">
        <v>251.38</v>
      </c>
      <c r="J172" s="10" t="n">
        <v>41.21</v>
      </c>
      <c r="K172" s="11" t="n">
        <v>0.3338</v>
      </c>
      <c r="L172" s="11" t="n">
        <v>0.0547</v>
      </c>
      <c r="M172" s="26" t="n">
        <v>45</v>
      </c>
    </row>
    <row r="173" customFormat="false" ht="15" hidden="false" customHeight="false" outlineLevel="0" collapsed="false">
      <c r="A173" s="27" t="n">
        <v>10588</v>
      </c>
      <c r="B173" s="12" t="s">
        <v>271</v>
      </c>
      <c r="C173" s="28" t="n">
        <v>26</v>
      </c>
      <c r="D173" s="28" t="n">
        <v>26</v>
      </c>
      <c r="E173" s="14" t="n">
        <v>0</v>
      </c>
      <c r="F173" s="14" t="n">
        <v>566.8</v>
      </c>
      <c r="G173" s="14" t="n">
        <v>566.8</v>
      </c>
      <c r="H173" s="14" t="n">
        <v>62.14</v>
      </c>
      <c r="I173" s="14" t="n">
        <v>504.66</v>
      </c>
      <c r="J173" s="14" t="n">
        <v>346.45</v>
      </c>
      <c r="K173" s="15" t="n">
        <v>0.8904</v>
      </c>
      <c r="L173" s="15" t="n">
        <v>0.6112</v>
      </c>
      <c r="M173" s="29" t="n">
        <v>134.54</v>
      </c>
    </row>
    <row r="174" customFormat="false" ht="15" hidden="false" customHeight="false" outlineLevel="0" collapsed="false">
      <c r="A174" s="24" t="n">
        <v>10591</v>
      </c>
      <c r="B174" s="8" t="s">
        <v>324</v>
      </c>
      <c r="C174" s="25" t="n">
        <v>24</v>
      </c>
      <c r="D174" s="25" t="n">
        <v>24</v>
      </c>
      <c r="E174" s="10" t="n">
        <v>40962.69</v>
      </c>
      <c r="F174" s="10" t="n">
        <v>387134.37</v>
      </c>
      <c r="G174" s="10" t="n">
        <v>428097.06</v>
      </c>
      <c r="H174" s="10" t="n">
        <v>142791.72</v>
      </c>
      <c r="I174" s="10" t="n">
        <v>285305.34</v>
      </c>
      <c r="J174" s="10" t="n">
        <v>224542.72</v>
      </c>
      <c r="K174" s="11" t="n">
        <v>0.6665</v>
      </c>
      <c r="L174" s="11" t="n">
        <v>0.5245</v>
      </c>
      <c r="M174" s="26" t="n">
        <v>29.02</v>
      </c>
    </row>
    <row r="175" customFormat="false" ht="15" hidden="false" customHeight="false" outlineLevel="0" collapsed="false">
      <c r="A175" s="27" t="n">
        <v>10592</v>
      </c>
      <c r="B175" s="12" t="s">
        <v>167</v>
      </c>
      <c r="C175" s="28" t="n">
        <v>11</v>
      </c>
      <c r="D175" s="28" t="n">
        <v>11</v>
      </c>
      <c r="E175" s="14" t="n">
        <v>0</v>
      </c>
      <c r="F175" s="14" t="n">
        <v>11525.85</v>
      </c>
      <c r="G175" s="14" t="n">
        <v>11525.85</v>
      </c>
      <c r="H175" s="14" t="n">
        <v>2657.32</v>
      </c>
      <c r="I175" s="14" t="n">
        <v>8868.53</v>
      </c>
      <c r="J175" s="14" t="n">
        <v>5702.15</v>
      </c>
      <c r="K175" s="15" t="n">
        <v>0.7694</v>
      </c>
      <c r="L175" s="15" t="n">
        <v>0.4947</v>
      </c>
      <c r="M175" s="29" t="n">
        <v>50</v>
      </c>
    </row>
    <row r="176" customFormat="false" ht="15" hidden="false" customHeight="false" outlineLevel="0" collapsed="false">
      <c r="A176" s="24" t="n">
        <v>10595</v>
      </c>
      <c r="B176" s="8" t="s">
        <v>168</v>
      </c>
      <c r="C176" s="25" t="n">
        <v>11</v>
      </c>
      <c r="D176" s="25" t="n">
        <v>11</v>
      </c>
      <c r="E176" s="10" t="n">
        <v>0</v>
      </c>
      <c r="F176" s="10" t="n">
        <v>2985.54</v>
      </c>
      <c r="G176" s="10" t="n">
        <v>2985.54</v>
      </c>
      <c r="H176" s="10" t="n">
        <v>961.9</v>
      </c>
      <c r="I176" s="10" t="n">
        <v>2023.64</v>
      </c>
      <c r="J176" s="10" t="n">
        <v>1208.55</v>
      </c>
      <c r="K176" s="11" t="n">
        <v>0.6778</v>
      </c>
      <c r="L176" s="11" t="n">
        <v>0.4048</v>
      </c>
      <c r="M176" s="26" t="n">
        <v>49.54</v>
      </c>
    </row>
    <row r="177" customFormat="false" ht="15" hidden="false" customHeight="false" outlineLevel="0" collapsed="false">
      <c r="A177" s="27" t="n">
        <v>10601</v>
      </c>
      <c r="B177" s="12" t="s">
        <v>169</v>
      </c>
      <c r="C177" s="28" t="n">
        <v>23</v>
      </c>
      <c r="D177" s="28" t="n">
        <v>23</v>
      </c>
      <c r="E177" s="14" t="n">
        <v>0</v>
      </c>
      <c r="F177" s="14" t="n">
        <v>1828.59</v>
      </c>
      <c r="G177" s="14" t="n">
        <v>1828.59</v>
      </c>
      <c r="H177" s="14" t="n">
        <v>481.2099</v>
      </c>
      <c r="I177" s="14" t="n">
        <v>1347.38</v>
      </c>
      <c r="J177" s="14" t="n">
        <v>933.11</v>
      </c>
      <c r="K177" s="15" t="n">
        <v>0.7368</v>
      </c>
      <c r="L177" s="15" t="n">
        <v>0.5103</v>
      </c>
      <c r="M177" s="29" t="n">
        <v>15.45</v>
      </c>
    </row>
    <row r="178" customFormat="false" ht="15" hidden="false" customHeight="false" outlineLevel="0" collapsed="false">
      <c r="A178" s="24" t="n">
        <v>10603</v>
      </c>
      <c r="B178" s="8" t="s">
        <v>272</v>
      </c>
      <c r="C178" s="25" t="n">
        <v>10</v>
      </c>
      <c r="D178" s="25" t="n">
        <v>10</v>
      </c>
      <c r="E178" s="10" t="n">
        <v>0</v>
      </c>
      <c r="F178" s="10" t="n">
        <v>1877</v>
      </c>
      <c r="G178" s="10" t="n">
        <v>1877</v>
      </c>
      <c r="H178" s="10" t="n">
        <v>1107.76</v>
      </c>
      <c r="I178" s="10" t="n">
        <v>769.24</v>
      </c>
      <c r="J178" s="10" t="n">
        <v>253.59</v>
      </c>
      <c r="K178" s="11" t="n">
        <v>0.4098</v>
      </c>
      <c r="L178" s="11" t="n">
        <v>0.1351</v>
      </c>
      <c r="M178" s="26" t="n">
        <v>45</v>
      </c>
    </row>
    <row r="179" customFormat="false" ht="15" hidden="false" customHeight="false" outlineLevel="0" collapsed="false">
      <c r="A179" s="27" t="n">
        <v>10604</v>
      </c>
      <c r="B179" s="12" t="s">
        <v>158</v>
      </c>
      <c r="C179" s="28" t="n">
        <v>40</v>
      </c>
      <c r="D179" s="28" t="n">
        <v>40</v>
      </c>
      <c r="E179" s="14" t="n">
        <v>0</v>
      </c>
      <c r="F179" s="14" t="n">
        <v>8540.2</v>
      </c>
      <c r="G179" s="14" t="n">
        <v>8540.2</v>
      </c>
      <c r="H179" s="14" t="n">
        <v>4837.84</v>
      </c>
      <c r="I179" s="14" t="n">
        <v>3702.36</v>
      </c>
      <c r="J179" s="14" t="n">
        <v>2655.32</v>
      </c>
      <c r="K179" s="15" t="n">
        <v>0.4335</v>
      </c>
      <c r="L179" s="15" t="n">
        <v>0.3109</v>
      </c>
      <c r="M179" s="29" t="n">
        <v>30</v>
      </c>
    </row>
    <row r="180" customFormat="false" ht="15" hidden="false" customHeight="false" outlineLevel="0" collapsed="false">
      <c r="A180" s="24" t="n">
        <v>10612</v>
      </c>
      <c r="B180" s="8" t="s">
        <v>325</v>
      </c>
      <c r="C180" s="25" t="n">
        <v>20</v>
      </c>
      <c r="D180" s="25" t="n">
        <v>20</v>
      </c>
      <c r="E180" s="10" t="n">
        <v>0</v>
      </c>
      <c r="F180" s="10" t="n">
        <v>1610.63</v>
      </c>
      <c r="G180" s="10" t="n">
        <v>1610.63</v>
      </c>
      <c r="H180" s="10" t="n">
        <v>702.5802</v>
      </c>
      <c r="I180" s="10" t="n">
        <v>908.05</v>
      </c>
      <c r="J180" s="10" t="n">
        <v>465.57</v>
      </c>
      <c r="K180" s="11" t="n">
        <v>0.5638</v>
      </c>
      <c r="L180" s="11" t="n">
        <v>0.2891</v>
      </c>
      <c r="M180" s="26" t="n">
        <v>34.41</v>
      </c>
    </row>
    <row r="181" customFormat="false" ht="15" hidden="false" customHeight="false" outlineLevel="0" collapsed="false">
      <c r="A181" s="27" t="n">
        <v>10615</v>
      </c>
      <c r="B181" s="12" t="s">
        <v>171</v>
      </c>
      <c r="C181" s="28" t="n">
        <v>30</v>
      </c>
      <c r="D181" s="28" t="n">
        <v>30</v>
      </c>
      <c r="E181" s="14" t="n">
        <v>0</v>
      </c>
      <c r="F181" s="14" t="n">
        <v>4932.05</v>
      </c>
      <c r="G181" s="14" t="n">
        <v>4932.05</v>
      </c>
      <c r="H181" s="14" t="n">
        <v>2845.68</v>
      </c>
      <c r="I181" s="14" t="n">
        <v>2086.37</v>
      </c>
      <c r="J181" s="14" t="n">
        <v>850.33</v>
      </c>
      <c r="K181" s="15" t="n">
        <v>0.423</v>
      </c>
      <c r="L181" s="15" t="n">
        <v>0.1724</v>
      </c>
      <c r="M181" s="29" t="n">
        <v>46.83</v>
      </c>
    </row>
    <row r="182" customFormat="false" ht="15" hidden="false" customHeight="false" outlineLevel="0" collapsed="false">
      <c r="A182" s="24" t="n">
        <v>10616</v>
      </c>
      <c r="B182" s="8" t="s">
        <v>172</v>
      </c>
      <c r="C182" s="25" t="n">
        <v>277</v>
      </c>
      <c r="D182" s="25" t="n">
        <v>277</v>
      </c>
      <c r="E182" s="10" t="n">
        <v>0</v>
      </c>
      <c r="F182" s="10" t="n">
        <v>59369.41</v>
      </c>
      <c r="G182" s="10" t="n">
        <v>59369.41</v>
      </c>
      <c r="H182" s="10" t="n">
        <v>26058.1785</v>
      </c>
      <c r="I182" s="10" t="n">
        <v>33311.23</v>
      </c>
      <c r="J182" s="10" t="n">
        <v>17001.26</v>
      </c>
      <c r="K182" s="11" t="n">
        <v>0.5611</v>
      </c>
      <c r="L182" s="11" t="n">
        <v>0.2864</v>
      </c>
      <c r="M182" s="26" t="n">
        <v>50</v>
      </c>
    </row>
    <row r="183" customFormat="false" ht="15" hidden="false" customHeight="false" outlineLevel="0" collapsed="false">
      <c r="A183" s="27" t="n">
        <v>10617</v>
      </c>
      <c r="B183" s="12" t="s">
        <v>173</v>
      </c>
      <c r="C183" s="28" t="n">
        <v>192</v>
      </c>
      <c r="D183" s="28" t="n">
        <v>192</v>
      </c>
      <c r="E183" s="14" t="n">
        <v>0</v>
      </c>
      <c r="F183" s="14" t="n">
        <v>20574.72</v>
      </c>
      <c r="G183" s="14" t="n">
        <v>20574.72</v>
      </c>
      <c r="H183" s="14" t="n">
        <v>6630.5</v>
      </c>
      <c r="I183" s="14" t="n">
        <v>13944.22</v>
      </c>
      <c r="J183" s="14" t="n">
        <v>8201.81</v>
      </c>
      <c r="K183" s="15" t="n">
        <v>0.6777</v>
      </c>
      <c r="L183" s="15" t="n">
        <v>0.3986</v>
      </c>
      <c r="M183" s="29" t="n">
        <v>50</v>
      </c>
    </row>
    <row r="184" customFormat="false" ht="15" hidden="false" customHeight="false" outlineLevel="0" collapsed="false">
      <c r="A184" s="24" t="n">
        <v>10620</v>
      </c>
      <c r="B184" s="8" t="s">
        <v>174</v>
      </c>
      <c r="C184" s="25" t="n">
        <v>90</v>
      </c>
      <c r="D184" s="25" t="n">
        <v>90</v>
      </c>
      <c r="E184" s="10" t="n">
        <v>0</v>
      </c>
      <c r="F184" s="10" t="n">
        <v>7159.5</v>
      </c>
      <c r="G184" s="10" t="n">
        <v>7159.5</v>
      </c>
      <c r="H184" s="10" t="n">
        <v>3352.743</v>
      </c>
      <c r="I184" s="10" t="n">
        <v>3806.76</v>
      </c>
      <c r="J184" s="10" t="n">
        <v>1839.9</v>
      </c>
      <c r="K184" s="11" t="n">
        <v>0.5317</v>
      </c>
      <c r="L184" s="11" t="n">
        <v>0.257</v>
      </c>
      <c r="M184" s="26" t="n">
        <v>50</v>
      </c>
    </row>
    <row r="185" customFormat="false" ht="15" hidden="false" customHeight="false" outlineLevel="0" collapsed="false">
      <c r="A185" s="27" t="n">
        <v>10621</v>
      </c>
      <c r="B185" s="12" t="s">
        <v>175</v>
      </c>
      <c r="C185" s="28" t="n">
        <v>30</v>
      </c>
      <c r="D185" s="28" t="n">
        <v>30</v>
      </c>
      <c r="E185" s="14" t="n">
        <v>0</v>
      </c>
      <c r="F185" s="14" t="n">
        <v>17166.35</v>
      </c>
      <c r="G185" s="14" t="n">
        <v>17166.35</v>
      </c>
      <c r="H185" s="14" t="n">
        <v>2709.57</v>
      </c>
      <c r="I185" s="14" t="n">
        <v>14456.78</v>
      </c>
      <c r="J185" s="14" t="n">
        <v>9740.84</v>
      </c>
      <c r="K185" s="15" t="n">
        <v>0.8422</v>
      </c>
      <c r="L185" s="15" t="n">
        <v>0.5674</v>
      </c>
      <c r="M185" s="29" t="n">
        <v>51.73</v>
      </c>
    </row>
    <row r="186" customFormat="false" ht="15" hidden="false" customHeight="false" outlineLevel="0" collapsed="false">
      <c r="A186" s="24" t="n">
        <v>10624</v>
      </c>
      <c r="B186" s="8" t="s">
        <v>176</v>
      </c>
      <c r="C186" s="25" t="n">
        <v>16</v>
      </c>
      <c r="D186" s="25" t="n">
        <v>16</v>
      </c>
      <c r="E186" s="10" t="n">
        <v>0</v>
      </c>
      <c r="F186" s="10" t="n">
        <v>183946.2</v>
      </c>
      <c r="G186" s="10" t="n">
        <v>183946.2</v>
      </c>
      <c r="H186" s="10" t="n">
        <v>108120.8</v>
      </c>
      <c r="I186" s="10" t="n">
        <v>75825.4</v>
      </c>
      <c r="J186" s="10" t="n">
        <v>25291.75</v>
      </c>
      <c r="K186" s="11" t="n">
        <v>0.4122</v>
      </c>
      <c r="L186" s="11" t="n">
        <v>0.1375</v>
      </c>
      <c r="M186" s="26" t="n">
        <v>45.06</v>
      </c>
    </row>
    <row r="187" customFormat="false" ht="15" hidden="false" customHeight="false" outlineLevel="0" collapsed="false">
      <c r="A187" s="27" t="n">
        <v>10627</v>
      </c>
      <c r="B187" s="12" t="s">
        <v>178</v>
      </c>
      <c r="C187" s="28" t="n">
        <v>100</v>
      </c>
      <c r="D187" s="28" t="n">
        <v>100</v>
      </c>
      <c r="E187" s="14" t="n">
        <v>0</v>
      </c>
      <c r="F187" s="14" t="n">
        <v>2828</v>
      </c>
      <c r="G187" s="14" t="n">
        <v>2828</v>
      </c>
      <c r="H187" s="14" t="n">
        <v>739.82</v>
      </c>
      <c r="I187" s="14" t="n">
        <v>2088.18</v>
      </c>
      <c r="J187" s="14" t="n">
        <v>1311.28</v>
      </c>
      <c r="K187" s="15" t="n">
        <v>0.7384</v>
      </c>
      <c r="L187" s="15" t="n">
        <v>0.4637</v>
      </c>
      <c r="M187" s="29" t="n">
        <v>50</v>
      </c>
    </row>
    <row r="188" customFormat="false" ht="15" hidden="false" customHeight="false" outlineLevel="0" collapsed="false">
      <c r="A188" s="24" t="n">
        <v>10628</v>
      </c>
      <c r="B188" s="8" t="s">
        <v>179</v>
      </c>
      <c r="C188" s="25" t="n">
        <v>6</v>
      </c>
      <c r="D188" s="25" t="n">
        <v>6</v>
      </c>
      <c r="E188" s="10" t="n">
        <v>0</v>
      </c>
      <c r="F188" s="10" t="n">
        <v>549.36</v>
      </c>
      <c r="G188" s="10" t="n">
        <v>549.36</v>
      </c>
      <c r="H188" s="10" t="n">
        <v>238.4298</v>
      </c>
      <c r="I188" s="10" t="n">
        <v>310.93</v>
      </c>
      <c r="J188" s="10" t="n">
        <v>160.01</v>
      </c>
      <c r="K188" s="11" t="n">
        <v>0.566</v>
      </c>
      <c r="L188" s="11" t="n">
        <v>0.2913</v>
      </c>
      <c r="M188" s="26" t="n">
        <v>50</v>
      </c>
    </row>
    <row r="189" customFormat="false" ht="15" hidden="false" customHeight="false" outlineLevel="0" collapsed="false">
      <c r="A189" s="27" t="n">
        <v>10635</v>
      </c>
      <c r="B189" s="12" t="s">
        <v>326</v>
      </c>
      <c r="C189" s="28" t="n">
        <v>23</v>
      </c>
      <c r="D189" s="28" t="n">
        <v>23</v>
      </c>
      <c r="E189" s="14" t="n">
        <v>0</v>
      </c>
      <c r="F189" s="14" t="n">
        <v>3661.35</v>
      </c>
      <c r="G189" s="14" t="n">
        <v>3661.35</v>
      </c>
      <c r="H189" s="14" t="n">
        <v>2373.77</v>
      </c>
      <c r="I189" s="14" t="n">
        <v>1287.58</v>
      </c>
      <c r="J189" s="14" t="n">
        <v>265.7</v>
      </c>
      <c r="K189" s="15" t="n">
        <v>0.3517</v>
      </c>
      <c r="L189" s="15" t="n">
        <v>0.0726</v>
      </c>
      <c r="M189" s="29" t="n">
        <v>50</v>
      </c>
    </row>
    <row r="190" customFormat="false" ht="15" hidden="false" customHeight="false" outlineLevel="0" collapsed="false">
      <c r="A190" s="24" t="n">
        <v>10636</v>
      </c>
      <c r="B190" s="8" t="s">
        <v>273</v>
      </c>
      <c r="C190" s="25" t="n">
        <v>30</v>
      </c>
      <c r="D190" s="25" t="n">
        <v>30</v>
      </c>
      <c r="E190" s="10" t="n">
        <v>0</v>
      </c>
      <c r="F190" s="10" t="n">
        <v>1240.5</v>
      </c>
      <c r="G190" s="10" t="n">
        <v>1240.5</v>
      </c>
      <c r="H190" s="10" t="n">
        <v>298.18</v>
      </c>
      <c r="I190" s="10" t="n">
        <v>942.32</v>
      </c>
      <c r="J190" s="10" t="n">
        <v>596.1</v>
      </c>
      <c r="K190" s="11" t="n">
        <v>0.7596</v>
      </c>
      <c r="L190" s="11" t="n">
        <v>0.4805</v>
      </c>
      <c r="M190" s="26" t="n">
        <v>50</v>
      </c>
    </row>
    <row r="191" customFormat="false" ht="15" hidden="false" customHeight="false" outlineLevel="0" collapsed="false">
      <c r="A191" s="27" t="n">
        <v>10637</v>
      </c>
      <c r="B191" s="12" t="s">
        <v>180</v>
      </c>
      <c r="C191" s="28" t="n">
        <v>145</v>
      </c>
      <c r="D191" s="28" t="n">
        <v>145</v>
      </c>
      <c r="E191" s="14" t="n">
        <v>0</v>
      </c>
      <c r="F191" s="14" t="n">
        <v>140458.6</v>
      </c>
      <c r="G191" s="14" t="n">
        <v>140458.6</v>
      </c>
      <c r="H191" s="14" t="n">
        <v>43769.3884</v>
      </c>
      <c r="I191" s="14" t="n">
        <v>96689.21</v>
      </c>
      <c r="J191" s="14" t="n">
        <v>57487.19</v>
      </c>
      <c r="K191" s="15" t="n">
        <v>0.6884</v>
      </c>
      <c r="L191" s="15" t="n">
        <v>0.4093</v>
      </c>
      <c r="M191" s="29" t="n">
        <v>45</v>
      </c>
    </row>
    <row r="192" customFormat="false" ht="15" hidden="false" customHeight="false" outlineLevel="0" collapsed="false">
      <c r="A192" s="24" t="n">
        <v>10642</v>
      </c>
      <c r="B192" s="8" t="s">
        <v>182</v>
      </c>
      <c r="C192" s="25" t="n">
        <v>1</v>
      </c>
      <c r="D192" s="25" t="n">
        <v>1</v>
      </c>
      <c r="E192" s="10" t="n">
        <v>0</v>
      </c>
      <c r="F192" s="10" t="n">
        <v>262</v>
      </c>
      <c r="G192" s="10" t="n">
        <v>262</v>
      </c>
      <c r="H192" s="10" t="n">
        <v>287.64</v>
      </c>
      <c r="I192" s="10" t="n">
        <v>-25.64</v>
      </c>
      <c r="J192" s="10" t="n">
        <v>-116.55</v>
      </c>
      <c r="K192" s="11" t="n">
        <v>-0.0979</v>
      </c>
      <c r="L192" s="11" t="n">
        <v>-0.4448</v>
      </c>
      <c r="M192" s="26" t="n">
        <v>46</v>
      </c>
    </row>
    <row r="193" customFormat="false" ht="15" hidden="false" customHeight="false" outlineLevel="0" collapsed="false">
      <c r="A193" s="27" t="n">
        <v>10645</v>
      </c>
      <c r="B193" s="12" t="s">
        <v>327</v>
      </c>
      <c r="C193" s="28" t="n">
        <v>10</v>
      </c>
      <c r="D193" s="28" t="n">
        <v>10</v>
      </c>
      <c r="E193" s="14" t="n">
        <v>0</v>
      </c>
      <c r="F193" s="14" t="n">
        <v>1535.6</v>
      </c>
      <c r="G193" s="14" t="n">
        <v>1535.6</v>
      </c>
      <c r="H193" s="14" t="n">
        <v>969.38</v>
      </c>
      <c r="I193" s="14" t="n">
        <v>566.22</v>
      </c>
      <c r="J193" s="14" t="n">
        <v>144.36</v>
      </c>
      <c r="K193" s="15" t="n">
        <v>0.3687</v>
      </c>
      <c r="L193" s="15" t="n">
        <v>0.094</v>
      </c>
      <c r="M193" s="29" t="n">
        <v>46</v>
      </c>
    </row>
    <row r="194" customFormat="false" ht="15" hidden="false" customHeight="false" outlineLevel="0" collapsed="false">
      <c r="A194" s="24" t="n">
        <v>10649</v>
      </c>
      <c r="B194" s="8" t="s">
        <v>328</v>
      </c>
      <c r="C194" s="25" t="n">
        <v>10</v>
      </c>
      <c r="D194" s="25" t="n">
        <v>10</v>
      </c>
      <c r="E194" s="10" t="n">
        <v>0</v>
      </c>
      <c r="F194" s="10" t="n">
        <v>1535.6</v>
      </c>
      <c r="G194" s="10" t="n">
        <v>1535.6</v>
      </c>
      <c r="H194" s="10" t="n">
        <v>954.34</v>
      </c>
      <c r="I194" s="10" t="n">
        <v>581.26</v>
      </c>
      <c r="J194" s="10" t="n">
        <v>159.4</v>
      </c>
      <c r="K194" s="11" t="n">
        <v>0.3785</v>
      </c>
      <c r="L194" s="11" t="n">
        <v>0.1038</v>
      </c>
      <c r="M194" s="26" t="n">
        <v>46</v>
      </c>
    </row>
    <row r="195" customFormat="false" ht="15" hidden="false" customHeight="false" outlineLevel="0" collapsed="false">
      <c r="A195" s="27" t="n">
        <v>10655</v>
      </c>
      <c r="B195" s="12" t="s">
        <v>329</v>
      </c>
      <c r="C195" s="28" t="n">
        <v>2</v>
      </c>
      <c r="D195" s="28" t="n">
        <v>2</v>
      </c>
      <c r="E195" s="14" t="n">
        <v>0</v>
      </c>
      <c r="F195" s="14" t="n">
        <v>147</v>
      </c>
      <c r="G195" s="14" t="n">
        <v>147</v>
      </c>
      <c r="H195" s="14" t="n">
        <v>61.84</v>
      </c>
      <c r="I195" s="14" t="n">
        <v>85.16</v>
      </c>
      <c r="J195" s="14" t="n">
        <v>44.78</v>
      </c>
      <c r="K195" s="15" t="n">
        <v>0.5793</v>
      </c>
      <c r="L195" s="15" t="n">
        <v>0.3046</v>
      </c>
      <c r="M195" s="29" t="n">
        <v>60</v>
      </c>
    </row>
    <row r="196" customFormat="false" ht="15" hidden="false" customHeight="false" outlineLevel="0" collapsed="false">
      <c r="A196" s="24" t="n">
        <v>10665</v>
      </c>
      <c r="B196" s="8" t="s">
        <v>274</v>
      </c>
      <c r="C196" s="25" t="n">
        <v>4</v>
      </c>
      <c r="D196" s="25" t="n">
        <v>4</v>
      </c>
      <c r="E196" s="10" t="n">
        <v>0</v>
      </c>
      <c r="F196" s="10" t="n">
        <v>586.96</v>
      </c>
      <c r="G196" s="10" t="n">
        <v>586.96</v>
      </c>
      <c r="H196" s="10" t="n">
        <v>397.74</v>
      </c>
      <c r="I196" s="10" t="n">
        <v>189.22</v>
      </c>
      <c r="J196" s="10" t="n">
        <v>27.97</v>
      </c>
      <c r="K196" s="11" t="n">
        <v>0.3224</v>
      </c>
      <c r="L196" s="11" t="n">
        <v>0.0477</v>
      </c>
      <c r="M196" s="26" t="n">
        <v>50</v>
      </c>
    </row>
    <row r="197" customFormat="false" ht="15" hidden="false" customHeight="false" outlineLevel="0" collapsed="false">
      <c r="A197" s="27" t="n">
        <v>10673</v>
      </c>
      <c r="B197" s="12" t="s">
        <v>183</v>
      </c>
      <c r="C197" s="28" t="n">
        <v>8</v>
      </c>
      <c r="D197" s="28" t="n">
        <v>8</v>
      </c>
      <c r="E197" s="14" t="n">
        <v>0</v>
      </c>
      <c r="F197" s="14" t="n">
        <v>20966.4</v>
      </c>
      <c r="G197" s="14" t="n">
        <v>20966.4</v>
      </c>
      <c r="H197" s="14" t="n">
        <v>12026.7304</v>
      </c>
      <c r="I197" s="14" t="n">
        <v>8939.67</v>
      </c>
      <c r="J197" s="14" t="n">
        <v>3087.95</v>
      </c>
      <c r="K197" s="15" t="n">
        <v>0.4264</v>
      </c>
      <c r="L197" s="15" t="n">
        <v>0.1473</v>
      </c>
      <c r="M197" s="29" t="n">
        <v>30</v>
      </c>
    </row>
    <row r="198" customFormat="false" ht="15" hidden="false" customHeight="false" outlineLevel="0" collapsed="false">
      <c r="A198" s="24" t="n">
        <v>10674</v>
      </c>
      <c r="B198" s="8" t="s">
        <v>184</v>
      </c>
      <c r="C198" s="25" t="n">
        <v>96</v>
      </c>
      <c r="D198" s="25" t="n">
        <v>96</v>
      </c>
      <c r="E198" s="10" t="n">
        <v>0</v>
      </c>
      <c r="F198" s="10" t="n">
        <v>14583.44</v>
      </c>
      <c r="G198" s="10" t="n">
        <v>14583.44</v>
      </c>
      <c r="H198" s="10" t="n">
        <v>9629.1512</v>
      </c>
      <c r="I198" s="10" t="n">
        <v>4954.29</v>
      </c>
      <c r="J198" s="10" t="n">
        <v>947.94</v>
      </c>
      <c r="K198" s="11" t="n">
        <v>0.3397</v>
      </c>
      <c r="L198" s="11" t="n">
        <v>0.065</v>
      </c>
      <c r="M198" s="26" t="n">
        <v>50</v>
      </c>
    </row>
    <row r="199" customFormat="false" ht="15" hidden="false" customHeight="false" outlineLevel="0" collapsed="false">
      <c r="A199" s="27" t="n">
        <v>10678</v>
      </c>
      <c r="B199" s="12" t="s">
        <v>185</v>
      </c>
      <c r="C199" s="28" t="n">
        <v>105</v>
      </c>
      <c r="D199" s="28" t="n">
        <v>105</v>
      </c>
      <c r="E199" s="14" t="n">
        <v>0</v>
      </c>
      <c r="F199" s="14" t="n">
        <v>9439.5</v>
      </c>
      <c r="G199" s="14" t="n">
        <v>9439.5</v>
      </c>
      <c r="H199" s="14" t="n">
        <v>4507.218</v>
      </c>
      <c r="I199" s="14" t="n">
        <v>4932.28</v>
      </c>
      <c r="J199" s="14" t="n">
        <v>2339.07</v>
      </c>
      <c r="K199" s="15" t="n">
        <v>0.5225</v>
      </c>
      <c r="L199" s="15" t="n">
        <v>0.2478</v>
      </c>
      <c r="M199" s="29" t="n">
        <v>50</v>
      </c>
    </row>
    <row r="200" customFormat="false" ht="15" hidden="false" customHeight="false" outlineLevel="0" collapsed="false">
      <c r="A200" s="24" t="n">
        <v>10679</v>
      </c>
      <c r="B200" s="8" t="s">
        <v>158</v>
      </c>
      <c r="C200" s="25" t="n">
        <v>25</v>
      </c>
      <c r="D200" s="25" t="n">
        <v>25</v>
      </c>
      <c r="E200" s="10" t="n">
        <v>0</v>
      </c>
      <c r="F200" s="10" t="n">
        <v>2493.25</v>
      </c>
      <c r="G200" s="10" t="n">
        <v>2493.25</v>
      </c>
      <c r="H200" s="10" t="n">
        <v>2339.18</v>
      </c>
      <c r="I200" s="10" t="n">
        <v>154.07</v>
      </c>
      <c r="J200" s="10" t="n">
        <v>-410.76</v>
      </c>
      <c r="K200" s="11" t="n">
        <v>0.0618</v>
      </c>
      <c r="L200" s="11" t="n">
        <v>-0.1647</v>
      </c>
      <c r="M200" s="26" t="n">
        <v>50</v>
      </c>
    </row>
    <row r="201" customFormat="false" ht="15" hidden="false" customHeight="false" outlineLevel="0" collapsed="false">
      <c r="A201" s="27" t="n">
        <v>10680</v>
      </c>
      <c r="B201" s="12" t="s">
        <v>330</v>
      </c>
      <c r="C201" s="28" t="n">
        <v>5</v>
      </c>
      <c r="D201" s="28" t="n">
        <v>5</v>
      </c>
      <c r="E201" s="14" t="n">
        <v>0</v>
      </c>
      <c r="F201" s="14" t="n">
        <v>21400</v>
      </c>
      <c r="G201" s="14" t="n">
        <v>21400</v>
      </c>
      <c r="H201" s="14" t="n">
        <v>4770.13</v>
      </c>
      <c r="I201" s="14" t="n">
        <v>16629.87</v>
      </c>
      <c r="J201" s="14" t="n">
        <v>10750.86</v>
      </c>
      <c r="K201" s="15" t="n">
        <v>0.7771</v>
      </c>
      <c r="L201" s="15" t="n">
        <v>0.5024</v>
      </c>
      <c r="M201" s="29" t="n">
        <v>50</v>
      </c>
    </row>
    <row r="202" customFormat="false" ht="15" hidden="false" customHeight="false" outlineLevel="0" collapsed="false">
      <c r="A202" s="24" t="n">
        <v>10697</v>
      </c>
      <c r="B202" s="8" t="s">
        <v>186</v>
      </c>
      <c r="C202" s="25" t="n">
        <v>12</v>
      </c>
      <c r="D202" s="25" t="n">
        <v>12</v>
      </c>
      <c r="E202" s="10" t="n">
        <v>0</v>
      </c>
      <c r="F202" s="10" t="n">
        <v>3190.56</v>
      </c>
      <c r="G202" s="10" t="n">
        <v>3190.56</v>
      </c>
      <c r="H202" s="10" t="n">
        <v>961.5101</v>
      </c>
      <c r="I202" s="10" t="n">
        <v>2229.05</v>
      </c>
      <c r="J202" s="10" t="n">
        <v>1352.55</v>
      </c>
      <c r="K202" s="11" t="n">
        <v>0.6986</v>
      </c>
      <c r="L202" s="11" t="n">
        <v>0.4239</v>
      </c>
      <c r="M202" s="26" t="n">
        <v>324</v>
      </c>
    </row>
    <row r="203" customFormat="false" ht="15" hidden="false" customHeight="false" outlineLevel="0" collapsed="false">
      <c r="A203" s="27" t="n">
        <v>10711</v>
      </c>
      <c r="B203" s="12" t="s">
        <v>276</v>
      </c>
      <c r="C203" s="28" t="n">
        <v>7</v>
      </c>
      <c r="D203" s="28" t="n">
        <v>7</v>
      </c>
      <c r="E203" s="14" t="n">
        <v>0</v>
      </c>
      <c r="F203" s="14" t="n">
        <v>1427.3</v>
      </c>
      <c r="G203" s="14" t="n">
        <v>1427.3</v>
      </c>
      <c r="H203" s="14" t="n">
        <v>768.86</v>
      </c>
      <c r="I203" s="14" t="n">
        <v>658.44</v>
      </c>
      <c r="J203" s="14" t="n">
        <v>266.32</v>
      </c>
      <c r="K203" s="15" t="n">
        <v>0.4613</v>
      </c>
      <c r="L203" s="15" t="n">
        <v>0.1866</v>
      </c>
      <c r="M203" s="29" t="n">
        <v>50</v>
      </c>
    </row>
    <row r="204" customFormat="false" ht="15" hidden="false" customHeight="false" outlineLevel="0" collapsed="false">
      <c r="A204" s="24" t="n">
        <v>10712</v>
      </c>
      <c r="B204" s="8" t="s">
        <v>189</v>
      </c>
      <c r="C204" s="25" t="n">
        <v>3903</v>
      </c>
      <c r="D204" s="25" t="n">
        <v>3903</v>
      </c>
      <c r="E204" s="10" t="n">
        <v>0</v>
      </c>
      <c r="F204" s="10" t="n">
        <v>14636.25</v>
      </c>
      <c r="G204" s="10" t="n">
        <v>14636.25</v>
      </c>
      <c r="H204" s="10" t="n">
        <v>7074.5778</v>
      </c>
      <c r="I204" s="10" t="n">
        <v>7561.64</v>
      </c>
      <c r="J204" s="10" t="n">
        <v>3476.67</v>
      </c>
      <c r="K204" s="11" t="n">
        <v>0.5166</v>
      </c>
      <c r="L204" s="11" t="n">
        <v>0.2375</v>
      </c>
      <c r="M204" s="26" t="n">
        <v>45.15</v>
      </c>
    </row>
    <row r="205" customFormat="false" ht="15" hidden="false" customHeight="false" outlineLevel="0" collapsed="false">
      <c r="A205" s="27" t="n">
        <v>10721</v>
      </c>
      <c r="B205" s="12" t="s">
        <v>190</v>
      </c>
      <c r="C205" s="28" t="n">
        <v>11</v>
      </c>
      <c r="D205" s="28" t="n">
        <v>11</v>
      </c>
      <c r="E205" s="14" t="n">
        <v>0</v>
      </c>
      <c r="F205" s="14" t="n">
        <v>129679.55</v>
      </c>
      <c r="G205" s="14" t="n">
        <v>129679.55</v>
      </c>
      <c r="H205" s="14" t="n">
        <v>72348.5099</v>
      </c>
      <c r="I205" s="14" t="n">
        <v>57331.04</v>
      </c>
      <c r="J205" s="14" t="n">
        <v>25870.76</v>
      </c>
      <c r="K205" s="15" t="n">
        <v>0.4421</v>
      </c>
      <c r="L205" s="15" t="n">
        <v>0.1995</v>
      </c>
      <c r="M205" s="29" t="n">
        <v>34.91</v>
      </c>
    </row>
    <row r="206" customFormat="false" ht="15" hidden="false" customHeight="false" outlineLevel="0" collapsed="false">
      <c r="A206" s="24" t="n">
        <v>10722</v>
      </c>
      <c r="B206" s="8" t="s">
        <v>191</v>
      </c>
      <c r="C206" s="25" t="n">
        <v>34</v>
      </c>
      <c r="D206" s="25" t="n">
        <v>34</v>
      </c>
      <c r="E206" s="10" t="n">
        <v>0</v>
      </c>
      <c r="F206" s="10" t="n">
        <v>376348.42</v>
      </c>
      <c r="G206" s="10" t="n">
        <v>376348.42</v>
      </c>
      <c r="H206" s="10" t="n">
        <v>202634.9507</v>
      </c>
      <c r="I206" s="10" t="n">
        <v>173713.47</v>
      </c>
      <c r="J206" s="10" t="n">
        <v>82411.34</v>
      </c>
      <c r="K206" s="11" t="n">
        <v>0.4616</v>
      </c>
      <c r="L206" s="11" t="n">
        <v>0.219</v>
      </c>
      <c r="M206" s="26" t="n">
        <v>36.53</v>
      </c>
    </row>
    <row r="207" customFormat="false" ht="15" hidden="false" customHeight="false" outlineLevel="0" collapsed="false">
      <c r="A207" s="27" t="n">
        <v>10723</v>
      </c>
      <c r="B207" s="12" t="s">
        <v>192</v>
      </c>
      <c r="C207" s="28" t="n">
        <v>10</v>
      </c>
      <c r="D207" s="28" t="n">
        <v>10</v>
      </c>
      <c r="E207" s="14" t="n">
        <v>0</v>
      </c>
      <c r="F207" s="14" t="n">
        <v>11000</v>
      </c>
      <c r="G207" s="14" t="n">
        <v>11000</v>
      </c>
      <c r="H207" s="14" t="n">
        <v>5428.8401</v>
      </c>
      <c r="I207" s="14" t="n">
        <v>5571.16</v>
      </c>
      <c r="J207" s="14" t="n">
        <v>2549.24</v>
      </c>
      <c r="K207" s="15" t="n">
        <v>0.5065</v>
      </c>
      <c r="L207" s="15" t="n">
        <v>0.2317</v>
      </c>
      <c r="M207" s="29" t="n">
        <v>50</v>
      </c>
    </row>
    <row r="208" customFormat="false" ht="15" hidden="false" customHeight="false" outlineLevel="0" collapsed="false">
      <c r="A208" s="24" t="n">
        <v>10730</v>
      </c>
      <c r="B208" s="8" t="s">
        <v>193</v>
      </c>
      <c r="C208" s="25" t="n">
        <v>50</v>
      </c>
      <c r="D208" s="25" t="n">
        <v>50</v>
      </c>
      <c r="E208" s="10" t="n">
        <v>0</v>
      </c>
      <c r="F208" s="10" t="n">
        <v>662.5</v>
      </c>
      <c r="G208" s="10" t="n">
        <v>662.5</v>
      </c>
      <c r="H208" s="10" t="n">
        <v>290.6</v>
      </c>
      <c r="I208" s="10" t="n">
        <v>371.9</v>
      </c>
      <c r="J208" s="10" t="n">
        <v>189.9</v>
      </c>
      <c r="K208" s="11" t="n">
        <v>0.5614</v>
      </c>
      <c r="L208" s="11" t="n">
        <v>0.2866</v>
      </c>
      <c r="M208" s="26" t="n">
        <v>31</v>
      </c>
    </row>
    <row r="209" customFormat="false" ht="15" hidden="false" customHeight="false" outlineLevel="0" collapsed="false">
      <c r="A209" s="27" t="n">
        <v>10732</v>
      </c>
      <c r="B209" s="12" t="s">
        <v>277</v>
      </c>
      <c r="C209" s="28" t="n">
        <v>5</v>
      </c>
      <c r="D209" s="28" t="n">
        <v>5</v>
      </c>
      <c r="E209" s="14" t="n">
        <v>0</v>
      </c>
      <c r="F209" s="14" t="n">
        <v>4821.1</v>
      </c>
      <c r="G209" s="14" t="n">
        <v>4821.1</v>
      </c>
      <c r="H209" s="14" t="n">
        <v>1789.37</v>
      </c>
      <c r="I209" s="14" t="n">
        <v>3031.73</v>
      </c>
      <c r="J209" s="14" t="n">
        <v>1686.16</v>
      </c>
      <c r="K209" s="15" t="n">
        <v>0.6288</v>
      </c>
      <c r="L209" s="15" t="n">
        <v>0.3497</v>
      </c>
      <c r="M209" s="29" t="n">
        <v>31</v>
      </c>
    </row>
    <row r="210" customFormat="false" ht="15" hidden="false" customHeight="false" outlineLevel="0" collapsed="false">
      <c r="A210" s="24" t="n">
        <v>10736</v>
      </c>
      <c r="B210" s="8" t="s">
        <v>194</v>
      </c>
      <c r="C210" s="25" t="n">
        <v>23</v>
      </c>
      <c r="D210" s="25" t="n">
        <v>23</v>
      </c>
      <c r="E210" s="10" t="n">
        <v>0</v>
      </c>
      <c r="F210" s="10" t="n">
        <v>14665.26</v>
      </c>
      <c r="G210" s="10" t="n">
        <v>14665.26</v>
      </c>
      <c r="H210" s="10" t="n">
        <v>2625.8599</v>
      </c>
      <c r="I210" s="10" t="n">
        <v>12039.4</v>
      </c>
      <c r="J210" s="10" t="n">
        <v>7946.34</v>
      </c>
      <c r="K210" s="11" t="n">
        <v>0.8209</v>
      </c>
      <c r="L210" s="11" t="n">
        <v>0.5418</v>
      </c>
      <c r="M210" s="26" t="n">
        <v>50</v>
      </c>
    </row>
    <row r="211" customFormat="false" ht="15" hidden="false" customHeight="false" outlineLevel="0" collapsed="false">
      <c r="A211" s="27" t="n">
        <v>10737</v>
      </c>
      <c r="B211" s="12" t="s">
        <v>331</v>
      </c>
      <c r="C211" s="28" t="n">
        <v>13</v>
      </c>
      <c r="D211" s="28" t="n">
        <v>13</v>
      </c>
      <c r="E211" s="14" t="n">
        <v>0</v>
      </c>
      <c r="F211" s="14" t="n">
        <v>8253.36</v>
      </c>
      <c r="G211" s="14" t="n">
        <v>8253.36</v>
      </c>
      <c r="H211" s="14" t="n">
        <v>3026.29</v>
      </c>
      <c r="I211" s="14" t="n">
        <v>5227.07</v>
      </c>
      <c r="J211" s="14" t="n">
        <v>2923.56</v>
      </c>
      <c r="K211" s="15" t="n">
        <v>0.6333</v>
      </c>
      <c r="L211" s="15" t="n">
        <v>0.3542</v>
      </c>
      <c r="M211" s="29" t="n">
        <v>50</v>
      </c>
    </row>
    <row r="212" customFormat="false" ht="15" hidden="false" customHeight="false" outlineLevel="0" collapsed="false">
      <c r="A212" s="24" t="n">
        <v>40005</v>
      </c>
      <c r="B212" s="8" t="s">
        <v>195</v>
      </c>
      <c r="C212" s="25" t="n">
        <v>43</v>
      </c>
      <c r="D212" s="25" t="n">
        <v>43</v>
      </c>
      <c r="E212" s="10" t="n">
        <v>0</v>
      </c>
      <c r="F212" s="10" t="n">
        <v>15797.9</v>
      </c>
      <c r="G212" s="10" t="n">
        <v>15797.9</v>
      </c>
      <c r="H212" s="10" t="n">
        <v>6720.06</v>
      </c>
      <c r="I212" s="10" t="n">
        <v>9077.84</v>
      </c>
      <c r="J212" s="10" t="n">
        <v>4963.49</v>
      </c>
      <c r="K212" s="11" t="n">
        <v>0.5746</v>
      </c>
      <c r="L212" s="11" t="n">
        <v>0.3142</v>
      </c>
      <c r="M212" s="26" t="n">
        <v>43.23</v>
      </c>
    </row>
    <row r="213" customFormat="false" ht="15" hidden="false" customHeight="false" outlineLevel="0" collapsed="false">
      <c r="A213" s="27" t="n">
        <v>40014</v>
      </c>
      <c r="B213" s="12" t="s">
        <v>332</v>
      </c>
      <c r="C213" s="28" t="n">
        <v>1</v>
      </c>
      <c r="D213" s="28" t="n">
        <v>1</v>
      </c>
      <c r="E213" s="14" t="n">
        <v>0</v>
      </c>
      <c r="F213" s="14" t="n">
        <v>8500</v>
      </c>
      <c r="G213" s="14" t="n">
        <v>8500</v>
      </c>
      <c r="H213" s="14" t="n">
        <v>6066.21</v>
      </c>
      <c r="I213" s="14" t="n">
        <v>2433.79</v>
      </c>
      <c r="J213" s="14" t="n">
        <v>360.75</v>
      </c>
      <c r="K213" s="15" t="n">
        <v>0.2863</v>
      </c>
      <c r="L213" s="15" t="n">
        <v>0.0424</v>
      </c>
      <c r="M213" s="29" t="n">
        <v>23</v>
      </c>
    </row>
    <row r="214" customFormat="false" ht="15" hidden="false" customHeight="false" outlineLevel="0" collapsed="false">
      <c r="A214" s="24" t="n">
        <v>50087</v>
      </c>
      <c r="B214" s="8" t="s">
        <v>280</v>
      </c>
      <c r="C214" s="25" t="n">
        <v>4</v>
      </c>
      <c r="D214" s="25" t="n">
        <v>4</v>
      </c>
      <c r="E214" s="10" t="n">
        <v>0</v>
      </c>
      <c r="F214" s="10" t="n">
        <v>84.04</v>
      </c>
      <c r="G214" s="10" t="n">
        <v>84.04</v>
      </c>
      <c r="H214" s="10" t="n">
        <v>31.57</v>
      </c>
      <c r="I214" s="10" t="n">
        <v>52.47</v>
      </c>
      <c r="J214" s="10" t="n">
        <v>29.06</v>
      </c>
      <c r="K214" s="11" t="n">
        <v>0.6243</v>
      </c>
      <c r="L214" s="11" t="n">
        <v>0.3458</v>
      </c>
      <c r="M214" s="26" t="n">
        <v>5</v>
      </c>
    </row>
    <row r="215" customFormat="false" ht="15" hidden="false" customHeight="false" outlineLevel="0" collapsed="false">
      <c r="A215" s="27" t="n">
        <v>50340</v>
      </c>
      <c r="B215" s="12" t="s">
        <v>196</v>
      </c>
      <c r="C215" s="28" t="n">
        <v>10</v>
      </c>
      <c r="D215" s="28" t="n">
        <v>10</v>
      </c>
      <c r="E215" s="14" t="n">
        <v>0</v>
      </c>
      <c r="F215" s="14" t="n">
        <v>132.5</v>
      </c>
      <c r="G215" s="14" t="n">
        <v>132.5</v>
      </c>
      <c r="H215" s="14" t="n">
        <v>54.19</v>
      </c>
      <c r="I215" s="14" t="n">
        <v>78.31</v>
      </c>
      <c r="J215" s="14" t="n">
        <v>41.91</v>
      </c>
      <c r="K215" s="15" t="n">
        <v>0.591</v>
      </c>
      <c r="L215" s="15" t="n">
        <v>0.3163</v>
      </c>
      <c r="M215" s="29" t="n">
        <v>45</v>
      </c>
    </row>
    <row r="216" customFormat="false" ht="15" hidden="false" customHeight="false" outlineLevel="0" collapsed="false">
      <c r="A216" s="24" t="n">
        <v>50356</v>
      </c>
      <c r="B216" s="8" t="s">
        <v>281</v>
      </c>
      <c r="C216" s="25" t="n">
        <v>100</v>
      </c>
      <c r="D216" s="25" t="n">
        <v>100</v>
      </c>
      <c r="E216" s="10" t="n">
        <v>0</v>
      </c>
      <c r="F216" s="10" t="n">
        <v>650</v>
      </c>
      <c r="G216" s="10" t="n">
        <v>650</v>
      </c>
      <c r="H216" s="10" t="n">
        <v>121.84</v>
      </c>
      <c r="I216" s="10" t="n">
        <v>528.16</v>
      </c>
      <c r="J216" s="10" t="n">
        <v>349.59</v>
      </c>
      <c r="K216" s="11" t="n">
        <v>0.8126</v>
      </c>
      <c r="L216" s="11" t="n">
        <v>0.5378</v>
      </c>
      <c r="M216" s="26" t="n">
        <v>75</v>
      </c>
    </row>
    <row r="217" customFormat="false" ht="15" hidden="false" customHeight="false" outlineLevel="0" collapsed="false">
      <c r="A217" s="27" t="n">
        <v>50999</v>
      </c>
      <c r="B217" s="12" t="s">
        <v>197</v>
      </c>
      <c r="C217" s="28" t="n">
        <v>22</v>
      </c>
      <c r="D217" s="28" t="n">
        <v>22</v>
      </c>
      <c r="E217" s="14" t="n">
        <v>0</v>
      </c>
      <c r="F217" s="14" t="n">
        <v>3284</v>
      </c>
      <c r="G217" s="14" t="n">
        <v>3284</v>
      </c>
      <c r="H217" s="14" t="n">
        <v>193.6201</v>
      </c>
      <c r="I217" s="14" t="n">
        <v>3090.38</v>
      </c>
      <c r="J217" s="14" t="n">
        <v>2287.83</v>
      </c>
      <c r="K217" s="15" t="n">
        <v>0.941</v>
      </c>
      <c r="L217" s="15" t="n">
        <v>0.6967</v>
      </c>
      <c r="M217" s="29" t="n">
        <v>32.22</v>
      </c>
    </row>
    <row r="218" customFormat="false" ht="15" hidden="false" customHeight="false" outlineLevel="0" collapsed="false">
      <c r="A218" s="24" t="n">
        <v>51053</v>
      </c>
      <c r="B218" s="8" t="s">
        <v>198</v>
      </c>
      <c r="C218" s="25" t="n">
        <v>10</v>
      </c>
      <c r="D218" s="25" t="n">
        <v>10</v>
      </c>
      <c r="E218" s="10" t="n">
        <v>0</v>
      </c>
      <c r="F218" s="10" t="n">
        <v>356.4</v>
      </c>
      <c r="G218" s="10" t="n">
        <v>356.4</v>
      </c>
      <c r="H218" s="10" t="n">
        <v>814.24</v>
      </c>
      <c r="I218" s="10" t="n">
        <v>-457.84</v>
      </c>
      <c r="J218" s="10" t="n">
        <v>-538.58</v>
      </c>
      <c r="K218" s="11" t="n">
        <v>-1.2846</v>
      </c>
      <c r="L218" s="11" t="n">
        <v>-1.5112</v>
      </c>
      <c r="M218" s="26" t="n">
        <v>50</v>
      </c>
    </row>
    <row r="219" customFormat="false" ht="15" hidden="false" customHeight="false" outlineLevel="0" collapsed="false">
      <c r="A219" s="27" t="n">
        <v>51054</v>
      </c>
      <c r="B219" s="12" t="s">
        <v>333</v>
      </c>
      <c r="C219" s="28" t="n">
        <v>1</v>
      </c>
      <c r="D219" s="28" t="n">
        <v>1</v>
      </c>
      <c r="E219" s="14" t="n">
        <v>0</v>
      </c>
      <c r="F219" s="14" t="n">
        <v>177.21</v>
      </c>
      <c r="G219" s="14" t="n">
        <v>177.21</v>
      </c>
      <c r="H219" s="14" t="n">
        <v>86.08</v>
      </c>
      <c r="I219" s="14" t="n">
        <v>91.13</v>
      </c>
      <c r="J219" s="14" t="n">
        <v>42.45</v>
      </c>
      <c r="K219" s="15" t="n">
        <v>0.5142</v>
      </c>
      <c r="L219" s="15" t="n">
        <v>0.2395</v>
      </c>
      <c r="M219" s="29" t="n">
        <v>60</v>
      </c>
    </row>
    <row r="220" customFormat="false" ht="15" hidden="false" customHeight="false" outlineLevel="0" collapsed="false">
      <c r="A220" s="24" t="n">
        <v>51232</v>
      </c>
      <c r="B220" s="8" t="s">
        <v>199</v>
      </c>
      <c r="C220" s="25" t="n">
        <v>30</v>
      </c>
      <c r="D220" s="25" t="n">
        <v>30</v>
      </c>
      <c r="E220" s="10" t="n">
        <v>0</v>
      </c>
      <c r="F220" s="10" t="n">
        <v>795.75</v>
      </c>
      <c r="G220" s="10" t="n">
        <v>795.75</v>
      </c>
      <c r="H220" s="10" t="n">
        <v>236.031</v>
      </c>
      <c r="I220" s="10" t="n">
        <v>559.72</v>
      </c>
      <c r="J220" s="10" t="n">
        <v>462.16</v>
      </c>
      <c r="K220" s="11" t="n">
        <v>0.7034</v>
      </c>
      <c r="L220" s="11" t="n">
        <v>0.5808</v>
      </c>
      <c r="M220" s="26" t="n">
        <v>45</v>
      </c>
    </row>
    <row r="221" customFormat="false" ht="15" hidden="false" customHeight="false" outlineLevel="0" collapsed="false">
      <c r="A221" s="27" t="n">
        <v>51310</v>
      </c>
      <c r="B221" s="12" t="s">
        <v>334</v>
      </c>
      <c r="C221" s="28" t="n">
        <v>100</v>
      </c>
      <c r="D221" s="28" t="n">
        <v>100</v>
      </c>
      <c r="E221" s="14" t="n">
        <v>0</v>
      </c>
      <c r="F221" s="14" t="n">
        <v>500</v>
      </c>
      <c r="G221" s="14" t="n">
        <v>500</v>
      </c>
      <c r="H221" s="14" t="n">
        <v>147.07</v>
      </c>
      <c r="I221" s="14" t="n">
        <v>352.93</v>
      </c>
      <c r="J221" s="14" t="n">
        <v>215.57</v>
      </c>
      <c r="K221" s="15" t="n">
        <v>0.7059</v>
      </c>
      <c r="L221" s="15" t="n">
        <v>0.4311</v>
      </c>
      <c r="M221" s="29" t="n">
        <v>75</v>
      </c>
    </row>
    <row r="222" customFormat="false" ht="15" hidden="false" customHeight="false" outlineLevel="0" collapsed="false">
      <c r="A222" s="24" t="n">
        <v>51378</v>
      </c>
      <c r="B222" s="8" t="s">
        <v>200</v>
      </c>
      <c r="C222" s="25" t="n">
        <v>2</v>
      </c>
      <c r="D222" s="25" t="n">
        <v>2</v>
      </c>
      <c r="E222" s="10" t="n">
        <v>0</v>
      </c>
      <c r="F222" s="10" t="n">
        <v>368.22</v>
      </c>
      <c r="G222" s="10" t="n">
        <v>368.22</v>
      </c>
      <c r="H222" s="10" t="n">
        <v>240.52</v>
      </c>
      <c r="I222" s="10" t="n">
        <v>127.7</v>
      </c>
      <c r="J222" s="10" t="n">
        <v>26.55</v>
      </c>
      <c r="K222" s="11" t="n">
        <v>0.3468</v>
      </c>
      <c r="L222" s="11" t="n">
        <v>0.0721</v>
      </c>
      <c r="M222" s="26" t="n">
        <v>60</v>
      </c>
    </row>
    <row r="223" customFormat="false" ht="15" hidden="false" customHeight="false" outlineLevel="0" collapsed="false">
      <c r="A223" s="27" t="n">
        <v>51404</v>
      </c>
      <c r="B223" s="12" t="s">
        <v>335</v>
      </c>
      <c r="C223" s="28" t="n">
        <v>20</v>
      </c>
      <c r="D223" s="28" t="n">
        <v>20</v>
      </c>
      <c r="E223" s="14" t="n">
        <v>0</v>
      </c>
      <c r="F223" s="14" t="n">
        <v>126</v>
      </c>
      <c r="G223" s="14" t="n">
        <v>126</v>
      </c>
      <c r="H223" s="14" t="n">
        <v>22.69</v>
      </c>
      <c r="I223" s="14" t="n">
        <v>103.31</v>
      </c>
      <c r="J223" s="14" t="n">
        <v>68.69</v>
      </c>
      <c r="K223" s="15" t="n">
        <v>0.8199</v>
      </c>
      <c r="L223" s="15" t="n">
        <v>0.5452</v>
      </c>
      <c r="M223" s="29" t="n">
        <v>59</v>
      </c>
    </row>
    <row r="224" customFormat="false" ht="15" hidden="false" customHeight="false" outlineLevel="0" collapsed="false">
      <c r="A224" s="24" t="n">
        <v>51630</v>
      </c>
      <c r="B224" s="8" t="s">
        <v>202</v>
      </c>
      <c r="C224" s="25" t="n">
        <v>36</v>
      </c>
      <c r="D224" s="25" t="n">
        <v>36</v>
      </c>
      <c r="E224" s="10" t="n">
        <v>0</v>
      </c>
      <c r="F224" s="10" t="n">
        <v>1139.68</v>
      </c>
      <c r="G224" s="10" t="n">
        <v>1139.68</v>
      </c>
      <c r="H224" s="10" t="n">
        <v>191.17</v>
      </c>
      <c r="I224" s="10" t="n">
        <v>948.51</v>
      </c>
      <c r="J224" s="10" t="n">
        <v>635.42</v>
      </c>
      <c r="K224" s="11" t="n">
        <v>0.8323</v>
      </c>
      <c r="L224" s="11" t="n">
        <v>0.5575</v>
      </c>
      <c r="M224" s="26" t="n">
        <v>50.09</v>
      </c>
    </row>
    <row r="225" customFormat="false" ht="15" hidden="false" customHeight="false" outlineLevel="0" collapsed="false">
      <c r="A225" s="27" t="n">
        <v>51644</v>
      </c>
      <c r="B225" s="12" t="s">
        <v>283</v>
      </c>
      <c r="C225" s="28" t="n">
        <v>430</v>
      </c>
      <c r="D225" s="28" t="n">
        <v>430</v>
      </c>
      <c r="E225" s="14" t="n">
        <v>0</v>
      </c>
      <c r="F225" s="14" t="n">
        <v>712</v>
      </c>
      <c r="G225" s="14" t="n">
        <v>712</v>
      </c>
      <c r="H225" s="14" t="n">
        <v>42.309</v>
      </c>
      <c r="I225" s="14" t="n">
        <v>669.69</v>
      </c>
      <c r="J225" s="14" t="n">
        <v>474.08</v>
      </c>
      <c r="K225" s="15" t="n">
        <v>0.9406</v>
      </c>
      <c r="L225" s="15" t="n">
        <v>0.6658</v>
      </c>
      <c r="M225" s="29" t="n">
        <v>49.04</v>
      </c>
    </row>
    <row r="226" customFormat="false" ht="15" hidden="false" customHeight="false" outlineLevel="0" collapsed="false">
      <c r="A226" s="24" t="n">
        <v>52393</v>
      </c>
      <c r="B226" s="8" t="s">
        <v>336</v>
      </c>
      <c r="C226" s="25" t="n">
        <v>0</v>
      </c>
      <c r="D226" s="25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1" t="n">
        <v>0</v>
      </c>
      <c r="L226" s="11" t="n">
        <v>0</v>
      </c>
      <c r="M226" s="26" t="n">
        <v>648</v>
      </c>
    </row>
    <row r="227" customFormat="false" ht="15" hidden="false" customHeight="false" outlineLevel="0" collapsed="false">
      <c r="A227" s="27" t="n">
        <v>52566</v>
      </c>
      <c r="B227" s="12" t="s">
        <v>205</v>
      </c>
      <c r="C227" s="28" t="n">
        <v>7</v>
      </c>
      <c r="D227" s="28" t="n">
        <v>7</v>
      </c>
      <c r="E227" s="14" t="n">
        <v>0</v>
      </c>
      <c r="F227" s="14" t="n">
        <v>1348.27</v>
      </c>
      <c r="G227" s="14" t="n">
        <v>1348.27</v>
      </c>
      <c r="H227" s="14" t="n">
        <v>570.94</v>
      </c>
      <c r="I227" s="14" t="n">
        <v>777.33</v>
      </c>
      <c r="J227" s="14" t="n">
        <v>406.94</v>
      </c>
      <c r="K227" s="15" t="n">
        <v>0.5765</v>
      </c>
      <c r="L227" s="15" t="n">
        <v>0.3018</v>
      </c>
      <c r="M227" s="29" t="n">
        <v>27.13</v>
      </c>
    </row>
    <row r="228" customFormat="false" ht="15" hidden="false" customHeight="false" outlineLevel="0" collapsed="false">
      <c r="A228" s="24" t="n">
        <v>52585</v>
      </c>
      <c r="B228" s="8" t="s">
        <v>284</v>
      </c>
      <c r="C228" s="25" t="n">
        <v>40</v>
      </c>
      <c r="D228" s="25" t="n">
        <v>40</v>
      </c>
      <c r="E228" s="10" t="n">
        <v>0</v>
      </c>
      <c r="F228" s="10" t="n">
        <v>3296.8</v>
      </c>
      <c r="G228" s="10" t="n">
        <v>3296.8</v>
      </c>
      <c r="H228" s="10" t="n">
        <v>548</v>
      </c>
      <c r="I228" s="10" t="n">
        <v>2748.8</v>
      </c>
      <c r="J228" s="10" t="n">
        <v>1843.12</v>
      </c>
      <c r="K228" s="11" t="n">
        <v>0.8338</v>
      </c>
      <c r="L228" s="11" t="n">
        <v>0.5591</v>
      </c>
      <c r="M228" s="26" t="n">
        <v>31</v>
      </c>
    </row>
    <row r="229" customFormat="false" ht="15" hidden="false" customHeight="false" outlineLevel="0" collapsed="false">
      <c r="A229" s="27" t="n">
        <v>52589</v>
      </c>
      <c r="B229" s="12" t="s">
        <v>285</v>
      </c>
      <c r="C229" s="28" t="n">
        <v>6</v>
      </c>
      <c r="D229" s="28" t="n">
        <v>6</v>
      </c>
      <c r="E229" s="14" t="n">
        <v>0</v>
      </c>
      <c r="F229" s="14" t="n">
        <v>2851.2</v>
      </c>
      <c r="G229" s="14" t="n">
        <v>2851.2</v>
      </c>
      <c r="H229" s="14" t="n">
        <v>932.6202</v>
      </c>
      <c r="I229" s="14" t="n">
        <v>1918.58</v>
      </c>
      <c r="J229" s="14" t="n">
        <v>1569.03</v>
      </c>
      <c r="K229" s="15" t="n">
        <v>0.6729</v>
      </c>
      <c r="L229" s="15" t="n">
        <v>0.5503</v>
      </c>
      <c r="M229" s="29" t="n">
        <v>60</v>
      </c>
    </row>
    <row r="230" customFormat="false" ht="15" hidden="false" customHeight="false" outlineLevel="0" collapsed="false">
      <c r="A230" s="24" t="n">
        <v>52673</v>
      </c>
      <c r="B230" s="8" t="s">
        <v>206</v>
      </c>
      <c r="C230" s="25" t="n">
        <v>56</v>
      </c>
      <c r="D230" s="25" t="n">
        <v>56</v>
      </c>
      <c r="E230" s="10" t="n">
        <v>0</v>
      </c>
      <c r="F230" s="10" t="n">
        <v>140</v>
      </c>
      <c r="G230" s="10" t="n">
        <v>140</v>
      </c>
      <c r="H230" s="10" t="n">
        <v>56</v>
      </c>
      <c r="I230" s="10" t="n">
        <v>84</v>
      </c>
      <c r="J230" s="10" t="n">
        <v>66.84</v>
      </c>
      <c r="K230" s="11" t="n">
        <v>0.6</v>
      </c>
      <c r="L230" s="11" t="n">
        <v>0.4774</v>
      </c>
      <c r="M230" s="26" t="n">
        <v>5</v>
      </c>
    </row>
    <row r="231" customFormat="false" ht="15" hidden="false" customHeight="false" outlineLevel="0" collapsed="false">
      <c r="A231" s="27" t="n">
        <v>52674</v>
      </c>
      <c r="B231" s="12" t="s">
        <v>207</v>
      </c>
      <c r="C231" s="28" t="n">
        <v>98</v>
      </c>
      <c r="D231" s="28" t="n">
        <v>98</v>
      </c>
      <c r="E231" s="14" t="n">
        <v>0</v>
      </c>
      <c r="F231" s="14" t="n">
        <v>245</v>
      </c>
      <c r="G231" s="14" t="n">
        <v>245</v>
      </c>
      <c r="H231" s="14" t="n">
        <v>274.4</v>
      </c>
      <c r="I231" s="14" t="n">
        <v>-29.4</v>
      </c>
      <c r="J231" s="14" t="n">
        <v>-59.44</v>
      </c>
      <c r="K231" s="15" t="n">
        <v>-0.12</v>
      </c>
      <c r="L231" s="15" t="n">
        <v>-0.2426</v>
      </c>
      <c r="M231" s="29" t="n">
        <v>5</v>
      </c>
    </row>
    <row r="232" customFormat="false" ht="15" hidden="false" customHeight="false" outlineLevel="0" collapsed="false">
      <c r="A232" s="24" t="n">
        <v>52675</v>
      </c>
      <c r="B232" s="8" t="s">
        <v>337</v>
      </c>
      <c r="C232" s="25" t="n">
        <v>95</v>
      </c>
      <c r="D232" s="25" t="n">
        <v>95</v>
      </c>
      <c r="E232" s="10" t="n">
        <v>0</v>
      </c>
      <c r="F232" s="10" t="n">
        <v>665</v>
      </c>
      <c r="G232" s="10" t="n">
        <v>665</v>
      </c>
      <c r="H232" s="10" t="n">
        <v>361</v>
      </c>
      <c r="I232" s="10" t="n">
        <v>304</v>
      </c>
      <c r="J232" s="10" t="n">
        <v>222.47</v>
      </c>
      <c r="K232" s="11" t="n">
        <v>0.4571</v>
      </c>
      <c r="L232" s="11" t="n">
        <v>0.3345</v>
      </c>
      <c r="M232" s="26" t="n">
        <v>5</v>
      </c>
    </row>
    <row r="233" customFormat="false" ht="15" hidden="false" customHeight="false" outlineLevel="0" collapsed="false">
      <c r="A233" s="27" t="n">
        <v>52676</v>
      </c>
      <c r="B233" s="12" t="s">
        <v>208</v>
      </c>
      <c r="C233" s="28" t="n">
        <v>1122</v>
      </c>
      <c r="D233" s="28" t="n">
        <v>1122</v>
      </c>
      <c r="E233" s="14" t="n">
        <v>0</v>
      </c>
      <c r="F233" s="14" t="n">
        <v>595</v>
      </c>
      <c r="G233" s="14" t="n">
        <v>595</v>
      </c>
      <c r="H233" s="14" t="n">
        <v>59.4</v>
      </c>
      <c r="I233" s="14" t="n">
        <v>535.6</v>
      </c>
      <c r="J233" s="14" t="n">
        <v>462.65</v>
      </c>
      <c r="K233" s="15" t="n">
        <v>0.9002</v>
      </c>
      <c r="L233" s="15" t="n">
        <v>0.7776</v>
      </c>
      <c r="M233" s="29" t="n">
        <v>5</v>
      </c>
    </row>
    <row r="234" customFormat="false" ht="15" hidden="false" customHeight="false" outlineLevel="0" collapsed="false">
      <c r="A234" s="24" t="n">
        <v>52883</v>
      </c>
      <c r="B234" s="8" t="s">
        <v>209</v>
      </c>
      <c r="C234" s="25" t="n">
        <v>2</v>
      </c>
      <c r="D234" s="25" t="n">
        <v>2</v>
      </c>
      <c r="E234" s="10" t="n">
        <v>0</v>
      </c>
      <c r="F234" s="10" t="n">
        <v>114.4</v>
      </c>
      <c r="G234" s="10" t="n">
        <v>114.4</v>
      </c>
      <c r="H234" s="10" t="n">
        <v>27.96</v>
      </c>
      <c r="I234" s="10" t="n">
        <v>86.44</v>
      </c>
      <c r="J234" s="10" t="n">
        <v>55.01</v>
      </c>
      <c r="K234" s="11" t="n">
        <v>0.7556</v>
      </c>
      <c r="L234" s="11" t="n">
        <v>0.4809</v>
      </c>
      <c r="M234" s="26" t="n">
        <v>7</v>
      </c>
    </row>
    <row r="235" customFormat="false" ht="15" hidden="false" customHeight="false" outlineLevel="0" collapsed="false">
      <c r="A235" s="27" t="n">
        <v>53004</v>
      </c>
      <c r="B235" s="12" t="s">
        <v>338</v>
      </c>
      <c r="C235" s="28" t="n">
        <v>1</v>
      </c>
      <c r="D235" s="28" t="n">
        <v>1</v>
      </c>
      <c r="E235" s="14" t="n">
        <v>0</v>
      </c>
      <c r="F235" s="14" t="n">
        <v>1016.6</v>
      </c>
      <c r="G235" s="14" t="n">
        <v>1016.6</v>
      </c>
      <c r="H235" s="14" t="n">
        <v>340.32</v>
      </c>
      <c r="I235" s="14" t="n">
        <v>676.28</v>
      </c>
      <c r="J235" s="14" t="n">
        <v>393.18</v>
      </c>
      <c r="K235" s="15" t="n">
        <v>0.6652</v>
      </c>
      <c r="L235" s="15" t="n">
        <v>0.3868</v>
      </c>
      <c r="M235" s="29" t="n">
        <v>20</v>
      </c>
    </row>
    <row r="236" customFormat="false" ht="15" hidden="false" customHeight="false" outlineLevel="0" collapsed="false">
      <c r="A236" s="24" t="n">
        <v>53018</v>
      </c>
      <c r="B236" s="8" t="s">
        <v>339</v>
      </c>
      <c r="C236" s="25" t="n">
        <v>9</v>
      </c>
      <c r="D236" s="25" t="n">
        <v>9</v>
      </c>
      <c r="E236" s="10" t="n">
        <v>0</v>
      </c>
      <c r="F236" s="10" t="n">
        <v>348.95</v>
      </c>
      <c r="G236" s="10" t="n">
        <v>348.95</v>
      </c>
      <c r="H236" s="10" t="n">
        <v>190.7701</v>
      </c>
      <c r="I236" s="10" t="n">
        <v>158.18</v>
      </c>
      <c r="J236" s="10" t="n">
        <v>104.14</v>
      </c>
      <c r="K236" s="11" t="n">
        <v>0.4533</v>
      </c>
      <c r="L236" s="11" t="n">
        <v>0.2984</v>
      </c>
      <c r="M236" s="26" t="n">
        <v>55.95</v>
      </c>
    </row>
    <row r="237" customFormat="false" ht="15" hidden="false" customHeight="false" outlineLevel="0" collapsed="false">
      <c r="A237" s="27" t="n">
        <v>53362</v>
      </c>
      <c r="B237" s="12" t="s">
        <v>340</v>
      </c>
      <c r="C237" s="28" t="n">
        <v>2</v>
      </c>
      <c r="D237" s="28" t="n">
        <v>2</v>
      </c>
      <c r="E237" s="14" t="n">
        <v>0</v>
      </c>
      <c r="F237" s="14" t="n">
        <v>338.69</v>
      </c>
      <c r="G237" s="14" t="n">
        <v>338.69</v>
      </c>
      <c r="H237" s="14" t="n">
        <v>121.15</v>
      </c>
      <c r="I237" s="14" t="n">
        <v>217.54</v>
      </c>
      <c r="J237" s="14" t="n">
        <v>124.49</v>
      </c>
      <c r="K237" s="15" t="n">
        <v>0.6423</v>
      </c>
      <c r="L237" s="15" t="n">
        <v>0.3676</v>
      </c>
      <c r="M237" s="29" t="n">
        <v>75</v>
      </c>
    </row>
    <row r="238" customFormat="false" ht="15" hidden="false" customHeight="false" outlineLevel="0" collapsed="false">
      <c r="A238" s="24" t="n">
        <v>54746</v>
      </c>
      <c r="B238" s="8" t="s">
        <v>341</v>
      </c>
      <c r="C238" s="25" t="n">
        <v>7</v>
      </c>
      <c r="D238" s="25" t="n">
        <v>7</v>
      </c>
      <c r="E238" s="10" t="n">
        <v>0</v>
      </c>
      <c r="F238" s="10" t="n">
        <v>174.16</v>
      </c>
      <c r="G238" s="10" t="n">
        <v>174.16</v>
      </c>
      <c r="H238" s="10" t="n">
        <v>38.71</v>
      </c>
      <c r="I238" s="10" t="n">
        <v>135.45</v>
      </c>
      <c r="J238" s="10" t="n">
        <v>87.61</v>
      </c>
      <c r="K238" s="11" t="n">
        <v>0.7777</v>
      </c>
      <c r="L238" s="11" t="n">
        <v>0.503</v>
      </c>
      <c r="M238" s="26" t="n">
        <v>54.29</v>
      </c>
    </row>
    <row r="239" customFormat="false" ht="15" hidden="false" customHeight="false" outlineLevel="0" collapsed="false">
      <c r="A239" s="27" t="n">
        <v>54755</v>
      </c>
      <c r="B239" s="12" t="s">
        <v>342</v>
      </c>
      <c r="C239" s="28" t="n">
        <v>11</v>
      </c>
      <c r="D239" s="28" t="n">
        <v>11</v>
      </c>
      <c r="E239" s="14" t="n">
        <v>0</v>
      </c>
      <c r="F239" s="14" t="n">
        <v>327.8</v>
      </c>
      <c r="G239" s="14" t="n">
        <v>327.8</v>
      </c>
      <c r="H239" s="14" t="n">
        <v>19.91</v>
      </c>
      <c r="I239" s="14" t="n">
        <v>307.89</v>
      </c>
      <c r="J239" s="14" t="n">
        <v>217.84</v>
      </c>
      <c r="K239" s="15" t="n">
        <v>0.9393</v>
      </c>
      <c r="L239" s="15" t="n">
        <v>0.6646</v>
      </c>
      <c r="M239" s="29" t="n">
        <v>75</v>
      </c>
    </row>
    <row r="240" customFormat="false" ht="15" hidden="false" customHeight="false" outlineLevel="0" collapsed="false">
      <c r="A240" s="24" t="n">
        <v>54792</v>
      </c>
      <c r="B240" s="8" t="s">
        <v>212</v>
      </c>
      <c r="C240" s="25" t="n">
        <v>1</v>
      </c>
      <c r="D240" s="25" t="n">
        <v>1</v>
      </c>
      <c r="E240" s="10" t="n">
        <v>0</v>
      </c>
      <c r="F240" s="10" t="n">
        <v>19.14</v>
      </c>
      <c r="G240" s="10" t="n">
        <v>19.14</v>
      </c>
      <c r="H240" s="10" t="n">
        <v>6.11</v>
      </c>
      <c r="I240" s="10" t="n">
        <v>13.03</v>
      </c>
      <c r="J240" s="10" t="n">
        <v>7.77</v>
      </c>
      <c r="K240" s="11" t="n">
        <v>0.6808</v>
      </c>
      <c r="L240" s="11" t="n">
        <v>0.406</v>
      </c>
      <c r="M240" s="26" t="n">
        <v>75</v>
      </c>
    </row>
    <row r="241" customFormat="false" ht="15" hidden="false" customHeight="false" outlineLevel="0" collapsed="false">
      <c r="A241" s="27" t="n">
        <v>54801</v>
      </c>
      <c r="B241" s="12" t="s">
        <v>213</v>
      </c>
      <c r="C241" s="28" t="n">
        <v>62</v>
      </c>
      <c r="D241" s="28" t="n">
        <v>62</v>
      </c>
      <c r="E241" s="14" t="n">
        <v>0</v>
      </c>
      <c r="F241" s="14" t="n">
        <v>20738.7</v>
      </c>
      <c r="G241" s="14" t="n">
        <v>20738.7</v>
      </c>
      <c r="H241" s="14" t="n">
        <v>10292.5</v>
      </c>
      <c r="I241" s="14" t="n">
        <v>10446.2</v>
      </c>
      <c r="J241" s="14" t="n">
        <v>4748.77</v>
      </c>
      <c r="K241" s="15" t="n">
        <v>0.5037</v>
      </c>
      <c r="L241" s="15" t="n">
        <v>0.229</v>
      </c>
      <c r="M241" s="29" t="n">
        <v>33.12</v>
      </c>
    </row>
    <row r="242" customFormat="false" ht="15" hidden="false" customHeight="false" outlineLevel="0" collapsed="false">
      <c r="A242" s="24" t="n">
        <v>54926</v>
      </c>
      <c r="B242" s="8" t="s">
        <v>343</v>
      </c>
      <c r="C242" s="25" t="n">
        <v>2</v>
      </c>
      <c r="D242" s="25" t="n">
        <v>2</v>
      </c>
      <c r="E242" s="10" t="n">
        <v>0</v>
      </c>
      <c r="F242" s="10" t="n">
        <v>116.11</v>
      </c>
      <c r="G242" s="10" t="n">
        <v>116.11</v>
      </c>
      <c r="H242" s="10" t="n">
        <v>49.56</v>
      </c>
      <c r="I242" s="10" t="n">
        <v>66.55</v>
      </c>
      <c r="J242" s="10" t="n">
        <v>34.25</v>
      </c>
      <c r="K242" s="11" t="n">
        <v>0.5732</v>
      </c>
      <c r="L242" s="11" t="n">
        <v>0.295</v>
      </c>
      <c r="M242" s="26" t="n">
        <v>19.1</v>
      </c>
    </row>
    <row r="243" customFormat="false" ht="15" hidden="false" customHeight="false" outlineLevel="0" collapsed="false">
      <c r="A243" s="27" t="n">
        <v>54945</v>
      </c>
      <c r="B243" s="12" t="s">
        <v>215</v>
      </c>
      <c r="C243" s="28" t="n">
        <v>6</v>
      </c>
      <c r="D243" s="28" t="n">
        <v>6</v>
      </c>
      <c r="E243" s="14" t="n">
        <v>0</v>
      </c>
      <c r="F243" s="14" t="n">
        <v>1282.38</v>
      </c>
      <c r="G243" s="14" t="n">
        <v>1282.38</v>
      </c>
      <c r="H243" s="14" t="n">
        <v>362.9601</v>
      </c>
      <c r="I243" s="14" t="n">
        <v>919.42</v>
      </c>
      <c r="J243" s="14" t="n">
        <v>567.12</v>
      </c>
      <c r="K243" s="15" t="n">
        <v>0.717</v>
      </c>
      <c r="L243" s="15" t="n">
        <v>0.4422</v>
      </c>
      <c r="M243" s="29" t="n">
        <v>50.83</v>
      </c>
    </row>
    <row r="244" customFormat="false" ht="15" hidden="false" customHeight="false" outlineLevel="0" collapsed="false">
      <c r="A244" s="24" t="n">
        <v>55631</v>
      </c>
      <c r="B244" s="8" t="s">
        <v>217</v>
      </c>
      <c r="C244" s="25" t="n">
        <v>2</v>
      </c>
      <c r="D244" s="25" t="n">
        <v>2</v>
      </c>
      <c r="E244" s="10" t="n">
        <v>0</v>
      </c>
      <c r="F244" s="10" t="n">
        <v>450.66</v>
      </c>
      <c r="G244" s="10" t="n">
        <v>450.66</v>
      </c>
      <c r="H244" s="10" t="n">
        <v>193.41</v>
      </c>
      <c r="I244" s="10" t="n">
        <v>257.25</v>
      </c>
      <c r="J244" s="10" t="n">
        <v>133.44</v>
      </c>
      <c r="K244" s="11" t="n">
        <v>0.5708</v>
      </c>
      <c r="L244" s="11" t="n">
        <v>0.2961</v>
      </c>
      <c r="M244" s="26" t="n">
        <v>60</v>
      </c>
    </row>
    <row r="245" customFormat="false" ht="15" hidden="false" customHeight="false" outlineLevel="0" collapsed="false">
      <c r="A245" s="27" t="n">
        <v>55773</v>
      </c>
      <c r="B245" s="12" t="s">
        <v>344</v>
      </c>
      <c r="C245" s="28" t="n">
        <v>1</v>
      </c>
      <c r="D245" s="28" t="n">
        <v>1</v>
      </c>
      <c r="E245" s="14" t="n">
        <v>30.47</v>
      </c>
      <c r="F245" s="14" t="n">
        <v>0</v>
      </c>
      <c r="G245" s="14" t="n">
        <v>30.47</v>
      </c>
      <c r="H245" s="14" t="n">
        <v>6.23</v>
      </c>
      <c r="I245" s="14" t="n">
        <v>24.24</v>
      </c>
      <c r="J245" s="14" t="n">
        <v>15.86</v>
      </c>
      <c r="K245" s="15" t="n">
        <v>0.7955</v>
      </c>
      <c r="L245" s="15" t="n">
        <v>0.5205</v>
      </c>
      <c r="M245" s="29" t="n">
        <v>5</v>
      </c>
    </row>
    <row r="246" customFormat="false" ht="15" hidden="false" customHeight="false" outlineLevel="0" collapsed="false">
      <c r="A246" s="24" t="n">
        <v>56120</v>
      </c>
      <c r="B246" s="8" t="s">
        <v>345</v>
      </c>
      <c r="C246" s="25" t="n">
        <v>1</v>
      </c>
      <c r="D246" s="25" t="n">
        <v>1</v>
      </c>
      <c r="E246" s="10" t="n">
        <v>0</v>
      </c>
      <c r="F246" s="10" t="n">
        <v>234.56</v>
      </c>
      <c r="G246" s="10" t="n">
        <v>234.56</v>
      </c>
      <c r="H246" s="10" t="n">
        <v>18.52</v>
      </c>
      <c r="I246" s="10" t="n">
        <v>216.04</v>
      </c>
      <c r="J246" s="10" t="n">
        <v>151.6</v>
      </c>
      <c r="K246" s="11" t="n">
        <v>0.921</v>
      </c>
      <c r="L246" s="11" t="n">
        <v>0.6463</v>
      </c>
      <c r="M246" s="26" t="n">
        <v>75</v>
      </c>
    </row>
    <row r="247" customFormat="false" ht="15" hidden="false" customHeight="false" outlineLevel="0" collapsed="false">
      <c r="A247" s="27" t="n">
        <v>56154</v>
      </c>
      <c r="B247" s="12" t="s">
        <v>346</v>
      </c>
      <c r="C247" s="28" t="n">
        <v>2</v>
      </c>
      <c r="D247" s="28" t="n">
        <v>2</v>
      </c>
      <c r="E247" s="14" t="n">
        <v>0</v>
      </c>
      <c r="F247" s="14" t="n">
        <v>120</v>
      </c>
      <c r="G247" s="14" t="n">
        <v>120</v>
      </c>
      <c r="H247" s="14" t="n">
        <v>44.44</v>
      </c>
      <c r="I247" s="14" t="n">
        <v>75.56</v>
      </c>
      <c r="J247" s="14" t="n">
        <v>42.6</v>
      </c>
      <c r="K247" s="15" t="n">
        <v>0.6297</v>
      </c>
      <c r="L247" s="15" t="n">
        <v>0.355</v>
      </c>
      <c r="M247" s="29" t="n">
        <v>75</v>
      </c>
    </row>
    <row r="248" customFormat="false" ht="15" hidden="false" customHeight="false" outlineLevel="0" collapsed="false">
      <c r="A248" s="24" t="n">
        <v>56390</v>
      </c>
      <c r="B248" s="8" t="s">
        <v>219</v>
      </c>
      <c r="C248" s="25" t="n">
        <v>8</v>
      </c>
      <c r="D248" s="25" t="n">
        <v>8</v>
      </c>
      <c r="E248" s="10" t="n">
        <v>0</v>
      </c>
      <c r="F248" s="10" t="n">
        <v>7065.44</v>
      </c>
      <c r="G248" s="10" t="n">
        <v>7065.44</v>
      </c>
      <c r="H248" s="10" t="n">
        <v>4137.51</v>
      </c>
      <c r="I248" s="10" t="n">
        <v>2927.93</v>
      </c>
      <c r="J248" s="10" t="n">
        <v>986.92</v>
      </c>
      <c r="K248" s="11" t="n">
        <v>0.4144</v>
      </c>
      <c r="L248" s="11" t="n">
        <v>0.1397</v>
      </c>
      <c r="M248" s="26" t="n">
        <v>39</v>
      </c>
    </row>
    <row r="249" customFormat="false" ht="15" hidden="false" customHeight="false" outlineLevel="0" collapsed="false">
      <c r="A249" s="27" t="n">
        <v>56391</v>
      </c>
      <c r="B249" s="12" t="s">
        <v>220</v>
      </c>
      <c r="C249" s="28" t="n">
        <v>4</v>
      </c>
      <c r="D249" s="28" t="n">
        <v>4</v>
      </c>
      <c r="E249" s="14" t="n">
        <v>0</v>
      </c>
      <c r="F249" s="14" t="n">
        <v>3070.12</v>
      </c>
      <c r="G249" s="14" t="n">
        <v>3070.12</v>
      </c>
      <c r="H249" s="14" t="n">
        <v>1830.85</v>
      </c>
      <c r="I249" s="14" t="n">
        <v>1239.27</v>
      </c>
      <c r="J249" s="14" t="n">
        <v>395.85</v>
      </c>
      <c r="K249" s="15" t="n">
        <v>0.4037</v>
      </c>
      <c r="L249" s="15" t="n">
        <v>0.1289</v>
      </c>
      <c r="M249" s="29" t="n">
        <v>39</v>
      </c>
    </row>
    <row r="250" customFormat="false" ht="15" hidden="false" customHeight="false" outlineLevel="0" collapsed="false">
      <c r="A250" s="24" t="n">
        <v>56482</v>
      </c>
      <c r="B250" s="8" t="s">
        <v>221</v>
      </c>
      <c r="C250" s="25" t="n">
        <v>53</v>
      </c>
      <c r="D250" s="25" t="n">
        <v>53</v>
      </c>
      <c r="E250" s="10" t="n">
        <v>335.63</v>
      </c>
      <c r="F250" s="10" t="n">
        <v>3130.28</v>
      </c>
      <c r="G250" s="10" t="n">
        <v>3465.91</v>
      </c>
      <c r="H250" s="10" t="n">
        <v>719.8299</v>
      </c>
      <c r="I250" s="10" t="n">
        <v>2746.08</v>
      </c>
      <c r="J250" s="10" t="n">
        <v>1973.84</v>
      </c>
      <c r="K250" s="11" t="n">
        <v>0.7923</v>
      </c>
      <c r="L250" s="11" t="n">
        <v>0.5695</v>
      </c>
      <c r="M250" s="26" t="n">
        <v>49.98</v>
      </c>
    </row>
    <row r="251" customFormat="false" ht="15" hidden="false" customHeight="false" outlineLevel="0" collapsed="false">
      <c r="A251" s="27" t="n">
        <v>56512</v>
      </c>
      <c r="B251" s="12" t="s">
        <v>222</v>
      </c>
      <c r="C251" s="28" t="n">
        <v>119</v>
      </c>
      <c r="D251" s="28" t="n">
        <v>119</v>
      </c>
      <c r="E251" s="14" t="n">
        <v>0</v>
      </c>
      <c r="F251" s="14" t="n">
        <v>158389</v>
      </c>
      <c r="G251" s="14" t="n">
        <v>158389</v>
      </c>
      <c r="H251" s="14" t="n">
        <v>81062.9206</v>
      </c>
      <c r="I251" s="14" t="n">
        <v>77326.08</v>
      </c>
      <c r="J251" s="14" t="n">
        <v>33119.75</v>
      </c>
      <c r="K251" s="15" t="n">
        <v>0.4882</v>
      </c>
      <c r="L251" s="15" t="n">
        <v>0.2091</v>
      </c>
      <c r="M251" s="29" t="n">
        <v>30.87</v>
      </c>
    </row>
    <row r="252" customFormat="false" ht="15" hidden="false" customHeight="false" outlineLevel="0" collapsed="false">
      <c r="A252" s="24" t="n">
        <v>56530</v>
      </c>
      <c r="B252" s="8" t="s">
        <v>291</v>
      </c>
      <c r="C252" s="25" t="n">
        <v>200</v>
      </c>
      <c r="D252" s="25" t="n">
        <v>200</v>
      </c>
      <c r="E252" s="10" t="n">
        <v>0</v>
      </c>
      <c r="F252" s="10" t="n">
        <v>6200</v>
      </c>
      <c r="G252" s="10" t="n">
        <v>6200</v>
      </c>
      <c r="H252" s="10" t="n">
        <v>526.32</v>
      </c>
      <c r="I252" s="10" t="n">
        <v>5673.68</v>
      </c>
      <c r="J252" s="10" t="n">
        <v>3970.42</v>
      </c>
      <c r="K252" s="11" t="n">
        <v>0.9151</v>
      </c>
      <c r="L252" s="11" t="n">
        <v>0.6404</v>
      </c>
      <c r="M252" s="26" t="n">
        <v>45</v>
      </c>
    </row>
    <row r="253" customFormat="false" ht="15" hidden="false" customHeight="false" outlineLevel="0" collapsed="false">
      <c r="A253" s="27" t="n">
        <v>56539</v>
      </c>
      <c r="B253" s="12" t="s">
        <v>347</v>
      </c>
      <c r="C253" s="28" t="n">
        <v>40</v>
      </c>
      <c r="D253" s="28" t="n">
        <v>40</v>
      </c>
      <c r="E253" s="14" t="n">
        <v>0</v>
      </c>
      <c r="F253" s="14" t="n">
        <v>4960</v>
      </c>
      <c r="G253" s="14" t="n">
        <v>4960</v>
      </c>
      <c r="H253" s="14" t="n">
        <v>3189.472</v>
      </c>
      <c r="I253" s="14" t="n">
        <v>1770.53</v>
      </c>
      <c r="J253" s="14" t="n">
        <v>407.92</v>
      </c>
      <c r="K253" s="15" t="n">
        <v>0.357</v>
      </c>
      <c r="L253" s="15" t="n">
        <v>0.0822</v>
      </c>
      <c r="M253" s="29" t="n">
        <v>30</v>
      </c>
    </row>
    <row r="254" customFormat="false" ht="15" hidden="false" customHeight="false" outlineLevel="0" collapsed="false">
      <c r="A254" s="24" t="n">
        <v>56540</v>
      </c>
      <c r="B254" s="8" t="s">
        <v>348</v>
      </c>
      <c r="C254" s="25" t="n">
        <v>42</v>
      </c>
      <c r="D254" s="25" t="n">
        <v>42</v>
      </c>
      <c r="E254" s="10" t="n">
        <v>0</v>
      </c>
      <c r="F254" s="10" t="n">
        <v>7587.5</v>
      </c>
      <c r="G254" s="10" t="n">
        <v>7587.5</v>
      </c>
      <c r="H254" s="10" t="n">
        <v>4904.26</v>
      </c>
      <c r="I254" s="10" t="n">
        <v>2683.24</v>
      </c>
      <c r="J254" s="10" t="n">
        <v>598.8</v>
      </c>
      <c r="K254" s="11" t="n">
        <v>0.3536</v>
      </c>
      <c r="L254" s="11" t="n">
        <v>0.0789</v>
      </c>
      <c r="M254" s="26" t="n">
        <v>30</v>
      </c>
    </row>
    <row r="255" customFormat="false" ht="15" hidden="false" customHeight="false" outlineLevel="0" collapsed="false">
      <c r="A255" s="27" t="n">
        <v>56575</v>
      </c>
      <c r="B255" s="12" t="s">
        <v>224</v>
      </c>
      <c r="C255" s="28" t="n">
        <v>120</v>
      </c>
      <c r="D255" s="28" t="n">
        <v>120</v>
      </c>
      <c r="E255" s="14" t="n">
        <v>0</v>
      </c>
      <c r="F255" s="14" t="n">
        <v>2850</v>
      </c>
      <c r="G255" s="14" t="n">
        <v>2850</v>
      </c>
      <c r="H255" s="14" t="n">
        <v>1333.29</v>
      </c>
      <c r="I255" s="14" t="n">
        <v>1516.71</v>
      </c>
      <c r="J255" s="14" t="n">
        <v>721.26</v>
      </c>
      <c r="K255" s="15" t="n">
        <v>0.5322</v>
      </c>
      <c r="L255" s="15" t="n">
        <v>0.2531</v>
      </c>
      <c r="M255" s="29" t="n">
        <v>45</v>
      </c>
    </row>
    <row r="256" customFormat="false" ht="15" hidden="false" customHeight="false" outlineLevel="0" collapsed="false">
      <c r="A256" s="24" t="n">
        <v>56698</v>
      </c>
      <c r="B256" s="8" t="s">
        <v>292</v>
      </c>
      <c r="C256" s="25" t="n">
        <v>14</v>
      </c>
      <c r="D256" s="25" t="n">
        <v>14</v>
      </c>
      <c r="E256" s="10" t="n">
        <v>0</v>
      </c>
      <c r="F256" s="10" t="n">
        <v>11684.4</v>
      </c>
      <c r="G256" s="10" t="n">
        <v>11684.4</v>
      </c>
      <c r="H256" s="10" t="n">
        <v>6894.79</v>
      </c>
      <c r="I256" s="10" t="n">
        <v>4789.61</v>
      </c>
      <c r="J256" s="10" t="n">
        <v>1579.68</v>
      </c>
      <c r="K256" s="11" t="n">
        <v>0.4099</v>
      </c>
      <c r="L256" s="11" t="n">
        <v>0.1352</v>
      </c>
      <c r="M256" s="26" t="n">
        <v>36.14</v>
      </c>
    </row>
    <row r="257" customFormat="false" ht="15" hidden="false" customHeight="false" outlineLevel="0" collapsed="false">
      <c r="A257" s="27" t="n">
        <v>56699</v>
      </c>
      <c r="B257" s="12" t="s">
        <v>293</v>
      </c>
      <c r="C257" s="28" t="n">
        <v>28</v>
      </c>
      <c r="D257" s="28" t="n">
        <v>28</v>
      </c>
      <c r="E257" s="14" t="n">
        <v>0</v>
      </c>
      <c r="F257" s="14" t="n">
        <v>27524.14</v>
      </c>
      <c r="G257" s="14" t="n">
        <v>27524.14</v>
      </c>
      <c r="H257" s="14" t="n">
        <v>16210.4404</v>
      </c>
      <c r="I257" s="14" t="n">
        <v>11313.7</v>
      </c>
      <c r="J257" s="14" t="n">
        <v>3752.28</v>
      </c>
      <c r="K257" s="15" t="n">
        <v>0.411</v>
      </c>
      <c r="L257" s="15" t="n">
        <v>0.1363</v>
      </c>
      <c r="M257" s="29" t="n">
        <v>36.14</v>
      </c>
    </row>
    <row r="258" customFormat="false" ht="15" hidden="false" customHeight="false" outlineLevel="0" collapsed="false">
      <c r="A258" s="24" t="n">
        <v>56702</v>
      </c>
      <c r="B258" s="8" t="s">
        <v>349</v>
      </c>
      <c r="C258" s="25" t="n">
        <v>4</v>
      </c>
      <c r="D258" s="25" t="n">
        <v>4</v>
      </c>
      <c r="E258" s="10" t="n">
        <v>0</v>
      </c>
      <c r="F258" s="10" t="n">
        <v>242.88</v>
      </c>
      <c r="G258" s="10" t="n">
        <v>242.88</v>
      </c>
      <c r="H258" s="10" t="n">
        <v>92.18</v>
      </c>
      <c r="I258" s="10" t="n">
        <v>150.7</v>
      </c>
      <c r="J258" s="10" t="n">
        <v>83.98</v>
      </c>
      <c r="K258" s="11" t="n">
        <v>0.6205</v>
      </c>
      <c r="L258" s="11" t="n">
        <v>0.3458</v>
      </c>
      <c r="M258" s="26" t="n">
        <v>75</v>
      </c>
    </row>
    <row r="259" customFormat="false" ht="15" hidden="false" customHeight="false" outlineLevel="0" collapsed="false">
      <c r="A259" s="27" t="n">
        <v>56750</v>
      </c>
      <c r="B259" s="12" t="s">
        <v>227</v>
      </c>
      <c r="C259" s="28" t="n">
        <v>7</v>
      </c>
      <c r="D259" s="28" t="n">
        <v>7</v>
      </c>
      <c r="E259" s="14" t="n">
        <v>0</v>
      </c>
      <c r="F259" s="14" t="n">
        <v>374.5</v>
      </c>
      <c r="G259" s="14" t="n">
        <v>374.5</v>
      </c>
      <c r="H259" s="14" t="n">
        <v>147.0699</v>
      </c>
      <c r="I259" s="14" t="n">
        <v>227.43</v>
      </c>
      <c r="J259" s="14" t="n">
        <v>124.55</v>
      </c>
      <c r="K259" s="15" t="n">
        <v>0.6073</v>
      </c>
      <c r="L259" s="15" t="n">
        <v>0.3326</v>
      </c>
      <c r="M259" s="29" t="n">
        <v>58.43</v>
      </c>
    </row>
    <row r="260" customFormat="false" ht="15" hidden="false" customHeight="false" outlineLevel="0" collapsed="false">
      <c r="A260" s="24" t="n">
        <v>56764</v>
      </c>
      <c r="B260" s="8" t="s">
        <v>294</v>
      </c>
      <c r="C260" s="25" t="n">
        <v>30</v>
      </c>
      <c r="D260" s="25" t="n">
        <v>30</v>
      </c>
      <c r="E260" s="10" t="n">
        <v>0</v>
      </c>
      <c r="F260" s="10" t="n">
        <v>13650</v>
      </c>
      <c r="G260" s="10" t="n">
        <v>13650</v>
      </c>
      <c r="H260" s="10" t="n">
        <v>8893.5</v>
      </c>
      <c r="I260" s="10" t="n">
        <v>4756.5</v>
      </c>
      <c r="J260" s="10" t="n">
        <v>1006.57</v>
      </c>
      <c r="K260" s="11" t="n">
        <v>0.3485</v>
      </c>
      <c r="L260" s="11" t="n">
        <v>0.0737</v>
      </c>
      <c r="M260" s="26" t="n">
        <v>46</v>
      </c>
    </row>
    <row r="261" customFormat="false" ht="15" hidden="false" customHeight="false" outlineLevel="0" collapsed="false">
      <c r="A261" s="27" t="n">
        <v>56772</v>
      </c>
      <c r="B261" s="12" t="s">
        <v>228</v>
      </c>
      <c r="C261" s="28" t="n">
        <v>20</v>
      </c>
      <c r="D261" s="28" t="n">
        <v>20</v>
      </c>
      <c r="E261" s="14" t="n">
        <v>0</v>
      </c>
      <c r="F261" s="14" t="n">
        <v>225.6</v>
      </c>
      <c r="G261" s="14" t="n">
        <v>225.6</v>
      </c>
      <c r="H261" s="14" t="n">
        <v>78</v>
      </c>
      <c r="I261" s="14" t="n">
        <v>147.6</v>
      </c>
      <c r="J261" s="14" t="n">
        <v>84.64</v>
      </c>
      <c r="K261" s="15" t="n">
        <v>0.6543</v>
      </c>
      <c r="L261" s="15" t="n">
        <v>0.3752</v>
      </c>
      <c r="M261" s="29" t="n">
        <v>45</v>
      </c>
    </row>
    <row r="262" customFormat="false" ht="15" hidden="false" customHeight="false" outlineLevel="0" collapsed="false">
      <c r="A262" s="24" t="n">
        <v>57000</v>
      </c>
      <c r="B262" s="8" t="s">
        <v>350</v>
      </c>
      <c r="C262" s="25" t="n">
        <v>10</v>
      </c>
      <c r="D262" s="25" t="n">
        <v>10</v>
      </c>
      <c r="E262" s="10" t="n">
        <v>0</v>
      </c>
      <c r="F262" s="10" t="n">
        <v>150</v>
      </c>
      <c r="G262" s="10" t="n">
        <v>150</v>
      </c>
      <c r="H262" s="10" t="n">
        <v>72.37</v>
      </c>
      <c r="I262" s="10" t="n">
        <v>77.63</v>
      </c>
      <c r="J262" s="10" t="n">
        <v>36.42</v>
      </c>
      <c r="K262" s="11" t="n">
        <v>0.5175</v>
      </c>
      <c r="L262" s="11" t="n">
        <v>0.2428</v>
      </c>
      <c r="M262" s="26" t="n">
        <v>75</v>
      </c>
    </row>
    <row r="263" customFormat="false" ht="15" hidden="false" customHeight="false" outlineLevel="0" collapsed="false">
      <c r="A263" s="27" t="n">
        <v>57161</v>
      </c>
      <c r="B263" s="12" t="s">
        <v>231</v>
      </c>
      <c r="C263" s="28" t="n">
        <v>28</v>
      </c>
      <c r="D263" s="28" t="n">
        <v>28</v>
      </c>
      <c r="E263" s="14" t="n">
        <v>0</v>
      </c>
      <c r="F263" s="14" t="n">
        <v>328.16</v>
      </c>
      <c r="G263" s="14" t="n">
        <v>328.16</v>
      </c>
      <c r="H263" s="14" t="n">
        <v>0</v>
      </c>
      <c r="I263" s="14" t="n">
        <v>328.16</v>
      </c>
      <c r="J263" s="14" t="n">
        <v>328.16</v>
      </c>
      <c r="K263" s="15" t="n">
        <v>1</v>
      </c>
      <c r="L263" s="15" t="n">
        <v>1</v>
      </c>
      <c r="M263" s="29" t="n">
        <v>36.96</v>
      </c>
    </row>
    <row r="264" customFormat="false" ht="15" hidden="false" customHeight="false" outlineLevel="0" collapsed="false">
      <c r="A264" s="24" t="n">
        <v>57164</v>
      </c>
      <c r="B264" s="8" t="s">
        <v>351</v>
      </c>
      <c r="C264" s="25" t="n">
        <v>6</v>
      </c>
      <c r="D264" s="25" t="n">
        <v>6</v>
      </c>
      <c r="E264" s="10" t="n">
        <v>0</v>
      </c>
      <c r="F264" s="10" t="n">
        <v>261.42</v>
      </c>
      <c r="G264" s="10" t="n">
        <v>261.42</v>
      </c>
      <c r="H264" s="10" t="n">
        <v>112.35</v>
      </c>
      <c r="I264" s="10" t="n">
        <v>149.07</v>
      </c>
      <c r="J264" s="10" t="n">
        <v>107.48</v>
      </c>
      <c r="K264" s="11" t="n">
        <v>0.5702</v>
      </c>
      <c r="L264" s="11" t="n">
        <v>0.4111</v>
      </c>
      <c r="M264" s="26" t="n">
        <v>66</v>
      </c>
    </row>
    <row r="265" customFormat="false" ht="15" hidden="false" customHeight="false" outlineLevel="0" collapsed="false">
      <c r="A265" s="27" t="n">
        <v>57240</v>
      </c>
      <c r="B265" s="12" t="s">
        <v>232</v>
      </c>
      <c r="C265" s="28" t="n">
        <v>21</v>
      </c>
      <c r="D265" s="28" t="n">
        <v>21</v>
      </c>
      <c r="E265" s="14" t="n">
        <v>0</v>
      </c>
      <c r="F265" s="14" t="n">
        <v>384.09</v>
      </c>
      <c r="G265" s="14" t="n">
        <v>384.09</v>
      </c>
      <c r="H265" s="14" t="n">
        <v>61.8603</v>
      </c>
      <c r="I265" s="14" t="n">
        <v>322.23</v>
      </c>
      <c r="J265" s="14" t="n">
        <v>229.06</v>
      </c>
      <c r="K265" s="15" t="n">
        <v>0.8389</v>
      </c>
      <c r="L265" s="15" t="n">
        <v>0.5964</v>
      </c>
      <c r="M265" s="29" t="n">
        <v>36.86</v>
      </c>
    </row>
    <row r="266" customFormat="false" ht="15" hidden="false" customHeight="false" outlineLevel="0" collapsed="false">
      <c r="A266" s="24" t="n">
        <v>57270</v>
      </c>
      <c r="B266" s="8" t="s">
        <v>296</v>
      </c>
      <c r="C266" s="25" t="n">
        <v>2</v>
      </c>
      <c r="D266" s="25" t="n">
        <v>2</v>
      </c>
      <c r="E266" s="10" t="n">
        <v>0</v>
      </c>
      <c r="F266" s="10" t="n">
        <v>285.48</v>
      </c>
      <c r="G266" s="10" t="n">
        <v>285.48</v>
      </c>
      <c r="H266" s="10" t="n">
        <v>230.55</v>
      </c>
      <c r="I266" s="10" t="n">
        <v>54.93</v>
      </c>
      <c r="J266" s="10" t="n">
        <v>-14.32</v>
      </c>
      <c r="K266" s="11" t="n">
        <v>0.1924</v>
      </c>
      <c r="L266" s="11" t="n">
        <v>-0.0502</v>
      </c>
      <c r="M266" s="26" t="n">
        <v>45</v>
      </c>
    </row>
    <row r="267" customFormat="false" ht="15" hidden="false" customHeight="false" outlineLevel="0" collapsed="false">
      <c r="A267" s="27" t="n">
        <v>57312</v>
      </c>
      <c r="B267" s="12" t="s">
        <v>297</v>
      </c>
      <c r="C267" s="28" t="n">
        <v>140</v>
      </c>
      <c r="D267" s="28" t="n">
        <v>140</v>
      </c>
      <c r="E267" s="14" t="n">
        <v>0</v>
      </c>
      <c r="F267" s="14" t="n">
        <v>3904.6</v>
      </c>
      <c r="G267" s="14" t="n">
        <v>3904.6</v>
      </c>
      <c r="H267" s="14" t="n">
        <v>1686.58</v>
      </c>
      <c r="I267" s="14" t="n">
        <v>2218.02</v>
      </c>
      <c r="J267" s="14" t="n">
        <v>1128.26</v>
      </c>
      <c r="K267" s="15" t="n">
        <v>0.5681</v>
      </c>
      <c r="L267" s="15" t="n">
        <v>0.289</v>
      </c>
      <c r="M267" s="29" t="n">
        <v>45</v>
      </c>
    </row>
    <row r="268" customFormat="false" ht="15" hidden="false" customHeight="false" outlineLevel="0" collapsed="false">
      <c r="A268" s="24" t="n">
        <v>57404</v>
      </c>
      <c r="B268" s="8" t="s">
        <v>233</v>
      </c>
      <c r="C268" s="25" t="n">
        <v>1</v>
      </c>
      <c r="D268" s="25" t="n">
        <v>1</v>
      </c>
      <c r="E268" s="10" t="n">
        <v>0</v>
      </c>
      <c r="F268" s="10" t="n">
        <v>425.95</v>
      </c>
      <c r="G268" s="10" t="n">
        <v>425.95</v>
      </c>
      <c r="H268" s="10" t="n">
        <v>97.57</v>
      </c>
      <c r="I268" s="10" t="n">
        <v>328.38</v>
      </c>
      <c r="J268" s="10" t="n">
        <v>209.49</v>
      </c>
      <c r="K268" s="11" t="n">
        <v>0.7709</v>
      </c>
      <c r="L268" s="11" t="n">
        <v>0.4918</v>
      </c>
      <c r="M268" s="26" t="n">
        <v>32</v>
      </c>
    </row>
    <row r="269" customFormat="false" ht="15" hidden="false" customHeight="false" outlineLevel="0" collapsed="false">
      <c r="A269" s="27" t="n">
        <v>57552</v>
      </c>
      <c r="B269" s="12" t="s">
        <v>352</v>
      </c>
      <c r="C269" s="28" t="n">
        <v>10</v>
      </c>
      <c r="D269" s="28" t="n">
        <v>10</v>
      </c>
      <c r="E269" s="14" t="n">
        <v>0</v>
      </c>
      <c r="F269" s="14" t="n">
        <v>2392</v>
      </c>
      <c r="G269" s="14" t="n">
        <v>2392</v>
      </c>
      <c r="H269" s="14" t="n">
        <v>1044.26</v>
      </c>
      <c r="I269" s="14" t="n">
        <v>1347.74</v>
      </c>
      <c r="J269" s="14" t="n">
        <v>690.61</v>
      </c>
      <c r="K269" s="15" t="n">
        <v>0.5634</v>
      </c>
      <c r="L269" s="15" t="n">
        <v>0.2887</v>
      </c>
      <c r="M269" s="29" t="n">
        <v>30</v>
      </c>
    </row>
    <row r="270" customFormat="false" ht="15" hidden="false" customHeight="false" outlineLevel="0" collapsed="false">
      <c r="A270" s="24" t="n">
        <v>57710</v>
      </c>
      <c r="B270" s="8" t="s">
        <v>353</v>
      </c>
      <c r="C270" s="25" t="n">
        <v>1</v>
      </c>
      <c r="D270" s="25" t="n">
        <v>1</v>
      </c>
      <c r="E270" s="10" t="n">
        <v>30.47</v>
      </c>
      <c r="F270" s="10" t="n">
        <v>0</v>
      </c>
      <c r="G270" s="10" t="n">
        <v>30.47</v>
      </c>
      <c r="H270" s="10" t="n">
        <v>9.62</v>
      </c>
      <c r="I270" s="10" t="n">
        <v>20.85</v>
      </c>
      <c r="J270" s="10" t="n">
        <v>12.48</v>
      </c>
      <c r="K270" s="11" t="n">
        <v>0.6843</v>
      </c>
      <c r="L270" s="11" t="n">
        <v>0.4096</v>
      </c>
      <c r="M270" s="26" t="n">
        <v>5</v>
      </c>
    </row>
    <row r="271" customFormat="false" ht="15" hidden="false" customHeight="false" outlineLevel="0" collapsed="false">
      <c r="A271" s="27" t="n">
        <v>90199</v>
      </c>
      <c r="B271" s="12" t="s">
        <v>354</v>
      </c>
      <c r="C271" s="28" t="n">
        <v>4</v>
      </c>
      <c r="D271" s="28" t="n">
        <v>4</v>
      </c>
      <c r="E271" s="14" t="n">
        <v>0</v>
      </c>
      <c r="F271" s="14" t="n">
        <v>2790.62</v>
      </c>
      <c r="G271" s="14" t="n">
        <v>2790.62</v>
      </c>
      <c r="H271" s="14" t="n">
        <v>4</v>
      </c>
      <c r="I271" s="14" t="n">
        <v>2786.62</v>
      </c>
      <c r="J271" s="14" t="n">
        <v>2019.98</v>
      </c>
      <c r="K271" s="15" t="n">
        <v>0.9986</v>
      </c>
      <c r="L271" s="15" t="n">
        <v>0.7238</v>
      </c>
      <c r="M271" s="29" t="n">
        <v>46</v>
      </c>
    </row>
    <row r="272" customFormat="false" ht="15" hidden="false" customHeight="false" outlineLevel="0" collapsed="false">
      <c r="A272" s="24" t="n">
        <v>90308</v>
      </c>
      <c r="B272" s="8" t="s">
        <v>355</v>
      </c>
      <c r="C272" s="25" t="n">
        <v>1</v>
      </c>
      <c r="D272" s="25" t="n">
        <v>1</v>
      </c>
      <c r="E272" s="10" t="n">
        <v>0</v>
      </c>
      <c r="F272" s="10" t="n">
        <v>31000</v>
      </c>
      <c r="G272" s="10" t="n">
        <v>31000</v>
      </c>
      <c r="H272" s="10" t="n">
        <v>0</v>
      </c>
      <c r="I272" s="10" t="n">
        <v>31000</v>
      </c>
      <c r="J272" s="10" t="n">
        <v>31000</v>
      </c>
      <c r="K272" s="11" t="n">
        <v>1</v>
      </c>
      <c r="L272" s="11" t="n">
        <v>1</v>
      </c>
      <c r="M272" s="26" t="n">
        <v>0</v>
      </c>
    </row>
    <row r="273" customFormat="false" ht="15" hidden="false" customHeight="false" outlineLevel="0" collapsed="false">
      <c r="A273" s="27" t="n">
        <v>90325</v>
      </c>
      <c r="B273" s="12" t="s">
        <v>236</v>
      </c>
      <c r="C273" s="28" t="n">
        <v>6000</v>
      </c>
      <c r="D273" s="28" t="n">
        <v>6000</v>
      </c>
      <c r="E273" s="14" t="n">
        <v>0</v>
      </c>
      <c r="F273" s="14" t="n">
        <v>3240</v>
      </c>
      <c r="G273" s="14" t="n">
        <v>3240</v>
      </c>
      <c r="H273" s="14" t="n">
        <v>1108.2</v>
      </c>
      <c r="I273" s="14" t="n">
        <v>2131.8</v>
      </c>
      <c r="J273" s="14" t="n">
        <v>1241.71</v>
      </c>
      <c r="K273" s="15" t="n">
        <v>0.658</v>
      </c>
      <c r="L273" s="15" t="n">
        <v>0.3832</v>
      </c>
      <c r="M273" s="29" t="n">
        <v>60</v>
      </c>
    </row>
    <row r="274" customFormat="false" ht="15" hidden="false" customHeight="false" outlineLevel="0" collapsed="false">
      <c r="A274" s="24" t="n">
        <v>90328</v>
      </c>
      <c r="B274" s="8" t="s">
        <v>237</v>
      </c>
      <c r="C274" s="25" t="n">
        <v>1440</v>
      </c>
      <c r="D274" s="25" t="n">
        <v>1440</v>
      </c>
      <c r="E274" s="10" t="n">
        <v>0</v>
      </c>
      <c r="F274" s="10" t="n">
        <v>9288</v>
      </c>
      <c r="G274" s="10" t="n">
        <v>9288</v>
      </c>
      <c r="H274" s="10" t="n">
        <v>4355.136</v>
      </c>
      <c r="I274" s="10" t="n">
        <v>4932.86</v>
      </c>
      <c r="J274" s="10" t="n">
        <v>2381.26</v>
      </c>
      <c r="K274" s="11" t="n">
        <v>0.5311</v>
      </c>
      <c r="L274" s="11" t="n">
        <v>0.2564</v>
      </c>
      <c r="M274" s="26" t="n">
        <v>60</v>
      </c>
    </row>
    <row r="275" customFormat="false" ht="15" hidden="false" customHeight="false" outlineLevel="0" collapsed="false">
      <c r="A275" s="27" t="n">
        <v>90354</v>
      </c>
      <c r="B275" s="12" t="s">
        <v>238</v>
      </c>
      <c r="C275" s="28" t="n">
        <v>7300</v>
      </c>
      <c r="D275" s="28" t="n">
        <v>7300</v>
      </c>
      <c r="E275" s="14" t="n">
        <v>0</v>
      </c>
      <c r="F275" s="14" t="n">
        <v>45031.5</v>
      </c>
      <c r="G275" s="14" t="n">
        <v>45031.5</v>
      </c>
      <c r="H275" s="14" t="n">
        <v>16857.43</v>
      </c>
      <c r="I275" s="14" t="n">
        <v>28174.07</v>
      </c>
      <c r="J275" s="14" t="n">
        <v>15803.04</v>
      </c>
      <c r="K275" s="15" t="n">
        <v>0.6257</v>
      </c>
      <c r="L275" s="15" t="n">
        <v>0.3509</v>
      </c>
      <c r="M275" s="29" t="n">
        <v>60.1</v>
      </c>
    </row>
    <row r="276" customFormat="false" ht="15" hidden="false" customHeight="false" outlineLevel="0" collapsed="false">
      <c r="A276" s="24" t="n">
        <v>90366</v>
      </c>
      <c r="B276" s="8" t="s">
        <v>239</v>
      </c>
      <c r="C276" s="25" t="n">
        <v>1333</v>
      </c>
      <c r="D276" s="25" t="n">
        <v>1333</v>
      </c>
      <c r="E276" s="10" t="n">
        <v>0</v>
      </c>
      <c r="F276" s="10" t="n">
        <v>40770.4</v>
      </c>
      <c r="G276" s="10" t="n">
        <v>40770.4</v>
      </c>
      <c r="H276" s="10" t="n">
        <v>25423.9124</v>
      </c>
      <c r="I276" s="10" t="n">
        <v>15346.49</v>
      </c>
      <c r="J276" s="10" t="n">
        <v>4146.04</v>
      </c>
      <c r="K276" s="11" t="n">
        <v>0.3764</v>
      </c>
      <c r="L276" s="11" t="n">
        <v>0.1017</v>
      </c>
      <c r="M276" s="26" t="n">
        <v>98.51</v>
      </c>
    </row>
    <row r="277" customFormat="false" ht="15" hidden="false" customHeight="false" outlineLevel="0" collapsed="false">
      <c r="A277" s="27" t="n">
        <v>90372</v>
      </c>
      <c r="B277" s="12" t="s">
        <v>240</v>
      </c>
      <c r="C277" s="28" t="n">
        <v>478</v>
      </c>
      <c r="D277" s="28" t="n">
        <v>478</v>
      </c>
      <c r="E277" s="14" t="n">
        <v>0</v>
      </c>
      <c r="F277" s="14" t="n">
        <v>6467.34</v>
      </c>
      <c r="G277" s="14" t="n">
        <v>6467.34</v>
      </c>
      <c r="H277" s="14" t="n">
        <v>2810.4722</v>
      </c>
      <c r="I277" s="14" t="n">
        <v>3656.87</v>
      </c>
      <c r="J277" s="14" t="n">
        <v>1880.16</v>
      </c>
      <c r="K277" s="15" t="n">
        <v>0.5654</v>
      </c>
      <c r="L277" s="15" t="n">
        <v>0.2907</v>
      </c>
      <c r="M277" s="29" t="n">
        <v>93.2</v>
      </c>
    </row>
    <row r="278" customFormat="false" ht="15" hidden="false" customHeight="false" outlineLevel="0" collapsed="false">
      <c r="A278" s="24" t="n">
        <v>90375</v>
      </c>
      <c r="B278" s="8" t="s">
        <v>241</v>
      </c>
      <c r="C278" s="25" t="n">
        <v>324</v>
      </c>
      <c r="D278" s="25" t="n">
        <v>324</v>
      </c>
      <c r="E278" s="10" t="n">
        <v>0</v>
      </c>
      <c r="F278" s="10" t="n">
        <v>239.76</v>
      </c>
      <c r="G278" s="10" t="n">
        <v>239.76</v>
      </c>
      <c r="H278" s="10" t="n">
        <v>329.5973</v>
      </c>
      <c r="I278" s="10" t="n">
        <v>-89.83</v>
      </c>
      <c r="J278" s="10" t="n">
        <v>-155.7</v>
      </c>
      <c r="K278" s="11" t="n">
        <v>-0.3747</v>
      </c>
      <c r="L278" s="11" t="n">
        <v>-0.6494</v>
      </c>
      <c r="M278" s="26" t="n">
        <v>88.94</v>
      </c>
    </row>
    <row r="279" customFormat="false" ht="15" hidden="false" customHeight="false" outlineLevel="0" collapsed="false">
      <c r="A279" s="27" t="n">
        <v>90376</v>
      </c>
      <c r="B279" s="12" t="s">
        <v>242</v>
      </c>
      <c r="C279" s="28" t="n">
        <v>91</v>
      </c>
      <c r="D279" s="28" t="n">
        <v>91</v>
      </c>
      <c r="E279" s="14" t="n">
        <v>0</v>
      </c>
      <c r="F279" s="14" t="n">
        <v>4100.86</v>
      </c>
      <c r="G279" s="14" t="n">
        <v>4100.86</v>
      </c>
      <c r="H279" s="14" t="n">
        <v>1312.4304</v>
      </c>
      <c r="I279" s="14" t="n">
        <v>2788.43</v>
      </c>
      <c r="J279" s="14" t="n">
        <v>1661.85</v>
      </c>
      <c r="K279" s="15" t="n">
        <v>0.68</v>
      </c>
      <c r="L279" s="15" t="n">
        <v>0.4052</v>
      </c>
      <c r="M279" s="29" t="n">
        <v>28.72</v>
      </c>
    </row>
    <row r="280" customFormat="false" ht="15" hidden="false" customHeight="false" outlineLevel="0" collapsed="false">
      <c r="A280" s="24" t="n">
        <v>90419</v>
      </c>
      <c r="B280" s="8" t="s">
        <v>298</v>
      </c>
      <c r="C280" s="25" t="n">
        <v>50</v>
      </c>
      <c r="D280" s="25" t="n">
        <v>50</v>
      </c>
      <c r="E280" s="10" t="n">
        <v>0</v>
      </c>
      <c r="F280" s="10" t="n">
        <v>10756</v>
      </c>
      <c r="G280" s="10" t="n">
        <v>10756</v>
      </c>
      <c r="H280" s="10" t="n">
        <v>6867.27</v>
      </c>
      <c r="I280" s="10" t="n">
        <v>3888.73</v>
      </c>
      <c r="J280" s="10" t="n">
        <v>933.85</v>
      </c>
      <c r="K280" s="11" t="n">
        <v>0.3615</v>
      </c>
      <c r="L280" s="11" t="n">
        <v>0.0868</v>
      </c>
      <c r="M280" s="26" t="n">
        <v>60</v>
      </c>
    </row>
    <row r="281" customFormat="false" ht="15" hidden="false" customHeight="false" outlineLevel="0" collapsed="false">
      <c r="A281" s="27" t="n">
        <v>90435</v>
      </c>
      <c r="B281" s="12" t="s">
        <v>244</v>
      </c>
      <c r="C281" s="28" t="n">
        <v>855</v>
      </c>
      <c r="D281" s="28" t="n">
        <v>855</v>
      </c>
      <c r="E281" s="14" t="n">
        <v>0</v>
      </c>
      <c r="F281" s="14" t="n">
        <v>17955</v>
      </c>
      <c r="G281" s="14" t="n">
        <v>17955</v>
      </c>
      <c r="H281" s="14" t="n">
        <v>3988.748</v>
      </c>
      <c r="I281" s="14" t="n">
        <v>13966.25</v>
      </c>
      <c r="J281" s="14" t="n">
        <v>9033.66</v>
      </c>
      <c r="K281" s="15" t="n">
        <v>0.7778</v>
      </c>
      <c r="L281" s="15" t="n">
        <v>0.5031</v>
      </c>
      <c r="M281" s="29" t="n">
        <v>102.84</v>
      </c>
    </row>
    <row r="282" customFormat="false" ht="15" hidden="false" customHeight="false" outlineLevel="0" collapsed="false">
      <c r="A282" s="24" t="n">
        <v>90460</v>
      </c>
      <c r="B282" s="8" t="s">
        <v>356</v>
      </c>
      <c r="C282" s="25" t="n">
        <v>100</v>
      </c>
      <c r="D282" s="25" t="n">
        <v>100</v>
      </c>
      <c r="E282" s="10" t="n">
        <v>0</v>
      </c>
      <c r="F282" s="10" t="n">
        <v>6300</v>
      </c>
      <c r="G282" s="10" t="n">
        <v>6300</v>
      </c>
      <c r="H282" s="10" t="n">
        <v>1323.94</v>
      </c>
      <c r="I282" s="10" t="n">
        <v>4976.06</v>
      </c>
      <c r="J282" s="10" t="n">
        <v>3245.32</v>
      </c>
      <c r="K282" s="11" t="n">
        <v>0.7899</v>
      </c>
      <c r="L282" s="11" t="n">
        <v>0.5151</v>
      </c>
      <c r="M282" s="26" t="n">
        <v>60</v>
      </c>
    </row>
    <row r="283" customFormat="false" ht="15" hidden="false" customHeight="false" outlineLevel="0" collapsed="false">
      <c r="A283" s="27" t="n">
        <v>90499</v>
      </c>
      <c r="B283" s="12" t="s">
        <v>357</v>
      </c>
      <c r="C283" s="28" t="n">
        <v>7</v>
      </c>
      <c r="D283" s="28" t="n">
        <v>7</v>
      </c>
      <c r="E283" s="14" t="n">
        <v>0</v>
      </c>
      <c r="F283" s="14" t="n">
        <v>14475</v>
      </c>
      <c r="G283" s="14" t="n">
        <v>14475</v>
      </c>
      <c r="H283" s="14" t="n">
        <v>6620.9601</v>
      </c>
      <c r="I283" s="14" t="n">
        <v>7854.04</v>
      </c>
      <c r="J283" s="14" t="n">
        <v>3877.47</v>
      </c>
      <c r="K283" s="15" t="n">
        <v>0.5426</v>
      </c>
      <c r="L283" s="15" t="n">
        <v>0.2679</v>
      </c>
      <c r="M283" s="29" t="n">
        <v>75</v>
      </c>
    </row>
    <row r="284" customFormat="false" ht="15" hidden="false" customHeight="false" outlineLevel="0" collapsed="false">
      <c r="A284" s="24" t="n">
        <v>90530</v>
      </c>
      <c r="B284" s="8" t="s">
        <v>358</v>
      </c>
      <c r="C284" s="25" t="n">
        <v>16</v>
      </c>
      <c r="D284" s="25" t="n">
        <v>16</v>
      </c>
      <c r="E284" s="10" t="n">
        <v>0</v>
      </c>
      <c r="F284" s="10" t="n">
        <v>4459.36</v>
      </c>
      <c r="G284" s="10" t="n">
        <v>4459.36</v>
      </c>
      <c r="H284" s="10" t="n">
        <v>703.28</v>
      </c>
      <c r="I284" s="10" t="n">
        <v>3756.08</v>
      </c>
      <c r="J284" s="10" t="n">
        <v>2531</v>
      </c>
      <c r="K284" s="11" t="n">
        <v>0.8423</v>
      </c>
      <c r="L284" s="11" t="n">
        <v>0.5676</v>
      </c>
      <c r="M284" s="26" t="n">
        <v>60</v>
      </c>
    </row>
    <row r="285" customFormat="false" ht="15" hidden="false" customHeight="false" outlineLevel="0" collapsed="false">
      <c r="A285" s="27" t="n">
        <v>90544</v>
      </c>
      <c r="B285" s="12" t="s">
        <v>246</v>
      </c>
      <c r="C285" s="28" t="n">
        <v>350</v>
      </c>
      <c r="D285" s="28" t="n">
        <v>350</v>
      </c>
      <c r="E285" s="14" t="n">
        <v>0</v>
      </c>
      <c r="F285" s="14" t="n">
        <v>112518</v>
      </c>
      <c r="G285" s="14" t="n">
        <v>112518</v>
      </c>
      <c r="H285" s="14" t="n">
        <v>54564.08</v>
      </c>
      <c r="I285" s="14" t="n">
        <v>57953.92</v>
      </c>
      <c r="J285" s="14" t="n">
        <v>27042.97</v>
      </c>
      <c r="K285" s="15" t="n">
        <v>0.5151</v>
      </c>
      <c r="L285" s="15" t="n">
        <v>0.2403</v>
      </c>
      <c r="M285" s="29" t="n">
        <v>60.29</v>
      </c>
    </row>
    <row r="286" customFormat="false" ht="15" hidden="false" customHeight="false" outlineLevel="0" collapsed="false">
      <c r="A286" s="24" t="n">
        <v>90560</v>
      </c>
      <c r="B286" s="8" t="s">
        <v>247</v>
      </c>
      <c r="C286" s="25" t="n">
        <v>10</v>
      </c>
      <c r="D286" s="25" t="n">
        <v>10</v>
      </c>
      <c r="E286" s="10" t="n">
        <v>0</v>
      </c>
      <c r="F286" s="10" t="n">
        <v>3530</v>
      </c>
      <c r="G286" s="10" t="n">
        <v>3530</v>
      </c>
      <c r="H286" s="10" t="n">
        <v>1795.15</v>
      </c>
      <c r="I286" s="10" t="n">
        <v>1734.85</v>
      </c>
      <c r="J286" s="10" t="n">
        <v>765.09</v>
      </c>
      <c r="K286" s="11" t="n">
        <v>0.4915</v>
      </c>
      <c r="L286" s="11" t="n">
        <v>0.2167</v>
      </c>
      <c r="M286" s="26" t="n">
        <v>46</v>
      </c>
    </row>
    <row r="287" customFormat="false" ht="15" hidden="false" customHeight="false" outlineLevel="0" collapsed="false">
      <c r="A287" s="27" t="n">
        <v>90564</v>
      </c>
      <c r="B287" s="12" t="s">
        <v>301</v>
      </c>
      <c r="C287" s="28" t="n">
        <v>1136</v>
      </c>
      <c r="D287" s="28" t="n">
        <v>1136</v>
      </c>
      <c r="E287" s="14" t="n">
        <v>0</v>
      </c>
      <c r="F287" s="14" t="n">
        <v>86336</v>
      </c>
      <c r="G287" s="14" t="n">
        <v>86336</v>
      </c>
      <c r="H287" s="14" t="n">
        <v>29391.8298</v>
      </c>
      <c r="I287" s="14" t="n">
        <v>56944.17</v>
      </c>
      <c r="J287" s="14" t="n">
        <v>26459.91</v>
      </c>
      <c r="K287" s="15" t="n">
        <v>0.6596</v>
      </c>
      <c r="L287" s="15" t="n">
        <v>0.3065</v>
      </c>
      <c r="M287" s="29" t="n">
        <v>154.02</v>
      </c>
    </row>
    <row r="288" customFormat="false" ht="15" hidden="false" customHeight="false" outlineLevel="0" collapsed="false">
      <c r="A288" s="24" t="n">
        <v>90570</v>
      </c>
      <c r="B288" s="8" t="s">
        <v>359</v>
      </c>
      <c r="C288" s="25" t="n">
        <v>25</v>
      </c>
      <c r="D288" s="25" t="n">
        <v>25</v>
      </c>
      <c r="E288" s="10" t="n">
        <v>0</v>
      </c>
      <c r="F288" s="10" t="n">
        <v>46762</v>
      </c>
      <c r="G288" s="10" t="n">
        <v>46762</v>
      </c>
      <c r="H288" s="10" t="n">
        <v>15634.92</v>
      </c>
      <c r="I288" s="10" t="n">
        <v>31127.08</v>
      </c>
      <c r="J288" s="10" t="n">
        <v>18280.62</v>
      </c>
      <c r="K288" s="11" t="n">
        <v>0.6656</v>
      </c>
      <c r="L288" s="11" t="n">
        <v>0.3909</v>
      </c>
      <c r="M288" s="26" t="n">
        <v>75</v>
      </c>
    </row>
    <row r="289" customFormat="false" ht="15" hidden="false" customHeight="false" outlineLevel="0" collapsed="false">
      <c r="A289" s="27" t="n">
        <v>90603</v>
      </c>
      <c r="B289" s="12" t="s">
        <v>242</v>
      </c>
      <c r="C289" s="28" t="n">
        <v>12</v>
      </c>
      <c r="D289" s="28" t="n">
        <v>12</v>
      </c>
      <c r="E289" s="14" t="n">
        <v>0</v>
      </c>
      <c r="F289" s="14" t="n">
        <v>491.04</v>
      </c>
      <c r="G289" s="14" t="n">
        <v>491.04</v>
      </c>
      <c r="H289" s="14" t="n">
        <v>168.94</v>
      </c>
      <c r="I289" s="14" t="n">
        <v>322.1</v>
      </c>
      <c r="J289" s="14" t="n">
        <v>187.2</v>
      </c>
      <c r="K289" s="15" t="n">
        <v>0.656</v>
      </c>
      <c r="L289" s="15" t="n">
        <v>0.3812</v>
      </c>
      <c r="M289" s="29" t="n">
        <v>29.33</v>
      </c>
    </row>
    <row r="290" customFormat="false" ht="15" hidden="false" customHeight="false" outlineLevel="0" collapsed="false">
      <c r="A290" s="24" t="n">
        <v>90604</v>
      </c>
      <c r="B290" s="8" t="s">
        <v>302</v>
      </c>
      <c r="C290" s="25" t="n">
        <v>240</v>
      </c>
      <c r="D290" s="25" t="n">
        <v>240</v>
      </c>
      <c r="E290" s="10" t="n">
        <v>0</v>
      </c>
      <c r="F290" s="10" t="n">
        <v>29874</v>
      </c>
      <c r="G290" s="10" t="n">
        <v>29874</v>
      </c>
      <c r="H290" s="10" t="n">
        <v>14941.82</v>
      </c>
      <c r="I290" s="10" t="n">
        <v>14932.18</v>
      </c>
      <c r="J290" s="10" t="n">
        <v>6725.2</v>
      </c>
      <c r="K290" s="11" t="n">
        <v>0.4998</v>
      </c>
      <c r="L290" s="11" t="n">
        <v>0.2251</v>
      </c>
      <c r="M290" s="26" t="n">
        <v>75.95</v>
      </c>
    </row>
    <row r="291" customFormat="false" ht="15" hidden="false" customHeight="false" outlineLevel="0" collapsed="false">
      <c r="A291" s="27" t="n">
        <v>90624</v>
      </c>
      <c r="B291" s="12" t="s">
        <v>360</v>
      </c>
      <c r="C291" s="28" t="n">
        <v>100</v>
      </c>
      <c r="D291" s="28" t="n">
        <v>100</v>
      </c>
      <c r="E291" s="14" t="n">
        <v>0</v>
      </c>
      <c r="F291" s="14" t="n">
        <v>7660</v>
      </c>
      <c r="G291" s="14" t="n">
        <v>7660</v>
      </c>
      <c r="H291" s="14" t="n">
        <v>3528.3</v>
      </c>
      <c r="I291" s="14" t="n">
        <v>4131.7</v>
      </c>
      <c r="J291" s="14" t="n">
        <v>2027.34</v>
      </c>
      <c r="K291" s="15" t="n">
        <v>0.5394</v>
      </c>
      <c r="L291" s="15" t="n">
        <v>0.2647</v>
      </c>
      <c r="M291" s="29" t="n">
        <v>55.8</v>
      </c>
    </row>
    <row r="292" customFormat="false" ht="15" hidden="false" customHeight="false" outlineLevel="0" collapsed="false">
      <c r="A292" s="24" t="n">
        <v>90632</v>
      </c>
      <c r="B292" s="8" t="s">
        <v>248</v>
      </c>
      <c r="C292" s="25" t="n">
        <v>10</v>
      </c>
      <c r="D292" s="25" t="n">
        <v>10</v>
      </c>
      <c r="E292" s="10" t="n">
        <v>0</v>
      </c>
      <c r="F292" s="10" t="n">
        <v>3450</v>
      </c>
      <c r="G292" s="10" t="n">
        <v>3450</v>
      </c>
      <c r="H292" s="10" t="n">
        <v>1325.91</v>
      </c>
      <c r="I292" s="10" t="n">
        <v>2124.09</v>
      </c>
      <c r="J292" s="10" t="n">
        <v>1342.51</v>
      </c>
      <c r="K292" s="11" t="n">
        <v>0.6157</v>
      </c>
      <c r="L292" s="11" t="n">
        <v>0.3891</v>
      </c>
      <c r="M292" s="26" t="n">
        <v>46</v>
      </c>
    </row>
    <row r="293" customFormat="false" ht="15" hidden="false" customHeight="false" outlineLevel="0" collapsed="false">
      <c r="A293" s="27" t="n">
        <v>90663</v>
      </c>
      <c r="B293" s="12" t="s">
        <v>303</v>
      </c>
      <c r="C293" s="28" t="n">
        <v>7</v>
      </c>
      <c r="D293" s="28" t="n">
        <v>7</v>
      </c>
      <c r="E293" s="14" t="n">
        <v>0</v>
      </c>
      <c r="F293" s="14" t="n">
        <v>102000</v>
      </c>
      <c r="G293" s="14" t="n">
        <v>102000</v>
      </c>
      <c r="H293" s="14" t="n">
        <v>67445.04</v>
      </c>
      <c r="I293" s="14" t="n">
        <v>34554.96</v>
      </c>
      <c r="J293" s="14" t="n">
        <v>-837.25</v>
      </c>
      <c r="K293" s="15" t="n">
        <v>0.3388</v>
      </c>
      <c r="L293" s="15" t="n">
        <v>-0.0082</v>
      </c>
      <c r="M293" s="29" t="n">
        <v>174.65</v>
      </c>
    </row>
    <row r="294" customFormat="false" ht="15" hidden="false" customHeight="false" outlineLevel="0" collapsed="false">
      <c r="A294" s="16" t="s">
        <v>249</v>
      </c>
      <c r="B294" s="16" t="str">
        <f aca="false">COUNTA(A6:A293)&amp;" produtos"</f>
        <v>288 produtos</v>
      </c>
      <c r="C294" s="30" t="n">
        <f aca="false">SUM(C6:C293)</f>
        <v>50148</v>
      </c>
      <c r="D294" s="30" t="n">
        <f aca="false">SUM(D6:D293)</f>
        <v>50148</v>
      </c>
      <c r="E294" s="18" t="n">
        <f aca="false">SUM(E6:E293)</f>
        <v>56145.62</v>
      </c>
      <c r="F294" s="18" t="n">
        <f aca="false">SUM(F6:F293)</f>
        <v>5297775.89</v>
      </c>
      <c r="G294" s="18" t="n">
        <f aca="false">SUM(G6:G293)</f>
        <v>5353921.51</v>
      </c>
      <c r="H294" s="18" t="n">
        <f aca="false">SUM(H6:H293)</f>
        <v>2446819.4873</v>
      </c>
      <c r="I294" s="18" t="n">
        <f aca="false">SUM(I6:I293)</f>
        <v>2907102.06</v>
      </c>
      <c r="J294" s="18" t="n">
        <f aca="false">SUM(J6:J293)</f>
        <v>1566461.53</v>
      </c>
      <c r="K294" s="19" t="n">
        <f aca="false">IFERROR(I294/G294,0)</f>
        <v>0.542985558262321</v>
      </c>
      <c r="L294" s="19" t="n">
        <f aca="false">IFERROR(J294/G294,0)</f>
        <v>0.292582087181177</v>
      </c>
      <c r="M294" s="31" t="n">
        <f aca="false">IFERROR(SUMPRODUCT(M6:M293,G6:G293)/G294,0)</f>
        <v>48.8521390675561</v>
      </c>
    </row>
  </sheetData>
  <autoFilter ref="A5:M293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361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1089</v>
      </c>
      <c r="D6" s="25" t="n">
        <v>1089</v>
      </c>
      <c r="E6" s="10" t="n">
        <v>0</v>
      </c>
      <c r="F6" s="10" t="n">
        <v>32472.94</v>
      </c>
      <c r="G6" s="10" t="n">
        <v>32472.94</v>
      </c>
      <c r="H6" s="10" t="n">
        <v>15569.3498</v>
      </c>
      <c r="I6" s="10" t="n">
        <v>16903.6</v>
      </c>
      <c r="J6" s="10" t="n">
        <v>8366.78</v>
      </c>
      <c r="K6" s="11" t="n">
        <v>0.5205</v>
      </c>
      <c r="L6" s="11" t="n">
        <v>0.2577</v>
      </c>
      <c r="M6" s="26" t="n">
        <v>49.49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169</v>
      </c>
      <c r="D7" s="28" t="n">
        <v>169</v>
      </c>
      <c r="E7" s="14" t="n">
        <v>0</v>
      </c>
      <c r="F7" s="14" t="n">
        <v>54819.97</v>
      </c>
      <c r="G7" s="14" t="n">
        <v>54819.97</v>
      </c>
      <c r="H7" s="14" t="n">
        <v>13836.16</v>
      </c>
      <c r="I7" s="14" t="n">
        <v>40983.81</v>
      </c>
      <c r="J7" s="14" t="n">
        <v>26161.09</v>
      </c>
      <c r="K7" s="15" t="n">
        <v>0.7476</v>
      </c>
      <c r="L7" s="15" t="n">
        <v>0.4772</v>
      </c>
      <c r="M7" s="29" t="n">
        <v>50.99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4</v>
      </c>
      <c r="D8" s="25" t="n">
        <v>4</v>
      </c>
      <c r="E8" s="10" t="n">
        <v>0</v>
      </c>
      <c r="F8" s="10" t="n">
        <v>373.32</v>
      </c>
      <c r="G8" s="10" t="n">
        <v>373.32</v>
      </c>
      <c r="H8" s="10" t="n">
        <v>192.9</v>
      </c>
      <c r="I8" s="10" t="n">
        <v>180.42</v>
      </c>
      <c r="J8" s="10" t="n">
        <v>77.85</v>
      </c>
      <c r="K8" s="11" t="n">
        <v>0.4833</v>
      </c>
      <c r="L8" s="11" t="n">
        <v>0.2085</v>
      </c>
      <c r="M8" s="26" t="n">
        <v>54.77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582</v>
      </c>
      <c r="D9" s="28" t="n">
        <v>582</v>
      </c>
      <c r="E9" s="14" t="n">
        <v>0</v>
      </c>
      <c r="F9" s="14" t="n">
        <v>54459.52</v>
      </c>
      <c r="G9" s="14" t="n">
        <v>54459.52</v>
      </c>
      <c r="H9" s="14" t="n">
        <v>7309.2087</v>
      </c>
      <c r="I9" s="14" t="n">
        <v>47150.31</v>
      </c>
      <c r="J9" s="14" t="n">
        <v>33328.31</v>
      </c>
      <c r="K9" s="15" t="n">
        <v>0.8658</v>
      </c>
      <c r="L9" s="15" t="n">
        <v>0.612</v>
      </c>
      <c r="M9" s="29" t="n">
        <v>44.93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5</v>
      </c>
      <c r="D10" s="25" t="n">
        <v>5</v>
      </c>
      <c r="E10" s="10" t="n">
        <v>0</v>
      </c>
      <c r="F10" s="10" t="n">
        <v>329.94</v>
      </c>
      <c r="G10" s="10" t="n">
        <v>329.94</v>
      </c>
      <c r="H10" s="10" t="n">
        <v>41.7801</v>
      </c>
      <c r="I10" s="10" t="n">
        <v>288.16</v>
      </c>
      <c r="J10" s="10" t="n">
        <v>197.52</v>
      </c>
      <c r="K10" s="11" t="n">
        <v>0.8734</v>
      </c>
      <c r="L10" s="11" t="n">
        <v>0.5987</v>
      </c>
      <c r="M10" s="26" t="n">
        <v>60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230</v>
      </c>
      <c r="D11" s="28" t="n">
        <v>230</v>
      </c>
      <c r="E11" s="14" t="n">
        <v>0</v>
      </c>
      <c r="F11" s="14" t="n">
        <v>71073.4</v>
      </c>
      <c r="G11" s="14" t="n">
        <v>71073.4</v>
      </c>
      <c r="H11" s="14" t="n">
        <v>19165.6698</v>
      </c>
      <c r="I11" s="14" t="n">
        <v>51907.73</v>
      </c>
      <c r="J11" s="14" t="n">
        <v>33412.04</v>
      </c>
      <c r="K11" s="15" t="n">
        <v>0.7303</v>
      </c>
      <c r="L11" s="15" t="n">
        <v>0.4701</v>
      </c>
      <c r="M11" s="29" t="n">
        <v>49.6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1988</v>
      </c>
      <c r="D12" s="25" t="n">
        <v>1988</v>
      </c>
      <c r="E12" s="10" t="n">
        <v>0</v>
      </c>
      <c r="F12" s="10" t="n">
        <v>328222.36</v>
      </c>
      <c r="G12" s="10" t="n">
        <v>328222.36</v>
      </c>
      <c r="H12" s="10" t="n">
        <v>126710.1126</v>
      </c>
      <c r="I12" s="10" t="n">
        <v>201512.25</v>
      </c>
      <c r="J12" s="10" t="n">
        <v>125686.75</v>
      </c>
      <c r="K12" s="11" t="n">
        <v>0.614</v>
      </c>
      <c r="L12" s="11" t="n">
        <v>0.3829</v>
      </c>
      <c r="M12" s="26" t="n">
        <v>45.9</v>
      </c>
    </row>
    <row r="13" customFormat="false" ht="15" hidden="false" customHeight="false" outlineLevel="0" collapsed="false">
      <c r="A13" s="27" t="n">
        <v>10012</v>
      </c>
      <c r="B13" s="12" t="s">
        <v>362</v>
      </c>
      <c r="C13" s="28" t="n">
        <v>1</v>
      </c>
      <c r="D13" s="28" t="n">
        <v>1</v>
      </c>
      <c r="E13" s="14" t="n">
        <v>0</v>
      </c>
      <c r="F13" s="14" t="n">
        <v>60.26</v>
      </c>
      <c r="G13" s="14" t="n">
        <v>60.26</v>
      </c>
      <c r="H13" s="14" t="n">
        <v>8.72</v>
      </c>
      <c r="I13" s="14" t="n">
        <v>51.54</v>
      </c>
      <c r="J13" s="14" t="n">
        <v>37.89</v>
      </c>
      <c r="K13" s="15" t="n">
        <v>0.8553</v>
      </c>
      <c r="L13" s="15" t="n">
        <v>0.6288</v>
      </c>
      <c r="M13" s="29" t="n">
        <v>7</v>
      </c>
    </row>
    <row r="14" customFormat="false" ht="15" hidden="false" customHeight="false" outlineLevel="0" collapsed="false">
      <c r="A14" s="24" t="n">
        <v>10018</v>
      </c>
      <c r="B14" s="8" t="s">
        <v>38</v>
      </c>
      <c r="C14" s="25" t="n">
        <v>1</v>
      </c>
      <c r="D14" s="25" t="n">
        <v>1</v>
      </c>
      <c r="E14" s="10" t="n">
        <v>0</v>
      </c>
      <c r="F14" s="10" t="n">
        <v>79.87</v>
      </c>
      <c r="G14" s="10" t="n">
        <v>79.87</v>
      </c>
      <c r="H14" s="10" t="n">
        <v>33.07</v>
      </c>
      <c r="I14" s="10" t="n">
        <v>46.8</v>
      </c>
      <c r="J14" s="10" t="n">
        <v>28.71</v>
      </c>
      <c r="K14" s="11" t="n">
        <v>0.586</v>
      </c>
      <c r="L14" s="11" t="n">
        <v>0.3595</v>
      </c>
      <c r="M14" s="26" t="n">
        <v>50</v>
      </c>
    </row>
    <row r="15" customFormat="false" ht="15" hidden="false" customHeight="false" outlineLevel="0" collapsed="false">
      <c r="A15" s="27" t="n">
        <v>10019</v>
      </c>
      <c r="B15" s="12" t="s">
        <v>35</v>
      </c>
      <c r="C15" s="28" t="n">
        <v>1</v>
      </c>
      <c r="D15" s="28" t="n">
        <v>1</v>
      </c>
      <c r="E15" s="14" t="n">
        <v>0</v>
      </c>
      <c r="F15" s="14" t="n">
        <v>288.9</v>
      </c>
      <c r="G15" s="14" t="n">
        <v>288.9</v>
      </c>
      <c r="H15" s="14" t="n">
        <v>70.56</v>
      </c>
      <c r="I15" s="14" t="n">
        <v>218.34</v>
      </c>
      <c r="J15" s="14" t="n">
        <v>152.89</v>
      </c>
      <c r="K15" s="15" t="n">
        <v>0.7558</v>
      </c>
      <c r="L15" s="15" t="n">
        <v>0.5292</v>
      </c>
      <c r="M15" s="29" t="n">
        <v>7</v>
      </c>
    </row>
    <row r="16" customFormat="false" ht="15" hidden="false" customHeight="false" outlineLevel="0" collapsed="false">
      <c r="A16" s="24" t="n">
        <v>10021</v>
      </c>
      <c r="B16" s="8" t="s">
        <v>41</v>
      </c>
      <c r="C16" s="25" t="n">
        <v>30</v>
      </c>
      <c r="D16" s="25" t="n">
        <v>30</v>
      </c>
      <c r="E16" s="10" t="n">
        <v>0</v>
      </c>
      <c r="F16" s="10" t="n">
        <v>10006.7</v>
      </c>
      <c r="G16" s="10" t="n">
        <v>10006.7</v>
      </c>
      <c r="H16" s="10" t="n">
        <v>2221.5</v>
      </c>
      <c r="I16" s="10" t="n">
        <v>7785.2</v>
      </c>
      <c r="J16" s="10" t="n">
        <v>5923.63</v>
      </c>
      <c r="K16" s="11" t="n">
        <v>0.778</v>
      </c>
      <c r="L16" s="11" t="n">
        <v>0.592</v>
      </c>
      <c r="M16" s="26" t="n">
        <v>34.63</v>
      </c>
    </row>
    <row r="17" customFormat="false" ht="15" hidden="false" customHeight="false" outlineLevel="0" collapsed="false">
      <c r="A17" s="27" t="n">
        <v>10022</v>
      </c>
      <c r="B17" s="12" t="s">
        <v>42</v>
      </c>
      <c r="C17" s="28" t="n">
        <v>8</v>
      </c>
      <c r="D17" s="28" t="n">
        <v>8</v>
      </c>
      <c r="E17" s="14" t="n">
        <v>0</v>
      </c>
      <c r="F17" s="14" t="n">
        <v>2837.14</v>
      </c>
      <c r="G17" s="14" t="n">
        <v>2837.14</v>
      </c>
      <c r="H17" s="14" t="n">
        <v>627.0701</v>
      </c>
      <c r="I17" s="14" t="n">
        <v>2210.07</v>
      </c>
      <c r="J17" s="14" t="n">
        <v>1498.69</v>
      </c>
      <c r="K17" s="15" t="n">
        <v>0.779</v>
      </c>
      <c r="L17" s="15" t="n">
        <v>0.5282</v>
      </c>
      <c r="M17" s="29" t="n">
        <v>53.8</v>
      </c>
    </row>
    <row r="18" customFormat="false" ht="15" hidden="false" customHeight="false" outlineLevel="0" collapsed="false">
      <c r="A18" s="24" t="n">
        <v>10024</v>
      </c>
      <c r="B18" s="8" t="s">
        <v>43</v>
      </c>
      <c r="C18" s="25" t="n">
        <v>194</v>
      </c>
      <c r="D18" s="25" t="n">
        <v>194</v>
      </c>
      <c r="E18" s="10" t="n">
        <v>0</v>
      </c>
      <c r="F18" s="10" t="n">
        <v>9362.44</v>
      </c>
      <c r="G18" s="10" t="n">
        <v>9362.44</v>
      </c>
      <c r="H18" s="10" t="n">
        <v>1440.7294</v>
      </c>
      <c r="I18" s="10" t="n">
        <v>7921.71</v>
      </c>
      <c r="J18" s="10" t="n">
        <v>5349.66</v>
      </c>
      <c r="K18" s="11" t="n">
        <v>0.8461</v>
      </c>
      <c r="L18" s="11" t="n">
        <v>0.5714</v>
      </c>
      <c r="M18" s="26" t="n">
        <v>50</v>
      </c>
    </row>
    <row r="19" customFormat="false" ht="15" hidden="false" customHeight="false" outlineLevel="0" collapsed="false">
      <c r="A19" s="27" t="n">
        <v>10025</v>
      </c>
      <c r="B19" s="12" t="s">
        <v>44</v>
      </c>
      <c r="C19" s="28" t="n">
        <v>45</v>
      </c>
      <c r="D19" s="28" t="n">
        <v>45</v>
      </c>
      <c r="E19" s="14" t="n">
        <v>0</v>
      </c>
      <c r="F19" s="14" t="n">
        <v>2753.65</v>
      </c>
      <c r="G19" s="14" t="n">
        <v>2753.65</v>
      </c>
      <c r="H19" s="14" t="n">
        <v>325.1098</v>
      </c>
      <c r="I19" s="14" t="n">
        <v>2428.54</v>
      </c>
      <c r="J19" s="14" t="n">
        <v>1672.06</v>
      </c>
      <c r="K19" s="15" t="n">
        <v>0.8819</v>
      </c>
      <c r="L19" s="15" t="n">
        <v>0.6072</v>
      </c>
      <c r="M19" s="29" t="n">
        <v>36.09</v>
      </c>
    </row>
    <row r="20" customFormat="false" ht="15" hidden="false" customHeight="false" outlineLevel="0" collapsed="false">
      <c r="A20" s="24" t="n">
        <v>10027</v>
      </c>
      <c r="B20" s="8" t="s">
        <v>45</v>
      </c>
      <c r="C20" s="25" t="n">
        <v>59</v>
      </c>
      <c r="D20" s="25" t="n">
        <v>59</v>
      </c>
      <c r="E20" s="10" t="n">
        <v>0</v>
      </c>
      <c r="F20" s="10" t="n">
        <v>34182.61</v>
      </c>
      <c r="G20" s="10" t="n">
        <v>34182.61</v>
      </c>
      <c r="H20" s="10" t="n">
        <v>13148.0501</v>
      </c>
      <c r="I20" s="10" t="n">
        <v>21034.56</v>
      </c>
      <c r="J20" s="10" t="n">
        <v>15369.04</v>
      </c>
      <c r="K20" s="11" t="n">
        <v>0.6154</v>
      </c>
      <c r="L20" s="11" t="n">
        <v>0.4496</v>
      </c>
      <c r="M20" s="26" t="n">
        <v>32.65</v>
      </c>
    </row>
    <row r="21" customFormat="false" ht="15" hidden="false" customHeight="false" outlineLevel="0" collapsed="false">
      <c r="A21" s="27" t="n">
        <v>10031</v>
      </c>
      <c r="B21" s="12" t="s">
        <v>46</v>
      </c>
      <c r="C21" s="28" t="n">
        <v>43</v>
      </c>
      <c r="D21" s="28" t="n">
        <v>43</v>
      </c>
      <c r="E21" s="14" t="n">
        <v>0</v>
      </c>
      <c r="F21" s="14" t="n">
        <v>1320.08</v>
      </c>
      <c r="G21" s="14" t="n">
        <v>1320.08</v>
      </c>
      <c r="H21" s="14" t="n">
        <v>249.7091</v>
      </c>
      <c r="I21" s="14" t="n">
        <v>1070.37</v>
      </c>
      <c r="J21" s="14" t="n">
        <v>742.8</v>
      </c>
      <c r="K21" s="15" t="n">
        <v>0.8108</v>
      </c>
      <c r="L21" s="15" t="n">
        <v>0.5627</v>
      </c>
      <c r="M21" s="29" t="n">
        <v>16.79</v>
      </c>
    </row>
    <row r="22" customFormat="false" ht="15" hidden="false" customHeight="false" outlineLevel="0" collapsed="false">
      <c r="A22" s="24" t="n">
        <v>10032</v>
      </c>
      <c r="B22" s="8" t="s">
        <v>309</v>
      </c>
      <c r="C22" s="25" t="n">
        <v>3</v>
      </c>
      <c r="D22" s="25" t="n">
        <v>3</v>
      </c>
      <c r="E22" s="10" t="n">
        <v>0</v>
      </c>
      <c r="F22" s="10" t="n">
        <v>133.14</v>
      </c>
      <c r="G22" s="10" t="n">
        <v>133.14</v>
      </c>
      <c r="H22" s="10" t="n">
        <v>1.56</v>
      </c>
      <c r="I22" s="10" t="n">
        <v>131.58</v>
      </c>
      <c r="J22" s="10" t="n">
        <v>95</v>
      </c>
      <c r="K22" s="11" t="n">
        <v>0.9883</v>
      </c>
      <c r="L22" s="11" t="n">
        <v>0.7135</v>
      </c>
      <c r="M22" s="26" t="n">
        <v>42</v>
      </c>
    </row>
    <row r="23" customFormat="false" ht="15" hidden="false" customHeight="false" outlineLevel="0" collapsed="false">
      <c r="A23" s="27" t="n">
        <v>10038</v>
      </c>
      <c r="B23" s="12" t="s">
        <v>47</v>
      </c>
      <c r="C23" s="28" t="n">
        <v>13</v>
      </c>
      <c r="D23" s="28" t="n">
        <v>13</v>
      </c>
      <c r="E23" s="14" t="n">
        <v>0</v>
      </c>
      <c r="F23" s="14" t="n">
        <v>3667.9</v>
      </c>
      <c r="G23" s="14" t="n">
        <v>3667.9</v>
      </c>
      <c r="H23" s="14" t="n">
        <v>1060.1901</v>
      </c>
      <c r="I23" s="14" t="n">
        <v>2607.71</v>
      </c>
      <c r="J23" s="14" t="n">
        <v>1600.07</v>
      </c>
      <c r="K23" s="15" t="n">
        <v>0.711</v>
      </c>
      <c r="L23" s="15" t="n">
        <v>0.4362</v>
      </c>
      <c r="M23" s="29" t="n">
        <v>52.32</v>
      </c>
    </row>
    <row r="24" customFormat="false" ht="15" hidden="false" customHeight="false" outlineLevel="0" collapsed="false">
      <c r="A24" s="24" t="n">
        <v>10044</v>
      </c>
      <c r="B24" s="8" t="s">
        <v>48</v>
      </c>
      <c r="C24" s="25" t="n">
        <v>1125</v>
      </c>
      <c r="D24" s="25" t="n">
        <v>1125</v>
      </c>
      <c r="E24" s="10" t="n">
        <v>0</v>
      </c>
      <c r="F24" s="10" t="n">
        <v>49530.55</v>
      </c>
      <c r="G24" s="10" t="n">
        <v>49530.55</v>
      </c>
      <c r="H24" s="10" t="n">
        <v>7251.9902</v>
      </c>
      <c r="I24" s="10" t="n">
        <v>42278.56</v>
      </c>
      <c r="J24" s="10" t="n">
        <v>36032.86</v>
      </c>
      <c r="K24" s="11" t="n">
        <v>0.8536</v>
      </c>
      <c r="L24" s="11" t="n">
        <v>0.7275</v>
      </c>
      <c r="M24" s="26" t="n">
        <v>47.01</v>
      </c>
    </row>
    <row r="25" customFormat="false" ht="15" hidden="false" customHeight="false" outlineLevel="0" collapsed="false">
      <c r="A25" s="27" t="n">
        <v>10052</v>
      </c>
      <c r="B25" s="12" t="s">
        <v>49</v>
      </c>
      <c r="C25" s="28" t="n">
        <v>155</v>
      </c>
      <c r="D25" s="28" t="n">
        <v>155</v>
      </c>
      <c r="E25" s="14" t="n">
        <v>0</v>
      </c>
      <c r="F25" s="14" t="n">
        <v>13730.05</v>
      </c>
      <c r="G25" s="14" t="n">
        <v>13730.05</v>
      </c>
      <c r="H25" s="14" t="n">
        <v>1639.4468</v>
      </c>
      <c r="I25" s="14" t="n">
        <v>12090.6</v>
      </c>
      <c r="J25" s="14" t="n">
        <v>9489.4</v>
      </c>
      <c r="K25" s="15" t="n">
        <v>0.8806</v>
      </c>
      <c r="L25" s="15" t="n">
        <v>0.6911</v>
      </c>
      <c r="M25" s="29" t="n">
        <v>32.24</v>
      </c>
    </row>
    <row r="26" customFormat="false" ht="15" hidden="false" customHeight="false" outlineLevel="0" collapsed="false">
      <c r="A26" s="24" t="n">
        <v>10064</v>
      </c>
      <c r="B26" s="8" t="s">
        <v>50</v>
      </c>
      <c r="C26" s="25" t="n">
        <v>684</v>
      </c>
      <c r="D26" s="25" t="n">
        <v>684</v>
      </c>
      <c r="E26" s="10" t="n">
        <v>0</v>
      </c>
      <c r="F26" s="10" t="n">
        <v>9929.43</v>
      </c>
      <c r="G26" s="10" t="n">
        <v>9929.43</v>
      </c>
      <c r="H26" s="10" t="n">
        <v>4211.4906</v>
      </c>
      <c r="I26" s="10" t="n">
        <v>5717.94</v>
      </c>
      <c r="J26" s="10" t="n">
        <v>3073.45</v>
      </c>
      <c r="K26" s="11" t="n">
        <v>0.5759</v>
      </c>
      <c r="L26" s="11" t="n">
        <v>0.3095</v>
      </c>
      <c r="M26" s="26" t="n">
        <v>46.38</v>
      </c>
    </row>
    <row r="27" customFormat="false" ht="15" hidden="false" customHeight="false" outlineLevel="0" collapsed="false">
      <c r="A27" s="27" t="n">
        <v>10084</v>
      </c>
      <c r="B27" s="12" t="s">
        <v>53</v>
      </c>
      <c r="C27" s="28" t="n">
        <v>359</v>
      </c>
      <c r="D27" s="28" t="n">
        <v>359</v>
      </c>
      <c r="E27" s="14" t="n">
        <v>0</v>
      </c>
      <c r="F27" s="14" t="n">
        <v>4463.35</v>
      </c>
      <c r="G27" s="14" t="n">
        <v>4463.35</v>
      </c>
      <c r="H27" s="14" t="n">
        <v>1323.7901</v>
      </c>
      <c r="I27" s="14" t="n">
        <v>3139.56</v>
      </c>
      <c r="J27" s="14" t="n">
        <v>1941.03</v>
      </c>
      <c r="K27" s="15" t="n">
        <v>0.7034</v>
      </c>
      <c r="L27" s="15" t="n">
        <v>0.4349</v>
      </c>
      <c r="M27" s="29" t="n">
        <v>46.26</v>
      </c>
    </row>
    <row r="28" customFormat="false" ht="15" hidden="false" customHeight="false" outlineLevel="0" collapsed="false">
      <c r="A28" s="24" t="n">
        <v>10087</v>
      </c>
      <c r="B28" s="8" t="s">
        <v>54</v>
      </c>
      <c r="C28" s="25" t="n">
        <v>34</v>
      </c>
      <c r="D28" s="25" t="n">
        <v>34</v>
      </c>
      <c r="E28" s="10" t="n">
        <v>0</v>
      </c>
      <c r="F28" s="10" t="n">
        <v>542</v>
      </c>
      <c r="G28" s="10" t="n">
        <v>542</v>
      </c>
      <c r="H28" s="10" t="n">
        <v>184.1</v>
      </c>
      <c r="I28" s="10" t="n">
        <v>357.9</v>
      </c>
      <c r="J28" s="10" t="n">
        <v>226.84</v>
      </c>
      <c r="K28" s="11" t="n">
        <v>0.6603</v>
      </c>
      <c r="L28" s="11" t="n">
        <v>0.4185</v>
      </c>
      <c r="M28" s="26" t="n">
        <v>23.15</v>
      </c>
    </row>
    <row r="29" customFormat="false" ht="15" hidden="false" customHeight="false" outlineLevel="0" collapsed="false">
      <c r="A29" s="27" t="n">
        <v>10090</v>
      </c>
      <c r="B29" s="12" t="s">
        <v>56</v>
      </c>
      <c r="C29" s="28" t="n">
        <v>78</v>
      </c>
      <c r="D29" s="28" t="n">
        <v>78</v>
      </c>
      <c r="E29" s="14" t="n">
        <v>0</v>
      </c>
      <c r="F29" s="14" t="n">
        <v>15388.7</v>
      </c>
      <c r="G29" s="14" t="n">
        <v>15388.7</v>
      </c>
      <c r="H29" s="14" t="n">
        <v>4641.74</v>
      </c>
      <c r="I29" s="14" t="n">
        <v>10746.96</v>
      </c>
      <c r="J29" s="14" t="n">
        <v>6746.29</v>
      </c>
      <c r="K29" s="15" t="n">
        <v>0.6984</v>
      </c>
      <c r="L29" s="15" t="n">
        <v>0.4384</v>
      </c>
      <c r="M29" s="29" t="n">
        <v>30.19</v>
      </c>
    </row>
    <row r="30" customFormat="false" ht="15" hidden="false" customHeight="false" outlineLevel="0" collapsed="false">
      <c r="A30" s="24" t="n">
        <v>10091</v>
      </c>
      <c r="B30" s="8" t="s">
        <v>57</v>
      </c>
      <c r="C30" s="25" t="n">
        <v>20</v>
      </c>
      <c r="D30" s="25" t="n">
        <v>20</v>
      </c>
      <c r="E30" s="10" t="n">
        <v>0</v>
      </c>
      <c r="F30" s="10" t="n">
        <v>882.2</v>
      </c>
      <c r="G30" s="10" t="n">
        <v>882.2</v>
      </c>
      <c r="H30" s="10" t="n">
        <v>424.67</v>
      </c>
      <c r="I30" s="10" t="n">
        <v>457.53</v>
      </c>
      <c r="J30" s="10" t="n">
        <v>349.37</v>
      </c>
      <c r="K30" s="11" t="n">
        <v>0.5186</v>
      </c>
      <c r="L30" s="11" t="n">
        <v>0.396</v>
      </c>
      <c r="M30" s="26" t="n">
        <v>30</v>
      </c>
    </row>
    <row r="31" customFormat="false" ht="15" hidden="false" customHeight="false" outlineLevel="0" collapsed="false">
      <c r="A31" s="27" t="n">
        <v>10097</v>
      </c>
      <c r="B31" s="12" t="s">
        <v>58</v>
      </c>
      <c r="C31" s="28" t="n">
        <v>2840</v>
      </c>
      <c r="D31" s="28" t="n">
        <v>2840</v>
      </c>
      <c r="E31" s="14" t="n">
        <v>0</v>
      </c>
      <c r="F31" s="14" t="n">
        <v>10646</v>
      </c>
      <c r="G31" s="14" t="n">
        <v>10646</v>
      </c>
      <c r="H31" s="14" t="n">
        <v>3416.389</v>
      </c>
      <c r="I31" s="14" t="n">
        <v>7229.62</v>
      </c>
      <c r="J31" s="14" t="n">
        <v>4304.95</v>
      </c>
      <c r="K31" s="15" t="n">
        <v>0.6791</v>
      </c>
      <c r="L31" s="15" t="n">
        <v>0.4044</v>
      </c>
      <c r="M31" s="29" t="n">
        <v>50.03</v>
      </c>
    </row>
    <row r="32" customFormat="false" ht="15" hidden="false" customHeight="false" outlineLevel="0" collapsed="false">
      <c r="A32" s="24" t="n">
        <v>10098</v>
      </c>
      <c r="B32" s="8" t="s">
        <v>59</v>
      </c>
      <c r="C32" s="25" t="n">
        <v>32</v>
      </c>
      <c r="D32" s="25" t="n">
        <v>32</v>
      </c>
      <c r="E32" s="10" t="n">
        <v>0</v>
      </c>
      <c r="F32" s="10" t="n">
        <v>5781.06</v>
      </c>
      <c r="G32" s="10" t="n">
        <v>5781.06</v>
      </c>
      <c r="H32" s="10" t="n">
        <v>1869.42</v>
      </c>
      <c r="I32" s="10" t="n">
        <v>3911.64</v>
      </c>
      <c r="J32" s="10" t="n">
        <v>2339.5</v>
      </c>
      <c r="K32" s="11" t="n">
        <v>0.6766</v>
      </c>
      <c r="L32" s="11" t="n">
        <v>0.4047</v>
      </c>
      <c r="M32" s="26" t="n">
        <v>47.31</v>
      </c>
    </row>
    <row r="33" customFormat="false" ht="15" hidden="false" customHeight="false" outlineLevel="0" collapsed="false">
      <c r="A33" s="27" t="n">
        <v>10100</v>
      </c>
      <c r="B33" s="12" t="s">
        <v>252</v>
      </c>
      <c r="C33" s="28" t="n">
        <v>53</v>
      </c>
      <c r="D33" s="28" t="n">
        <v>53</v>
      </c>
      <c r="E33" s="14" t="n">
        <v>0</v>
      </c>
      <c r="F33" s="14" t="n">
        <v>903.54</v>
      </c>
      <c r="G33" s="14" t="n">
        <v>903.54</v>
      </c>
      <c r="H33" s="14" t="n">
        <v>477.2199</v>
      </c>
      <c r="I33" s="14" t="n">
        <v>426.32</v>
      </c>
      <c r="J33" s="14" t="n">
        <v>176.57</v>
      </c>
      <c r="K33" s="15" t="n">
        <v>0.4718</v>
      </c>
      <c r="L33" s="15" t="n">
        <v>0.1954</v>
      </c>
      <c r="M33" s="29" t="n">
        <v>50</v>
      </c>
    </row>
    <row r="34" customFormat="false" ht="15" hidden="false" customHeight="false" outlineLevel="0" collapsed="false">
      <c r="A34" s="24" t="n">
        <v>10102</v>
      </c>
      <c r="B34" s="8" t="s">
        <v>253</v>
      </c>
      <c r="C34" s="25" t="n">
        <v>150</v>
      </c>
      <c r="D34" s="25" t="n">
        <v>150</v>
      </c>
      <c r="E34" s="10" t="n">
        <v>0</v>
      </c>
      <c r="F34" s="10" t="n">
        <v>25440</v>
      </c>
      <c r="G34" s="10" t="n">
        <v>25440</v>
      </c>
      <c r="H34" s="10" t="n">
        <v>8951.955</v>
      </c>
      <c r="I34" s="10" t="n">
        <v>16488.05</v>
      </c>
      <c r="J34" s="10" t="n">
        <v>9499.17</v>
      </c>
      <c r="K34" s="11" t="n">
        <v>0.6481</v>
      </c>
      <c r="L34" s="11" t="n">
        <v>0.3734</v>
      </c>
      <c r="M34" s="26" t="n">
        <v>45</v>
      </c>
    </row>
    <row r="35" customFormat="false" ht="15" hidden="false" customHeight="false" outlineLevel="0" collapsed="false">
      <c r="A35" s="27" t="n">
        <v>10107</v>
      </c>
      <c r="B35" s="12" t="s">
        <v>40</v>
      </c>
      <c r="C35" s="28" t="n">
        <v>137</v>
      </c>
      <c r="D35" s="28" t="n">
        <v>137</v>
      </c>
      <c r="E35" s="14" t="n">
        <v>0</v>
      </c>
      <c r="F35" s="14" t="n">
        <v>20828.51</v>
      </c>
      <c r="G35" s="14" t="n">
        <v>20828.51</v>
      </c>
      <c r="H35" s="14" t="n">
        <v>8859.0096</v>
      </c>
      <c r="I35" s="14" t="n">
        <v>11969.5</v>
      </c>
      <c r="J35" s="14" t="n">
        <v>6905.5</v>
      </c>
      <c r="K35" s="15" t="n">
        <v>0.5747</v>
      </c>
      <c r="L35" s="15" t="n">
        <v>0.3315</v>
      </c>
      <c r="M35" s="29" t="n">
        <v>42.92</v>
      </c>
    </row>
    <row r="36" customFormat="false" ht="15" hidden="false" customHeight="false" outlineLevel="0" collapsed="false">
      <c r="A36" s="24" t="n">
        <v>10108</v>
      </c>
      <c r="B36" s="8" t="s">
        <v>60</v>
      </c>
      <c r="C36" s="25" t="n">
        <v>44</v>
      </c>
      <c r="D36" s="25" t="n">
        <v>44</v>
      </c>
      <c r="E36" s="10" t="n">
        <v>0</v>
      </c>
      <c r="F36" s="10" t="n">
        <v>8550.64</v>
      </c>
      <c r="G36" s="10" t="n">
        <v>8550.64</v>
      </c>
      <c r="H36" s="10" t="n">
        <v>2860.12</v>
      </c>
      <c r="I36" s="10" t="n">
        <v>5690.52</v>
      </c>
      <c r="J36" s="10" t="n">
        <v>3488.34</v>
      </c>
      <c r="K36" s="11" t="n">
        <v>0.6655</v>
      </c>
      <c r="L36" s="11" t="n">
        <v>0.408</v>
      </c>
      <c r="M36" s="26" t="n">
        <v>44.32</v>
      </c>
    </row>
    <row r="37" customFormat="false" ht="15" hidden="false" customHeight="false" outlineLevel="0" collapsed="false">
      <c r="A37" s="27" t="n">
        <v>10109</v>
      </c>
      <c r="B37" s="12" t="s">
        <v>61</v>
      </c>
      <c r="C37" s="28" t="n">
        <v>200</v>
      </c>
      <c r="D37" s="28" t="n">
        <v>200</v>
      </c>
      <c r="E37" s="14" t="n">
        <v>0</v>
      </c>
      <c r="F37" s="14" t="n">
        <v>26646.7</v>
      </c>
      <c r="G37" s="14" t="n">
        <v>26646.7</v>
      </c>
      <c r="H37" s="14" t="n">
        <v>11643.5295</v>
      </c>
      <c r="I37" s="14" t="n">
        <v>15003.17</v>
      </c>
      <c r="J37" s="14" t="n">
        <v>8014.14</v>
      </c>
      <c r="K37" s="15" t="n">
        <v>0.563</v>
      </c>
      <c r="L37" s="15" t="n">
        <v>0.3008</v>
      </c>
      <c r="M37" s="29" t="n">
        <v>37.74</v>
      </c>
    </row>
    <row r="38" customFormat="false" ht="15" hidden="false" customHeight="false" outlineLevel="0" collapsed="false">
      <c r="A38" s="24" t="n">
        <v>10110</v>
      </c>
      <c r="B38" s="8" t="s">
        <v>62</v>
      </c>
      <c r="C38" s="25" t="n">
        <v>79</v>
      </c>
      <c r="D38" s="25" t="n">
        <v>79</v>
      </c>
      <c r="E38" s="10" t="n">
        <v>0</v>
      </c>
      <c r="F38" s="10" t="n">
        <v>10084.54</v>
      </c>
      <c r="G38" s="10" t="n">
        <v>10084.54</v>
      </c>
      <c r="H38" s="10" t="n">
        <v>4067.3599</v>
      </c>
      <c r="I38" s="10" t="n">
        <v>6017.18</v>
      </c>
      <c r="J38" s="10" t="n">
        <v>3257.09</v>
      </c>
      <c r="K38" s="11" t="n">
        <v>0.5967</v>
      </c>
      <c r="L38" s="11" t="n">
        <v>0.323</v>
      </c>
      <c r="M38" s="26" t="n">
        <v>39.35</v>
      </c>
    </row>
    <row r="39" customFormat="false" ht="15" hidden="false" customHeight="false" outlineLevel="0" collapsed="false">
      <c r="A39" s="27" t="n">
        <v>10112</v>
      </c>
      <c r="B39" s="12" t="s">
        <v>139</v>
      </c>
      <c r="C39" s="28" t="n">
        <v>15</v>
      </c>
      <c r="D39" s="28" t="n">
        <v>15</v>
      </c>
      <c r="E39" s="14" t="n">
        <v>0</v>
      </c>
      <c r="F39" s="14" t="n">
        <v>6713.1</v>
      </c>
      <c r="G39" s="14" t="n">
        <v>6713.1</v>
      </c>
      <c r="H39" s="14" t="n">
        <v>3327.0495</v>
      </c>
      <c r="I39" s="14" t="n">
        <v>3386.05</v>
      </c>
      <c r="J39" s="14" t="n">
        <v>1757.45</v>
      </c>
      <c r="K39" s="15" t="n">
        <v>0.5044</v>
      </c>
      <c r="L39" s="15" t="n">
        <v>0.2618</v>
      </c>
      <c r="M39" s="29" t="n">
        <v>39</v>
      </c>
    </row>
    <row r="40" customFormat="false" ht="15" hidden="false" customHeight="false" outlineLevel="0" collapsed="false">
      <c r="A40" s="24" t="n">
        <v>10114</v>
      </c>
      <c r="B40" s="8" t="s">
        <v>63</v>
      </c>
      <c r="C40" s="25" t="n">
        <v>72</v>
      </c>
      <c r="D40" s="25" t="n">
        <v>72</v>
      </c>
      <c r="E40" s="10" t="n">
        <v>0</v>
      </c>
      <c r="F40" s="10" t="n">
        <v>3422.94</v>
      </c>
      <c r="G40" s="10" t="n">
        <v>3422.94</v>
      </c>
      <c r="H40" s="10" t="n">
        <v>1573.892</v>
      </c>
      <c r="I40" s="10" t="n">
        <v>1849.05</v>
      </c>
      <c r="J40" s="10" t="n">
        <v>1413.54</v>
      </c>
      <c r="K40" s="11" t="n">
        <v>0.5402</v>
      </c>
      <c r="L40" s="11" t="n">
        <v>0.413</v>
      </c>
      <c r="M40" s="26" t="n">
        <v>29.3</v>
      </c>
    </row>
    <row r="41" customFormat="false" ht="15" hidden="false" customHeight="false" outlineLevel="0" collapsed="false">
      <c r="A41" s="27" t="n">
        <v>10117</v>
      </c>
      <c r="B41" s="12" t="s">
        <v>120</v>
      </c>
      <c r="C41" s="28" t="n">
        <v>10</v>
      </c>
      <c r="D41" s="28" t="n">
        <v>10</v>
      </c>
      <c r="E41" s="14" t="n">
        <v>0</v>
      </c>
      <c r="F41" s="14" t="n">
        <v>2565.5</v>
      </c>
      <c r="G41" s="14" t="n">
        <v>2565.5</v>
      </c>
      <c r="H41" s="14" t="n">
        <v>1337.54</v>
      </c>
      <c r="I41" s="14" t="n">
        <v>1227.96</v>
      </c>
      <c r="J41" s="14" t="n">
        <v>523.17</v>
      </c>
      <c r="K41" s="15" t="n">
        <v>0.4786</v>
      </c>
      <c r="L41" s="15" t="n">
        <v>0.2039</v>
      </c>
      <c r="M41" s="29" t="n">
        <v>32</v>
      </c>
    </row>
    <row r="42" customFormat="false" ht="15" hidden="false" customHeight="false" outlineLevel="0" collapsed="false">
      <c r="A42" s="24" t="n">
        <v>10120</v>
      </c>
      <c r="B42" s="8" t="s">
        <v>255</v>
      </c>
      <c r="C42" s="25" t="n">
        <v>2</v>
      </c>
      <c r="D42" s="25" t="n">
        <v>2</v>
      </c>
      <c r="E42" s="10" t="n">
        <v>0</v>
      </c>
      <c r="F42" s="10" t="n">
        <v>443.96</v>
      </c>
      <c r="G42" s="10" t="n">
        <v>443.96</v>
      </c>
      <c r="H42" s="10" t="n">
        <v>198.92</v>
      </c>
      <c r="I42" s="10" t="n">
        <v>245.04</v>
      </c>
      <c r="J42" s="10" t="n">
        <v>123.07</v>
      </c>
      <c r="K42" s="11" t="n">
        <v>0.5519</v>
      </c>
      <c r="L42" s="11" t="n">
        <v>0.2772</v>
      </c>
      <c r="M42" s="26" t="n">
        <v>59</v>
      </c>
    </row>
    <row r="43" customFormat="false" ht="15" hidden="false" customHeight="false" outlineLevel="0" collapsed="false">
      <c r="A43" s="27" t="n">
        <v>10121</v>
      </c>
      <c r="B43" s="12" t="s">
        <v>64</v>
      </c>
      <c r="C43" s="28" t="n">
        <v>406</v>
      </c>
      <c r="D43" s="28" t="n">
        <v>406</v>
      </c>
      <c r="E43" s="14" t="n">
        <v>0</v>
      </c>
      <c r="F43" s="14" t="n">
        <v>13137.82</v>
      </c>
      <c r="G43" s="14" t="n">
        <v>13137.82</v>
      </c>
      <c r="H43" s="14" t="n">
        <v>7209.8499</v>
      </c>
      <c r="I43" s="14" t="n">
        <v>5927.97</v>
      </c>
      <c r="J43" s="14" t="n">
        <v>2324.05</v>
      </c>
      <c r="K43" s="15" t="n">
        <v>0.4512</v>
      </c>
      <c r="L43" s="15" t="n">
        <v>0.1769</v>
      </c>
      <c r="M43" s="29" t="n">
        <v>47.11</v>
      </c>
    </row>
    <row r="44" customFormat="false" ht="15" hidden="false" customHeight="false" outlineLevel="0" collapsed="false">
      <c r="A44" s="24" t="n">
        <v>10124</v>
      </c>
      <c r="B44" s="8" t="s">
        <v>66</v>
      </c>
      <c r="C44" s="25" t="n">
        <v>15</v>
      </c>
      <c r="D44" s="25" t="n">
        <v>15</v>
      </c>
      <c r="E44" s="10" t="n">
        <v>0</v>
      </c>
      <c r="F44" s="10" t="n">
        <v>1361.37</v>
      </c>
      <c r="G44" s="10" t="n">
        <v>1361.37</v>
      </c>
      <c r="H44" s="10" t="n">
        <v>587.5904</v>
      </c>
      <c r="I44" s="10" t="n">
        <v>773.78</v>
      </c>
      <c r="J44" s="10" t="n">
        <v>433.34</v>
      </c>
      <c r="K44" s="11" t="n">
        <v>0.5684</v>
      </c>
      <c r="L44" s="11" t="n">
        <v>0.3183</v>
      </c>
      <c r="M44" s="26" t="n">
        <v>38.69</v>
      </c>
    </row>
    <row r="45" customFormat="false" ht="15" hidden="false" customHeight="false" outlineLevel="0" collapsed="false">
      <c r="A45" s="27" t="n">
        <v>10126</v>
      </c>
      <c r="B45" s="12" t="s">
        <v>67</v>
      </c>
      <c r="C45" s="28" t="n">
        <v>32</v>
      </c>
      <c r="D45" s="28" t="n">
        <v>32</v>
      </c>
      <c r="E45" s="14" t="n">
        <v>0</v>
      </c>
      <c r="F45" s="14" t="n">
        <v>1835.26</v>
      </c>
      <c r="G45" s="14" t="n">
        <v>1835.26</v>
      </c>
      <c r="H45" s="14" t="n">
        <v>725.7204</v>
      </c>
      <c r="I45" s="14" t="n">
        <v>1109.54</v>
      </c>
      <c r="J45" s="14" t="n">
        <v>605.37</v>
      </c>
      <c r="K45" s="15" t="n">
        <v>0.6046</v>
      </c>
      <c r="L45" s="15" t="n">
        <v>0.3299</v>
      </c>
      <c r="M45" s="29" t="n">
        <v>47.52</v>
      </c>
    </row>
    <row r="46" customFormat="false" ht="15" hidden="false" customHeight="false" outlineLevel="0" collapsed="false">
      <c r="A46" s="24" t="n">
        <v>10127</v>
      </c>
      <c r="B46" s="8" t="s">
        <v>68</v>
      </c>
      <c r="C46" s="25" t="n">
        <v>2</v>
      </c>
      <c r="D46" s="25" t="n">
        <v>2</v>
      </c>
      <c r="E46" s="10" t="n">
        <v>0</v>
      </c>
      <c r="F46" s="10" t="n">
        <v>99.56</v>
      </c>
      <c r="G46" s="10" t="n">
        <v>99.56</v>
      </c>
      <c r="H46" s="10" t="n">
        <v>36.01</v>
      </c>
      <c r="I46" s="10" t="n">
        <v>63.55</v>
      </c>
      <c r="J46" s="10" t="n">
        <v>36.2</v>
      </c>
      <c r="K46" s="11" t="n">
        <v>0.6383</v>
      </c>
      <c r="L46" s="11" t="n">
        <v>0.3636</v>
      </c>
      <c r="M46" s="26" t="n">
        <v>15</v>
      </c>
    </row>
    <row r="47" customFormat="false" ht="15" hidden="false" customHeight="false" outlineLevel="0" collapsed="false">
      <c r="A47" s="27" t="n">
        <v>10131</v>
      </c>
      <c r="B47" s="12" t="s">
        <v>363</v>
      </c>
      <c r="C47" s="28" t="n">
        <v>10</v>
      </c>
      <c r="D47" s="28" t="n">
        <v>10</v>
      </c>
      <c r="E47" s="14" t="n">
        <v>0</v>
      </c>
      <c r="F47" s="14" t="n">
        <v>488.8</v>
      </c>
      <c r="G47" s="14" t="n">
        <v>488.8</v>
      </c>
      <c r="H47" s="14" t="n">
        <v>141.78</v>
      </c>
      <c r="I47" s="14" t="n">
        <v>347.02</v>
      </c>
      <c r="J47" s="14" t="n">
        <v>212.74</v>
      </c>
      <c r="K47" s="15" t="n">
        <v>0.7099</v>
      </c>
      <c r="L47" s="15" t="n">
        <v>0.4352</v>
      </c>
      <c r="M47" s="29" t="n">
        <v>42</v>
      </c>
    </row>
    <row r="48" customFormat="false" ht="15" hidden="false" customHeight="false" outlineLevel="0" collapsed="false">
      <c r="A48" s="24" t="n">
        <v>10136</v>
      </c>
      <c r="B48" s="8" t="s">
        <v>69</v>
      </c>
      <c r="C48" s="25" t="n">
        <v>9</v>
      </c>
      <c r="D48" s="25" t="n">
        <v>9</v>
      </c>
      <c r="E48" s="10" t="n">
        <v>0</v>
      </c>
      <c r="F48" s="10" t="n">
        <v>1667.61</v>
      </c>
      <c r="G48" s="10" t="n">
        <v>1667.61</v>
      </c>
      <c r="H48" s="10" t="n">
        <v>975.5298</v>
      </c>
      <c r="I48" s="10" t="n">
        <v>692.08</v>
      </c>
      <c r="J48" s="10" t="n">
        <v>233.95</v>
      </c>
      <c r="K48" s="11" t="n">
        <v>0.415</v>
      </c>
      <c r="L48" s="11" t="n">
        <v>0.1403</v>
      </c>
      <c r="M48" s="26" t="n">
        <v>50</v>
      </c>
    </row>
    <row r="49" customFormat="false" ht="15" hidden="false" customHeight="false" outlineLevel="0" collapsed="false">
      <c r="A49" s="27" t="n">
        <v>10139</v>
      </c>
      <c r="B49" s="12" t="s">
        <v>71</v>
      </c>
      <c r="C49" s="28" t="n">
        <v>35</v>
      </c>
      <c r="D49" s="28" t="n">
        <v>35</v>
      </c>
      <c r="E49" s="14" t="n">
        <v>0</v>
      </c>
      <c r="F49" s="14" t="n">
        <v>27568.1</v>
      </c>
      <c r="G49" s="14" t="n">
        <v>27568.1</v>
      </c>
      <c r="H49" s="14" t="n">
        <v>8719.16</v>
      </c>
      <c r="I49" s="14" t="n">
        <v>18848.94</v>
      </c>
      <c r="J49" s="14" t="n">
        <v>11275.37</v>
      </c>
      <c r="K49" s="15" t="n">
        <v>0.6837</v>
      </c>
      <c r="L49" s="15" t="n">
        <v>0.409</v>
      </c>
      <c r="M49" s="29" t="n">
        <v>50</v>
      </c>
    </row>
    <row r="50" customFormat="false" ht="15" hidden="false" customHeight="false" outlineLevel="0" collapsed="false">
      <c r="A50" s="24" t="n">
        <v>10141</v>
      </c>
      <c r="B50" s="8" t="s">
        <v>72</v>
      </c>
      <c r="C50" s="25" t="n">
        <v>703</v>
      </c>
      <c r="D50" s="25" t="n">
        <v>703</v>
      </c>
      <c r="E50" s="10" t="n">
        <v>0</v>
      </c>
      <c r="F50" s="10" t="n">
        <v>45599.39</v>
      </c>
      <c r="G50" s="10" t="n">
        <v>45599.39</v>
      </c>
      <c r="H50" s="10" t="n">
        <v>23918.6936</v>
      </c>
      <c r="I50" s="10" t="n">
        <v>21680.7</v>
      </c>
      <c r="J50" s="10" t="n">
        <v>10136.33</v>
      </c>
      <c r="K50" s="11" t="n">
        <v>0.4755</v>
      </c>
      <c r="L50" s="11" t="n">
        <v>0.2223</v>
      </c>
      <c r="M50" s="26" t="n">
        <v>45.67</v>
      </c>
    </row>
    <row r="51" customFormat="false" ht="15" hidden="false" customHeight="false" outlineLevel="0" collapsed="false">
      <c r="A51" s="27" t="n">
        <v>10142</v>
      </c>
      <c r="B51" s="12" t="s">
        <v>73</v>
      </c>
      <c r="C51" s="28" t="n">
        <v>7</v>
      </c>
      <c r="D51" s="28" t="n">
        <v>7</v>
      </c>
      <c r="E51" s="14" t="n">
        <v>0</v>
      </c>
      <c r="F51" s="14" t="n">
        <v>1040.1</v>
      </c>
      <c r="G51" s="14" t="n">
        <v>1040.1</v>
      </c>
      <c r="H51" s="14" t="n">
        <v>564.8802</v>
      </c>
      <c r="I51" s="14" t="n">
        <v>475.22</v>
      </c>
      <c r="J51" s="14" t="n">
        <v>325.8</v>
      </c>
      <c r="K51" s="15" t="n">
        <v>0.4569</v>
      </c>
      <c r="L51" s="15" t="n">
        <v>0.3132</v>
      </c>
      <c r="M51" s="29" t="n">
        <v>32.77</v>
      </c>
    </row>
    <row r="52" customFormat="false" ht="15" hidden="false" customHeight="false" outlineLevel="0" collapsed="false">
      <c r="A52" s="24" t="n">
        <v>10143</v>
      </c>
      <c r="B52" s="8" t="s">
        <v>74</v>
      </c>
      <c r="C52" s="25" t="n">
        <v>10</v>
      </c>
      <c r="D52" s="25" t="n">
        <v>10</v>
      </c>
      <c r="E52" s="10" t="n">
        <v>0</v>
      </c>
      <c r="F52" s="10" t="n">
        <v>1883.55</v>
      </c>
      <c r="G52" s="10" t="n">
        <v>1883.55</v>
      </c>
      <c r="H52" s="10" t="n">
        <v>893.3399</v>
      </c>
      <c r="I52" s="10" t="n">
        <v>990.21</v>
      </c>
      <c r="J52" s="10" t="n">
        <v>472.76</v>
      </c>
      <c r="K52" s="11" t="n">
        <v>0.5257</v>
      </c>
      <c r="L52" s="11" t="n">
        <v>0.251</v>
      </c>
      <c r="M52" s="26" t="n">
        <v>20.16</v>
      </c>
    </row>
    <row r="53" customFormat="false" ht="15" hidden="false" customHeight="false" outlineLevel="0" collapsed="false">
      <c r="A53" s="27" t="n">
        <v>10145</v>
      </c>
      <c r="B53" s="12" t="s">
        <v>63</v>
      </c>
      <c r="C53" s="28" t="n">
        <v>46</v>
      </c>
      <c r="D53" s="28" t="n">
        <v>46</v>
      </c>
      <c r="E53" s="14" t="n">
        <v>0</v>
      </c>
      <c r="F53" s="14" t="n">
        <v>2980.34</v>
      </c>
      <c r="G53" s="14" t="n">
        <v>2980.34</v>
      </c>
      <c r="H53" s="14" t="n">
        <v>1249.0502</v>
      </c>
      <c r="I53" s="14" t="n">
        <v>1731.29</v>
      </c>
      <c r="J53" s="14" t="n">
        <v>912.63</v>
      </c>
      <c r="K53" s="15" t="n">
        <v>0.5809</v>
      </c>
      <c r="L53" s="15" t="n">
        <v>0.3062</v>
      </c>
      <c r="M53" s="29" t="n">
        <v>50</v>
      </c>
    </row>
    <row r="54" customFormat="false" ht="15" hidden="false" customHeight="false" outlineLevel="0" collapsed="false">
      <c r="A54" s="24" t="n">
        <v>10147</v>
      </c>
      <c r="B54" s="8" t="s">
        <v>75</v>
      </c>
      <c r="C54" s="25" t="n">
        <v>10</v>
      </c>
      <c r="D54" s="25" t="n">
        <v>10</v>
      </c>
      <c r="E54" s="10" t="n">
        <v>0</v>
      </c>
      <c r="F54" s="10" t="n">
        <v>3316.1</v>
      </c>
      <c r="G54" s="10" t="n">
        <v>3316.1</v>
      </c>
      <c r="H54" s="10" t="n">
        <v>1493.43</v>
      </c>
      <c r="I54" s="10" t="n">
        <v>1822.67</v>
      </c>
      <c r="J54" s="10" t="n">
        <v>911.67</v>
      </c>
      <c r="K54" s="11" t="n">
        <v>0.5496</v>
      </c>
      <c r="L54" s="11" t="n">
        <v>0.2749</v>
      </c>
      <c r="M54" s="26" t="n">
        <v>50</v>
      </c>
    </row>
    <row r="55" customFormat="false" ht="15" hidden="false" customHeight="false" outlineLevel="0" collapsed="false">
      <c r="A55" s="27" t="n">
        <v>10148</v>
      </c>
      <c r="B55" s="12" t="s">
        <v>76</v>
      </c>
      <c r="C55" s="28" t="n">
        <v>30</v>
      </c>
      <c r="D55" s="28" t="n">
        <v>30</v>
      </c>
      <c r="E55" s="14" t="n">
        <v>0</v>
      </c>
      <c r="F55" s="14" t="n">
        <v>11649.9</v>
      </c>
      <c r="G55" s="14" t="n">
        <v>11649.9</v>
      </c>
      <c r="H55" s="14" t="n">
        <v>2084.5394</v>
      </c>
      <c r="I55" s="14" t="n">
        <v>9565.36</v>
      </c>
      <c r="J55" s="14" t="n">
        <v>6739.09</v>
      </c>
      <c r="K55" s="15" t="n">
        <v>0.8211</v>
      </c>
      <c r="L55" s="15" t="n">
        <v>0.5785</v>
      </c>
      <c r="M55" s="29" t="n">
        <v>34.2</v>
      </c>
    </row>
    <row r="56" customFormat="false" ht="15" hidden="false" customHeight="false" outlineLevel="0" collapsed="false">
      <c r="A56" s="24" t="n">
        <v>10149</v>
      </c>
      <c r="B56" s="8" t="s">
        <v>77</v>
      </c>
      <c r="C56" s="25" t="n">
        <v>44</v>
      </c>
      <c r="D56" s="25" t="n">
        <v>44</v>
      </c>
      <c r="E56" s="10" t="n">
        <v>0</v>
      </c>
      <c r="F56" s="10" t="n">
        <v>2140.6</v>
      </c>
      <c r="G56" s="10" t="n">
        <v>2140.6</v>
      </c>
      <c r="H56" s="10" t="n">
        <v>1195.2287</v>
      </c>
      <c r="I56" s="10" t="n">
        <v>945.37</v>
      </c>
      <c r="J56" s="10" t="n">
        <v>426.05</v>
      </c>
      <c r="K56" s="11" t="n">
        <v>0.4416</v>
      </c>
      <c r="L56" s="11" t="n">
        <v>0.199</v>
      </c>
      <c r="M56" s="26" t="n">
        <v>37.64</v>
      </c>
    </row>
    <row r="57" customFormat="false" ht="15" hidden="false" customHeight="false" outlineLevel="0" collapsed="false">
      <c r="A57" s="27" t="n">
        <v>10150</v>
      </c>
      <c r="B57" s="12" t="s">
        <v>78</v>
      </c>
      <c r="C57" s="28" t="n">
        <v>30</v>
      </c>
      <c r="D57" s="28" t="n">
        <v>30</v>
      </c>
      <c r="E57" s="14" t="n">
        <v>0</v>
      </c>
      <c r="F57" s="14" t="n">
        <v>5070.15</v>
      </c>
      <c r="G57" s="14" t="n">
        <v>5070.15</v>
      </c>
      <c r="H57" s="14" t="n">
        <v>2165.71</v>
      </c>
      <c r="I57" s="14" t="n">
        <v>2904.44</v>
      </c>
      <c r="J57" s="14" t="n">
        <v>1641.05</v>
      </c>
      <c r="K57" s="15" t="n">
        <v>0.5729</v>
      </c>
      <c r="L57" s="15" t="n">
        <v>0.3237</v>
      </c>
      <c r="M57" s="29" t="n">
        <v>38.74</v>
      </c>
    </row>
    <row r="58" customFormat="false" ht="15" hidden="false" customHeight="false" outlineLevel="0" collapsed="false">
      <c r="A58" s="24" t="n">
        <v>10151</v>
      </c>
      <c r="B58" s="8" t="s">
        <v>79</v>
      </c>
      <c r="C58" s="25" t="n">
        <v>20</v>
      </c>
      <c r="D58" s="25" t="n">
        <v>20</v>
      </c>
      <c r="E58" s="10" t="n">
        <v>0</v>
      </c>
      <c r="F58" s="10" t="n">
        <v>10183</v>
      </c>
      <c r="G58" s="10" t="n">
        <v>10183</v>
      </c>
      <c r="H58" s="10" t="n">
        <v>1463.5</v>
      </c>
      <c r="I58" s="10" t="n">
        <v>8719.5</v>
      </c>
      <c r="J58" s="10" t="n">
        <v>6249.1</v>
      </c>
      <c r="K58" s="11" t="n">
        <v>0.8563</v>
      </c>
      <c r="L58" s="11" t="n">
        <v>0.6137</v>
      </c>
      <c r="M58" s="26" t="n">
        <v>37</v>
      </c>
    </row>
    <row r="59" customFormat="false" ht="15" hidden="false" customHeight="false" outlineLevel="0" collapsed="false">
      <c r="A59" s="27" t="n">
        <v>10152</v>
      </c>
      <c r="B59" s="12" t="s">
        <v>80</v>
      </c>
      <c r="C59" s="28" t="n">
        <v>115</v>
      </c>
      <c r="D59" s="28" t="n">
        <v>115</v>
      </c>
      <c r="E59" s="14" t="n">
        <v>0</v>
      </c>
      <c r="F59" s="14" t="n">
        <v>8352.27</v>
      </c>
      <c r="G59" s="14" t="n">
        <v>8352.27</v>
      </c>
      <c r="H59" s="14" t="n">
        <v>3462.07</v>
      </c>
      <c r="I59" s="14" t="n">
        <v>4890.2</v>
      </c>
      <c r="J59" s="14" t="n">
        <v>2564.25</v>
      </c>
      <c r="K59" s="15" t="n">
        <v>0.5855</v>
      </c>
      <c r="L59" s="15" t="n">
        <v>0.307</v>
      </c>
      <c r="M59" s="29" t="n">
        <v>51.19</v>
      </c>
    </row>
    <row r="60" customFormat="false" ht="15" hidden="false" customHeight="false" outlineLevel="0" collapsed="false">
      <c r="A60" s="24" t="n">
        <v>10154</v>
      </c>
      <c r="B60" s="8" t="s">
        <v>81</v>
      </c>
      <c r="C60" s="25" t="n">
        <v>35</v>
      </c>
      <c r="D60" s="25" t="n">
        <v>35</v>
      </c>
      <c r="E60" s="10" t="n">
        <v>0</v>
      </c>
      <c r="F60" s="10" t="n">
        <v>8570.05</v>
      </c>
      <c r="G60" s="10" t="n">
        <v>8570.05</v>
      </c>
      <c r="H60" s="10" t="n">
        <v>3642.7499</v>
      </c>
      <c r="I60" s="10" t="n">
        <v>4927.3</v>
      </c>
      <c r="J60" s="10" t="n">
        <v>2662.01</v>
      </c>
      <c r="K60" s="11" t="n">
        <v>0.5749</v>
      </c>
      <c r="L60" s="11" t="n">
        <v>0.3106</v>
      </c>
      <c r="M60" s="26" t="n">
        <v>49.03</v>
      </c>
    </row>
    <row r="61" customFormat="false" ht="15" hidden="false" customHeight="false" outlineLevel="0" collapsed="false">
      <c r="A61" s="27" t="n">
        <v>10164</v>
      </c>
      <c r="B61" s="12" t="s">
        <v>83</v>
      </c>
      <c r="C61" s="28" t="n">
        <v>165</v>
      </c>
      <c r="D61" s="28" t="n">
        <v>165</v>
      </c>
      <c r="E61" s="14" t="n">
        <v>0</v>
      </c>
      <c r="F61" s="14" t="n">
        <v>51140.55</v>
      </c>
      <c r="G61" s="14" t="n">
        <v>51140.55</v>
      </c>
      <c r="H61" s="14" t="n">
        <v>14658.9501</v>
      </c>
      <c r="I61" s="14" t="n">
        <v>36481.6</v>
      </c>
      <c r="J61" s="14" t="n">
        <v>22446.68</v>
      </c>
      <c r="K61" s="15" t="n">
        <v>0.7134</v>
      </c>
      <c r="L61" s="15" t="n">
        <v>0.4389</v>
      </c>
      <c r="M61" s="29" t="n">
        <v>50.26</v>
      </c>
    </row>
    <row r="62" customFormat="false" ht="15" hidden="false" customHeight="false" outlineLevel="0" collapsed="false">
      <c r="A62" s="24" t="n">
        <v>10165</v>
      </c>
      <c r="B62" s="8" t="s">
        <v>257</v>
      </c>
      <c r="C62" s="25" t="n">
        <v>3</v>
      </c>
      <c r="D62" s="25" t="n">
        <v>3</v>
      </c>
      <c r="E62" s="10" t="n">
        <v>0</v>
      </c>
      <c r="F62" s="10" t="n">
        <v>741.45</v>
      </c>
      <c r="G62" s="10" t="n">
        <v>741.45</v>
      </c>
      <c r="H62" s="10" t="n">
        <v>263.58</v>
      </c>
      <c r="I62" s="10" t="n">
        <v>477.87</v>
      </c>
      <c r="J62" s="10" t="n">
        <v>274.18</v>
      </c>
      <c r="K62" s="11" t="n">
        <v>0.6445</v>
      </c>
      <c r="L62" s="11" t="n">
        <v>0.3698</v>
      </c>
      <c r="M62" s="26" t="n">
        <v>59</v>
      </c>
    </row>
    <row r="63" customFormat="false" ht="15" hidden="false" customHeight="false" outlineLevel="0" collapsed="false">
      <c r="A63" s="27" t="n">
        <v>10170</v>
      </c>
      <c r="B63" s="12" t="s">
        <v>84</v>
      </c>
      <c r="C63" s="28" t="n">
        <v>126</v>
      </c>
      <c r="D63" s="28" t="n">
        <v>126</v>
      </c>
      <c r="E63" s="14" t="n">
        <v>0</v>
      </c>
      <c r="F63" s="14" t="n">
        <v>2116.8</v>
      </c>
      <c r="G63" s="14" t="n">
        <v>2116.8</v>
      </c>
      <c r="H63" s="14" t="n">
        <v>1046.7557</v>
      </c>
      <c r="I63" s="14" t="n">
        <v>1070.04</v>
      </c>
      <c r="J63" s="14" t="n">
        <v>488.5</v>
      </c>
      <c r="K63" s="15" t="n">
        <v>0.5055</v>
      </c>
      <c r="L63" s="15" t="n">
        <v>0.2308</v>
      </c>
      <c r="M63" s="29" t="n">
        <v>50.18</v>
      </c>
    </row>
    <row r="64" customFormat="false" ht="15" hidden="false" customHeight="false" outlineLevel="0" collapsed="false">
      <c r="A64" s="24" t="n">
        <v>10176</v>
      </c>
      <c r="B64" s="8" t="s">
        <v>75</v>
      </c>
      <c r="C64" s="25" t="n">
        <v>233</v>
      </c>
      <c r="D64" s="25" t="n">
        <v>233</v>
      </c>
      <c r="E64" s="10" t="n">
        <v>0</v>
      </c>
      <c r="F64" s="10" t="n">
        <v>68850.96</v>
      </c>
      <c r="G64" s="10" t="n">
        <v>68850.96</v>
      </c>
      <c r="H64" s="10" t="n">
        <v>19896.5595</v>
      </c>
      <c r="I64" s="10" t="n">
        <v>48954.4</v>
      </c>
      <c r="J64" s="10" t="n">
        <v>34624.94</v>
      </c>
      <c r="K64" s="11" t="n">
        <v>0.711</v>
      </c>
      <c r="L64" s="11" t="n">
        <v>0.5029</v>
      </c>
      <c r="M64" s="26" t="n">
        <v>52.25</v>
      </c>
    </row>
    <row r="65" customFormat="false" ht="15" hidden="false" customHeight="false" outlineLevel="0" collapsed="false">
      <c r="A65" s="27" t="n">
        <v>10178</v>
      </c>
      <c r="B65" s="12" t="s">
        <v>85</v>
      </c>
      <c r="C65" s="28" t="n">
        <v>120</v>
      </c>
      <c r="D65" s="28" t="n">
        <v>120</v>
      </c>
      <c r="E65" s="14" t="n">
        <v>0</v>
      </c>
      <c r="F65" s="14" t="n">
        <v>6397.75</v>
      </c>
      <c r="G65" s="14" t="n">
        <v>6397.75</v>
      </c>
      <c r="H65" s="14" t="n">
        <v>1044.3599</v>
      </c>
      <c r="I65" s="14" t="n">
        <v>5353.39</v>
      </c>
      <c r="J65" s="14" t="n">
        <v>3595.8</v>
      </c>
      <c r="K65" s="15" t="n">
        <v>0.8368</v>
      </c>
      <c r="L65" s="15" t="n">
        <v>0.562</v>
      </c>
      <c r="M65" s="29" t="n">
        <v>50.66</v>
      </c>
    </row>
    <row r="66" customFormat="false" ht="15" hidden="false" customHeight="false" outlineLevel="0" collapsed="false">
      <c r="A66" s="24" t="n">
        <v>10180</v>
      </c>
      <c r="B66" s="8" t="s">
        <v>86</v>
      </c>
      <c r="C66" s="25" t="n">
        <v>40</v>
      </c>
      <c r="D66" s="25" t="n">
        <v>40</v>
      </c>
      <c r="E66" s="10" t="n">
        <v>0</v>
      </c>
      <c r="F66" s="10" t="n">
        <v>2196.8</v>
      </c>
      <c r="G66" s="10" t="n">
        <v>2196.8</v>
      </c>
      <c r="H66" s="10" t="n">
        <v>1452.112</v>
      </c>
      <c r="I66" s="10" t="n">
        <v>744.69</v>
      </c>
      <c r="J66" s="10" t="n">
        <v>131.57</v>
      </c>
      <c r="K66" s="11" t="n">
        <v>0.339</v>
      </c>
      <c r="L66" s="11" t="n">
        <v>0.0599</v>
      </c>
      <c r="M66" s="26" t="n">
        <v>50</v>
      </c>
    </row>
    <row r="67" customFormat="false" ht="15" hidden="false" customHeight="false" outlineLevel="0" collapsed="false">
      <c r="A67" s="27" t="n">
        <v>10182</v>
      </c>
      <c r="B67" s="12" t="s">
        <v>87</v>
      </c>
      <c r="C67" s="28" t="n">
        <v>12</v>
      </c>
      <c r="D67" s="28" t="n">
        <v>12</v>
      </c>
      <c r="E67" s="14" t="n">
        <v>0</v>
      </c>
      <c r="F67" s="14" t="n">
        <v>2407.07</v>
      </c>
      <c r="G67" s="14" t="n">
        <v>2407.07</v>
      </c>
      <c r="H67" s="14" t="n">
        <v>468.7501</v>
      </c>
      <c r="I67" s="14" t="n">
        <v>1938.32</v>
      </c>
      <c r="J67" s="14" t="n">
        <v>1519.56</v>
      </c>
      <c r="K67" s="15" t="n">
        <v>0.8053</v>
      </c>
      <c r="L67" s="15" t="n">
        <v>0.6313</v>
      </c>
      <c r="M67" s="29" t="n">
        <v>33.66</v>
      </c>
    </row>
    <row r="68" customFormat="false" ht="15" hidden="false" customHeight="false" outlineLevel="0" collapsed="false">
      <c r="A68" s="24" t="n">
        <v>10188</v>
      </c>
      <c r="B68" s="8" t="s">
        <v>88</v>
      </c>
      <c r="C68" s="25" t="n">
        <v>80</v>
      </c>
      <c r="D68" s="25" t="n">
        <v>80</v>
      </c>
      <c r="E68" s="10" t="n">
        <v>0</v>
      </c>
      <c r="F68" s="10" t="n">
        <v>328</v>
      </c>
      <c r="G68" s="10" t="n">
        <v>328</v>
      </c>
      <c r="H68" s="10" t="n">
        <v>111.92</v>
      </c>
      <c r="I68" s="10" t="n">
        <v>216.08</v>
      </c>
      <c r="J68" s="10" t="n">
        <v>124.52</v>
      </c>
      <c r="K68" s="11" t="n">
        <v>0.6588</v>
      </c>
      <c r="L68" s="11" t="n">
        <v>0.3796</v>
      </c>
      <c r="M68" s="26" t="n">
        <v>45</v>
      </c>
    </row>
    <row r="69" customFormat="false" ht="15" hidden="false" customHeight="false" outlineLevel="0" collapsed="false">
      <c r="A69" s="27" t="n">
        <v>10189</v>
      </c>
      <c r="B69" s="12" t="s">
        <v>89</v>
      </c>
      <c r="C69" s="28" t="n">
        <v>75</v>
      </c>
      <c r="D69" s="28" t="n">
        <v>75</v>
      </c>
      <c r="E69" s="14" t="n">
        <v>0</v>
      </c>
      <c r="F69" s="14" t="n">
        <v>307.5</v>
      </c>
      <c r="G69" s="14" t="n">
        <v>307.5</v>
      </c>
      <c r="H69" s="14" t="n">
        <v>104.9704</v>
      </c>
      <c r="I69" s="14" t="n">
        <v>202.53</v>
      </c>
      <c r="J69" s="14" t="n">
        <v>116.75</v>
      </c>
      <c r="K69" s="15" t="n">
        <v>0.6586</v>
      </c>
      <c r="L69" s="15" t="n">
        <v>0.3797</v>
      </c>
      <c r="M69" s="29" t="n">
        <v>45</v>
      </c>
    </row>
    <row r="70" customFormat="false" ht="15" hidden="false" customHeight="false" outlineLevel="0" collapsed="false">
      <c r="A70" s="24" t="n">
        <v>10191</v>
      </c>
      <c r="B70" s="8" t="s">
        <v>90</v>
      </c>
      <c r="C70" s="25" t="n">
        <v>40</v>
      </c>
      <c r="D70" s="25" t="n">
        <v>40</v>
      </c>
      <c r="E70" s="10" t="n">
        <v>0</v>
      </c>
      <c r="F70" s="10" t="n">
        <v>725.6</v>
      </c>
      <c r="G70" s="10" t="n">
        <v>725.6</v>
      </c>
      <c r="H70" s="10" t="n">
        <v>177.09</v>
      </c>
      <c r="I70" s="10" t="n">
        <v>548.51</v>
      </c>
      <c r="J70" s="10" t="n">
        <v>345.99</v>
      </c>
      <c r="K70" s="11" t="n">
        <v>0.7559</v>
      </c>
      <c r="L70" s="11" t="n">
        <v>0.4768</v>
      </c>
      <c r="M70" s="26" t="n">
        <v>45</v>
      </c>
    </row>
    <row r="71" customFormat="false" ht="15" hidden="false" customHeight="false" outlineLevel="0" collapsed="false">
      <c r="A71" s="27" t="n">
        <v>10193</v>
      </c>
      <c r="B71" s="12" t="s">
        <v>91</v>
      </c>
      <c r="C71" s="28" t="n">
        <v>45</v>
      </c>
      <c r="D71" s="28" t="n">
        <v>45</v>
      </c>
      <c r="E71" s="14" t="n">
        <v>0</v>
      </c>
      <c r="F71" s="14" t="n">
        <v>3915</v>
      </c>
      <c r="G71" s="14" t="n">
        <v>3915</v>
      </c>
      <c r="H71" s="14" t="n">
        <v>1269.36</v>
      </c>
      <c r="I71" s="14" t="n">
        <v>2645.64</v>
      </c>
      <c r="J71" s="14" t="n">
        <v>1552.98</v>
      </c>
      <c r="K71" s="15" t="n">
        <v>0.6758</v>
      </c>
      <c r="L71" s="15" t="n">
        <v>0.3967</v>
      </c>
      <c r="M71" s="29" t="n">
        <v>45</v>
      </c>
    </row>
    <row r="72" customFormat="false" ht="15" hidden="false" customHeight="false" outlineLevel="0" collapsed="false">
      <c r="A72" s="24" t="n">
        <v>10197</v>
      </c>
      <c r="B72" s="8" t="s">
        <v>92</v>
      </c>
      <c r="C72" s="25" t="n">
        <v>37</v>
      </c>
      <c r="D72" s="25" t="n">
        <v>37</v>
      </c>
      <c r="E72" s="10" t="n">
        <v>0</v>
      </c>
      <c r="F72" s="10" t="n">
        <v>17662.32</v>
      </c>
      <c r="G72" s="10" t="n">
        <v>17662.32</v>
      </c>
      <c r="H72" s="10" t="n">
        <v>9622.8002</v>
      </c>
      <c r="I72" s="10" t="n">
        <v>8039.52</v>
      </c>
      <c r="J72" s="10" t="n">
        <v>3754.63</v>
      </c>
      <c r="K72" s="11" t="n">
        <v>0.4552</v>
      </c>
      <c r="L72" s="11" t="n">
        <v>0.2126</v>
      </c>
      <c r="M72" s="26" t="n">
        <v>36.92</v>
      </c>
    </row>
    <row r="73" customFormat="false" ht="15" hidden="false" customHeight="false" outlineLevel="0" collapsed="false">
      <c r="A73" s="27" t="n">
        <v>10199</v>
      </c>
      <c r="B73" s="12" t="s">
        <v>93</v>
      </c>
      <c r="C73" s="28" t="n">
        <v>70</v>
      </c>
      <c r="D73" s="28" t="n">
        <v>70</v>
      </c>
      <c r="E73" s="14" t="n">
        <v>0</v>
      </c>
      <c r="F73" s="14" t="n">
        <v>34646.5</v>
      </c>
      <c r="G73" s="14" t="n">
        <v>34646.5</v>
      </c>
      <c r="H73" s="14" t="n">
        <v>4462.43</v>
      </c>
      <c r="I73" s="14" t="n">
        <v>30184.07</v>
      </c>
      <c r="J73" s="14" t="n">
        <v>25936.41</v>
      </c>
      <c r="K73" s="15" t="n">
        <v>0.8712</v>
      </c>
      <c r="L73" s="15" t="n">
        <v>0.7486</v>
      </c>
      <c r="M73" s="29" t="n">
        <v>30</v>
      </c>
    </row>
    <row r="74" customFormat="false" ht="15" hidden="false" customHeight="false" outlineLevel="0" collapsed="false">
      <c r="A74" s="24" t="n">
        <v>10200</v>
      </c>
      <c r="B74" s="8" t="s">
        <v>94</v>
      </c>
      <c r="C74" s="25" t="n">
        <v>35</v>
      </c>
      <c r="D74" s="25" t="n">
        <v>35</v>
      </c>
      <c r="E74" s="10" t="n">
        <v>0</v>
      </c>
      <c r="F74" s="10" t="n">
        <v>820.4</v>
      </c>
      <c r="G74" s="10" t="n">
        <v>820.4</v>
      </c>
      <c r="H74" s="10" t="n">
        <v>254.98</v>
      </c>
      <c r="I74" s="10" t="n">
        <v>565.42</v>
      </c>
      <c r="J74" s="10" t="n">
        <v>340.02</v>
      </c>
      <c r="K74" s="11" t="n">
        <v>0.6892</v>
      </c>
      <c r="L74" s="11" t="n">
        <v>0.4145</v>
      </c>
      <c r="M74" s="26" t="n">
        <v>50</v>
      </c>
    </row>
    <row r="75" customFormat="false" ht="15" hidden="false" customHeight="false" outlineLevel="0" collapsed="false">
      <c r="A75" s="27" t="n">
        <v>10201</v>
      </c>
      <c r="B75" s="12" t="s">
        <v>79</v>
      </c>
      <c r="C75" s="28" t="n">
        <v>78</v>
      </c>
      <c r="D75" s="28" t="n">
        <v>78</v>
      </c>
      <c r="E75" s="14" t="n">
        <v>0</v>
      </c>
      <c r="F75" s="14" t="n">
        <v>37214.5</v>
      </c>
      <c r="G75" s="14" t="n">
        <v>37214.5</v>
      </c>
      <c r="H75" s="14" t="n">
        <v>5479.2882</v>
      </c>
      <c r="I75" s="14" t="n">
        <v>31735.21</v>
      </c>
      <c r="J75" s="14" t="n">
        <v>26905.78</v>
      </c>
      <c r="K75" s="15" t="n">
        <v>0.8528</v>
      </c>
      <c r="L75" s="15" t="n">
        <v>0.723</v>
      </c>
      <c r="M75" s="29" t="n">
        <v>30.93</v>
      </c>
    </row>
    <row r="76" customFormat="false" ht="15" hidden="false" customHeight="false" outlineLevel="0" collapsed="false">
      <c r="A76" s="24" t="n">
        <v>10202</v>
      </c>
      <c r="B76" s="8" t="s">
        <v>95</v>
      </c>
      <c r="C76" s="25" t="n">
        <v>774</v>
      </c>
      <c r="D76" s="25" t="n">
        <v>774</v>
      </c>
      <c r="E76" s="10" t="n">
        <v>0</v>
      </c>
      <c r="F76" s="10" t="n">
        <v>55194.57</v>
      </c>
      <c r="G76" s="10" t="n">
        <v>55194.57</v>
      </c>
      <c r="H76" s="10" t="n">
        <v>25416.9586</v>
      </c>
      <c r="I76" s="10" t="n">
        <v>29777.61</v>
      </c>
      <c r="J76" s="10" t="n">
        <v>18295.18</v>
      </c>
      <c r="K76" s="11" t="n">
        <v>0.5395</v>
      </c>
      <c r="L76" s="11" t="n">
        <v>0.3315</v>
      </c>
      <c r="M76" s="26" t="n">
        <v>41.46</v>
      </c>
    </row>
    <row r="77" customFormat="false" ht="15" hidden="false" customHeight="false" outlineLevel="0" collapsed="false">
      <c r="A77" s="27" t="n">
        <v>10203</v>
      </c>
      <c r="B77" s="12" t="s">
        <v>129</v>
      </c>
      <c r="C77" s="28" t="n">
        <v>1</v>
      </c>
      <c r="D77" s="28" t="n">
        <v>1</v>
      </c>
      <c r="E77" s="14" t="n">
        <v>0</v>
      </c>
      <c r="F77" s="14" t="n">
        <v>521.26</v>
      </c>
      <c r="G77" s="14" t="n">
        <v>521.26</v>
      </c>
      <c r="H77" s="14" t="n">
        <v>151.33</v>
      </c>
      <c r="I77" s="14" t="n">
        <v>369.93</v>
      </c>
      <c r="J77" s="14" t="n">
        <v>226.73</v>
      </c>
      <c r="K77" s="15" t="n">
        <v>0.7097</v>
      </c>
      <c r="L77" s="15" t="n">
        <v>0.435</v>
      </c>
      <c r="M77" s="29" t="n">
        <v>60</v>
      </c>
    </row>
    <row r="78" customFormat="false" ht="15" hidden="false" customHeight="false" outlineLevel="0" collapsed="false">
      <c r="A78" s="24" t="n">
        <v>10204</v>
      </c>
      <c r="B78" s="8" t="s">
        <v>96</v>
      </c>
      <c r="C78" s="25" t="n">
        <v>70</v>
      </c>
      <c r="D78" s="25" t="n">
        <v>70</v>
      </c>
      <c r="E78" s="10" t="n">
        <v>0</v>
      </c>
      <c r="F78" s="10" t="n">
        <v>20627.6</v>
      </c>
      <c r="G78" s="10" t="n">
        <v>20627.6</v>
      </c>
      <c r="H78" s="10" t="n">
        <v>9778.37</v>
      </c>
      <c r="I78" s="10" t="n">
        <v>10849.23</v>
      </c>
      <c r="J78" s="10" t="n">
        <v>8320.29</v>
      </c>
      <c r="K78" s="11" t="n">
        <v>0.526</v>
      </c>
      <c r="L78" s="11" t="n">
        <v>0.4034</v>
      </c>
      <c r="M78" s="26" t="n">
        <v>30</v>
      </c>
    </row>
    <row r="79" customFormat="false" ht="15" hidden="false" customHeight="false" outlineLevel="0" collapsed="false">
      <c r="A79" s="27" t="n">
        <v>10206</v>
      </c>
      <c r="B79" s="12" t="s">
        <v>97</v>
      </c>
      <c r="C79" s="28" t="n">
        <v>46</v>
      </c>
      <c r="D79" s="28" t="n">
        <v>46</v>
      </c>
      <c r="E79" s="14" t="n">
        <v>0</v>
      </c>
      <c r="F79" s="14" t="n">
        <v>1676.24</v>
      </c>
      <c r="G79" s="14" t="n">
        <v>1676.24</v>
      </c>
      <c r="H79" s="14" t="n">
        <v>480.1493</v>
      </c>
      <c r="I79" s="14" t="n">
        <v>1196.09</v>
      </c>
      <c r="J79" s="14" t="n">
        <v>735.54</v>
      </c>
      <c r="K79" s="15" t="n">
        <v>0.7136</v>
      </c>
      <c r="L79" s="15" t="n">
        <v>0.4388</v>
      </c>
      <c r="M79" s="29" t="n">
        <v>31.74</v>
      </c>
    </row>
    <row r="80" customFormat="false" ht="15" hidden="false" customHeight="false" outlineLevel="0" collapsed="false">
      <c r="A80" s="24" t="n">
        <v>10208</v>
      </c>
      <c r="B80" s="8" t="s">
        <v>40</v>
      </c>
      <c r="C80" s="25" t="n">
        <v>127</v>
      </c>
      <c r="D80" s="25" t="n">
        <v>127</v>
      </c>
      <c r="E80" s="10" t="n">
        <v>0</v>
      </c>
      <c r="F80" s="10" t="n">
        <v>32554.34</v>
      </c>
      <c r="G80" s="10" t="n">
        <v>32554.34</v>
      </c>
      <c r="H80" s="10" t="n">
        <v>9254.2927</v>
      </c>
      <c r="I80" s="10" t="n">
        <v>23300.05</v>
      </c>
      <c r="J80" s="10" t="n">
        <v>17285.55</v>
      </c>
      <c r="K80" s="11" t="n">
        <v>0.7157</v>
      </c>
      <c r="L80" s="11" t="n">
        <v>0.531</v>
      </c>
      <c r="M80" s="26" t="n">
        <v>32.2</v>
      </c>
    </row>
    <row r="81" customFormat="false" ht="15" hidden="false" customHeight="false" outlineLevel="0" collapsed="false">
      <c r="A81" s="27" t="n">
        <v>10211</v>
      </c>
      <c r="B81" s="12" t="s">
        <v>258</v>
      </c>
      <c r="C81" s="28" t="n">
        <v>16</v>
      </c>
      <c r="D81" s="28" t="n">
        <v>16</v>
      </c>
      <c r="E81" s="14" t="n">
        <v>0</v>
      </c>
      <c r="F81" s="14" t="n">
        <v>771.04</v>
      </c>
      <c r="G81" s="14" t="n">
        <v>771.04</v>
      </c>
      <c r="H81" s="14" t="n">
        <v>185.3</v>
      </c>
      <c r="I81" s="14" t="n">
        <v>585.74</v>
      </c>
      <c r="J81" s="14" t="n">
        <v>373.93</v>
      </c>
      <c r="K81" s="15" t="n">
        <v>0.7597</v>
      </c>
      <c r="L81" s="15" t="n">
        <v>0.485</v>
      </c>
      <c r="M81" s="29" t="n">
        <v>55.94</v>
      </c>
    </row>
    <row r="82" customFormat="false" ht="15" hidden="false" customHeight="false" outlineLevel="0" collapsed="false">
      <c r="A82" s="24" t="n">
        <v>10212</v>
      </c>
      <c r="B82" s="8" t="s">
        <v>74</v>
      </c>
      <c r="C82" s="25" t="n">
        <v>113</v>
      </c>
      <c r="D82" s="25" t="n">
        <v>113</v>
      </c>
      <c r="E82" s="10" t="n">
        <v>0</v>
      </c>
      <c r="F82" s="10" t="n">
        <v>20133.9</v>
      </c>
      <c r="G82" s="10" t="n">
        <v>20133.9</v>
      </c>
      <c r="H82" s="10" t="n">
        <v>10663.8311</v>
      </c>
      <c r="I82" s="10" t="n">
        <v>9470.07</v>
      </c>
      <c r="J82" s="10" t="n">
        <v>3938.9</v>
      </c>
      <c r="K82" s="11" t="n">
        <v>0.4704</v>
      </c>
      <c r="L82" s="11" t="n">
        <v>0.1956</v>
      </c>
      <c r="M82" s="26" t="n">
        <v>31.91</v>
      </c>
    </row>
    <row r="83" customFormat="false" ht="15" hidden="false" customHeight="false" outlineLevel="0" collapsed="false">
      <c r="A83" s="27" t="n">
        <v>10215</v>
      </c>
      <c r="B83" s="12" t="s">
        <v>87</v>
      </c>
      <c r="C83" s="28" t="n">
        <v>3</v>
      </c>
      <c r="D83" s="28" t="n">
        <v>3</v>
      </c>
      <c r="E83" s="14" t="n">
        <v>0</v>
      </c>
      <c r="F83" s="14" t="n">
        <v>666.39</v>
      </c>
      <c r="G83" s="14" t="n">
        <v>666.39</v>
      </c>
      <c r="H83" s="14" t="n">
        <v>139.5699</v>
      </c>
      <c r="I83" s="14" t="n">
        <v>526.82</v>
      </c>
      <c r="J83" s="14" t="n">
        <v>375.85</v>
      </c>
      <c r="K83" s="15" t="n">
        <v>0.7906</v>
      </c>
      <c r="L83" s="15" t="n">
        <v>0.564</v>
      </c>
      <c r="M83" s="29" t="n">
        <v>45</v>
      </c>
    </row>
    <row r="84" customFormat="false" ht="15" hidden="false" customHeight="false" outlineLevel="0" collapsed="false">
      <c r="A84" s="24" t="n">
        <v>10216</v>
      </c>
      <c r="B84" s="8" t="s">
        <v>98</v>
      </c>
      <c r="C84" s="25" t="n">
        <v>340</v>
      </c>
      <c r="D84" s="25" t="n">
        <v>340</v>
      </c>
      <c r="E84" s="10" t="n">
        <v>0</v>
      </c>
      <c r="F84" s="10" t="n">
        <v>70856</v>
      </c>
      <c r="G84" s="10" t="n">
        <v>70856</v>
      </c>
      <c r="H84" s="10" t="n">
        <v>32455.323</v>
      </c>
      <c r="I84" s="10" t="n">
        <v>38400.68</v>
      </c>
      <c r="J84" s="10" t="n">
        <v>29713.73</v>
      </c>
      <c r="K84" s="11" t="n">
        <v>0.542</v>
      </c>
      <c r="L84" s="11" t="n">
        <v>0.4194</v>
      </c>
      <c r="M84" s="26" t="n">
        <v>30</v>
      </c>
    </row>
    <row r="85" customFormat="false" ht="15" hidden="false" customHeight="false" outlineLevel="0" collapsed="false">
      <c r="A85" s="27" t="n">
        <v>10219</v>
      </c>
      <c r="B85" s="12" t="s">
        <v>364</v>
      </c>
      <c r="C85" s="28" t="n">
        <v>2</v>
      </c>
      <c r="D85" s="28" t="n">
        <v>2</v>
      </c>
      <c r="E85" s="14" t="n">
        <v>0</v>
      </c>
      <c r="F85" s="14" t="n">
        <v>62.62</v>
      </c>
      <c r="G85" s="14" t="n">
        <v>62.62</v>
      </c>
      <c r="H85" s="14" t="n">
        <v>28.49</v>
      </c>
      <c r="I85" s="14" t="n">
        <v>34.13</v>
      </c>
      <c r="J85" s="14" t="n">
        <v>16.93</v>
      </c>
      <c r="K85" s="15" t="n">
        <v>0.545</v>
      </c>
      <c r="L85" s="15" t="n">
        <v>0.2704</v>
      </c>
      <c r="M85" s="29" t="n">
        <v>42</v>
      </c>
    </row>
    <row r="86" customFormat="false" ht="15" hidden="false" customHeight="false" outlineLevel="0" collapsed="false">
      <c r="A86" s="24" t="n">
        <v>10223</v>
      </c>
      <c r="B86" s="8" t="s">
        <v>260</v>
      </c>
      <c r="C86" s="25" t="n">
        <v>120</v>
      </c>
      <c r="D86" s="25" t="n">
        <v>120</v>
      </c>
      <c r="E86" s="10" t="n">
        <v>0</v>
      </c>
      <c r="F86" s="10" t="n">
        <v>10206</v>
      </c>
      <c r="G86" s="10" t="n">
        <v>10206</v>
      </c>
      <c r="H86" s="10" t="n">
        <v>6701.1</v>
      </c>
      <c r="I86" s="10" t="n">
        <v>3504.9</v>
      </c>
      <c r="J86" s="10" t="n">
        <v>656.4</v>
      </c>
      <c r="K86" s="11" t="n">
        <v>0.3434</v>
      </c>
      <c r="L86" s="11" t="n">
        <v>0.0643</v>
      </c>
      <c r="M86" s="26" t="n">
        <v>50</v>
      </c>
    </row>
    <row r="87" customFormat="false" ht="15" hidden="false" customHeight="false" outlineLevel="0" collapsed="false">
      <c r="A87" s="27" t="n">
        <v>10229</v>
      </c>
      <c r="B87" s="12" t="s">
        <v>100</v>
      </c>
      <c r="C87" s="28" t="n">
        <v>40</v>
      </c>
      <c r="D87" s="28" t="n">
        <v>40</v>
      </c>
      <c r="E87" s="14" t="n">
        <v>0</v>
      </c>
      <c r="F87" s="14" t="n">
        <v>7601.97</v>
      </c>
      <c r="G87" s="14" t="n">
        <v>7601.97</v>
      </c>
      <c r="H87" s="14" t="n">
        <v>1221.1205</v>
      </c>
      <c r="I87" s="14" t="n">
        <v>6380.85</v>
      </c>
      <c r="J87" s="14" t="n">
        <v>4260.15</v>
      </c>
      <c r="K87" s="15" t="n">
        <v>0.8394</v>
      </c>
      <c r="L87" s="15" t="n">
        <v>0.5604</v>
      </c>
      <c r="M87" s="29" t="n">
        <v>31.21</v>
      </c>
    </row>
    <row r="88" customFormat="false" ht="15" hidden="false" customHeight="false" outlineLevel="0" collapsed="false">
      <c r="A88" s="24" t="n">
        <v>10230</v>
      </c>
      <c r="B88" s="8" t="s">
        <v>101</v>
      </c>
      <c r="C88" s="25" t="n">
        <v>88</v>
      </c>
      <c r="D88" s="25" t="n">
        <v>88</v>
      </c>
      <c r="E88" s="10" t="n">
        <v>0</v>
      </c>
      <c r="F88" s="10" t="n">
        <v>20957.48</v>
      </c>
      <c r="G88" s="10" t="n">
        <v>20957.48</v>
      </c>
      <c r="H88" s="10" t="n">
        <v>5112.977</v>
      </c>
      <c r="I88" s="10" t="n">
        <v>15844.5</v>
      </c>
      <c r="J88" s="10" t="n">
        <v>12666.74</v>
      </c>
      <c r="K88" s="11" t="n">
        <v>0.756</v>
      </c>
      <c r="L88" s="11" t="n">
        <v>0.6044</v>
      </c>
      <c r="M88" s="26" t="n">
        <v>30.54</v>
      </c>
    </row>
    <row r="89" customFormat="false" ht="15" hidden="false" customHeight="false" outlineLevel="0" collapsed="false">
      <c r="A89" s="27" t="n">
        <v>10240</v>
      </c>
      <c r="B89" s="12" t="s">
        <v>102</v>
      </c>
      <c r="C89" s="28" t="n">
        <v>200</v>
      </c>
      <c r="D89" s="28" t="n">
        <v>200</v>
      </c>
      <c r="E89" s="14" t="n">
        <v>0</v>
      </c>
      <c r="F89" s="14" t="n">
        <v>8846.65</v>
      </c>
      <c r="G89" s="14" t="n">
        <v>8846.65</v>
      </c>
      <c r="H89" s="14" t="n">
        <v>1711.93</v>
      </c>
      <c r="I89" s="14" t="n">
        <v>7134.72</v>
      </c>
      <c r="J89" s="14" t="n">
        <v>4704.36</v>
      </c>
      <c r="K89" s="15" t="n">
        <v>0.8065</v>
      </c>
      <c r="L89" s="15" t="n">
        <v>0.5318</v>
      </c>
      <c r="M89" s="29" t="n">
        <v>39.16</v>
      </c>
    </row>
    <row r="90" customFormat="false" ht="15" hidden="false" customHeight="false" outlineLevel="0" collapsed="false">
      <c r="A90" s="24" t="n">
        <v>10244</v>
      </c>
      <c r="B90" s="8" t="s">
        <v>103</v>
      </c>
      <c r="C90" s="25" t="n">
        <v>48</v>
      </c>
      <c r="D90" s="25" t="n">
        <v>48</v>
      </c>
      <c r="E90" s="10" t="n">
        <v>0</v>
      </c>
      <c r="F90" s="10" t="n">
        <v>9302.68</v>
      </c>
      <c r="G90" s="10" t="n">
        <v>9302.68</v>
      </c>
      <c r="H90" s="10" t="n">
        <v>1478.2796</v>
      </c>
      <c r="I90" s="10" t="n">
        <v>7824.4</v>
      </c>
      <c r="J90" s="10" t="n">
        <v>5309.72</v>
      </c>
      <c r="K90" s="11" t="n">
        <v>0.8411</v>
      </c>
      <c r="L90" s="11" t="n">
        <v>0.5708</v>
      </c>
      <c r="M90" s="26" t="n">
        <v>32.99</v>
      </c>
    </row>
    <row r="91" customFormat="false" ht="15" hidden="false" customHeight="false" outlineLevel="0" collapsed="false">
      <c r="A91" s="27" t="n">
        <v>10247</v>
      </c>
      <c r="B91" s="12" t="s">
        <v>104</v>
      </c>
      <c r="C91" s="28" t="n">
        <v>195</v>
      </c>
      <c r="D91" s="28" t="n">
        <v>195</v>
      </c>
      <c r="E91" s="14" t="n">
        <v>0</v>
      </c>
      <c r="F91" s="14" t="n">
        <v>33531.62</v>
      </c>
      <c r="G91" s="14" t="n">
        <v>33531.62</v>
      </c>
      <c r="H91" s="14" t="n">
        <v>13329.1099</v>
      </c>
      <c r="I91" s="14" t="n">
        <v>20202.51</v>
      </c>
      <c r="J91" s="14" t="n">
        <v>11721.08</v>
      </c>
      <c r="K91" s="15" t="n">
        <v>0.6025</v>
      </c>
      <c r="L91" s="15" t="n">
        <v>0.3496</v>
      </c>
      <c r="M91" s="29" t="n">
        <v>46.78</v>
      </c>
    </row>
    <row r="92" customFormat="false" ht="15" hidden="false" customHeight="false" outlineLevel="0" collapsed="false">
      <c r="A92" s="24" t="n">
        <v>10250</v>
      </c>
      <c r="B92" s="8" t="s">
        <v>105</v>
      </c>
      <c r="C92" s="25" t="n">
        <v>66</v>
      </c>
      <c r="D92" s="25" t="n">
        <v>66</v>
      </c>
      <c r="E92" s="10" t="n">
        <v>0</v>
      </c>
      <c r="F92" s="10" t="n">
        <v>13915.46</v>
      </c>
      <c r="G92" s="10" t="n">
        <v>13915.46</v>
      </c>
      <c r="H92" s="10" t="n">
        <v>4368.4403</v>
      </c>
      <c r="I92" s="10" t="n">
        <v>9547.02</v>
      </c>
      <c r="J92" s="10" t="n">
        <v>5724.18</v>
      </c>
      <c r="K92" s="11" t="n">
        <v>0.6861</v>
      </c>
      <c r="L92" s="11" t="n">
        <v>0.4114</v>
      </c>
      <c r="M92" s="26" t="n">
        <v>38.91</v>
      </c>
    </row>
    <row r="93" customFormat="false" ht="15" hidden="false" customHeight="false" outlineLevel="0" collapsed="false">
      <c r="A93" s="27" t="n">
        <v>10254</v>
      </c>
      <c r="B93" s="12" t="s">
        <v>108</v>
      </c>
      <c r="C93" s="28" t="n">
        <v>167</v>
      </c>
      <c r="D93" s="28" t="n">
        <v>167</v>
      </c>
      <c r="E93" s="14" t="n">
        <v>0</v>
      </c>
      <c r="F93" s="14" t="n">
        <v>36137.7</v>
      </c>
      <c r="G93" s="14" t="n">
        <v>36137.7</v>
      </c>
      <c r="H93" s="14" t="n">
        <v>12367.2404</v>
      </c>
      <c r="I93" s="14" t="n">
        <v>23770.46</v>
      </c>
      <c r="J93" s="14" t="n">
        <v>16789.05</v>
      </c>
      <c r="K93" s="15" t="n">
        <v>0.6578</v>
      </c>
      <c r="L93" s="15" t="n">
        <v>0.4646</v>
      </c>
      <c r="M93" s="29" t="n">
        <v>41.26</v>
      </c>
    </row>
    <row r="94" customFormat="false" ht="15" hidden="false" customHeight="false" outlineLevel="0" collapsed="false">
      <c r="A94" s="24" t="n">
        <v>10255</v>
      </c>
      <c r="B94" s="8" t="s">
        <v>109</v>
      </c>
      <c r="C94" s="25" t="n">
        <v>95</v>
      </c>
      <c r="D94" s="25" t="n">
        <v>95</v>
      </c>
      <c r="E94" s="10" t="n">
        <v>0</v>
      </c>
      <c r="F94" s="10" t="n">
        <v>16196.15</v>
      </c>
      <c r="G94" s="10" t="n">
        <v>16196.15</v>
      </c>
      <c r="H94" s="10" t="n">
        <v>6318.2</v>
      </c>
      <c r="I94" s="10" t="n">
        <v>9877.95</v>
      </c>
      <c r="J94" s="10" t="n">
        <v>5461.97</v>
      </c>
      <c r="K94" s="11" t="n">
        <v>0.6099</v>
      </c>
      <c r="L94" s="11" t="n">
        <v>0.3372</v>
      </c>
      <c r="M94" s="26" t="n">
        <v>53.24</v>
      </c>
    </row>
    <row r="95" customFormat="false" ht="15" hidden="false" customHeight="false" outlineLevel="0" collapsed="false">
      <c r="A95" s="27" t="n">
        <v>10256</v>
      </c>
      <c r="B95" s="12" t="s">
        <v>110</v>
      </c>
      <c r="C95" s="28" t="n">
        <v>119</v>
      </c>
      <c r="D95" s="28" t="n">
        <v>119</v>
      </c>
      <c r="E95" s="14" t="n">
        <v>0</v>
      </c>
      <c r="F95" s="14" t="n">
        <v>41607.65</v>
      </c>
      <c r="G95" s="14" t="n">
        <v>41607.65</v>
      </c>
      <c r="H95" s="14" t="n">
        <v>15271.2291</v>
      </c>
      <c r="I95" s="14" t="n">
        <v>26336.42</v>
      </c>
      <c r="J95" s="14" t="n">
        <v>14905.97</v>
      </c>
      <c r="K95" s="15" t="n">
        <v>0.633</v>
      </c>
      <c r="L95" s="15" t="n">
        <v>0.3583</v>
      </c>
      <c r="M95" s="29" t="n">
        <v>50.13</v>
      </c>
    </row>
    <row r="96" customFormat="false" ht="15" hidden="false" customHeight="false" outlineLevel="0" collapsed="false">
      <c r="A96" s="24" t="n">
        <v>10257</v>
      </c>
      <c r="B96" s="8" t="s">
        <v>111</v>
      </c>
      <c r="C96" s="25" t="n">
        <v>35</v>
      </c>
      <c r="D96" s="25" t="n">
        <v>35</v>
      </c>
      <c r="E96" s="10" t="n">
        <v>0</v>
      </c>
      <c r="F96" s="10" t="n">
        <v>291760</v>
      </c>
      <c r="G96" s="10" t="n">
        <v>291760</v>
      </c>
      <c r="H96" s="10" t="n">
        <v>159926.8</v>
      </c>
      <c r="I96" s="10" t="n">
        <v>131833.2</v>
      </c>
      <c r="J96" s="10" t="n">
        <v>51680.84</v>
      </c>
      <c r="K96" s="11" t="n">
        <v>0.4519</v>
      </c>
      <c r="L96" s="11" t="n">
        <v>0.1771</v>
      </c>
      <c r="M96" s="26" t="n">
        <v>30.51</v>
      </c>
    </row>
    <row r="97" customFormat="false" ht="15" hidden="false" customHeight="false" outlineLevel="0" collapsed="false">
      <c r="A97" s="27" t="n">
        <v>10267</v>
      </c>
      <c r="B97" s="12" t="s">
        <v>112</v>
      </c>
      <c r="C97" s="28" t="n">
        <v>102</v>
      </c>
      <c r="D97" s="28" t="n">
        <v>102</v>
      </c>
      <c r="E97" s="14" t="n">
        <v>0</v>
      </c>
      <c r="F97" s="14" t="n">
        <v>12396.02</v>
      </c>
      <c r="G97" s="14" t="n">
        <v>12396.02</v>
      </c>
      <c r="H97" s="14" t="n">
        <v>2894.8406</v>
      </c>
      <c r="I97" s="14" t="n">
        <v>9501.18</v>
      </c>
      <c r="J97" s="14" t="n">
        <v>7712.31</v>
      </c>
      <c r="K97" s="15" t="n">
        <v>0.7665</v>
      </c>
      <c r="L97" s="15" t="n">
        <v>0.6222</v>
      </c>
      <c r="M97" s="29" t="n">
        <v>32.84</v>
      </c>
    </row>
    <row r="98" customFormat="false" ht="15" hidden="false" customHeight="false" outlineLevel="0" collapsed="false">
      <c r="A98" s="24" t="n">
        <v>10268</v>
      </c>
      <c r="B98" s="8" t="s">
        <v>63</v>
      </c>
      <c r="C98" s="25" t="n">
        <v>5</v>
      </c>
      <c r="D98" s="25" t="n">
        <v>5</v>
      </c>
      <c r="E98" s="10" t="n">
        <v>0</v>
      </c>
      <c r="F98" s="10" t="n">
        <v>349</v>
      </c>
      <c r="G98" s="10" t="n">
        <v>349</v>
      </c>
      <c r="H98" s="10" t="n">
        <v>137.26</v>
      </c>
      <c r="I98" s="10" t="n">
        <v>211.74</v>
      </c>
      <c r="J98" s="10" t="n">
        <v>115.87</v>
      </c>
      <c r="K98" s="11" t="n">
        <v>0.6067</v>
      </c>
      <c r="L98" s="11" t="n">
        <v>0.332</v>
      </c>
      <c r="M98" s="26" t="n">
        <v>7</v>
      </c>
    </row>
    <row r="99" customFormat="false" ht="15" hidden="false" customHeight="false" outlineLevel="0" collapsed="false">
      <c r="A99" s="27" t="n">
        <v>10270</v>
      </c>
      <c r="B99" s="12" t="s">
        <v>256</v>
      </c>
      <c r="C99" s="28" t="n">
        <v>15</v>
      </c>
      <c r="D99" s="28" t="n">
        <v>15</v>
      </c>
      <c r="E99" s="14" t="n">
        <v>0</v>
      </c>
      <c r="F99" s="14" t="n">
        <v>747.3</v>
      </c>
      <c r="G99" s="14" t="n">
        <v>747.3</v>
      </c>
      <c r="H99" s="14" t="n">
        <v>335.4705</v>
      </c>
      <c r="I99" s="14" t="n">
        <v>411.83</v>
      </c>
      <c r="J99" s="14" t="n">
        <v>230.54</v>
      </c>
      <c r="K99" s="15" t="n">
        <v>0.5511</v>
      </c>
      <c r="L99" s="15" t="n">
        <v>0.3085</v>
      </c>
      <c r="M99" s="29" t="n">
        <v>36</v>
      </c>
    </row>
    <row r="100" customFormat="false" ht="15" hidden="false" customHeight="false" outlineLevel="0" collapsed="false">
      <c r="A100" s="24" t="n">
        <v>10275</v>
      </c>
      <c r="B100" s="8" t="s">
        <v>315</v>
      </c>
      <c r="C100" s="25" t="n">
        <v>120</v>
      </c>
      <c r="D100" s="25" t="n">
        <v>120</v>
      </c>
      <c r="E100" s="10" t="n">
        <v>0</v>
      </c>
      <c r="F100" s="10" t="n">
        <v>3750.57</v>
      </c>
      <c r="G100" s="10" t="n">
        <v>3750.57</v>
      </c>
      <c r="H100" s="10" t="n">
        <v>1061.592</v>
      </c>
      <c r="I100" s="10" t="n">
        <v>2688.98</v>
      </c>
      <c r="J100" s="10" t="n">
        <v>1658.62</v>
      </c>
      <c r="K100" s="11" t="n">
        <v>0.717</v>
      </c>
      <c r="L100" s="11" t="n">
        <v>0.4422</v>
      </c>
      <c r="M100" s="26" t="n">
        <v>30</v>
      </c>
    </row>
    <row r="101" customFormat="false" ht="15" hidden="false" customHeight="false" outlineLevel="0" collapsed="false">
      <c r="A101" s="27" t="n">
        <v>10277</v>
      </c>
      <c r="B101" s="12" t="s">
        <v>113</v>
      </c>
      <c r="C101" s="28" t="n">
        <v>700</v>
      </c>
      <c r="D101" s="28" t="n">
        <v>700</v>
      </c>
      <c r="E101" s="14" t="n">
        <v>0</v>
      </c>
      <c r="F101" s="14" t="n">
        <v>12785.52</v>
      </c>
      <c r="G101" s="14" t="n">
        <v>12785.52</v>
      </c>
      <c r="H101" s="14" t="n">
        <v>5819.31</v>
      </c>
      <c r="I101" s="14" t="n">
        <v>6966.21</v>
      </c>
      <c r="J101" s="14" t="n">
        <v>3453.76</v>
      </c>
      <c r="K101" s="15" t="n">
        <v>0.5449</v>
      </c>
      <c r="L101" s="15" t="n">
        <v>0.2701</v>
      </c>
      <c r="M101" s="29" t="n">
        <v>45.06</v>
      </c>
    </row>
    <row r="102" customFormat="false" ht="15" hidden="false" customHeight="false" outlineLevel="0" collapsed="false">
      <c r="A102" s="24" t="n">
        <v>10283</v>
      </c>
      <c r="B102" s="8" t="s">
        <v>117</v>
      </c>
      <c r="C102" s="25" t="n">
        <v>15</v>
      </c>
      <c r="D102" s="25" t="n">
        <v>15</v>
      </c>
      <c r="E102" s="10" t="n">
        <v>0</v>
      </c>
      <c r="F102" s="10" t="n">
        <v>5349.6</v>
      </c>
      <c r="G102" s="10" t="n">
        <v>5349.6</v>
      </c>
      <c r="H102" s="10" t="n">
        <v>3882.9705</v>
      </c>
      <c r="I102" s="10" t="n">
        <v>1466.63</v>
      </c>
      <c r="J102" s="10" t="n">
        <v>-3.01</v>
      </c>
      <c r="K102" s="11" t="n">
        <v>0.2742</v>
      </c>
      <c r="L102" s="11" t="n">
        <v>-0.0006</v>
      </c>
      <c r="M102" s="26" t="n">
        <v>60</v>
      </c>
    </row>
    <row r="103" customFormat="false" ht="15" hidden="false" customHeight="false" outlineLevel="0" collapsed="false">
      <c r="A103" s="27" t="n">
        <v>10284</v>
      </c>
      <c r="B103" s="12" t="s">
        <v>118</v>
      </c>
      <c r="C103" s="28" t="n">
        <v>80</v>
      </c>
      <c r="D103" s="28" t="n">
        <v>80</v>
      </c>
      <c r="E103" s="14" t="n">
        <v>0</v>
      </c>
      <c r="F103" s="14" t="n">
        <v>8752.8</v>
      </c>
      <c r="G103" s="14" t="n">
        <v>8752.8</v>
      </c>
      <c r="H103" s="14" t="n">
        <v>1873.032</v>
      </c>
      <c r="I103" s="14" t="n">
        <v>6879.77</v>
      </c>
      <c r="J103" s="14" t="n">
        <v>5806.67</v>
      </c>
      <c r="K103" s="15" t="n">
        <v>0.786</v>
      </c>
      <c r="L103" s="15" t="n">
        <v>0.6634</v>
      </c>
      <c r="M103" s="29" t="n">
        <v>30</v>
      </c>
    </row>
    <row r="104" customFormat="false" ht="15" hidden="false" customHeight="false" outlineLevel="0" collapsed="false">
      <c r="A104" s="24" t="n">
        <v>10286</v>
      </c>
      <c r="B104" s="8" t="s">
        <v>119</v>
      </c>
      <c r="C104" s="25" t="n">
        <v>26</v>
      </c>
      <c r="D104" s="25" t="n">
        <v>26</v>
      </c>
      <c r="E104" s="10" t="n">
        <v>0</v>
      </c>
      <c r="F104" s="10" t="n">
        <v>4427.02</v>
      </c>
      <c r="G104" s="10" t="n">
        <v>4427.02</v>
      </c>
      <c r="H104" s="10" t="n">
        <v>1509.3</v>
      </c>
      <c r="I104" s="10" t="n">
        <v>2917.72</v>
      </c>
      <c r="J104" s="10" t="n">
        <v>1843.72</v>
      </c>
      <c r="K104" s="11" t="n">
        <v>0.6591</v>
      </c>
      <c r="L104" s="11" t="n">
        <v>0.4165</v>
      </c>
      <c r="M104" s="26" t="n">
        <v>38.92</v>
      </c>
    </row>
    <row r="105" customFormat="false" ht="15" hidden="false" customHeight="false" outlineLevel="0" collapsed="false">
      <c r="A105" s="27" t="n">
        <v>10287</v>
      </c>
      <c r="B105" s="12" t="s">
        <v>40</v>
      </c>
      <c r="C105" s="28" t="n">
        <v>59</v>
      </c>
      <c r="D105" s="28" t="n">
        <v>59</v>
      </c>
      <c r="E105" s="14" t="n">
        <v>0</v>
      </c>
      <c r="F105" s="14" t="n">
        <v>12332.31</v>
      </c>
      <c r="G105" s="14" t="n">
        <v>12332.31</v>
      </c>
      <c r="H105" s="14" t="n">
        <v>3955.6299</v>
      </c>
      <c r="I105" s="14" t="n">
        <v>8376.68</v>
      </c>
      <c r="J105" s="14" t="n">
        <v>5355.59</v>
      </c>
      <c r="K105" s="15" t="n">
        <v>0.6792</v>
      </c>
      <c r="L105" s="15" t="n">
        <v>0.4343</v>
      </c>
      <c r="M105" s="29" t="n">
        <v>40.56</v>
      </c>
    </row>
    <row r="106" customFormat="false" ht="15" hidden="false" customHeight="false" outlineLevel="0" collapsed="false">
      <c r="A106" s="24" t="n">
        <v>10288</v>
      </c>
      <c r="B106" s="8" t="s">
        <v>120</v>
      </c>
      <c r="C106" s="25" t="n">
        <v>3</v>
      </c>
      <c r="D106" s="25" t="n">
        <v>3</v>
      </c>
      <c r="E106" s="10" t="n">
        <v>0</v>
      </c>
      <c r="F106" s="10" t="n">
        <v>899.88</v>
      </c>
      <c r="G106" s="10" t="n">
        <v>899.88</v>
      </c>
      <c r="H106" s="10" t="n">
        <v>319.97</v>
      </c>
      <c r="I106" s="10" t="n">
        <v>579.91</v>
      </c>
      <c r="J106" s="10" t="n">
        <v>332.69</v>
      </c>
      <c r="K106" s="11" t="n">
        <v>0.6444</v>
      </c>
      <c r="L106" s="11" t="n">
        <v>0.3697</v>
      </c>
      <c r="M106" s="26" t="n">
        <v>34.67</v>
      </c>
    </row>
    <row r="107" customFormat="false" ht="15" hidden="false" customHeight="false" outlineLevel="0" collapsed="false">
      <c r="A107" s="27" t="n">
        <v>10294</v>
      </c>
      <c r="B107" s="12" t="s">
        <v>365</v>
      </c>
      <c r="C107" s="28" t="n">
        <v>1</v>
      </c>
      <c r="D107" s="28" t="n">
        <v>1</v>
      </c>
      <c r="E107" s="14" t="n">
        <v>0</v>
      </c>
      <c r="F107" s="14" t="n">
        <v>218</v>
      </c>
      <c r="G107" s="14" t="n">
        <v>218</v>
      </c>
      <c r="H107" s="14" t="n">
        <v>104.12</v>
      </c>
      <c r="I107" s="14" t="n">
        <v>113.88</v>
      </c>
      <c r="J107" s="14" t="n">
        <v>53.99</v>
      </c>
      <c r="K107" s="15" t="n">
        <v>0.5224</v>
      </c>
      <c r="L107" s="15" t="n">
        <v>0.2477</v>
      </c>
      <c r="M107" s="29" t="n">
        <v>60</v>
      </c>
    </row>
    <row r="108" customFormat="false" ht="15" hidden="false" customHeight="false" outlineLevel="0" collapsed="false">
      <c r="A108" s="24" t="n">
        <v>10296</v>
      </c>
      <c r="B108" s="8" t="s">
        <v>121</v>
      </c>
      <c r="C108" s="25" t="n">
        <v>608</v>
      </c>
      <c r="D108" s="25" t="n">
        <v>608</v>
      </c>
      <c r="E108" s="10" t="n">
        <v>0</v>
      </c>
      <c r="F108" s="10" t="n">
        <v>67801.13</v>
      </c>
      <c r="G108" s="10" t="n">
        <v>67801.13</v>
      </c>
      <c r="H108" s="10" t="n">
        <v>46078.439</v>
      </c>
      <c r="I108" s="10" t="n">
        <v>21722.69</v>
      </c>
      <c r="J108" s="10" t="n">
        <v>4568.08</v>
      </c>
      <c r="K108" s="11" t="n">
        <v>0.3204</v>
      </c>
      <c r="L108" s="11" t="n">
        <v>0.0674</v>
      </c>
      <c r="M108" s="26" t="n">
        <v>49.65</v>
      </c>
    </row>
    <row r="109" customFormat="false" ht="15" hidden="false" customHeight="false" outlineLevel="0" collapsed="false">
      <c r="A109" s="27" t="n">
        <v>10299</v>
      </c>
      <c r="B109" s="12" t="s">
        <v>122</v>
      </c>
      <c r="C109" s="28" t="n">
        <v>41</v>
      </c>
      <c r="D109" s="28" t="n">
        <v>41</v>
      </c>
      <c r="E109" s="14" t="n">
        <v>0</v>
      </c>
      <c r="F109" s="14" t="n">
        <v>6615.8</v>
      </c>
      <c r="G109" s="14" t="n">
        <v>6615.8</v>
      </c>
      <c r="H109" s="14" t="n">
        <v>4407.0898</v>
      </c>
      <c r="I109" s="14" t="n">
        <v>2208.71</v>
      </c>
      <c r="J109" s="14" t="n">
        <v>603.72</v>
      </c>
      <c r="K109" s="15" t="n">
        <v>0.3339</v>
      </c>
      <c r="L109" s="15" t="n">
        <v>0.0913</v>
      </c>
      <c r="M109" s="29" t="n">
        <v>36.87</v>
      </c>
    </row>
    <row r="110" customFormat="false" ht="15" hidden="false" customHeight="false" outlineLevel="0" collapsed="false">
      <c r="A110" s="24" t="n">
        <v>10300</v>
      </c>
      <c r="B110" s="8" t="s">
        <v>123</v>
      </c>
      <c r="C110" s="25" t="n">
        <v>45</v>
      </c>
      <c r="D110" s="25" t="n">
        <v>45</v>
      </c>
      <c r="E110" s="10" t="n">
        <v>0</v>
      </c>
      <c r="F110" s="10" t="n">
        <v>7280.19</v>
      </c>
      <c r="G110" s="10" t="n">
        <v>7280.19</v>
      </c>
      <c r="H110" s="10" t="n">
        <v>4740.4306</v>
      </c>
      <c r="I110" s="10" t="n">
        <v>2539.76</v>
      </c>
      <c r="J110" s="10" t="n">
        <v>773.6</v>
      </c>
      <c r="K110" s="11" t="n">
        <v>0.3489</v>
      </c>
      <c r="L110" s="11" t="n">
        <v>0.1063</v>
      </c>
      <c r="M110" s="26" t="n">
        <v>37.81</v>
      </c>
    </row>
    <row r="111" customFormat="false" ht="15" hidden="false" customHeight="false" outlineLevel="0" collapsed="false">
      <c r="A111" s="27" t="n">
        <v>10301</v>
      </c>
      <c r="B111" s="12" t="s">
        <v>124</v>
      </c>
      <c r="C111" s="28" t="n">
        <v>66</v>
      </c>
      <c r="D111" s="28" t="n">
        <v>66</v>
      </c>
      <c r="E111" s="14" t="n">
        <v>0</v>
      </c>
      <c r="F111" s="14" t="n">
        <v>8168.82</v>
      </c>
      <c r="G111" s="14" t="n">
        <v>8168.82</v>
      </c>
      <c r="H111" s="14" t="n">
        <v>5272.1292</v>
      </c>
      <c r="I111" s="14" t="n">
        <v>2896.69</v>
      </c>
      <c r="J111" s="14" t="n">
        <v>914.94</v>
      </c>
      <c r="K111" s="15" t="n">
        <v>0.3546</v>
      </c>
      <c r="L111" s="15" t="n">
        <v>0.112</v>
      </c>
      <c r="M111" s="29" t="n">
        <v>36.61</v>
      </c>
    </row>
    <row r="112" customFormat="false" ht="15" hidden="false" customHeight="false" outlineLevel="0" collapsed="false">
      <c r="A112" s="24" t="n">
        <v>10304</v>
      </c>
      <c r="B112" s="8" t="s">
        <v>125</v>
      </c>
      <c r="C112" s="25" t="n">
        <v>51</v>
      </c>
      <c r="D112" s="25" t="n">
        <v>51</v>
      </c>
      <c r="E112" s="10" t="n">
        <v>0</v>
      </c>
      <c r="F112" s="10" t="n">
        <v>6312.27</v>
      </c>
      <c r="G112" s="10" t="n">
        <v>6312.27</v>
      </c>
      <c r="H112" s="10" t="n">
        <v>4036.5701</v>
      </c>
      <c r="I112" s="10" t="n">
        <v>2275.7</v>
      </c>
      <c r="J112" s="10" t="n">
        <v>744.34</v>
      </c>
      <c r="K112" s="11" t="n">
        <v>0.3605</v>
      </c>
      <c r="L112" s="11" t="n">
        <v>0.1179</v>
      </c>
      <c r="M112" s="26" t="n">
        <v>37.25</v>
      </c>
    </row>
    <row r="113" customFormat="false" ht="15" hidden="false" customHeight="false" outlineLevel="0" collapsed="false">
      <c r="A113" s="27" t="n">
        <v>10325</v>
      </c>
      <c r="B113" s="12" t="s">
        <v>126</v>
      </c>
      <c r="C113" s="28" t="n">
        <v>24</v>
      </c>
      <c r="D113" s="28" t="n">
        <v>24</v>
      </c>
      <c r="E113" s="14" t="n">
        <v>0</v>
      </c>
      <c r="F113" s="14" t="n">
        <v>4984.08</v>
      </c>
      <c r="G113" s="14" t="n">
        <v>4984.08</v>
      </c>
      <c r="H113" s="14" t="n">
        <v>1434.0603</v>
      </c>
      <c r="I113" s="14" t="n">
        <v>3550.02</v>
      </c>
      <c r="J113" s="14" t="n">
        <v>2180.8</v>
      </c>
      <c r="K113" s="15" t="n">
        <v>0.7123</v>
      </c>
      <c r="L113" s="15" t="n">
        <v>0.4376</v>
      </c>
      <c r="M113" s="29" t="n">
        <v>31.75</v>
      </c>
    </row>
    <row r="114" customFormat="false" ht="15" hidden="false" customHeight="false" outlineLevel="0" collapsed="false">
      <c r="A114" s="24" t="n">
        <v>10331</v>
      </c>
      <c r="B114" s="8" t="s">
        <v>127</v>
      </c>
      <c r="C114" s="25" t="n">
        <v>9</v>
      </c>
      <c r="D114" s="25" t="n">
        <v>9</v>
      </c>
      <c r="E114" s="10" t="n">
        <v>0</v>
      </c>
      <c r="F114" s="10" t="n">
        <v>295.2</v>
      </c>
      <c r="G114" s="10" t="n">
        <v>295.2</v>
      </c>
      <c r="H114" s="10" t="n">
        <v>153.07</v>
      </c>
      <c r="I114" s="10" t="n">
        <v>142.13</v>
      </c>
      <c r="J114" s="10" t="n">
        <v>61.04</v>
      </c>
      <c r="K114" s="11" t="n">
        <v>0.4815</v>
      </c>
      <c r="L114" s="11" t="n">
        <v>0.2068</v>
      </c>
      <c r="M114" s="26" t="n">
        <v>45</v>
      </c>
    </row>
    <row r="115" customFormat="false" ht="15" hidden="false" customHeight="false" outlineLevel="0" collapsed="false">
      <c r="A115" s="27" t="n">
        <v>10333</v>
      </c>
      <c r="B115" s="12" t="s">
        <v>318</v>
      </c>
      <c r="C115" s="28" t="n">
        <v>2</v>
      </c>
      <c r="D115" s="28" t="n">
        <v>2</v>
      </c>
      <c r="E115" s="14" t="n">
        <v>0</v>
      </c>
      <c r="F115" s="14" t="n">
        <v>173.42</v>
      </c>
      <c r="G115" s="14" t="n">
        <v>173.42</v>
      </c>
      <c r="H115" s="14" t="n">
        <v>64.03</v>
      </c>
      <c r="I115" s="14" t="n">
        <v>109.39</v>
      </c>
      <c r="J115" s="14" t="n">
        <v>61.75</v>
      </c>
      <c r="K115" s="15" t="n">
        <v>0.6308</v>
      </c>
      <c r="L115" s="15" t="n">
        <v>0.3561</v>
      </c>
      <c r="M115" s="29" t="n">
        <v>7</v>
      </c>
    </row>
    <row r="116" customFormat="false" ht="15" hidden="false" customHeight="false" outlineLevel="0" collapsed="false">
      <c r="A116" s="24" t="n">
        <v>10337</v>
      </c>
      <c r="B116" s="8" t="s">
        <v>96</v>
      </c>
      <c r="C116" s="25" t="n">
        <v>4</v>
      </c>
      <c r="D116" s="25" t="n">
        <v>4</v>
      </c>
      <c r="E116" s="10" t="n">
        <v>0</v>
      </c>
      <c r="F116" s="10" t="n">
        <v>2340</v>
      </c>
      <c r="G116" s="10" t="n">
        <v>2340</v>
      </c>
      <c r="H116" s="10" t="n">
        <v>603.04</v>
      </c>
      <c r="I116" s="10" t="n">
        <v>1736.96</v>
      </c>
      <c r="J116" s="10" t="n">
        <v>1083.84</v>
      </c>
      <c r="K116" s="11" t="n">
        <v>0.7423</v>
      </c>
      <c r="L116" s="11" t="n">
        <v>0.4632</v>
      </c>
      <c r="M116" s="26" t="n">
        <v>45</v>
      </c>
    </row>
    <row r="117" customFormat="false" ht="15" hidden="false" customHeight="false" outlineLevel="0" collapsed="false">
      <c r="A117" s="27" t="n">
        <v>10340</v>
      </c>
      <c r="B117" s="12" t="s">
        <v>128</v>
      </c>
      <c r="C117" s="28" t="n">
        <v>62</v>
      </c>
      <c r="D117" s="28" t="n">
        <v>62</v>
      </c>
      <c r="E117" s="14" t="n">
        <v>0</v>
      </c>
      <c r="F117" s="14" t="n">
        <v>540.42</v>
      </c>
      <c r="G117" s="14" t="n">
        <v>540.42</v>
      </c>
      <c r="H117" s="14" t="n">
        <v>293.1903</v>
      </c>
      <c r="I117" s="14" t="n">
        <v>247.23</v>
      </c>
      <c r="J117" s="14" t="n">
        <v>104.37</v>
      </c>
      <c r="K117" s="15" t="n">
        <v>0.4575</v>
      </c>
      <c r="L117" s="15" t="n">
        <v>0.1931</v>
      </c>
      <c r="M117" s="29" t="n">
        <v>50</v>
      </c>
    </row>
    <row r="118" customFormat="false" ht="15" hidden="false" customHeight="false" outlineLevel="0" collapsed="false">
      <c r="A118" s="24" t="n">
        <v>10343</v>
      </c>
      <c r="B118" s="8" t="s">
        <v>129</v>
      </c>
      <c r="C118" s="25" t="n">
        <v>16</v>
      </c>
      <c r="D118" s="25" t="n">
        <v>16</v>
      </c>
      <c r="E118" s="10" t="n">
        <v>0</v>
      </c>
      <c r="F118" s="10" t="n">
        <v>3203.52</v>
      </c>
      <c r="G118" s="10" t="n">
        <v>3203.52</v>
      </c>
      <c r="H118" s="10" t="n">
        <v>1669.2201</v>
      </c>
      <c r="I118" s="10" t="n">
        <v>1534.3</v>
      </c>
      <c r="J118" s="10" t="n">
        <v>654.24</v>
      </c>
      <c r="K118" s="11" t="n">
        <v>0.4789</v>
      </c>
      <c r="L118" s="11" t="n">
        <v>0.2042</v>
      </c>
      <c r="M118" s="26" t="n">
        <v>32.25</v>
      </c>
    </row>
    <row r="119" customFormat="false" ht="15" hidden="false" customHeight="false" outlineLevel="0" collapsed="false">
      <c r="A119" s="27" t="n">
        <v>10346</v>
      </c>
      <c r="B119" s="12" t="s">
        <v>130</v>
      </c>
      <c r="C119" s="28" t="n">
        <v>80</v>
      </c>
      <c r="D119" s="28" t="n">
        <v>80</v>
      </c>
      <c r="E119" s="14" t="n">
        <v>0</v>
      </c>
      <c r="F119" s="14" t="n">
        <v>15214.6</v>
      </c>
      <c r="G119" s="14" t="n">
        <v>15214.6</v>
      </c>
      <c r="H119" s="14" t="n">
        <v>2675.2</v>
      </c>
      <c r="I119" s="14" t="n">
        <v>12539.4</v>
      </c>
      <c r="J119" s="14" t="n">
        <v>8390.78</v>
      </c>
      <c r="K119" s="15" t="n">
        <v>0.8242</v>
      </c>
      <c r="L119" s="15" t="n">
        <v>0.5515</v>
      </c>
      <c r="M119" s="29" t="n">
        <v>32.02</v>
      </c>
    </row>
    <row r="120" customFormat="false" ht="15" hidden="false" customHeight="false" outlineLevel="0" collapsed="false">
      <c r="A120" s="24" t="n">
        <v>10356</v>
      </c>
      <c r="B120" s="8" t="s">
        <v>261</v>
      </c>
      <c r="C120" s="25" t="n">
        <v>1</v>
      </c>
      <c r="D120" s="25" t="n">
        <v>1</v>
      </c>
      <c r="E120" s="10" t="n">
        <v>0</v>
      </c>
      <c r="F120" s="10" t="n">
        <v>202.7</v>
      </c>
      <c r="G120" s="10" t="n">
        <v>202.7</v>
      </c>
      <c r="H120" s="10" t="n">
        <v>65.86</v>
      </c>
      <c r="I120" s="10" t="n">
        <v>136.84</v>
      </c>
      <c r="J120" s="10" t="n">
        <v>81.16</v>
      </c>
      <c r="K120" s="11" t="n">
        <v>0.6751</v>
      </c>
      <c r="L120" s="11" t="n">
        <v>0.4004</v>
      </c>
      <c r="M120" s="26" t="n">
        <v>30</v>
      </c>
    </row>
    <row r="121" customFormat="false" ht="15" hidden="false" customHeight="false" outlineLevel="0" collapsed="false">
      <c r="A121" s="27" t="n">
        <v>10358</v>
      </c>
      <c r="B121" s="12" t="s">
        <v>129</v>
      </c>
      <c r="C121" s="28" t="n">
        <v>23</v>
      </c>
      <c r="D121" s="28" t="n">
        <v>23</v>
      </c>
      <c r="E121" s="14" t="n">
        <v>0</v>
      </c>
      <c r="F121" s="14" t="n">
        <v>6552.83</v>
      </c>
      <c r="G121" s="14" t="n">
        <v>6552.83</v>
      </c>
      <c r="H121" s="14" t="n">
        <v>3978.67</v>
      </c>
      <c r="I121" s="14" t="n">
        <v>2574.16</v>
      </c>
      <c r="J121" s="14" t="n">
        <v>745.31</v>
      </c>
      <c r="K121" s="15" t="n">
        <v>0.3928</v>
      </c>
      <c r="L121" s="15" t="n">
        <v>0.1137</v>
      </c>
      <c r="M121" s="29" t="n">
        <v>30.7</v>
      </c>
    </row>
    <row r="122" customFormat="false" ht="15" hidden="false" customHeight="false" outlineLevel="0" collapsed="false">
      <c r="A122" s="24" t="n">
        <v>10361</v>
      </c>
      <c r="B122" s="8" t="s">
        <v>96</v>
      </c>
      <c r="C122" s="25" t="n">
        <v>44</v>
      </c>
      <c r="D122" s="25" t="n">
        <v>44</v>
      </c>
      <c r="E122" s="10" t="n">
        <v>0</v>
      </c>
      <c r="F122" s="10" t="n">
        <v>35366.42</v>
      </c>
      <c r="G122" s="10" t="n">
        <v>35366.42</v>
      </c>
      <c r="H122" s="10" t="n">
        <v>9805.8299</v>
      </c>
      <c r="I122" s="10" t="n">
        <v>25560.59</v>
      </c>
      <c r="J122" s="10" t="n">
        <v>15689.83</v>
      </c>
      <c r="K122" s="11" t="n">
        <v>0.7227</v>
      </c>
      <c r="L122" s="11" t="n">
        <v>0.4436</v>
      </c>
      <c r="M122" s="26" t="n">
        <v>30.77</v>
      </c>
    </row>
    <row r="123" customFormat="false" ht="15" hidden="false" customHeight="false" outlineLevel="0" collapsed="false">
      <c r="A123" s="27" t="n">
        <v>10362</v>
      </c>
      <c r="B123" s="12" t="s">
        <v>131</v>
      </c>
      <c r="C123" s="28" t="n">
        <v>49</v>
      </c>
      <c r="D123" s="28" t="n">
        <v>49</v>
      </c>
      <c r="E123" s="14" t="n">
        <v>0</v>
      </c>
      <c r="F123" s="14" t="n">
        <v>3895.55</v>
      </c>
      <c r="G123" s="14" t="n">
        <v>3895.55</v>
      </c>
      <c r="H123" s="14" t="n">
        <v>1642.0307</v>
      </c>
      <c r="I123" s="14" t="n">
        <v>2253.52</v>
      </c>
      <c r="J123" s="14" t="n">
        <v>1182.39</v>
      </c>
      <c r="K123" s="15" t="n">
        <v>0.5785</v>
      </c>
      <c r="L123" s="15" t="n">
        <v>0.3035</v>
      </c>
      <c r="M123" s="29" t="n">
        <v>32.96</v>
      </c>
    </row>
    <row r="124" customFormat="false" ht="15" hidden="false" customHeight="false" outlineLevel="0" collapsed="false">
      <c r="A124" s="24" t="n">
        <v>10363</v>
      </c>
      <c r="B124" s="8" t="s">
        <v>132</v>
      </c>
      <c r="C124" s="25" t="n">
        <v>125</v>
      </c>
      <c r="D124" s="25" t="n">
        <v>125</v>
      </c>
      <c r="E124" s="10" t="n">
        <v>0</v>
      </c>
      <c r="F124" s="10" t="n">
        <v>7523</v>
      </c>
      <c r="G124" s="10" t="n">
        <v>7523</v>
      </c>
      <c r="H124" s="10" t="n">
        <v>4364.443</v>
      </c>
      <c r="I124" s="10" t="n">
        <v>3158.56</v>
      </c>
      <c r="J124" s="10" t="n">
        <v>1465.3</v>
      </c>
      <c r="K124" s="11" t="n">
        <v>0.4199</v>
      </c>
      <c r="L124" s="11" t="n">
        <v>0.1948</v>
      </c>
      <c r="M124" s="26" t="n">
        <v>47.4</v>
      </c>
    </row>
    <row r="125" customFormat="false" ht="15" hidden="false" customHeight="false" outlineLevel="0" collapsed="false">
      <c r="A125" s="27" t="n">
        <v>10376</v>
      </c>
      <c r="B125" s="12" t="s">
        <v>264</v>
      </c>
      <c r="C125" s="28" t="n">
        <v>6</v>
      </c>
      <c r="D125" s="28" t="n">
        <v>6</v>
      </c>
      <c r="E125" s="14" t="n">
        <v>0</v>
      </c>
      <c r="F125" s="14" t="n">
        <v>332.58</v>
      </c>
      <c r="G125" s="14" t="n">
        <v>332.58</v>
      </c>
      <c r="H125" s="14" t="n">
        <v>139.59</v>
      </c>
      <c r="I125" s="14" t="n">
        <v>192.99</v>
      </c>
      <c r="J125" s="14" t="n">
        <v>101.62</v>
      </c>
      <c r="K125" s="15" t="n">
        <v>0.5803</v>
      </c>
      <c r="L125" s="15" t="n">
        <v>0.3056</v>
      </c>
      <c r="M125" s="29" t="n">
        <v>60</v>
      </c>
    </row>
    <row r="126" customFormat="false" ht="15" hidden="false" customHeight="false" outlineLevel="0" collapsed="false">
      <c r="A126" s="24" t="n">
        <v>10381</v>
      </c>
      <c r="B126" s="8" t="s">
        <v>366</v>
      </c>
      <c r="C126" s="25" t="n">
        <v>80</v>
      </c>
      <c r="D126" s="25" t="n">
        <v>80</v>
      </c>
      <c r="E126" s="10" t="n">
        <v>0</v>
      </c>
      <c r="F126" s="10" t="n">
        <v>20080</v>
      </c>
      <c r="G126" s="10" t="n">
        <v>20080</v>
      </c>
      <c r="H126" s="10" t="n">
        <v>8683.048</v>
      </c>
      <c r="I126" s="10" t="n">
        <v>11396.95</v>
      </c>
      <c r="J126" s="10" t="n">
        <v>8935.14</v>
      </c>
      <c r="K126" s="11" t="n">
        <v>0.5676</v>
      </c>
      <c r="L126" s="11" t="n">
        <v>0.445</v>
      </c>
      <c r="M126" s="26" t="n">
        <v>30</v>
      </c>
    </row>
    <row r="127" customFormat="false" ht="15" hidden="false" customHeight="false" outlineLevel="0" collapsed="false">
      <c r="A127" s="27" t="n">
        <v>10397</v>
      </c>
      <c r="B127" s="12" t="s">
        <v>134</v>
      </c>
      <c r="C127" s="28" t="n">
        <v>84</v>
      </c>
      <c r="D127" s="28" t="n">
        <v>84</v>
      </c>
      <c r="E127" s="14" t="n">
        <v>0</v>
      </c>
      <c r="F127" s="14" t="n">
        <v>10498.44</v>
      </c>
      <c r="G127" s="14" t="n">
        <v>10498.44</v>
      </c>
      <c r="H127" s="14" t="n">
        <v>2512.2302</v>
      </c>
      <c r="I127" s="14" t="n">
        <v>7986.21</v>
      </c>
      <c r="J127" s="14" t="n">
        <v>5102.1</v>
      </c>
      <c r="K127" s="15" t="n">
        <v>0.7607</v>
      </c>
      <c r="L127" s="15" t="n">
        <v>0.486</v>
      </c>
      <c r="M127" s="29" t="n">
        <v>41.83</v>
      </c>
    </row>
    <row r="128" customFormat="false" ht="15" hidden="false" customHeight="false" outlineLevel="0" collapsed="false">
      <c r="A128" s="24" t="n">
        <v>10404</v>
      </c>
      <c r="B128" s="8" t="s">
        <v>96</v>
      </c>
      <c r="C128" s="25" t="n">
        <v>28</v>
      </c>
      <c r="D128" s="25" t="n">
        <v>28</v>
      </c>
      <c r="E128" s="10" t="n">
        <v>0</v>
      </c>
      <c r="F128" s="10" t="n">
        <v>6100.92</v>
      </c>
      <c r="G128" s="10" t="n">
        <v>6100.92</v>
      </c>
      <c r="H128" s="10" t="n">
        <v>2975.48</v>
      </c>
      <c r="I128" s="10" t="n">
        <v>3125.44</v>
      </c>
      <c r="J128" s="10" t="n">
        <v>1449.39</v>
      </c>
      <c r="K128" s="11" t="n">
        <v>0.5123</v>
      </c>
      <c r="L128" s="11" t="n">
        <v>0.2376</v>
      </c>
      <c r="M128" s="26" t="n">
        <v>32.89</v>
      </c>
    </row>
    <row r="129" customFormat="false" ht="15" hidden="false" customHeight="false" outlineLevel="0" collapsed="false">
      <c r="A129" s="27" t="n">
        <v>10406</v>
      </c>
      <c r="B129" s="12" t="s">
        <v>135</v>
      </c>
      <c r="C129" s="28" t="n">
        <v>216</v>
      </c>
      <c r="D129" s="28" t="n">
        <v>216</v>
      </c>
      <c r="E129" s="14" t="n">
        <v>0</v>
      </c>
      <c r="F129" s="14" t="n">
        <v>36500.64</v>
      </c>
      <c r="G129" s="14" t="n">
        <v>36500.64</v>
      </c>
      <c r="H129" s="14" t="n">
        <v>14895.0003</v>
      </c>
      <c r="I129" s="14" t="n">
        <v>21605.64</v>
      </c>
      <c r="J129" s="14" t="n">
        <v>16547.39</v>
      </c>
      <c r="K129" s="15" t="n">
        <v>0.5919</v>
      </c>
      <c r="L129" s="15" t="n">
        <v>0.4533</v>
      </c>
      <c r="M129" s="29" t="n">
        <v>31.98</v>
      </c>
    </row>
    <row r="130" customFormat="false" ht="15" hidden="false" customHeight="false" outlineLevel="0" collapsed="false">
      <c r="A130" s="24" t="n">
        <v>10408</v>
      </c>
      <c r="B130" s="8" t="s">
        <v>136</v>
      </c>
      <c r="C130" s="25" t="n">
        <v>223</v>
      </c>
      <c r="D130" s="25" t="n">
        <v>223</v>
      </c>
      <c r="E130" s="10" t="n">
        <v>0</v>
      </c>
      <c r="F130" s="10" t="n">
        <v>63258.78</v>
      </c>
      <c r="G130" s="10" t="n">
        <v>63258.78</v>
      </c>
      <c r="H130" s="10" t="n">
        <v>39466.52</v>
      </c>
      <c r="I130" s="10" t="n">
        <v>23792.26</v>
      </c>
      <c r="J130" s="10" t="n">
        <v>6413.85</v>
      </c>
      <c r="K130" s="11" t="n">
        <v>0.3761</v>
      </c>
      <c r="L130" s="11" t="n">
        <v>0.1014</v>
      </c>
      <c r="M130" s="26" t="n">
        <v>50.13</v>
      </c>
    </row>
    <row r="131" customFormat="false" ht="15" hidden="false" customHeight="false" outlineLevel="0" collapsed="false">
      <c r="A131" s="27" t="n">
        <v>10412</v>
      </c>
      <c r="B131" s="12" t="s">
        <v>129</v>
      </c>
      <c r="C131" s="28" t="n">
        <v>63</v>
      </c>
      <c r="D131" s="28" t="n">
        <v>63</v>
      </c>
      <c r="E131" s="14" t="n">
        <v>0</v>
      </c>
      <c r="F131" s="14" t="n">
        <v>20786.62</v>
      </c>
      <c r="G131" s="14" t="n">
        <v>20786.62</v>
      </c>
      <c r="H131" s="14" t="n">
        <v>10528.3702</v>
      </c>
      <c r="I131" s="14" t="n">
        <v>10258.25</v>
      </c>
      <c r="J131" s="14" t="n">
        <v>4456.69</v>
      </c>
      <c r="K131" s="15" t="n">
        <v>0.4935</v>
      </c>
      <c r="L131" s="15" t="n">
        <v>0.2144</v>
      </c>
      <c r="M131" s="29" t="n">
        <v>31.71</v>
      </c>
    </row>
    <row r="132" customFormat="false" ht="15" hidden="false" customHeight="false" outlineLevel="0" collapsed="false">
      <c r="A132" s="24" t="n">
        <v>10419</v>
      </c>
      <c r="B132" s="8" t="s">
        <v>138</v>
      </c>
      <c r="C132" s="25" t="n">
        <v>20</v>
      </c>
      <c r="D132" s="25" t="n">
        <v>20</v>
      </c>
      <c r="E132" s="10" t="n">
        <v>0</v>
      </c>
      <c r="F132" s="10" t="n">
        <v>1597.8</v>
      </c>
      <c r="G132" s="10" t="n">
        <v>1597.8</v>
      </c>
      <c r="H132" s="10" t="n">
        <v>476.3</v>
      </c>
      <c r="I132" s="10" t="n">
        <v>1121.5</v>
      </c>
      <c r="J132" s="10" t="n">
        <v>675.56</v>
      </c>
      <c r="K132" s="11" t="n">
        <v>0.7019</v>
      </c>
      <c r="L132" s="11" t="n">
        <v>0.4228</v>
      </c>
      <c r="M132" s="26" t="n">
        <v>578.5</v>
      </c>
    </row>
    <row r="133" customFormat="false" ht="15" hidden="false" customHeight="false" outlineLevel="0" collapsed="false">
      <c r="A133" s="27" t="n">
        <v>10422</v>
      </c>
      <c r="B133" s="12" t="s">
        <v>139</v>
      </c>
      <c r="C133" s="28" t="n">
        <v>50</v>
      </c>
      <c r="D133" s="28" t="n">
        <v>50</v>
      </c>
      <c r="E133" s="14" t="n">
        <v>0</v>
      </c>
      <c r="F133" s="14" t="n">
        <v>40444.46</v>
      </c>
      <c r="G133" s="14" t="n">
        <v>40444.46</v>
      </c>
      <c r="H133" s="14" t="n">
        <v>13849.3401</v>
      </c>
      <c r="I133" s="14" t="n">
        <v>26595.12</v>
      </c>
      <c r="J133" s="14" t="n">
        <v>15484.26</v>
      </c>
      <c r="K133" s="15" t="n">
        <v>0.6576</v>
      </c>
      <c r="L133" s="15" t="n">
        <v>0.3829</v>
      </c>
      <c r="M133" s="29" t="n">
        <v>32.15</v>
      </c>
    </row>
    <row r="134" customFormat="false" ht="15" hidden="false" customHeight="false" outlineLevel="0" collapsed="false">
      <c r="A134" s="24" t="n">
        <v>10428</v>
      </c>
      <c r="B134" s="8" t="s">
        <v>141</v>
      </c>
      <c r="C134" s="25" t="n">
        <v>15</v>
      </c>
      <c r="D134" s="25" t="n">
        <v>15</v>
      </c>
      <c r="E134" s="10" t="n">
        <v>0</v>
      </c>
      <c r="F134" s="10" t="n">
        <v>15665.1</v>
      </c>
      <c r="G134" s="10" t="n">
        <v>15665.1</v>
      </c>
      <c r="H134" s="10" t="n">
        <v>8924.59</v>
      </c>
      <c r="I134" s="10" t="n">
        <v>6740.51</v>
      </c>
      <c r="J134" s="10" t="n">
        <v>2368.36</v>
      </c>
      <c r="K134" s="11" t="n">
        <v>0.4303</v>
      </c>
      <c r="L134" s="11" t="n">
        <v>0.1512</v>
      </c>
      <c r="M134" s="26" t="n">
        <v>30.47</v>
      </c>
    </row>
    <row r="135" customFormat="false" ht="15" hidden="false" customHeight="false" outlineLevel="0" collapsed="false">
      <c r="A135" s="27" t="n">
        <v>10432</v>
      </c>
      <c r="B135" s="12" t="s">
        <v>322</v>
      </c>
      <c r="C135" s="28" t="n">
        <v>2</v>
      </c>
      <c r="D135" s="28" t="n">
        <v>2</v>
      </c>
      <c r="E135" s="14" t="n">
        <v>0</v>
      </c>
      <c r="F135" s="14" t="n">
        <v>111.68</v>
      </c>
      <c r="G135" s="14" t="n">
        <v>111.68</v>
      </c>
      <c r="H135" s="14" t="n">
        <v>32.38</v>
      </c>
      <c r="I135" s="14" t="n">
        <v>79.3</v>
      </c>
      <c r="J135" s="14" t="n">
        <v>48.62</v>
      </c>
      <c r="K135" s="15" t="n">
        <v>0.7101</v>
      </c>
      <c r="L135" s="15" t="n">
        <v>0.4354</v>
      </c>
      <c r="M135" s="29" t="n">
        <v>59</v>
      </c>
    </row>
    <row r="136" customFormat="false" ht="15" hidden="false" customHeight="false" outlineLevel="0" collapsed="false">
      <c r="A136" s="24" t="n">
        <v>10439</v>
      </c>
      <c r="B136" s="8" t="s">
        <v>141</v>
      </c>
      <c r="C136" s="25" t="n">
        <v>35</v>
      </c>
      <c r="D136" s="25" t="n">
        <v>35</v>
      </c>
      <c r="E136" s="10" t="n">
        <v>0</v>
      </c>
      <c r="F136" s="10" t="n">
        <v>41583.15</v>
      </c>
      <c r="G136" s="10" t="n">
        <v>41583.15</v>
      </c>
      <c r="H136" s="10" t="n">
        <v>15801.92</v>
      </c>
      <c r="I136" s="10" t="n">
        <v>25781.23</v>
      </c>
      <c r="J136" s="10" t="n">
        <v>14175.36</v>
      </c>
      <c r="K136" s="11" t="n">
        <v>0.62</v>
      </c>
      <c r="L136" s="11" t="n">
        <v>0.3409</v>
      </c>
      <c r="M136" s="26" t="n">
        <v>30.49</v>
      </c>
    </row>
    <row r="137" customFormat="false" ht="15" hidden="false" customHeight="false" outlineLevel="0" collapsed="false">
      <c r="A137" s="27" t="n">
        <v>10444</v>
      </c>
      <c r="B137" s="12" t="s">
        <v>143</v>
      </c>
      <c r="C137" s="28" t="n">
        <v>9</v>
      </c>
      <c r="D137" s="28" t="n">
        <v>9</v>
      </c>
      <c r="E137" s="14" t="n">
        <v>0</v>
      </c>
      <c r="F137" s="14" t="n">
        <v>3180.51</v>
      </c>
      <c r="G137" s="14" t="n">
        <v>3180.51</v>
      </c>
      <c r="H137" s="14" t="n">
        <v>1419.09</v>
      </c>
      <c r="I137" s="14" t="n">
        <v>1761.42</v>
      </c>
      <c r="J137" s="14" t="n">
        <v>873.75</v>
      </c>
      <c r="K137" s="15" t="n">
        <v>0.5538</v>
      </c>
      <c r="L137" s="15" t="n">
        <v>0.2747</v>
      </c>
      <c r="M137" s="29" t="n">
        <v>30.44</v>
      </c>
    </row>
    <row r="138" customFormat="false" ht="15" hidden="false" customHeight="false" outlineLevel="0" collapsed="false">
      <c r="A138" s="24" t="n">
        <v>10445</v>
      </c>
      <c r="B138" s="8" t="s">
        <v>144</v>
      </c>
      <c r="C138" s="25" t="n">
        <v>49</v>
      </c>
      <c r="D138" s="25" t="n">
        <v>49</v>
      </c>
      <c r="E138" s="10" t="n">
        <v>0</v>
      </c>
      <c r="F138" s="10" t="n">
        <v>5272.3</v>
      </c>
      <c r="G138" s="10" t="n">
        <v>5272.3</v>
      </c>
      <c r="H138" s="10" t="n">
        <v>2317.8297</v>
      </c>
      <c r="I138" s="10" t="n">
        <v>2954.47</v>
      </c>
      <c r="J138" s="10" t="n">
        <v>1482.98</v>
      </c>
      <c r="K138" s="11" t="n">
        <v>0.5604</v>
      </c>
      <c r="L138" s="11" t="n">
        <v>0.2813</v>
      </c>
      <c r="M138" s="26" t="n">
        <v>30.68</v>
      </c>
    </row>
    <row r="139" customFormat="false" ht="15" hidden="false" customHeight="false" outlineLevel="0" collapsed="false">
      <c r="A139" s="27" t="n">
        <v>10446</v>
      </c>
      <c r="B139" s="12" t="s">
        <v>145</v>
      </c>
      <c r="C139" s="28" t="n">
        <v>100</v>
      </c>
      <c r="D139" s="28" t="n">
        <v>100</v>
      </c>
      <c r="E139" s="14" t="n">
        <v>0</v>
      </c>
      <c r="F139" s="14" t="n">
        <v>4364</v>
      </c>
      <c r="G139" s="14" t="n">
        <v>4364</v>
      </c>
      <c r="H139" s="14" t="n">
        <v>2727.9</v>
      </c>
      <c r="I139" s="14" t="n">
        <v>1636.1</v>
      </c>
      <c r="J139" s="14" t="n">
        <v>418.13</v>
      </c>
      <c r="K139" s="15" t="n">
        <v>0.3749</v>
      </c>
      <c r="L139" s="15" t="n">
        <v>0.0958</v>
      </c>
      <c r="M139" s="29" t="n">
        <v>30.7</v>
      </c>
    </row>
    <row r="140" customFormat="false" ht="15" hidden="false" customHeight="false" outlineLevel="0" collapsed="false">
      <c r="A140" s="24" t="n">
        <v>10447</v>
      </c>
      <c r="B140" s="8" t="s">
        <v>146</v>
      </c>
      <c r="C140" s="25" t="n">
        <v>194</v>
      </c>
      <c r="D140" s="25" t="n">
        <v>194</v>
      </c>
      <c r="E140" s="10" t="n">
        <v>0</v>
      </c>
      <c r="F140" s="10" t="n">
        <v>1722.72</v>
      </c>
      <c r="G140" s="10" t="n">
        <v>1722.72</v>
      </c>
      <c r="H140" s="10" t="n">
        <v>344.7424</v>
      </c>
      <c r="I140" s="10" t="n">
        <v>1377.98</v>
      </c>
      <c r="J140" s="10" t="n">
        <v>897.17</v>
      </c>
      <c r="K140" s="11" t="n">
        <v>0.7999</v>
      </c>
      <c r="L140" s="11" t="n">
        <v>0.5208</v>
      </c>
      <c r="M140" s="26" t="n">
        <v>30.8</v>
      </c>
    </row>
    <row r="141" customFormat="false" ht="15" hidden="false" customHeight="false" outlineLevel="0" collapsed="false">
      <c r="A141" s="27" t="n">
        <v>10448</v>
      </c>
      <c r="B141" s="12" t="s">
        <v>147</v>
      </c>
      <c r="C141" s="28" t="n">
        <v>288</v>
      </c>
      <c r="D141" s="28" t="n">
        <v>288</v>
      </c>
      <c r="E141" s="14" t="n">
        <v>0</v>
      </c>
      <c r="F141" s="14" t="n">
        <v>6402.24</v>
      </c>
      <c r="G141" s="14" t="n">
        <v>6402.24</v>
      </c>
      <c r="H141" s="14" t="n">
        <v>1704.2132</v>
      </c>
      <c r="I141" s="14" t="n">
        <v>4698.03</v>
      </c>
      <c r="J141" s="14" t="n">
        <v>3144.84</v>
      </c>
      <c r="K141" s="15" t="n">
        <v>0.7338</v>
      </c>
      <c r="L141" s="15" t="n">
        <v>0.4912</v>
      </c>
      <c r="M141" s="29" t="n">
        <v>34.16</v>
      </c>
    </row>
    <row r="142" customFormat="false" ht="15" hidden="false" customHeight="false" outlineLevel="0" collapsed="false">
      <c r="A142" s="24" t="n">
        <v>10459</v>
      </c>
      <c r="B142" s="8" t="s">
        <v>149</v>
      </c>
      <c r="C142" s="25" t="n">
        <v>1</v>
      </c>
      <c r="D142" s="25" t="n">
        <v>1</v>
      </c>
      <c r="E142" s="10" t="n">
        <v>0</v>
      </c>
      <c r="F142" s="10" t="n">
        <v>10400</v>
      </c>
      <c r="G142" s="10" t="n">
        <v>10400</v>
      </c>
      <c r="H142" s="10" t="n">
        <v>4542.78</v>
      </c>
      <c r="I142" s="10" t="n">
        <v>5857.22</v>
      </c>
      <c r="J142" s="10" t="n">
        <v>3000.13</v>
      </c>
      <c r="K142" s="11" t="n">
        <v>0.5632</v>
      </c>
      <c r="L142" s="11" t="n">
        <v>0.2885</v>
      </c>
      <c r="M142" s="26" t="n">
        <v>46</v>
      </c>
    </row>
    <row r="143" customFormat="false" ht="15" hidden="false" customHeight="false" outlineLevel="0" collapsed="false">
      <c r="A143" s="27" t="n">
        <v>10469</v>
      </c>
      <c r="B143" s="12" t="s">
        <v>367</v>
      </c>
      <c r="C143" s="28" t="n">
        <v>2</v>
      </c>
      <c r="D143" s="28" t="n">
        <v>2</v>
      </c>
      <c r="E143" s="14" t="n">
        <v>0</v>
      </c>
      <c r="F143" s="14" t="n">
        <v>100</v>
      </c>
      <c r="G143" s="14" t="n">
        <v>100</v>
      </c>
      <c r="H143" s="14" t="n">
        <v>41.76</v>
      </c>
      <c r="I143" s="14" t="n">
        <v>58.24</v>
      </c>
      <c r="J143" s="14" t="n">
        <v>30.77</v>
      </c>
      <c r="K143" s="15" t="n">
        <v>0.5824</v>
      </c>
      <c r="L143" s="15" t="n">
        <v>0.3077</v>
      </c>
      <c r="M143" s="29" t="n">
        <v>60</v>
      </c>
    </row>
    <row r="144" customFormat="false" ht="15" hidden="false" customHeight="false" outlineLevel="0" collapsed="false">
      <c r="A144" s="24" t="n">
        <v>10470</v>
      </c>
      <c r="B144" s="8" t="s">
        <v>368</v>
      </c>
      <c r="C144" s="25" t="n">
        <v>2</v>
      </c>
      <c r="D144" s="25" t="n">
        <v>2</v>
      </c>
      <c r="E144" s="10" t="n">
        <v>0</v>
      </c>
      <c r="F144" s="10" t="n">
        <v>100</v>
      </c>
      <c r="G144" s="10" t="n">
        <v>100</v>
      </c>
      <c r="H144" s="10" t="n">
        <v>35.6</v>
      </c>
      <c r="I144" s="10" t="n">
        <v>64.4</v>
      </c>
      <c r="J144" s="10" t="n">
        <v>36.93</v>
      </c>
      <c r="K144" s="11" t="n">
        <v>0.644</v>
      </c>
      <c r="L144" s="11" t="n">
        <v>0.3693</v>
      </c>
      <c r="M144" s="26" t="n">
        <v>60</v>
      </c>
    </row>
    <row r="145" customFormat="false" ht="15" hidden="false" customHeight="false" outlineLevel="0" collapsed="false">
      <c r="A145" s="27" t="n">
        <v>10475</v>
      </c>
      <c r="B145" s="12" t="s">
        <v>150</v>
      </c>
      <c r="C145" s="28" t="n">
        <v>48</v>
      </c>
      <c r="D145" s="28" t="n">
        <v>48</v>
      </c>
      <c r="E145" s="14" t="n">
        <v>0</v>
      </c>
      <c r="F145" s="14" t="n">
        <v>6257.76</v>
      </c>
      <c r="G145" s="14" t="n">
        <v>6257.76</v>
      </c>
      <c r="H145" s="14" t="n">
        <v>4439.3802</v>
      </c>
      <c r="I145" s="14" t="n">
        <v>1818.38</v>
      </c>
      <c r="J145" s="14" t="n">
        <v>99.26</v>
      </c>
      <c r="K145" s="15" t="n">
        <v>0.2906</v>
      </c>
      <c r="L145" s="15" t="n">
        <v>0.0159</v>
      </c>
      <c r="M145" s="29" t="n">
        <v>50.1</v>
      </c>
    </row>
    <row r="146" customFormat="false" ht="15" hidden="false" customHeight="false" outlineLevel="0" collapsed="false">
      <c r="A146" s="24" t="n">
        <v>10476</v>
      </c>
      <c r="B146" s="8" t="s">
        <v>151</v>
      </c>
      <c r="C146" s="25" t="n">
        <v>141</v>
      </c>
      <c r="D146" s="25" t="n">
        <v>141</v>
      </c>
      <c r="E146" s="10" t="n">
        <v>0</v>
      </c>
      <c r="F146" s="10" t="n">
        <v>21386</v>
      </c>
      <c r="G146" s="10" t="n">
        <v>21386</v>
      </c>
      <c r="H146" s="10" t="n">
        <v>11820.1105</v>
      </c>
      <c r="I146" s="10" t="n">
        <v>9565.89</v>
      </c>
      <c r="J146" s="10" t="n">
        <v>3690.73</v>
      </c>
      <c r="K146" s="11" t="n">
        <v>0.4473</v>
      </c>
      <c r="L146" s="11" t="n">
        <v>0.1726</v>
      </c>
      <c r="M146" s="26" t="n">
        <v>50</v>
      </c>
    </row>
    <row r="147" customFormat="false" ht="15" hidden="false" customHeight="false" outlineLevel="0" collapsed="false">
      <c r="A147" s="27" t="n">
        <v>10477</v>
      </c>
      <c r="B147" s="12" t="s">
        <v>152</v>
      </c>
      <c r="C147" s="28" t="n">
        <v>111</v>
      </c>
      <c r="D147" s="28" t="n">
        <v>111</v>
      </c>
      <c r="E147" s="14" t="n">
        <v>0</v>
      </c>
      <c r="F147" s="14" t="n">
        <v>14600.4</v>
      </c>
      <c r="G147" s="14" t="n">
        <v>14600.4</v>
      </c>
      <c r="H147" s="14" t="n">
        <v>8753.16</v>
      </c>
      <c r="I147" s="14" t="n">
        <v>5847.24</v>
      </c>
      <c r="J147" s="14" t="n">
        <v>1836.21</v>
      </c>
      <c r="K147" s="15" t="n">
        <v>0.4005</v>
      </c>
      <c r="L147" s="15" t="n">
        <v>0.1258</v>
      </c>
      <c r="M147" s="29" t="n">
        <v>50</v>
      </c>
    </row>
    <row r="148" customFormat="false" ht="15" hidden="false" customHeight="false" outlineLevel="0" collapsed="false">
      <c r="A148" s="24" t="n">
        <v>10481</v>
      </c>
      <c r="B148" s="8" t="s">
        <v>74</v>
      </c>
      <c r="C148" s="25" t="n">
        <v>42</v>
      </c>
      <c r="D148" s="25" t="n">
        <v>42</v>
      </c>
      <c r="E148" s="10" t="n">
        <v>0</v>
      </c>
      <c r="F148" s="10" t="n">
        <v>8687.28</v>
      </c>
      <c r="G148" s="10" t="n">
        <v>8687.28</v>
      </c>
      <c r="H148" s="10" t="n">
        <v>4384.9602</v>
      </c>
      <c r="I148" s="10" t="n">
        <v>4302.32</v>
      </c>
      <c r="J148" s="10" t="n">
        <v>1915.76</v>
      </c>
      <c r="K148" s="11" t="n">
        <v>0.4952</v>
      </c>
      <c r="L148" s="11" t="n">
        <v>0.2205</v>
      </c>
      <c r="M148" s="26" t="n">
        <v>30.74</v>
      </c>
    </row>
    <row r="149" customFormat="false" ht="15" hidden="false" customHeight="false" outlineLevel="0" collapsed="false">
      <c r="A149" s="27" t="n">
        <v>10484</v>
      </c>
      <c r="B149" s="12" t="s">
        <v>74</v>
      </c>
      <c r="C149" s="28" t="n">
        <v>30</v>
      </c>
      <c r="D149" s="28" t="n">
        <v>30</v>
      </c>
      <c r="E149" s="14" t="n">
        <v>0</v>
      </c>
      <c r="F149" s="14" t="n">
        <v>5439.6</v>
      </c>
      <c r="G149" s="14" t="n">
        <v>5439.6</v>
      </c>
      <c r="H149" s="14" t="n">
        <v>2775.03</v>
      </c>
      <c r="I149" s="14" t="n">
        <v>2664.57</v>
      </c>
      <c r="J149" s="14" t="n">
        <v>1170.2</v>
      </c>
      <c r="K149" s="15" t="n">
        <v>0.4898</v>
      </c>
      <c r="L149" s="15" t="n">
        <v>0.2151</v>
      </c>
      <c r="M149" s="29" t="n">
        <v>22</v>
      </c>
    </row>
    <row r="150" customFormat="false" ht="15" hidden="false" customHeight="false" outlineLevel="0" collapsed="false">
      <c r="A150" s="24" t="n">
        <v>10485</v>
      </c>
      <c r="B150" s="8" t="s">
        <v>40</v>
      </c>
      <c r="C150" s="25" t="n">
        <v>115</v>
      </c>
      <c r="D150" s="25" t="n">
        <v>115</v>
      </c>
      <c r="E150" s="10" t="n">
        <v>0</v>
      </c>
      <c r="F150" s="10" t="n">
        <v>16282.35</v>
      </c>
      <c r="G150" s="10" t="n">
        <v>16282.35</v>
      </c>
      <c r="H150" s="10" t="n">
        <v>7351.3397</v>
      </c>
      <c r="I150" s="10" t="n">
        <v>8931.01</v>
      </c>
      <c r="J150" s="10" t="n">
        <v>4457.93</v>
      </c>
      <c r="K150" s="11" t="n">
        <v>0.5485</v>
      </c>
      <c r="L150" s="11" t="n">
        <v>0.2738</v>
      </c>
      <c r="M150" s="26" t="n">
        <v>50</v>
      </c>
    </row>
    <row r="151" customFormat="false" ht="15" hidden="false" customHeight="false" outlineLevel="0" collapsed="false">
      <c r="A151" s="27" t="n">
        <v>10488</v>
      </c>
      <c r="B151" s="12" t="s">
        <v>154</v>
      </c>
      <c r="C151" s="28" t="n">
        <v>455</v>
      </c>
      <c r="D151" s="28" t="n">
        <v>455</v>
      </c>
      <c r="E151" s="14" t="n">
        <v>0</v>
      </c>
      <c r="F151" s="14" t="n">
        <v>128336.64</v>
      </c>
      <c r="G151" s="14" t="n">
        <v>128336.64</v>
      </c>
      <c r="H151" s="14" t="n">
        <v>80957.2183</v>
      </c>
      <c r="I151" s="14" t="n">
        <v>47379.43</v>
      </c>
      <c r="J151" s="14" t="n">
        <v>15158.13</v>
      </c>
      <c r="K151" s="15" t="n">
        <v>0.3692</v>
      </c>
      <c r="L151" s="15" t="n">
        <v>0.1181</v>
      </c>
      <c r="M151" s="29" t="n">
        <v>48.08</v>
      </c>
    </row>
    <row r="152" customFormat="false" ht="15" hidden="false" customHeight="false" outlineLevel="0" collapsed="false">
      <c r="A152" s="24" t="n">
        <v>10493</v>
      </c>
      <c r="B152" s="8" t="s">
        <v>155</v>
      </c>
      <c r="C152" s="25" t="n">
        <v>39</v>
      </c>
      <c r="D152" s="25" t="n">
        <v>39</v>
      </c>
      <c r="E152" s="10" t="n">
        <v>0</v>
      </c>
      <c r="F152" s="10" t="n">
        <v>18560.88</v>
      </c>
      <c r="G152" s="10" t="n">
        <v>18560.88</v>
      </c>
      <c r="H152" s="10" t="n">
        <v>9587.4208</v>
      </c>
      <c r="I152" s="10" t="n">
        <v>8973.46</v>
      </c>
      <c r="J152" s="10" t="n">
        <v>3874.41</v>
      </c>
      <c r="K152" s="11" t="n">
        <v>0.4835</v>
      </c>
      <c r="L152" s="11" t="n">
        <v>0.2087</v>
      </c>
      <c r="M152" s="26" t="n">
        <v>31.59</v>
      </c>
    </row>
    <row r="153" customFormat="false" ht="15" hidden="false" customHeight="false" outlineLevel="0" collapsed="false">
      <c r="A153" s="27" t="n">
        <v>10498</v>
      </c>
      <c r="B153" s="12" t="s">
        <v>156</v>
      </c>
      <c r="C153" s="28" t="n">
        <v>100</v>
      </c>
      <c r="D153" s="28" t="n">
        <v>100</v>
      </c>
      <c r="E153" s="14" t="n">
        <v>0</v>
      </c>
      <c r="F153" s="14" t="n">
        <v>29875</v>
      </c>
      <c r="G153" s="14" t="n">
        <v>29875</v>
      </c>
      <c r="H153" s="14" t="n">
        <v>11602.83</v>
      </c>
      <c r="I153" s="14" t="n">
        <v>18272.17</v>
      </c>
      <c r="J153" s="14" t="n">
        <v>10064.91</v>
      </c>
      <c r="K153" s="15" t="n">
        <v>0.6116</v>
      </c>
      <c r="L153" s="15" t="n">
        <v>0.3369</v>
      </c>
      <c r="M153" s="29" t="n">
        <v>58.39</v>
      </c>
    </row>
    <row r="154" customFormat="false" ht="15" hidden="false" customHeight="false" outlineLevel="0" collapsed="false">
      <c r="A154" s="24" t="n">
        <v>10504</v>
      </c>
      <c r="B154" s="8" t="s">
        <v>157</v>
      </c>
      <c r="C154" s="25" t="n">
        <v>2</v>
      </c>
      <c r="D154" s="25" t="n">
        <v>2</v>
      </c>
      <c r="E154" s="10" t="n">
        <v>0</v>
      </c>
      <c r="F154" s="10" t="n">
        <v>9621.8</v>
      </c>
      <c r="G154" s="10" t="n">
        <v>9621.8</v>
      </c>
      <c r="H154" s="10" t="n">
        <v>5357.96</v>
      </c>
      <c r="I154" s="10" t="n">
        <v>4263.84</v>
      </c>
      <c r="J154" s="10" t="n">
        <v>1620.54</v>
      </c>
      <c r="K154" s="11" t="n">
        <v>0.4431</v>
      </c>
      <c r="L154" s="11" t="n">
        <v>0.1684</v>
      </c>
      <c r="M154" s="26" t="n">
        <v>43</v>
      </c>
    </row>
    <row r="155" customFormat="false" ht="15" hidden="false" customHeight="false" outlineLevel="0" collapsed="false">
      <c r="A155" s="27" t="n">
        <v>10510</v>
      </c>
      <c r="B155" s="12" t="s">
        <v>158</v>
      </c>
      <c r="C155" s="28" t="n">
        <v>40</v>
      </c>
      <c r="D155" s="28" t="n">
        <v>40</v>
      </c>
      <c r="E155" s="14" t="n">
        <v>0</v>
      </c>
      <c r="F155" s="14" t="n">
        <v>5428</v>
      </c>
      <c r="G155" s="14" t="n">
        <v>5428</v>
      </c>
      <c r="H155" s="14" t="n">
        <v>3474.48</v>
      </c>
      <c r="I155" s="14" t="n">
        <v>1953.52</v>
      </c>
      <c r="J155" s="14" t="n">
        <v>462.34</v>
      </c>
      <c r="K155" s="15" t="n">
        <v>0.3599</v>
      </c>
      <c r="L155" s="15" t="n">
        <v>0.0852</v>
      </c>
      <c r="M155" s="29" t="n">
        <v>46</v>
      </c>
    </row>
    <row r="156" customFormat="false" ht="15" hidden="false" customHeight="false" outlineLevel="0" collapsed="false">
      <c r="A156" s="24" t="n">
        <v>10535</v>
      </c>
      <c r="B156" s="8" t="s">
        <v>158</v>
      </c>
      <c r="C156" s="25" t="n">
        <v>20</v>
      </c>
      <c r="D156" s="25" t="n">
        <v>20</v>
      </c>
      <c r="E156" s="10" t="n">
        <v>0</v>
      </c>
      <c r="F156" s="10" t="n">
        <v>4040</v>
      </c>
      <c r="G156" s="10" t="n">
        <v>4040</v>
      </c>
      <c r="H156" s="10" t="n">
        <v>1690.55</v>
      </c>
      <c r="I156" s="10" t="n">
        <v>2349.45</v>
      </c>
      <c r="J156" s="10" t="n">
        <v>1239.58</v>
      </c>
      <c r="K156" s="11" t="n">
        <v>0.5815</v>
      </c>
      <c r="L156" s="11" t="n">
        <v>0.3068</v>
      </c>
      <c r="M156" s="26" t="n">
        <v>28</v>
      </c>
    </row>
    <row r="157" customFormat="false" ht="15" hidden="false" customHeight="false" outlineLevel="0" collapsed="false">
      <c r="A157" s="27" t="n">
        <v>10539</v>
      </c>
      <c r="B157" s="12" t="s">
        <v>159</v>
      </c>
      <c r="C157" s="28" t="n">
        <v>32</v>
      </c>
      <c r="D157" s="28" t="n">
        <v>32</v>
      </c>
      <c r="E157" s="14" t="n">
        <v>0</v>
      </c>
      <c r="F157" s="14" t="n">
        <v>13333.12</v>
      </c>
      <c r="G157" s="14" t="n">
        <v>13333.12</v>
      </c>
      <c r="H157" s="14" t="n">
        <v>31832.0798</v>
      </c>
      <c r="I157" s="14" t="n">
        <v>-18498.96</v>
      </c>
      <c r="J157" s="14" t="n">
        <v>-22220.24</v>
      </c>
      <c r="K157" s="15" t="n">
        <v>-1.3874</v>
      </c>
      <c r="L157" s="15" t="n">
        <v>-1.6665</v>
      </c>
      <c r="M157" s="29" t="n">
        <v>30.47</v>
      </c>
    </row>
    <row r="158" customFormat="false" ht="15" hidden="false" customHeight="false" outlineLevel="0" collapsed="false">
      <c r="A158" s="24" t="n">
        <v>10544</v>
      </c>
      <c r="B158" s="8" t="s">
        <v>160</v>
      </c>
      <c r="C158" s="25" t="n">
        <v>10</v>
      </c>
      <c r="D158" s="25" t="n">
        <v>10</v>
      </c>
      <c r="E158" s="10" t="n">
        <v>0</v>
      </c>
      <c r="F158" s="10" t="n">
        <v>4095.7</v>
      </c>
      <c r="G158" s="10" t="n">
        <v>4095.7</v>
      </c>
      <c r="H158" s="10" t="n">
        <v>3025.58</v>
      </c>
      <c r="I158" s="10" t="n">
        <v>1070.12</v>
      </c>
      <c r="J158" s="10" t="n">
        <v>-72.99</v>
      </c>
      <c r="K158" s="11" t="n">
        <v>0.2613</v>
      </c>
      <c r="L158" s="11" t="n">
        <v>-0.0178</v>
      </c>
      <c r="M158" s="26" t="n">
        <v>1126</v>
      </c>
    </row>
    <row r="159" customFormat="false" ht="15" hidden="false" customHeight="false" outlineLevel="0" collapsed="false">
      <c r="A159" s="27" t="n">
        <v>10554</v>
      </c>
      <c r="B159" s="12" t="s">
        <v>161</v>
      </c>
      <c r="C159" s="28" t="n">
        <v>26</v>
      </c>
      <c r="D159" s="28" t="n">
        <v>26</v>
      </c>
      <c r="E159" s="14" t="n">
        <v>0</v>
      </c>
      <c r="F159" s="14" t="n">
        <v>2668.64</v>
      </c>
      <c r="G159" s="14" t="n">
        <v>2668.64</v>
      </c>
      <c r="H159" s="14" t="n">
        <v>379.86</v>
      </c>
      <c r="I159" s="14" t="n">
        <v>2288.78</v>
      </c>
      <c r="J159" s="14" t="n">
        <v>1555.6</v>
      </c>
      <c r="K159" s="15" t="n">
        <v>0.8577</v>
      </c>
      <c r="L159" s="15" t="n">
        <v>0.5829</v>
      </c>
      <c r="M159" s="29" t="n">
        <v>50</v>
      </c>
    </row>
    <row r="160" customFormat="false" ht="15" hidden="false" customHeight="false" outlineLevel="0" collapsed="false">
      <c r="A160" s="24" t="n">
        <v>10555</v>
      </c>
      <c r="B160" s="8" t="s">
        <v>162</v>
      </c>
      <c r="C160" s="25" t="n">
        <v>99</v>
      </c>
      <c r="D160" s="25" t="n">
        <v>99</v>
      </c>
      <c r="E160" s="10" t="n">
        <v>0</v>
      </c>
      <c r="F160" s="10" t="n">
        <v>26177.1</v>
      </c>
      <c r="G160" s="10" t="n">
        <v>26177.1</v>
      </c>
      <c r="H160" s="10" t="n">
        <v>15835.6492</v>
      </c>
      <c r="I160" s="10" t="n">
        <v>10341.45</v>
      </c>
      <c r="J160" s="10" t="n">
        <v>3371.16</v>
      </c>
      <c r="K160" s="11" t="n">
        <v>0.3951</v>
      </c>
      <c r="L160" s="11" t="n">
        <v>0.1288</v>
      </c>
      <c r="M160" s="26" t="n">
        <v>50</v>
      </c>
    </row>
    <row r="161" customFormat="false" ht="15" hidden="false" customHeight="false" outlineLevel="0" collapsed="false">
      <c r="A161" s="27" t="n">
        <v>10560</v>
      </c>
      <c r="B161" s="12" t="s">
        <v>158</v>
      </c>
      <c r="C161" s="28" t="n">
        <v>117</v>
      </c>
      <c r="D161" s="28" t="n">
        <v>117</v>
      </c>
      <c r="E161" s="14" t="n">
        <v>0</v>
      </c>
      <c r="F161" s="14" t="n">
        <v>24196.14</v>
      </c>
      <c r="G161" s="14" t="n">
        <v>24196.14</v>
      </c>
      <c r="H161" s="14" t="n">
        <v>11888.5204</v>
      </c>
      <c r="I161" s="14" t="n">
        <v>12307.62</v>
      </c>
      <c r="J161" s="14" t="n">
        <v>5660.46</v>
      </c>
      <c r="K161" s="15" t="n">
        <v>0.5087</v>
      </c>
      <c r="L161" s="15" t="n">
        <v>0.2339</v>
      </c>
      <c r="M161" s="29" t="n">
        <v>50</v>
      </c>
    </row>
    <row r="162" customFormat="false" ht="15" hidden="false" customHeight="false" outlineLevel="0" collapsed="false">
      <c r="A162" s="24" t="n">
        <v>10563</v>
      </c>
      <c r="B162" s="8" t="s">
        <v>269</v>
      </c>
      <c r="C162" s="25" t="n">
        <v>11</v>
      </c>
      <c r="D162" s="25" t="n">
        <v>11</v>
      </c>
      <c r="E162" s="10" t="n">
        <v>0</v>
      </c>
      <c r="F162" s="10" t="n">
        <v>2409.88</v>
      </c>
      <c r="G162" s="10" t="n">
        <v>2409.88</v>
      </c>
      <c r="H162" s="10" t="n">
        <v>1072.0501</v>
      </c>
      <c r="I162" s="10" t="n">
        <v>1337.83</v>
      </c>
      <c r="J162" s="10" t="n">
        <v>707.88</v>
      </c>
      <c r="K162" s="11" t="n">
        <v>0.5551</v>
      </c>
      <c r="L162" s="11" t="n">
        <v>0.2937</v>
      </c>
      <c r="M162" s="26" t="n">
        <v>55.86</v>
      </c>
    </row>
    <row r="163" customFormat="false" ht="15" hidden="false" customHeight="false" outlineLevel="0" collapsed="false">
      <c r="A163" s="27" t="n">
        <v>10564</v>
      </c>
      <c r="B163" s="12" t="s">
        <v>163</v>
      </c>
      <c r="C163" s="28" t="n">
        <v>3</v>
      </c>
      <c r="D163" s="28" t="n">
        <v>3</v>
      </c>
      <c r="E163" s="14" t="n">
        <v>0</v>
      </c>
      <c r="F163" s="14" t="n">
        <v>630</v>
      </c>
      <c r="G163" s="14" t="n">
        <v>630</v>
      </c>
      <c r="H163" s="14" t="n">
        <v>278.5101</v>
      </c>
      <c r="I163" s="14" t="n">
        <v>351.49</v>
      </c>
      <c r="J163" s="14" t="n">
        <v>208.77</v>
      </c>
      <c r="K163" s="15" t="n">
        <v>0.5579</v>
      </c>
      <c r="L163" s="15" t="n">
        <v>0.3314</v>
      </c>
      <c r="M163" s="29" t="n">
        <v>45</v>
      </c>
    </row>
    <row r="164" customFormat="false" ht="15" hidden="false" customHeight="false" outlineLevel="0" collapsed="false">
      <c r="A164" s="24" t="n">
        <v>10567</v>
      </c>
      <c r="B164" s="8" t="s">
        <v>164</v>
      </c>
      <c r="C164" s="25" t="n">
        <v>16</v>
      </c>
      <c r="D164" s="25" t="n">
        <v>16</v>
      </c>
      <c r="E164" s="10" t="n">
        <v>0</v>
      </c>
      <c r="F164" s="10" t="n">
        <v>557.44</v>
      </c>
      <c r="G164" s="10" t="n">
        <v>557.44</v>
      </c>
      <c r="H164" s="10" t="n">
        <v>280.38</v>
      </c>
      <c r="I164" s="10" t="n">
        <v>277.06</v>
      </c>
      <c r="J164" s="10" t="n">
        <v>121.43</v>
      </c>
      <c r="K164" s="11" t="n">
        <v>0.497</v>
      </c>
      <c r="L164" s="11" t="n">
        <v>0.2178</v>
      </c>
      <c r="M164" s="26" t="n">
        <v>30.37</v>
      </c>
    </row>
    <row r="165" customFormat="false" ht="15" hidden="false" customHeight="false" outlineLevel="0" collapsed="false">
      <c r="A165" s="27" t="n">
        <v>10585</v>
      </c>
      <c r="B165" s="12" t="s">
        <v>166</v>
      </c>
      <c r="C165" s="28" t="n">
        <v>1</v>
      </c>
      <c r="D165" s="28" t="n">
        <v>1</v>
      </c>
      <c r="E165" s="14" t="n">
        <v>0</v>
      </c>
      <c r="F165" s="14" t="n">
        <v>418</v>
      </c>
      <c r="G165" s="14" t="n">
        <v>418</v>
      </c>
      <c r="H165" s="14" t="n">
        <v>150.91</v>
      </c>
      <c r="I165" s="14" t="n">
        <v>267.09</v>
      </c>
      <c r="J165" s="14" t="n">
        <v>150.43</v>
      </c>
      <c r="K165" s="15" t="n">
        <v>0.639</v>
      </c>
      <c r="L165" s="15" t="n">
        <v>0.3599</v>
      </c>
      <c r="M165" s="29" t="n">
        <v>45</v>
      </c>
    </row>
    <row r="166" customFormat="false" ht="15" hidden="false" customHeight="false" outlineLevel="0" collapsed="false">
      <c r="A166" s="24" t="n">
        <v>10588</v>
      </c>
      <c r="B166" s="8" t="s">
        <v>271</v>
      </c>
      <c r="C166" s="25" t="n">
        <v>26</v>
      </c>
      <c r="D166" s="25" t="n">
        <v>26</v>
      </c>
      <c r="E166" s="10" t="n">
        <v>0</v>
      </c>
      <c r="F166" s="10" t="n">
        <v>566.8</v>
      </c>
      <c r="G166" s="10" t="n">
        <v>566.8</v>
      </c>
      <c r="H166" s="10" t="n">
        <v>62.14</v>
      </c>
      <c r="I166" s="10" t="n">
        <v>504.66</v>
      </c>
      <c r="J166" s="10" t="n">
        <v>346.45</v>
      </c>
      <c r="K166" s="11" t="n">
        <v>0.8904</v>
      </c>
      <c r="L166" s="11" t="n">
        <v>0.6112</v>
      </c>
      <c r="M166" s="26" t="n">
        <v>50</v>
      </c>
    </row>
    <row r="167" customFormat="false" ht="15" hidden="false" customHeight="false" outlineLevel="0" collapsed="false">
      <c r="A167" s="27" t="n">
        <v>10592</v>
      </c>
      <c r="B167" s="12" t="s">
        <v>167</v>
      </c>
      <c r="C167" s="28" t="n">
        <v>13</v>
      </c>
      <c r="D167" s="28" t="n">
        <v>13</v>
      </c>
      <c r="E167" s="14" t="n">
        <v>0</v>
      </c>
      <c r="F167" s="14" t="n">
        <v>12311.03</v>
      </c>
      <c r="G167" s="14" t="n">
        <v>12311.03</v>
      </c>
      <c r="H167" s="14" t="n">
        <v>3215.32</v>
      </c>
      <c r="I167" s="14" t="n">
        <v>9095.71</v>
      </c>
      <c r="J167" s="14" t="n">
        <v>5713.63</v>
      </c>
      <c r="K167" s="15" t="n">
        <v>0.7388</v>
      </c>
      <c r="L167" s="15" t="n">
        <v>0.4641</v>
      </c>
      <c r="M167" s="29" t="n">
        <v>50.39</v>
      </c>
    </row>
    <row r="168" customFormat="false" ht="15" hidden="false" customHeight="false" outlineLevel="0" collapsed="false">
      <c r="A168" s="24" t="n">
        <v>10595</v>
      </c>
      <c r="B168" s="8" t="s">
        <v>168</v>
      </c>
      <c r="C168" s="25" t="n">
        <v>11</v>
      </c>
      <c r="D168" s="25" t="n">
        <v>11</v>
      </c>
      <c r="E168" s="10" t="n">
        <v>0</v>
      </c>
      <c r="F168" s="10" t="n">
        <v>2903.78</v>
      </c>
      <c r="G168" s="10" t="n">
        <v>2903.78</v>
      </c>
      <c r="H168" s="10" t="n">
        <v>961.95</v>
      </c>
      <c r="I168" s="10" t="n">
        <v>1941.83</v>
      </c>
      <c r="J168" s="10" t="n">
        <v>1131.37</v>
      </c>
      <c r="K168" s="11" t="n">
        <v>0.6687</v>
      </c>
      <c r="L168" s="11" t="n">
        <v>0.3896</v>
      </c>
      <c r="M168" s="26" t="n">
        <v>50</v>
      </c>
    </row>
    <row r="169" customFormat="false" ht="15" hidden="false" customHeight="false" outlineLevel="0" collapsed="false">
      <c r="A169" s="27" t="n">
        <v>10601</v>
      </c>
      <c r="B169" s="12" t="s">
        <v>169</v>
      </c>
      <c r="C169" s="28" t="n">
        <v>30</v>
      </c>
      <c r="D169" s="28" t="n">
        <v>30</v>
      </c>
      <c r="E169" s="14" t="n">
        <v>82.74</v>
      </c>
      <c r="F169" s="14" t="n">
        <v>2382.92</v>
      </c>
      <c r="G169" s="14" t="n">
        <v>2465.66</v>
      </c>
      <c r="H169" s="14" t="n">
        <v>645.77</v>
      </c>
      <c r="I169" s="14" t="n">
        <v>1819.89</v>
      </c>
      <c r="J169" s="14" t="n">
        <v>1209.49</v>
      </c>
      <c r="K169" s="15" t="n">
        <v>0.7381</v>
      </c>
      <c r="L169" s="15" t="n">
        <v>0.4905</v>
      </c>
      <c r="M169" s="29" t="n">
        <v>45.86</v>
      </c>
    </row>
    <row r="170" customFormat="false" ht="15" hidden="false" customHeight="false" outlineLevel="0" collapsed="false">
      <c r="A170" s="24" t="n">
        <v>10602</v>
      </c>
      <c r="B170" s="8" t="s">
        <v>369</v>
      </c>
      <c r="C170" s="25" t="n">
        <v>40</v>
      </c>
      <c r="D170" s="25" t="n">
        <v>40</v>
      </c>
      <c r="E170" s="10" t="n">
        <v>0</v>
      </c>
      <c r="F170" s="10" t="n">
        <v>960</v>
      </c>
      <c r="G170" s="10" t="n">
        <v>960</v>
      </c>
      <c r="H170" s="10" t="n">
        <v>449.1</v>
      </c>
      <c r="I170" s="10" t="n">
        <v>510.9</v>
      </c>
      <c r="J170" s="10" t="n">
        <v>242.96</v>
      </c>
      <c r="K170" s="11" t="n">
        <v>0.5322</v>
      </c>
      <c r="L170" s="11" t="n">
        <v>0.2531</v>
      </c>
      <c r="M170" s="26" t="n">
        <v>45</v>
      </c>
    </row>
    <row r="171" customFormat="false" ht="15" hidden="false" customHeight="false" outlineLevel="0" collapsed="false">
      <c r="A171" s="27" t="n">
        <v>10603</v>
      </c>
      <c r="B171" s="12" t="s">
        <v>272</v>
      </c>
      <c r="C171" s="28" t="n">
        <v>10</v>
      </c>
      <c r="D171" s="28" t="n">
        <v>10</v>
      </c>
      <c r="E171" s="14" t="n">
        <v>0</v>
      </c>
      <c r="F171" s="14" t="n">
        <v>1877</v>
      </c>
      <c r="G171" s="14" t="n">
        <v>1877</v>
      </c>
      <c r="H171" s="14" t="n">
        <v>1107.83</v>
      </c>
      <c r="I171" s="14" t="n">
        <v>769.17</v>
      </c>
      <c r="J171" s="14" t="n">
        <v>253.52</v>
      </c>
      <c r="K171" s="15" t="n">
        <v>0.4098</v>
      </c>
      <c r="L171" s="15" t="n">
        <v>0.1351</v>
      </c>
      <c r="M171" s="29" t="n">
        <v>45</v>
      </c>
    </row>
    <row r="172" customFormat="false" ht="15" hidden="false" customHeight="false" outlineLevel="0" collapsed="false">
      <c r="A172" s="24" t="n">
        <v>10611</v>
      </c>
      <c r="B172" s="8" t="s">
        <v>370</v>
      </c>
      <c r="C172" s="25" t="n">
        <v>8000</v>
      </c>
      <c r="D172" s="25" t="n">
        <v>8000</v>
      </c>
      <c r="E172" s="10" t="n">
        <v>0</v>
      </c>
      <c r="F172" s="10" t="n">
        <v>1920</v>
      </c>
      <c r="G172" s="10" t="n">
        <v>1920</v>
      </c>
      <c r="H172" s="10" t="n">
        <v>429.6</v>
      </c>
      <c r="I172" s="10" t="n">
        <v>1490.4</v>
      </c>
      <c r="J172" s="10" t="n">
        <v>962.94</v>
      </c>
      <c r="K172" s="11" t="n">
        <v>0.7763</v>
      </c>
      <c r="L172" s="11" t="n">
        <v>0.5015</v>
      </c>
      <c r="M172" s="26" t="n">
        <v>91</v>
      </c>
    </row>
    <row r="173" customFormat="false" ht="15" hidden="false" customHeight="false" outlineLevel="0" collapsed="false">
      <c r="A173" s="27" t="n">
        <v>10615</v>
      </c>
      <c r="B173" s="12" t="s">
        <v>171</v>
      </c>
      <c r="C173" s="28" t="n">
        <v>37</v>
      </c>
      <c r="D173" s="28" t="n">
        <v>37</v>
      </c>
      <c r="E173" s="14" t="n">
        <v>0</v>
      </c>
      <c r="F173" s="14" t="n">
        <v>6273.61</v>
      </c>
      <c r="G173" s="14" t="n">
        <v>6273.61</v>
      </c>
      <c r="H173" s="14" t="n">
        <v>3648.6699</v>
      </c>
      <c r="I173" s="14" t="n">
        <v>2624.94</v>
      </c>
      <c r="J173" s="14" t="n">
        <v>1018.96</v>
      </c>
      <c r="K173" s="15" t="n">
        <v>0.4184</v>
      </c>
      <c r="L173" s="15" t="n">
        <v>0.1624</v>
      </c>
      <c r="M173" s="29" t="n">
        <v>47.54</v>
      </c>
    </row>
    <row r="174" customFormat="false" ht="15" hidden="false" customHeight="false" outlineLevel="0" collapsed="false">
      <c r="A174" s="24" t="n">
        <v>10616</v>
      </c>
      <c r="B174" s="8" t="s">
        <v>172</v>
      </c>
      <c r="C174" s="25" t="n">
        <v>283</v>
      </c>
      <c r="D174" s="25" t="n">
        <v>283</v>
      </c>
      <c r="E174" s="10" t="n">
        <v>0</v>
      </c>
      <c r="F174" s="10" t="n">
        <v>60655.39</v>
      </c>
      <c r="G174" s="10" t="n">
        <v>60655.39</v>
      </c>
      <c r="H174" s="10" t="n">
        <v>26656.8178</v>
      </c>
      <c r="I174" s="10" t="n">
        <v>33998.57</v>
      </c>
      <c r="J174" s="10" t="n">
        <v>17335.34</v>
      </c>
      <c r="K174" s="11" t="n">
        <v>0.5605</v>
      </c>
      <c r="L174" s="11" t="n">
        <v>0.2858</v>
      </c>
      <c r="M174" s="26" t="n">
        <v>50</v>
      </c>
    </row>
    <row r="175" customFormat="false" ht="15" hidden="false" customHeight="false" outlineLevel="0" collapsed="false">
      <c r="A175" s="27" t="n">
        <v>10617</v>
      </c>
      <c r="B175" s="12" t="s">
        <v>173</v>
      </c>
      <c r="C175" s="28" t="n">
        <v>305</v>
      </c>
      <c r="D175" s="28" t="n">
        <v>305</v>
      </c>
      <c r="E175" s="14" t="n">
        <v>0</v>
      </c>
      <c r="F175" s="14" t="n">
        <v>32683.8</v>
      </c>
      <c r="G175" s="14" t="n">
        <v>32683.8</v>
      </c>
      <c r="H175" s="14" t="n">
        <v>10514.372</v>
      </c>
      <c r="I175" s="14" t="n">
        <v>22169.43</v>
      </c>
      <c r="J175" s="14" t="n">
        <v>13050.66</v>
      </c>
      <c r="K175" s="15" t="n">
        <v>0.6783</v>
      </c>
      <c r="L175" s="15" t="n">
        <v>0.3993</v>
      </c>
      <c r="M175" s="29" t="n">
        <v>50</v>
      </c>
    </row>
    <row r="176" customFormat="false" ht="15" hidden="false" customHeight="false" outlineLevel="0" collapsed="false">
      <c r="A176" s="24" t="n">
        <v>10620</v>
      </c>
      <c r="B176" s="8" t="s">
        <v>174</v>
      </c>
      <c r="C176" s="25" t="n">
        <v>90</v>
      </c>
      <c r="D176" s="25" t="n">
        <v>90</v>
      </c>
      <c r="E176" s="10" t="n">
        <v>0</v>
      </c>
      <c r="F176" s="10" t="n">
        <v>7159.5</v>
      </c>
      <c r="G176" s="10" t="n">
        <v>7159.5</v>
      </c>
      <c r="H176" s="10" t="n">
        <v>3352.119</v>
      </c>
      <c r="I176" s="10" t="n">
        <v>3807.38</v>
      </c>
      <c r="J176" s="10" t="n">
        <v>1840.52</v>
      </c>
      <c r="K176" s="11" t="n">
        <v>0.5318</v>
      </c>
      <c r="L176" s="11" t="n">
        <v>0.2571</v>
      </c>
      <c r="M176" s="26" t="n">
        <v>50.33</v>
      </c>
    </row>
    <row r="177" customFormat="false" ht="15" hidden="false" customHeight="false" outlineLevel="0" collapsed="false">
      <c r="A177" s="27" t="n">
        <v>10621</v>
      </c>
      <c r="B177" s="12" t="s">
        <v>175</v>
      </c>
      <c r="C177" s="28" t="n">
        <v>1</v>
      </c>
      <c r="D177" s="28" t="n">
        <v>1</v>
      </c>
      <c r="E177" s="14" t="n">
        <v>0</v>
      </c>
      <c r="F177" s="14" t="n">
        <v>665.54</v>
      </c>
      <c r="G177" s="14" t="n">
        <v>665.54</v>
      </c>
      <c r="H177" s="14" t="n">
        <v>88.84</v>
      </c>
      <c r="I177" s="14" t="n">
        <v>576.7</v>
      </c>
      <c r="J177" s="14" t="n">
        <v>425.92</v>
      </c>
      <c r="K177" s="15" t="n">
        <v>0.8665</v>
      </c>
      <c r="L177" s="15" t="n">
        <v>0.64</v>
      </c>
      <c r="M177" s="29" t="n">
        <v>30</v>
      </c>
    </row>
    <row r="178" customFormat="false" ht="15" hidden="false" customHeight="false" outlineLevel="0" collapsed="false">
      <c r="A178" s="24" t="n">
        <v>10624</v>
      </c>
      <c r="B178" s="8" t="s">
        <v>176</v>
      </c>
      <c r="C178" s="25" t="n">
        <v>5</v>
      </c>
      <c r="D178" s="25" t="n">
        <v>5</v>
      </c>
      <c r="E178" s="10" t="n">
        <v>0</v>
      </c>
      <c r="F178" s="10" t="n">
        <v>58771.69</v>
      </c>
      <c r="G178" s="10" t="n">
        <v>58771.69</v>
      </c>
      <c r="H178" s="10" t="n">
        <v>32411.25</v>
      </c>
      <c r="I178" s="10" t="n">
        <v>26360.44</v>
      </c>
      <c r="J178" s="10" t="n">
        <v>10214.69</v>
      </c>
      <c r="K178" s="11" t="n">
        <v>0.4485</v>
      </c>
      <c r="L178" s="11" t="n">
        <v>0.1738</v>
      </c>
      <c r="M178" s="26" t="n">
        <v>45</v>
      </c>
    </row>
    <row r="179" customFormat="false" ht="15" hidden="false" customHeight="false" outlineLevel="0" collapsed="false">
      <c r="A179" s="27" t="n">
        <v>10627</v>
      </c>
      <c r="B179" s="12" t="s">
        <v>178</v>
      </c>
      <c r="C179" s="28" t="n">
        <v>100</v>
      </c>
      <c r="D179" s="28" t="n">
        <v>100</v>
      </c>
      <c r="E179" s="14" t="n">
        <v>0</v>
      </c>
      <c r="F179" s="14" t="n">
        <v>2828</v>
      </c>
      <c r="G179" s="14" t="n">
        <v>2828</v>
      </c>
      <c r="H179" s="14" t="n">
        <v>739.27</v>
      </c>
      <c r="I179" s="14" t="n">
        <v>2088.73</v>
      </c>
      <c r="J179" s="14" t="n">
        <v>1311.81</v>
      </c>
      <c r="K179" s="15" t="n">
        <v>0.7386</v>
      </c>
      <c r="L179" s="15" t="n">
        <v>0.4639</v>
      </c>
      <c r="M179" s="29" t="n">
        <v>50</v>
      </c>
    </row>
    <row r="180" customFormat="false" ht="15" hidden="false" customHeight="false" outlineLevel="0" collapsed="false">
      <c r="A180" s="24" t="n">
        <v>10628</v>
      </c>
      <c r="B180" s="8" t="s">
        <v>179</v>
      </c>
      <c r="C180" s="25" t="n">
        <v>12</v>
      </c>
      <c r="D180" s="25" t="n">
        <v>12</v>
      </c>
      <c r="E180" s="10" t="n">
        <v>0</v>
      </c>
      <c r="F180" s="10" t="n">
        <v>1098.72</v>
      </c>
      <c r="G180" s="10" t="n">
        <v>1098.72</v>
      </c>
      <c r="H180" s="10" t="n">
        <v>476.81</v>
      </c>
      <c r="I180" s="10" t="n">
        <v>621.91</v>
      </c>
      <c r="J180" s="10" t="n">
        <v>320.07</v>
      </c>
      <c r="K180" s="11" t="n">
        <v>0.566</v>
      </c>
      <c r="L180" s="11" t="n">
        <v>0.2913</v>
      </c>
      <c r="M180" s="26" t="n">
        <v>50</v>
      </c>
    </row>
    <row r="181" customFormat="false" ht="15" hidden="false" customHeight="false" outlineLevel="0" collapsed="false">
      <c r="A181" s="27" t="n">
        <v>10635</v>
      </c>
      <c r="B181" s="12" t="s">
        <v>326</v>
      </c>
      <c r="C181" s="28" t="n">
        <v>41</v>
      </c>
      <c r="D181" s="28" t="n">
        <v>41</v>
      </c>
      <c r="E181" s="14" t="n">
        <v>0</v>
      </c>
      <c r="F181" s="14" t="n">
        <v>6357.52</v>
      </c>
      <c r="G181" s="14" t="n">
        <v>6357.52</v>
      </c>
      <c r="H181" s="14" t="n">
        <v>4376.08</v>
      </c>
      <c r="I181" s="14" t="n">
        <v>1981.44</v>
      </c>
      <c r="J181" s="14" t="n">
        <v>207.07</v>
      </c>
      <c r="K181" s="15" t="n">
        <v>0.3117</v>
      </c>
      <c r="L181" s="15" t="n">
        <v>0.0326</v>
      </c>
      <c r="M181" s="29" t="n">
        <v>50</v>
      </c>
    </row>
    <row r="182" customFormat="false" ht="15" hidden="false" customHeight="false" outlineLevel="0" collapsed="false">
      <c r="A182" s="24" t="n">
        <v>10637</v>
      </c>
      <c r="B182" s="8" t="s">
        <v>180</v>
      </c>
      <c r="C182" s="25" t="n">
        <v>133</v>
      </c>
      <c r="D182" s="25" t="n">
        <v>133</v>
      </c>
      <c r="E182" s="10" t="n">
        <v>0</v>
      </c>
      <c r="F182" s="10" t="n">
        <v>128997</v>
      </c>
      <c r="G182" s="10" t="n">
        <v>128997</v>
      </c>
      <c r="H182" s="10" t="n">
        <v>41195.8588</v>
      </c>
      <c r="I182" s="10" t="n">
        <v>87801.14</v>
      </c>
      <c r="J182" s="10" t="n">
        <v>51798.09</v>
      </c>
      <c r="K182" s="11" t="n">
        <v>0.6806</v>
      </c>
      <c r="L182" s="11" t="n">
        <v>0.4015</v>
      </c>
      <c r="M182" s="26" t="n">
        <v>45</v>
      </c>
    </row>
    <row r="183" customFormat="false" ht="15" hidden="false" customHeight="false" outlineLevel="0" collapsed="false">
      <c r="A183" s="27" t="n">
        <v>10665</v>
      </c>
      <c r="B183" s="12" t="s">
        <v>274</v>
      </c>
      <c r="C183" s="28" t="n">
        <v>40</v>
      </c>
      <c r="D183" s="28" t="n">
        <v>40</v>
      </c>
      <c r="E183" s="14" t="n">
        <v>0</v>
      </c>
      <c r="F183" s="14" t="n">
        <v>5919.8</v>
      </c>
      <c r="G183" s="14" t="n">
        <v>5919.8</v>
      </c>
      <c r="H183" s="14" t="n">
        <v>3761.03</v>
      </c>
      <c r="I183" s="14" t="n">
        <v>2158.77</v>
      </c>
      <c r="J183" s="14" t="n">
        <v>532.49</v>
      </c>
      <c r="K183" s="15" t="n">
        <v>0.3647</v>
      </c>
      <c r="L183" s="15" t="n">
        <v>0.09</v>
      </c>
      <c r="M183" s="29" t="n">
        <v>50</v>
      </c>
    </row>
    <row r="184" customFormat="false" ht="15" hidden="false" customHeight="false" outlineLevel="0" collapsed="false">
      <c r="A184" s="24" t="n">
        <v>10674</v>
      </c>
      <c r="B184" s="8" t="s">
        <v>184</v>
      </c>
      <c r="C184" s="25" t="n">
        <v>129</v>
      </c>
      <c r="D184" s="25" t="n">
        <v>129</v>
      </c>
      <c r="E184" s="10" t="n">
        <v>172.9</v>
      </c>
      <c r="F184" s="10" t="n">
        <v>16836.64</v>
      </c>
      <c r="G184" s="10" t="n">
        <v>17009.54</v>
      </c>
      <c r="H184" s="10" t="n">
        <v>12084.2703</v>
      </c>
      <c r="I184" s="10" t="n">
        <v>4925.27</v>
      </c>
      <c r="J184" s="10" t="n">
        <v>252.38</v>
      </c>
      <c r="K184" s="11" t="n">
        <v>0.2896</v>
      </c>
      <c r="L184" s="11" t="n">
        <v>0.0148</v>
      </c>
      <c r="M184" s="26" t="n">
        <v>48.87</v>
      </c>
    </row>
    <row r="185" customFormat="false" ht="15" hidden="false" customHeight="false" outlineLevel="0" collapsed="false">
      <c r="A185" s="27" t="n">
        <v>10677</v>
      </c>
      <c r="B185" s="12" t="s">
        <v>371</v>
      </c>
      <c r="C185" s="28" t="n">
        <v>30</v>
      </c>
      <c r="D185" s="28" t="n">
        <v>30</v>
      </c>
      <c r="E185" s="14" t="n">
        <v>0</v>
      </c>
      <c r="F185" s="14" t="n">
        <v>2138.4</v>
      </c>
      <c r="G185" s="14" t="n">
        <v>2138.4</v>
      </c>
      <c r="H185" s="14" t="n">
        <v>1057.821</v>
      </c>
      <c r="I185" s="14" t="n">
        <v>1080.58</v>
      </c>
      <c r="J185" s="14" t="n">
        <v>818.41</v>
      </c>
      <c r="K185" s="15" t="n">
        <v>0.5053</v>
      </c>
      <c r="L185" s="15" t="n">
        <v>0.3827</v>
      </c>
      <c r="M185" s="29" t="n">
        <v>61</v>
      </c>
    </row>
    <row r="186" customFormat="false" ht="15" hidden="false" customHeight="false" outlineLevel="0" collapsed="false">
      <c r="A186" s="24" t="n">
        <v>10678</v>
      </c>
      <c r="B186" s="8" t="s">
        <v>185</v>
      </c>
      <c r="C186" s="25" t="n">
        <v>215</v>
      </c>
      <c r="D186" s="25" t="n">
        <v>215</v>
      </c>
      <c r="E186" s="10" t="n">
        <v>0</v>
      </c>
      <c r="F186" s="10" t="n">
        <v>19328.5</v>
      </c>
      <c r="G186" s="10" t="n">
        <v>19328.5</v>
      </c>
      <c r="H186" s="10" t="n">
        <v>9218.34</v>
      </c>
      <c r="I186" s="10" t="n">
        <v>10110.16</v>
      </c>
      <c r="J186" s="10" t="n">
        <v>4800.25</v>
      </c>
      <c r="K186" s="11" t="n">
        <v>0.5231</v>
      </c>
      <c r="L186" s="11" t="n">
        <v>0.2484</v>
      </c>
      <c r="M186" s="26" t="n">
        <v>50</v>
      </c>
    </row>
    <row r="187" customFormat="false" ht="15" hidden="false" customHeight="false" outlineLevel="0" collapsed="false">
      <c r="A187" s="27" t="n">
        <v>10679</v>
      </c>
      <c r="B187" s="12" t="s">
        <v>158</v>
      </c>
      <c r="C187" s="28" t="n">
        <v>45</v>
      </c>
      <c r="D187" s="28" t="n">
        <v>45</v>
      </c>
      <c r="E187" s="14" t="n">
        <v>0</v>
      </c>
      <c r="F187" s="14" t="n">
        <v>4854.25</v>
      </c>
      <c r="G187" s="14" t="n">
        <v>4854.25</v>
      </c>
      <c r="H187" s="14" t="n">
        <v>4206.2</v>
      </c>
      <c r="I187" s="14" t="n">
        <v>648.05</v>
      </c>
      <c r="J187" s="14" t="n">
        <v>-565.39</v>
      </c>
      <c r="K187" s="15" t="n">
        <v>0.1335</v>
      </c>
      <c r="L187" s="15" t="n">
        <v>-0.1165</v>
      </c>
      <c r="M187" s="29" t="n">
        <v>50</v>
      </c>
    </row>
    <row r="188" customFormat="false" ht="15" hidden="false" customHeight="false" outlineLevel="0" collapsed="false">
      <c r="A188" s="24" t="n">
        <v>10680</v>
      </c>
      <c r="B188" s="8" t="s">
        <v>330</v>
      </c>
      <c r="C188" s="25" t="n">
        <v>7</v>
      </c>
      <c r="D188" s="25" t="n">
        <v>7</v>
      </c>
      <c r="E188" s="10" t="n">
        <v>0</v>
      </c>
      <c r="F188" s="10" t="n">
        <v>29960</v>
      </c>
      <c r="G188" s="10" t="n">
        <v>29960</v>
      </c>
      <c r="H188" s="10" t="n">
        <v>6622.0798</v>
      </c>
      <c r="I188" s="10" t="n">
        <v>23337.92</v>
      </c>
      <c r="J188" s="10" t="n">
        <v>15107.31</v>
      </c>
      <c r="K188" s="11" t="n">
        <v>0.779</v>
      </c>
      <c r="L188" s="11" t="n">
        <v>0.5042</v>
      </c>
      <c r="M188" s="26" t="n">
        <v>50</v>
      </c>
    </row>
    <row r="189" customFormat="false" ht="15" hidden="false" customHeight="false" outlineLevel="0" collapsed="false">
      <c r="A189" s="27" t="n">
        <v>10697</v>
      </c>
      <c r="B189" s="12" t="s">
        <v>186</v>
      </c>
      <c r="C189" s="28" t="n">
        <v>10</v>
      </c>
      <c r="D189" s="28" t="n">
        <v>10</v>
      </c>
      <c r="E189" s="14" t="n">
        <v>0</v>
      </c>
      <c r="F189" s="14" t="n">
        <v>2681.08</v>
      </c>
      <c r="G189" s="14" t="n">
        <v>2681.08</v>
      </c>
      <c r="H189" s="14" t="n">
        <v>801.71</v>
      </c>
      <c r="I189" s="14" t="n">
        <v>1879.37</v>
      </c>
      <c r="J189" s="14" t="n">
        <v>1156.7</v>
      </c>
      <c r="K189" s="15" t="n">
        <v>0.701</v>
      </c>
      <c r="L189" s="15" t="n">
        <v>0.4314</v>
      </c>
      <c r="M189" s="29" t="n">
        <v>49.57</v>
      </c>
    </row>
    <row r="190" customFormat="false" ht="15" hidden="false" customHeight="false" outlineLevel="0" collapsed="false">
      <c r="A190" s="24" t="n">
        <v>10711</v>
      </c>
      <c r="B190" s="8" t="s">
        <v>276</v>
      </c>
      <c r="C190" s="25" t="n">
        <v>26</v>
      </c>
      <c r="D190" s="25" t="n">
        <v>26</v>
      </c>
      <c r="E190" s="10" t="n">
        <v>0</v>
      </c>
      <c r="F190" s="10" t="n">
        <v>5268.13</v>
      </c>
      <c r="G190" s="10" t="n">
        <v>5268.13</v>
      </c>
      <c r="H190" s="10" t="n">
        <v>2823.7302</v>
      </c>
      <c r="I190" s="10" t="n">
        <v>2444.4</v>
      </c>
      <c r="J190" s="10" t="n">
        <v>997.16</v>
      </c>
      <c r="K190" s="11" t="n">
        <v>0.464</v>
      </c>
      <c r="L190" s="11" t="n">
        <v>0.1893</v>
      </c>
      <c r="M190" s="26" t="n">
        <v>46.7</v>
      </c>
    </row>
    <row r="191" customFormat="false" ht="15" hidden="false" customHeight="false" outlineLevel="0" collapsed="false">
      <c r="A191" s="27" t="n">
        <v>10712</v>
      </c>
      <c r="B191" s="12" t="s">
        <v>189</v>
      </c>
      <c r="C191" s="28" t="n">
        <v>3747</v>
      </c>
      <c r="D191" s="28" t="n">
        <v>3747</v>
      </c>
      <c r="E191" s="14" t="n">
        <v>0</v>
      </c>
      <c r="F191" s="14" t="n">
        <v>14051.25</v>
      </c>
      <c r="G191" s="14" t="n">
        <v>14051.25</v>
      </c>
      <c r="H191" s="14" t="n">
        <v>7502.7798</v>
      </c>
      <c r="I191" s="14" t="n">
        <v>6548.47</v>
      </c>
      <c r="J191" s="14" t="n">
        <v>2626.78</v>
      </c>
      <c r="K191" s="15" t="n">
        <v>0.466</v>
      </c>
      <c r="L191" s="15" t="n">
        <v>0.1869</v>
      </c>
      <c r="M191" s="29" t="n">
        <v>45</v>
      </c>
    </row>
    <row r="192" customFormat="false" ht="15" hidden="false" customHeight="false" outlineLevel="0" collapsed="false">
      <c r="A192" s="24" t="n">
        <v>10721</v>
      </c>
      <c r="B192" s="8" t="s">
        <v>190</v>
      </c>
      <c r="C192" s="25" t="n">
        <v>11</v>
      </c>
      <c r="D192" s="25" t="n">
        <v>11</v>
      </c>
      <c r="E192" s="10" t="n">
        <v>0</v>
      </c>
      <c r="F192" s="10" t="n">
        <v>131415.33</v>
      </c>
      <c r="G192" s="10" t="n">
        <v>131415.33</v>
      </c>
      <c r="H192" s="10" t="n">
        <v>72714.57</v>
      </c>
      <c r="I192" s="10" t="n">
        <v>58700.76</v>
      </c>
      <c r="J192" s="10" t="n">
        <v>26819.4</v>
      </c>
      <c r="K192" s="11" t="n">
        <v>0.4467</v>
      </c>
      <c r="L192" s="11" t="n">
        <v>0.2041</v>
      </c>
      <c r="M192" s="26" t="n">
        <v>36.73</v>
      </c>
    </row>
    <row r="193" customFormat="false" ht="15" hidden="false" customHeight="false" outlineLevel="0" collapsed="false">
      <c r="A193" s="27" t="n">
        <v>10722</v>
      </c>
      <c r="B193" s="12" t="s">
        <v>191</v>
      </c>
      <c r="C193" s="28" t="n">
        <v>20</v>
      </c>
      <c r="D193" s="28" t="n">
        <v>20</v>
      </c>
      <c r="E193" s="14" t="n">
        <v>0</v>
      </c>
      <c r="F193" s="14" t="n">
        <v>223845.92</v>
      </c>
      <c r="G193" s="14" t="n">
        <v>223845.92</v>
      </c>
      <c r="H193" s="14" t="n">
        <v>120997.7499</v>
      </c>
      <c r="I193" s="14" t="n">
        <v>102848.17</v>
      </c>
      <c r="J193" s="14" t="n">
        <v>48543.15</v>
      </c>
      <c r="K193" s="15" t="n">
        <v>0.4595</v>
      </c>
      <c r="L193" s="15" t="n">
        <v>0.2169</v>
      </c>
      <c r="M193" s="29" t="n">
        <v>37.53</v>
      </c>
    </row>
    <row r="194" customFormat="false" ht="15" hidden="false" customHeight="false" outlineLevel="0" collapsed="false">
      <c r="A194" s="24" t="n">
        <v>10723</v>
      </c>
      <c r="B194" s="8" t="s">
        <v>192</v>
      </c>
      <c r="C194" s="25" t="n">
        <v>2</v>
      </c>
      <c r="D194" s="25" t="n">
        <v>2</v>
      </c>
      <c r="E194" s="10" t="n">
        <v>0</v>
      </c>
      <c r="F194" s="10" t="n">
        <v>2200</v>
      </c>
      <c r="G194" s="10" t="n">
        <v>2200</v>
      </c>
      <c r="H194" s="10" t="n">
        <v>1058.61</v>
      </c>
      <c r="I194" s="10" t="n">
        <v>1141.39</v>
      </c>
      <c r="J194" s="10" t="n">
        <v>537.01</v>
      </c>
      <c r="K194" s="11" t="n">
        <v>0.5188</v>
      </c>
      <c r="L194" s="11" t="n">
        <v>0.2441</v>
      </c>
      <c r="M194" s="26" t="n">
        <v>50</v>
      </c>
    </row>
    <row r="195" customFormat="false" ht="15" hidden="false" customHeight="false" outlineLevel="0" collapsed="false">
      <c r="A195" s="27" t="n">
        <v>10730</v>
      </c>
      <c r="B195" s="12" t="s">
        <v>193</v>
      </c>
      <c r="C195" s="28" t="n">
        <v>380</v>
      </c>
      <c r="D195" s="28" t="n">
        <v>380</v>
      </c>
      <c r="E195" s="14" t="n">
        <v>0</v>
      </c>
      <c r="F195" s="14" t="n">
        <v>8055.5</v>
      </c>
      <c r="G195" s="14" t="n">
        <v>8055.5</v>
      </c>
      <c r="H195" s="14" t="n">
        <v>2227.495</v>
      </c>
      <c r="I195" s="14" t="n">
        <v>5828.01</v>
      </c>
      <c r="J195" s="14" t="n">
        <v>4779.93</v>
      </c>
      <c r="K195" s="15" t="n">
        <v>0.7235</v>
      </c>
      <c r="L195" s="15" t="n">
        <v>0.5934</v>
      </c>
      <c r="M195" s="29" t="n">
        <v>30.05</v>
      </c>
    </row>
    <row r="196" customFormat="false" ht="15" hidden="false" customHeight="false" outlineLevel="0" collapsed="false">
      <c r="A196" s="24" t="n">
        <v>10732</v>
      </c>
      <c r="B196" s="8" t="s">
        <v>277</v>
      </c>
      <c r="C196" s="25" t="n">
        <v>11</v>
      </c>
      <c r="D196" s="25" t="n">
        <v>11</v>
      </c>
      <c r="E196" s="10" t="n">
        <v>0</v>
      </c>
      <c r="F196" s="10" t="n">
        <v>10804.3</v>
      </c>
      <c r="G196" s="10" t="n">
        <v>10804.3</v>
      </c>
      <c r="H196" s="10" t="n">
        <v>3935.96</v>
      </c>
      <c r="I196" s="10" t="n">
        <v>6868.34</v>
      </c>
      <c r="J196" s="10" t="n">
        <v>3852.84</v>
      </c>
      <c r="K196" s="11" t="n">
        <v>0.6357</v>
      </c>
      <c r="L196" s="11" t="n">
        <v>0.3566</v>
      </c>
      <c r="M196" s="26" t="n">
        <v>31.17</v>
      </c>
    </row>
    <row r="197" customFormat="false" ht="15" hidden="false" customHeight="false" outlineLevel="0" collapsed="false">
      <c r="A197" s="27" t="n">
        <v>10736</v>
      </c>
      <c r="B197" s="12" t="s">
        <v>194</v>
      </c>
      <c r="C197" s="28" t="n">
        <v>4</v>
      </c>
      <c r="D197" s="28" t="n">
        <v>4</v>
      </c>
      <c r="E197" s="14" t="n">
        <v>0</v>
      </c>
      <c r="F197" s="14" t="n">
        <v>2550.48</v>
      </c>
      <c r="G197" s="14" t="n">
        <v>2550.48</v>
      </c>
      <c r="H197" s="14" t="n">
        <v>941.17</v>
      </c>
      <c r="I197" s="14" t="n">
        <v>1609.31</v>
      </c>
      <c r="J197" s="14" t="n">
        <v>897.47</v>
      </c>
      <c r="K197" s="15" t="n">
        <v>0.631</v>
      </c>
      <c r="L197" s="15" t="n">
        <v>0.3519</v>
      </c>
      <c r="M197" s="29" t="n">
        <v>50</v>
      </c>
    </row>
    <row r="198" customFormat="false" ht="15" hidden="false" customHeight="false" outlineLevel="0" collapsed="false">
      <c r="A198" s="24" t="n">
        <v>10737</v>
      </c>
      <c r="B198" s="8" t="s">
        <v>331</v>
      </c>
      <c r="C198" s="25" t="n">
        <v>21</v>
      </c>
      <c r="D198" s="25" t="n">
        <v>21</v>
      </c>
      <c r="E198" s="10" t="n">
        <v>0</v>
      </c>
      <c r="F198" s="10" t="n">
        <v>13207.98</v>
      </c>
      <c r="G198" s="10" t="n">
        <v>13207.98</v>
      </c>
      <c r="H198" s="10" t="n">
        <v>4991.2699</v>
      </c>
      <c r="I198" s="10" t="n">
        <v>8216.71</v>
      </c>
      <c r="J198" s="10" t="n">
        <v>4530.37</v>
      </c>
      <c r="K198" s="11" t="n">
        <v>0.6221</v>
      </c>
      <c r="L198" s="11" t="n">
        <v>0.343</v>
      </c>
      <c r="M198" s="26" t="n">
        <v>50</v>
      </c>
    </row>
    <row r="199" customFormat="false" ht="15" hidden="false" customHeight="false" outlineLevel="0" collapsed="false">
      <c r="A199" s="27" t="n">
        <v>40005</v>
      </c>
      <c r="B199" s="12" t="s">
        <v>195</v>
      </c>
      <c r="C199" s="28" t="n">
        <v>56</v>
      </c>
      <c r="D199" s="28" t="n">
        <v>56</v>
      </c>
      <c r="E199" s="14" t="n">
        <v>0</v>
      </c>
      <c r="F199" s="14" t="n">
        <v>18925.4</v>
      </c>
      <c r="G199" s="14" t="n">
        <v>18925.4</v>
      </c>
      <c r="H199" s="14" t="n">
        <v>8584.1901</v>
      </c>
      <c r="I199" s="14" t="n">
        <v>10341.21</v>
      </c>
      <c r="J199" s="14" t="n">
        <v>5791.58</v>
      </c>
      <c r="K199" s="15" t="n">
        <v>0.5464</v>
      </c>
      <c r="L199" s="15" t="n">
        <v>0.306</v>
      </c>
      <c r="M199" s="29" t="n">
        <v>48.11</v>
      </c>
    </row>
    <row r="200" customFormat="false" ht="15" hidden="false" customHeight="false" outlineLevel="0" collapsed="false">
      <c r="A200" s="24" t="n">
        <v>50028</v>
      </c>
      <c r="B200" s="8" t="s">
        <v>372</v>
      </c>
      <c r="C200" s="25" t="n">
        <v>2</v>
      </c>
      <c r="D200" s="25" t="n">
        <v>2</v>
      </c>
      <c r="E200" s="10" t="n">
        <v>0</v>
      </c>
      <c r="F200" s="10" t="n">
        <v>56.5</v>
      </c>
      <c r="G200" s="10" t="n">
        <v>56.5</v>
      </c>
      <c r="H200" s="10" t="n">
        <v>1.79</v>
      </c>
      <c r="I200" s="10" t="n">
        <v>54.71</v>
      </c>
      <c r="J200" s="10" t="n">
        <v>39.18</v>
      </c>
      <c r="K200" s="11" t="n">
        <v>0.9683</v>
      </c>
      <c r="L200" s="11" t="n">
        <v>0.6935</v>
      </c>
      <c r="M200" s="26" t="n">
        <v>60</v>
      </c>
    </row>
    <row r="201" customFormat="false" ht="15" hidden="false" customHeight="false" outlineLevel="0" collapsed="false">
      <c r="A201" s="27" t="n">
        <v>50999</v>
      </c>
      <c r="B201" s="12" t="s">
        <v>197</v>
      </c>
      <c r="C201" s="28" t="n">
        <v>14</v>
      </c>
      <c r="D201" s="28" t="n">
        <v>14</v>
      </c>
      <c r="E201" s="14" t="n">
        <v>0</v>
      </c>
      <c r="F201" s="14" t="n">
        <v>1968.4</v>
      </c>
      <c r="G201" s="14" t="n">
        <v>1968.4</v>
      </c>
      <c r="H201" s="14" t="n">
        <v>213.17</v>
      </c>
      <c r="I201" s="14" t="n">
        <v>1755.23</v>
      </c>
      <c r="J201" s="14" t="n">
        <v>1293.07</v>
      </c>
      <c r="K201" s="15" t="n">
        <v>0.8917</v>
      </c>
      <c r="L201" s="15" t="n">
        <v>0.6569</v>
      </c>
      <c r="M201" s="29" t="n">
        <v>44.94</v>
      </c>
    </row>
    <row r="202" customFormat="false" ht="15" hidden="false" customHeight="false" outlineLevel="0" collapsed="false">
      <c r="A202" s="24" t="n">
        <v>51053</v>
      </c>
      <c r="B202" s="8" t="s">
        <v>198</v>
      </c>
      <c r="C202" s="25" t="n">
        <v>1</v>
      </c>
      <c r="D202" s="25" t="n">
        <v>1</v>
      </c>
      <c r="E202" s="10" t="n">
        <v>0</v>
      </c>
      <c r="F202" s="10" t="n">
        <v>37.67</v>
      </c>
      <c r="G202" s="10" t="n">
        <v>37.67</v>
      </c>
      <c r="H202" s="10" t="n">
        <v>81.5</v>
      </c>
      <c r="I202" s="10" t="n">
        <v>-43.83</v>
      </c>
      <c r="J202" s="10" t="n">
        <v>-54.18</v>
      </c>
      <c r="K202" s="11" t="n">
        <v>-1.1635</v>
      </c>
      <c r="L202" s="11" t="n">
        <v>-1.4383</v>
      </c>
      <c r="M202" s="26" t="n">
        <v>50</v>
      </c>
    </row>
    <row r="203" customFormat="false" ht="15" hidden="false" customHeight="false" outlineLevel="0" collapsed="false">
      <c r="A203" s="27" t="n">
        <v>51231</v>
      </c>
      <c r="B203" s="12" t="s">
        <v>373</v>
      </c>
      <c r="C203" s="28" t="n">
        <v>20</v>
      </c>
      <c r="D203" s="28" t="n">
        <v>20</v>
      </c>
      <c r="E203" s="14" t="n">
        <v>0</v>
      </c>
      <c r="F203" s="14" t="n">
        <v>141.2</v>
      </c>
      <c r="G203" s="14" t="n">
        <v>141.2</v>
      </c>
      <c r="H203" s="14" t="n">
        <v>35.67</v>
      </c>
      <c r="I203" s="14" t="n">
        <v>105.53</v>
      </c>
      <c r="J203" s="14" t="n">
        <v>66.74</v>
      </c>
      <c r="K203" s="15" t="n">
        <v>0.7474</v>
      </c>
      <c r="L203" s="15" t="n">
        <v>0.4727</v>
      </c>
      <c r="M203" s="29" t="n">
        <v>42</v>
      </c>
    </row>
    <row r="204" customFormat="false" ht="15" hidden="false" customHeight="false" outlineLevel="0" collapsed="false">
      <c r="A204" s="24" t="n">
        <v>51378</v>
      </c>
      <c r="B204" s="8" t="s">
        <v>200</v>
      </c>
      <c r="C204" s="25" t="n">
        <v>5</v>
      </c>
      <c r="D204" s="25" t="n">
        <v>5</v>
      </c>
      <c r="E204" s="10" t="n">
        <v>0</v>
      </c>
      <c r="F204" s="10" t="n">
        <v>796.05</v>
      </c>
      <c r="G204" s="10" t="n">
        <v>796.05</v>
      </c>
      <c r="H204" s="10" t="n">
        <v>271.81</v>
      </c>
      <c r="I204" s="10" t="n">
        <v>524.24</v>
      </c>
      <c r="J204" s="10" t="n">
        <v>331.12</v>
      </c>
      <c r="K204" s="11" t="n">
        <v>0.6586</v>
      </c>
      <c r="L204" s="11" t="n">
        <v>0.416</v>
      </c>
      <c r="M204" s="26" t="n">
        <v>44</v>
      </c>
    </row>
    <row r="205" customFormat="false" ht="15" hidden="false" customHeight="false" outlineLevel="0" collapsed="false">
      <c r="A205" s="27" t="n">
        <v>51630</v>
      </c>
      <c r="B205" s="12" t="s">
        <v>202</v>
      </c>
      <c r="C205" s="28" t="n">
        <v>15</v>
      </c>
      <c r="D205" s="28" t="n">
        <v>15</v>
      </c>
      <c r="E205" s="14" t="n">
        <v>0</v>
      </c>
      <c r="F205" s="14" t="n">
        <v>535.02</v>
      </c>
      <c r="G205" s="14" t="n">
        <v>535.02</v>
      </c>
      <c r="H205" s="14" t="n">
        <v>78.2502</v>
      </c>
      <c r="I205" s="14" t="n">
        <v>456.77</v>
      </c>
      <c r="J205" s="14" t="n">
        <v>320.71</v>
      </c>
      <c r="K205" s="15" t="n">
        <v>0.8537</v>
      </c>
      <c r="L205" s="15" t="n">
        <v>0.5994</v>
      </c>
      <c r="M205" s="29" t="n">
        <v>48.31</v>
      </c>
    </row>
    <row r="206" customFormat="false" ht="15" hidden="false" customHeight="false" outlineLevel="0" collapsed="false">
      <c r="A206" s="24" t="n">
        <v>51948</v>
      </c>
      <c r="B206" s="8" t="s">
        <v>203</v>
      </c>
      <c r="C206" s="25" t="n">
        <v>70</v>
      </c>
      <c r="D206" s="25" t="n">
        <v>70</v>
      </c>
      <c r="E206" s="10" t="n">
        <v>0</v>
      </c>
      <c r="F206" s="10" t="n">
        <v>26294.8</v>
      </c>
      <c r="G206" s="10" t="n">
        <v>26294.8</v>
      </c>
      <c r="H206" s="10" t="n">
        <v>8819.468</v>
      </c>
      <c r="I206" s="10" t="n">
        <v>17475.33</v>
      </c>
      <c r="J206" s="10" t="n">
        <v>14251.59</v>
      </c>
      <c r="K206" s="11" t="n">
        <v>0.6646</v>
      </c>
      <c r="L206" s="11" t="n">
        <v>0.542</v>
      </c>
      <c r="M206" s="26" t="n">
        <v>30</v>
      </c>
    </row>
    <row r="207" customFormat="false" ht="15" hidden="false" customHeight="false" outlineLevel="0" collapsed="false">
      <c r="A207" s="27" t="n">
        <v>52425</v>
      </c>
      <c r="B207" s="12" t="s">
        <v>374</v>
      </c>
      <c r="C207" s="28" t="n">
        <v>4</v>
      </c>
      <c r="D207" s="28" t="n">
        <v>4</v>
      </c>
      <c r="E207" s="14" t="n">
        <v>0</v>
      </c>
      <c r="F207" s="14" t="n">
        <v>153.88</v>
      </c>
      <c r="G207" s="14" t="n">
        <v>153.88</v>
      </c>
      <c r="H207" s="14" t="n">
        <v>57.52</v>
      </c>
      <c r="I207" s="14" t="n">
        <v>96.36</v>
      </c>
      <c r="J207" s="14" t="n">
        <v>53.41</v>
      </c>
      <c r="K207" s="15" t="n">
        <v>0.6262</v>
      </c>
      <c r="L207" s="15" t="n">
        <v>0.3471</v>
      </c>
      <c r="M207" s="29" t="n">
        <v>32</v>
      </c>
    </row>
    <row r="208" customFormat="false" ht="15" hidden="false" customHeight="false" outlineLevel="0" collapsed="false">
      <c r="A208" s="24" t="n">
        <v>52434</v>
      </c>
      <c r="B208" s="8" t="s">
        <v>204</v>
      </c>
      <c r="C208" s="25" t="n">
        <v>2</v>
      </c>
      <c r="D208" s="25" t="n">
        <v>2</v>
      </c>
      <c r="E208" s="10" t="n">
        <v>0</v>
      </c>
      <c r="F208" s="10" t="n">
        <v>137.5</v>
      </c>
      <c r="G208" s="10" t="n">
        <v>137.5</v>
      </c>
      <c r="H208" s="10" t="n">
        <v>44.13</v>
      </c>
      <c r="I208" s="10" t="n">
        <v>93.37</v>
      </c>
      <c r="J208" s="10" t="n">
        <v>55.6</v>
      </c>
      <c r="K208" s="11" t="n">
        <v>0.6791</v>
      </c>
      <c r="L208" s="11" t="n">
        <v>0.4044</v>
      </c>
      <c r="M208" s="26" t="n">
        <v>30</v>
      </c>
    </row>
    <row r="209" customFormat="false" ht="15" hidden="false" customHeight="false" outlineLevel="0" collapsed="false">
      <c r="A209" s="27" t="n">
        <v>52566</v>
      </c>
      <c r="B209" s="12" t="s">
        <v>205</v>
      </c>
      <c r="C209" s="28" t="n">
        <v>12</v>
      </c>
      <c r="D209" s="28" t="n">
        <v>12</v>
      </c>
      <c r="E209" s="14" t="n">
        <v>0</v>
      </c>
      <c r="F209" s="14" t="n">
        <v>1663.34</v>
      </c>
      <c r="G209" s="14" t="n">
        <v>1663.34</v>
      </c>
      <c r="H209" s="14" t="n">
        <v>978.8701</v>
      </c>
      <c r="I209" s="14" t="n">
        <v>684.47</v>
      </c>
      <c r="J209" s="14" t="n">
        <v>227.52</v>
      </c>
      <c r="K209" s="15" t="n">
        <v>0.4115</v>
      </c>
      <c r="L209" s="15" t="n">
        <v>0.1368</v>
      </c>
      <c r="M209" s="29" t="n">
        <v>58.38</v>
      </c>
    </row>
    <row r="210" customFormat="false" ht="15" hidden="false" customHeight="false" outlineLevel="0" collapsed="false">
      <c r="A210" s="24" t="n">
        <v>52585</v>
      </c>
      <c r="B210" s="8" t="s">
        <v>284</v>
      </c>
      <c r="C210" s="25" t="n">
        <v>30</v>
      </c>
      <c r="D210" s="25" t="n">
        <v>30</v>
      </c>
      <c r="E210" s="10" t="n">
        <v>0</v>
      </c>
      <c r="F210" s="10" t="n">
        <v>2472.6</v>
      </c>
      <c r="G210" s="10" t="n">
        <v>2472.6</v>
      </c>
      <c r="H210" s="10" t="n">
        <v>411</v>
      </c>
      <c r="I210" s="10" t="n">
        <v>2061.6</v>
      </c>
      <c r="J210" s="10" t="n">
        <v>1382.34</v>
      </c>
      <c r="K210" s="11" t="n">
        <v>0.8338</v>
      </c>
      <c r="L210" s="11" t="n">
        <v>0.5591</v>
      </c>
      <c r="M210" s="26" t="n">
        <v>31</v>
      </c>
    </row>
    <row r="211" customFormat="false" ht="15" hidden="false" customHeight="false" outlineLevel="0" collapsed="false">
      <c r="A211" s="27" t="n">
        <v>52589</v>
      </c>
      <c r="B211" s="12" t="s">
        <v>285</v>
      </c>
      <c r="C211" s="28" t="n">
        <v>8</v>
      </c>
      <c r="D211" s="28" t="n">
        <v>8</v>
      </c>
      <c r="E211" s="14" t="n">
        <v>0</v>
      </c>
      <c r="F211" s="14" t="n">
        <v>3600</v>
      </c>
      <c r="G211" s="14" t="n">
        <v>3600</v>
      </c>
      <c r="H211" s="14" t="n">
        <v>1356.22</v>
      </c>
      <c r="I211" s="14" t="n">
        <v>2243.78</v>
      </c>
      <c r="J211" s="14" t="n">
        <v>1802.42</v>
      </c>
      <c r="K211" s="15" t="n">
        <v>0.6233</v>
      </c>
      <c r="L211" s="15" t="n">
        <v>0.5007</v>
      </c>
      <c r="M211" s="29" t="n">
        <v>39</v>
      </c>
    </row>
    <row r="212" customFormat="false" ht="15" hidden="false" customHeight="false" outlineLevel="0" collapsed="false">
      <c r="A212" s="24" t="n">
        <v>52673</v>
      </c>
      <c r="B212" s="8" t="s">
        <v>206</v>
      </c>
      <c r="C212" s="25" t="n">
        <v>45</v>
      </c>
      <c r="D212" s="25" t="n">
        <v>45</v>
      </c>
      <c r="E212" s="10" t="n">
        <v>14</v>
      </c>
      <c r="F212" s="10" t="n">
        <v>80</v>
      </c>
      <c r="G212" s="10" t="n">
        <v>94</v>
      </c>
      <c r="H212" s="10" t="n">
        <v>45</v>
      </c>
      <c r="I212" s="10" t="n">
        <v>49</v>
      </c>
      <c r="J212" s="10" t="n">
        <v>37.47</v>
      </c>
      <c r="K212" s="11" t="n">
        <v>0.5213</v>
      </c>
      <c r="L212" s="11" t="n">
        <v>0.3986</v>
      </c>
      <c r="M212" s="26" t="n">
        <v>5</v>
      </c>
    </row>
    <row r="213" customFormat="false" ht="15" hidden="false" customHeight="false" outlineLevel="0" collapsed="false">
      <c r="A213" s="27" t="n">
        <v>52674</v>
      </c>
      <c r="B213" s="12" t="s">
        <v>207</v>
      </c>
      <c r="C213" s="28" t="n">
        <v>40</v>
      </c>
      <c r="D213" s="28" t="n">
        <v>40</v>
      </c>
      <c r="E213" s="14" t="n">
        <v>0</v>
      </c>
      <c r="F213" s="14" t="n">
        <v>120</v>
      </c>
      <c r="G213" s="14" t="n">
        <v>120</v>
      </c>
      <c r="H213" s="14" t="n">
        <v>112</v>
      </c>
      <c r="I213" s="14" t="n">
        <v>8</v>
      </c>
      <c r="J213" s="14" t="n">
        <v>-6.71</v>
      </c>
      <c r="K213" s="15" t="n">
        <v>0.0667</v>
      </c>
      <c r="L213" s="15" t="n">
        <v>-0.0559</v>
      </c>
      <c r="M213" s="29" t="n">
        <v>5</v>
      </c>
    </row>
    <row r="214" customFormat="false" ht="15" hidden="false" customHeight="false" outlineLevel="0" collapsed="false">
      <c r="A214" s="24" t="n">
        <v>52675</v>
      </c>
      <c r="B214" s="8" t="s">
        <v>337</v>
      </c>
      <c r="C214" s="25" t="n">
        <v>240</v>
      </c>
      <c r="D214" s="25" t="n">
        <v>240</v>
      </c>
      <c r="E214" s="10" t="n">
        <v>468</v>
      </c>
      <c r="F214" s="10" t="n">
        <v>1092</v>
      </c>
      <c r="G214" s="10" t="n">
        <v>1560</v>
      </c>
      <c r="H214" s="10" t="n">
        <v>912</v>
      </c>
      <c r="I214" s="10" t="n">
        <v>648</v>
      </c>
      <c r="J214" s="10" t="n">
        <v>456.74</v>
      </c>
      <c r="K214" s="11" t="n">
        <v>0.4154</v>
      </c>
      <c r="L214" s="11" t="n">
        <v>0.2928</v>
      </c>
      <c r="M214" s="26" t="n">
        <v>5</v>
      </c>
    </row>
    <row r="215" customFormat="false" ht="15" hidden="false" customHeight="false" outlineLevel="0" collapsed="false">
      <c r="A215" s="27" t="n">
        <v>52676</v>
      </c>
      <c r="B215" s="12" t="s">
        <v>208</v>
      </c>
      <c r="C215" s="28" t="n">
        <v>2906</v>
      </c>
      <c r="D215" s="28" t="n">
        <v>2906</v>
      </c>
      <c r="E215" s="14" t="n">
        <v>1944</v>
      </c>
      <c r="F215" s="14" t="n">
        <v>2592</v>
      </c>
      <c r="G215" s="14" t="n">
        <v>4536</v>
      </c>
      <c r="H215" s="14" t="n">
        <v>186.7</v>
      </c>
      <c r="I215" s="14" t="n">
        <v>4349.3</v>
      </c>
      <c r="J215" s="14" t="n">
        <v>3793.19</v>
      </c>
      <c r="K215" s="15" t="n">
        <v>0.9588</v>
      </c>
      <c r="L215" s="15" t="n">
        <v>0.8362</v>
      </c>
      <c r="M215" s="29" t="n">
        <v>5</v>
      </c>
    </row>
    <row r="216" customFormat="false" ht="15" hidden="false" customHeight="false" outlineLevel="0" collapsed="false">
      <c r="A216" s="24" t="n">
        <v>52883</v>
      </c>
      <c r="B216" s="8" t="s">
        <v>209</v>
      </c>
      <c r="C216" s="25" t="n">
        <v>2</v>
      </c>
      <c r="D216" s="25" t="n">
        <v>2</v>
      </c>
      <c r="E216" s="10" t="n">
        <v>0</v>
      </c>
      <c r="F216" s="10" t="n">
        <v>114.4</v>
      </c>
      <c r="G216" s="10" t="n">
        <v>114.4</v>
      </c>
      <c r="H216" s="10" t="n">
        <v>27.96</v>
      </c>
      <c r="I216" s="10" t="n">
        <v>86.44</v>
      </c>
      <c r="J216" s="10" t="n">
        <v>57.76</v>
      </c>
      <c r="K216" s="11" t="n">
        <v>0.7556</v>
      </c>
      <c r="L216" s="11" t="n">
        <v>0.5049</v>
      </c>
      <c r="M216" s="26" t="n">
        <v>7</v>
      </c>
    </row>
    <row r="217" customFormat="false" ht="15" hidden="false" customHeight="false" outlineLevel="0" collapsed="false">
      <c r="A217" s="27" t="n">
        <v>53018</v>
      </c>
      <c r="B217" s="12" t="s">
        <v>339</v>
      </c>
      <c r="C217" s="28" t="n">
        <v>5</v>
      </c>
      <c r="D217" s="28" t="n">
        <v>5</v>
      </c>
      <c r="E217" s="14" t="n">
        <v>0</v>
      </c>
      <c r="F217" s="14" t="n">
        <v>104.8</v>
      </c>
      <c r="G217" s="14" t="n">
        <v>104.8</v>
      </c>
      <c r="H217" s="14" t="n">
        <v>40.98</v>
      </c>
      <c r="I217" s="14" t="n">
        <v>63.82</v>
      </c>
      <c r="J217" s="14" t="n">
        <v>35.03</v>
      </c>
      <c r="K217" s="15" t="n">
        <v>0.609</v>
      </c>
      <c r="L217" s="15" t="n">
        <v>0.3343</v>
      </c>
      <c r="M217" s="29" t="n">
        <v>60</v>
      </c>
    </row>
    <row r="218" customFormat="false" ht="15" hidden="false" customHeight="false" outlineLevel="0" collapsed="false">
      <c r="A218" s="24" t="n">
        <v>53119</v>
      </c>
      <c r="B218" s="8" t="s">
        <v>210</v>
      </c>
      <c r="C218" s="25" t="n">
        <v>10</v>
      </c>
      <c r="D218" s="25" t="n">
        <v>10</v>
      </c>
      <c r="E218" s="10" t="n">
        <v>0</v>
      </c>
      <c r="F218" s="10" t="n">
        <v>2263.4</v>
      </c>
      <c r="G218" s="10" t="n">
        <v>2263.4</v>
      </c>
      <c r="H218" s="10" t="n">
        <v>992.31</v>
      </c>
      <c r="I218" s="10" t="n">
        <v>1271.09</v>
      </c>
      <c r="J218" s="10" t="n">
        <v>721.99</v>
      </c>
      <c r="K218" s="11" t="n">
        <v>0.5616</v>
      </c>
      <c r="L218" s="11" t="n">
        <v>0.319</v>
      </c>
      <c r="M218" s="26" t="n">
        <v>44</v>
      </c>
    </row>
    <row r="219" customFormat="false" ht="15" hidden="false" customHeight="false" outlineLevel="0" collapsed="false">
      <c r="A219" s="27" t="n">
        <v>53206</v>
      </c>
      <c r="B219" s="12" t="s">
        <v>375</v>
      </c>
      <c r="C219" s="28" t="n">
        <v>10</v>
      </c>
      <c r="D219" s="28" t="n">
        <v>10</v>
      </c>
      <c r="E219" s="14" t="n">
        <v>0</v>
      </c>
      <c r="F219" s="14" t="n">
        <v>315.6</v>
      </c>
      <c r="G219" s="14" t="n">
        <v>315.6</v>
      </c>
      <c r="H219" s="14" t="n">
        <v>26.5</v>
      </c>
      <c r="I219" s="14" t="n">
        <v>289.1</v>
      </c>
      <c r="J219" s="14" t="n">
        <v>202.4</v>
      </c>
      <c r="K219" s="15" t="n">
        <v>0.916</v>
      </c>
      <c r="L219" s="15" t="n">
        <v>0.6413</v>
      </c>
      <c r="M219" s="29" t="n">
        <v>16</v>
      </c>
    </row>
    <row r="220" customFormat="false" ht="15" hidden="false" customHeight="false" outlineLevel="0" collapsed="false">
      <c r="A220" s="24" t="n">
        <v>53826</v>
      </c>
      <c r="B220" s="8" t="s">
        <v>376</v>
      </c>
      <c r="C220" s="25" t="n">
        <v>4</v>
      </c>
      <c r="D220" s="25" t="n">
        <v>4</v>
      </c>
      <c r="E220" s="10" t="n">
        <v>0</v>
      </c>
      <c r="F220" s="10" t="n">
        <v>182.76</v>
      </c>
      <c r="G220" s="10" t="n">
        <v>182.76</v>
      </c>
      <c r="H220" s="10" t="n">
        <v>70.64</v>
      </c>
      <c r="I220" s="10" t="n">
        <v>112.12</v>
      </c>
      <c r="J220" s="10" t="n">
        <v>70.72</v>
      </c>
      <c r="K220" s="11" t="n">
        <v>0.6135</v>
      </c>
      <c r="L220" s="11" t="n">
        <v>0.387</v>
      </c>
      <c r="M220" s="26" t="n">
        <v>46</v>
      </c>
    </row>
    <row r="221" customFormat="false" ht="15" hidden="false" customHeight="false" outlineLevel="0" collapsed="false">
      <c r="A221" s="27" t="n">
        <v>54801</v>
      </c>
      <c r="B221" s="12" t="s">
        <v>213</v>
      </c>
      <c r="C221" s="28" t="n">
        <v>48</v>
      </c>
      <c r="D221" s="28" t="n">
        <v>48</v>
      </c>
      <c r="E221" s="14" t="n">
        <v>0</v>
      </c>
      <c r="F221" s="14" t="n">
        <v>16087.8</v>
      </c>
      <c r="G221" s="14" t="n">
        <v>16087.8</v>
      </c>
      <c r="H221" s="14" t="n">
        <v>8005.7096</v>
      </c>
      <c r="I221" s="14" t="n">
        <v>8082.09</v>
      </c>
      <c r="J221" s="14" t="n">
        <v>3662.38</v>
      </c>
      <c r="K221" s="15" t="n">
        <v>0.5024</v>
      </c>
      <c r="L221" s="15" t="n">
        <v>0.2276</v>
      </c>
      <c r="M221" s="29" t="n">
        <v>32.38</v>
      </c>
    </row>
    <row r="222" customFormat="false" ht="15" hidden="false" customHeight="false" outlineLevel="0" collapsed="false">
      <c r="A222" s="24" t="n">
        <v>54909</v>
      </c>
      <c r="B222" s="8" t="s">
        <v>214</v>
      </c>
      <c r="C222" s="25" t="n">
        <v>1</v>
      </c>
      <c r="D222" s="25" t="n">
        <v>1</v>
      </c>
      <c r="E222" s="10" t="n">
        <v>0</v>
      </c>
      <c r="F222" s="10" t="n">
        <v>28.54</v>
      </c>
      <c r="G222" s="10" t="n">
        <v>28.54</v>
      </c>
      <c r="H222" s="10" t="n">
        <v>5.15</v>
      </c>
      <c r="I222" s="10" t="n">
        <v>23.39</v>
      </c>
      <c r="J222" s="10" t="n">
        <v>15.55</v>
      </c>
      <c r="K222" s="11" t="n">
        <v>0.8196</v>
      </c>
      <c r="L222" s="11" t="n">
        <v>0.5448</v>
      </c>
      <c r="M222" s="26" t="n">
        <v>31</v>
      </c>
    </row>
    <row r="223" customFormat="false" ht="15" hidden="false" customHeight="false" outlineLevel="0" collapsed="false">
      <c r="A223" s="27" t="n">
        <v>55027</v>
      </c>
      <c r="B223" s="12" t="s">
        <v>377</v>
      </c>
      <c r="C223" s="28" t="n">
        <v>1</v>
      </c>
      <c r="D223" s="28" t="n">
        <v>1</v>
      </c>
      <c r="E223" s="14" t="n">
        <v>0</v>
      </c>
      <c r="F223" s="14" t="n">
        <v>3000</v>
      </c>
      <c r="G223" s="14" t="n">
        <v>3000</v>
      </c>
      <c r="H223" s="14" t="n">
        <v>5900</v>
      </c>
      <c r="I223" s="14" t="n">
        <v>-2900</v>
      </c>
      <c r="J223" s="14" t="n">
        <v>-3267.8</v>
      </c>
      <c r="K223" s="15" t="n">
        <v>-0.9667</v>
      </c>
      <c r="L223" s="15" t="n">
        <v>-1.0893</v>
      </c>
      <c r="M223" s="29" t="n">
        <v>136</v>
      </c>
    </row>
    <row r="224" customFormat="false" ht="15" hidden="false" customHeight="false" outlineLevel="0" collapsed="false">
      <c r="A224" s="24" t="n">
        <v>55105</v>
      </c>
      <c r="B224" s="8" t="s">
        <v>287</v>
      </c>
      <c r="C224" s="25" t="n">
        <v>35</v>
      </c>
      <c r="D224" s="25" t="n">
        <v>35</v>
      </c>
      <c r="E224" s="10" t="n">
        <v>0</v>
      </c>
      <c r="F224" s="10" t="n">
        <v>291.2</v>
      </c>
      <c r="G224" s="10" t="n">
        <v>291.2</v>
      </c>
      <c r="H224" s="10" t="n">
        <v>45.21</v>
      </c>
      <c r="I224" s="10" t="n">
        <v>245.99</v>
      </c>
      <c r="J224" s="10" t="n">
        <v>206.84</v>
      </c>
      <c r="K224" s="11" t="n">
        <v>0.8447</v>
      </c>
      <c r="L224" s="11" t="n">
        <v>0.7103</v>
      </c>
      <c r="M224" s="26" t="n">
        <v>14.25</v>
      </c>
    </row>
    <row r="225" customFormat="false" ht="15" hidden="false" customHeight="false" outlineLevel="0" collapsed="false">
      <c r="A225" s="27" t="n">
        <v>55558</v>
      </c>
      <c r="B225" s="12" t="s">
        <v>216</v>
      </c>
      <c r="C225" s="28" t="n">
        <v>1</v>
      </c>
      <c r="D225" s="28" t="n">
        <v>1</v>
      </c>
      <c r="E225" s="14" t="n">
        <v>0</v>
      </c>
      <c r="F225" s="14" t="n">
        <v>626.75</v>
      </c>
      <c r="G225" s="14" t="n">
        <v>626.75</v>
      </c>
      <c r="H225" s="14" t="n">
        <v>314.73</v>
      </c>
      <c r="I225" s="14" t="n">
        <v>312.02</v>
      </c>
      <c r="J225" s="14" t="n">
        <v>139.84</v>
      </c>
      <c r="K225" s="15" t="n">
        <v>0.4978</v>
      </c>
      <c r="L225" s="15" t="n">
        <v>0.2231</v>
      </c>
      <c r="M225" s="29" t="n">
        <v>45</v>
      </c>
    </row>
    <row r="226" customFormat="false" ht="15" hidden="false" customHeight="false" outlineLevel="0" collapsed="false">
      <c r="A226" s="24" t="n">
        <v>55626</v>
      </c>
      <c r="B226" s="8" t="s">
        <v>288</v>
      </c>
      <c r="C226" s="25" t="n">
        <v>15</v>
      </c>
      <c r="D226" s="25" t="n">
        <v>15</v>
      </c>
      <c r="E226" s="10" t="n">
        <v>0</v>
      </c>
      <c r="F226" s="10" t="n">
        <v>1254.9</v>
      </c>
      <c r="G226" s="10" t="n">
        <v>1254.9</v>
      </c>
      <c r="H226" s="10" t="n">
        <v>591</v>
      </c>
      <c r="I226" s="10" t="n">
        <v>663.9</v>
      </c>
      <c r="J226" s="10" t="n">
        <v>359.46</v>
      </c>
      <c r="K226" s="11" t="n">
        <v>0.529</v>
      </c>
      <c r="L226" s="11" t="n">
        <v>0.2864</v>
      </c>
      <c r="M226" s="26" t="n">
        <v>44</v>
      </c>
    </row>
    <row r="227" customFormat="false" ht="15" hidden="false" customHeight="false" outlineLevel="0" collapsed="false">
      <c r="A227" s="27" t="n">
        <v>55631</v>
      </c>
      <c r="B227" s="12" t="s">
        <v>217</v>
      </c>
      <c r="C227" s="28" t="n">
        <v>10</v>
      </c>
      <c r="D227" s="28" t="n">
        <v>10</v>
      </c>
      <c r="E227" s="14" t="n">
        <v>0</v>
      </c>
      <c r="F227" s="14" t="n">
        <v>1550</v>
      </c>
      <c r="G227" s="14" t="n">
        <v>1550</v>
      </c>
      <c r="H227" s="14" t="n">
        <v>967.05</v>
      </c>
      <c r="I227" s="14" t="n">
        <v>582.95</v>
      </c>
      <c r="J227" s="14" t="n">
        <v>392.92</v>
      </c>
      <c r="K227" s="15" t="n">
        <v>0.3761</v>
      </c>
      <c r="L227" s="15" t="n">
        <v>0.2535</v>
      </c>
      <c r="M227" s="29" t="n">
        <v>42</v>
      </c>
    </row>
    <row r="228" customFormat="false" ht="15" hidden="false" customHeight="false" outlineLevel="0" collapsed="false">
      <c r="A228" s="24" t="n">
        <v>56262</v>
      </c>
      <c r="B228" s="8" t="s">
        <v>218</v>
      </c>
      <c r="C228" s="25" t="n">
        <v>10</v>
      </c>
      <c r="D228" s="25" t="n">
        <v>10</v>
      </c>
      <c r="E228" s="10" t="n">
        <v>0</v>
      </c>
      <c r="F228" s="10" t="n">
        <v>4035.9</v>
      </c>
      <c r="G228" s="10" t="n">
        <v>4035.9</v>
      </c>
      <c r="H228" s="10" t="n">
        <v>1053.22</v>
      </c>
      <c r="I228" s="10" t="n">
        <v>2982.68</v>
      </c>
      <c r="J228" s="10" t="n">
        <v>1873.94</v>
      </c>
      <c r="K228" s="11" t="n">
        <v>0.739</v>
      </c>
      <c r="L228" s="11" t="n">
        <v>0.4643</v>
      </c>
      <c r="M228" s="26" t="n">
        <v>44</v>
      </c>
    </row>
    <row r="229" customFormat="false" ht="15" hidden="false" customHeight="false" outlineLevel="0" collapsed="false">
      <c r="A229" s="27" t="n">
        <v>56334</v>
      </c>
      <c r="B229" s="12" t="s">
        <v>289</v>
      </c>
      <c r="C229" s="28" t="n">
        <v>10</v>
      </c>
      <c r="D229" s="28" t="n">
        <v>10</v>
      </c>
      <c r="E229" s="14" t="n">
        <v>0</v>
      </c>
      <c r="F229" s="14" t="n">
        <v>1739.6</v>
      </c>
      <c r="G229" s="14" t="n">
        <v>1739.6</v>
      </c>
      <c r="H229" s="14" t="n">
        <v>576.75</v>
      </c>
      <c r="I229" s="14" t="n">
        <v>1162.85</v>
      </c>
      <c r="J229" s="14" t="n">
        <v>740.83</v>
      </c>
      <c r="K229" s="15" t="n">
        <v>0.6685</v>
      </c>
      <c r="L229" s="15" t="n">
        <v>0.4259</v>
      </c>
      <c r="M229" s="29" t="n">
        <v>32</v>
      </c>
    </row>
    <row r="230" customFormat="false" ht="15" hidden="false" customHeight="false" outlineLevel="0" collapsed="false">
      <c r="A230" s="24" t="n">
        <v>56376</v>
      </c>
      <c r="B230" s="8" t="s">
        <v>290</v>
      </c>
      <c r="C230" s="25" t="n">
        <v>43</v>
      </c>
      <c r="D230" s="25" t="n">
        <v>43</v>
      </c>
      <c r="E230" s="10" t="n">
        <v>0</v>
      </c>
      <c r="F230" s="10" t="n">
        <v>13544.35</v>
      </c>
      <c r="G230" s="10" t="n">
        <v>13544.35</v>
      </c>
      <c r="H230" s="10" t="n">
        <v>5649.22</v>
      </c>
      <c r="I230" s="10" t="n">
        <v>7895.13</v>
      </c>
      <c r="J230" s="10" t="n">
        <v>4578.89</v>
      </c>
      <c r="K230" s="11" t="n">
        <v>0.5829</v>
      </c>
      <c r="L230" s="11" t="n">
        <v>0.3381</v>
      </c>
      <c r="M230" s="26" t="n">
        <v>35.88</v>
      </c>
    </row>
    <row r="231" customFormat="false" ht="15" hidden="false" customHeight="false" outlineLevel="0" collapsed="false">
      <c r="A231" s="27" t="n">
        <v>56390</v>
      </c>
      <c r="B231" s="12" t="s">
        <v>219</v>
      </c>
      <c r="C231" s="28" t="n">
        <v>16</v>
      </c>
      <c r="D231" s="28" t="n">
        <v>16</v>
      </c>
      <c r="E231" s="14" t="n">
        <v>0</v>
      </c>
      <c r="F231" s="14" t="n">
        <v>14139.66</v>
      </c>
      <c r="G231" s="14" t="n">
        <v>14139.66</v>
      </c>
      <c r="H231" s="14" t="n">
        <v>8394.48</v>
      </c>
      <c r="I231" s="14" t="n">
        <v>5745.18</v>
      </c>
      <c r="J231" s="14" t="n">
        <v>1860.73</v>
      </c>
      <c r="K231" s="15" t="n">
        <v>0.4063</v>
      </c>
      <c r="L231" s="15" t="n">
        <v>0.1316</v>
      </c>
      <c r="M231" s="29" t="n">
        <v>32</v>
      </c>
    </row>
    <row r="232" customFormat="false" ht="15" hidden="false" customHeight="false" outlineLevel="0" collapsed="false">
      <c r="A232" s="24" t="n">
        <v>56391</v>
      </c>
      <c r="B232" s="8" t="s">
        <v>220</v>
      </c>
      <c r="C232" s="25" t="n">
        <v>3</v>
      </c>
      <c r="D232" s="25" t="n">
        <v>3</v>
      </c>
      <c r="E232" s="10" t="n">
        <v>0</v>
      </c>
      <c r="F232" s="10" t="n">
        <v>2302.59</v>
      </c>
      <c r="G232" s="10" t="n">
        <v>2302.59</v>
      </c>
      <c r="H232" s="10" t="n">
        <v>1377.64</v>
      </c>
      <c r="I232" s="10" t="n">
        <v>924.95</v>
      </c>
      <c r="J232" s="10" t="n">
        <v>292.38</v>
      </c>
      <c r="K232" s="11" t="n">
        <v>0.4017</v>
      </c>
      <c r="L232" s="11" t="n">
        <v>0.127</v>
      </c>
      <c r="M232" s="26" t="n">
        <v>35.33</v>
      </c>
    </row>
    <row r="233" customFormat="false" ht="15" hidden="false" customHeight="false" outlineLevel="0" collapsed="false">
      <c r="A233" s="27" t="n">
        <v>56482</v>
      </c>
      <c r="B233" s="12" t="s">
        <v>221</v>
      </c>
      <c r="C233" s="28" t="n">
        <v>27</v>
      </c>
      <c r="D233" s="28" t="n">
        <v>27</v>
      </c>
      <c r="E233" s="14" t="n">
        <v>0</v>
      </c>
      <c r="F233" s="14" t="n">
        <v>1721.32</v>
      </c>
      <c r="G233" s="14" t="n">
        <v>1721.32</v>
      </c>
      <c r="H233" s="14" t="n">
        <v>367.7701</v>
      </c>
      <c r="I233" s="14" t="n">
        <v>1353.55</v>
      </c>
      <c r="J233" s="14" t="n">
        <v>894.07</v>
      </c>
      <c r="K233" s="15" t="n">
        <v>0.7863</v>
      </c>
      <c r="L233" s="15" t="n">
        <v>0.5194</v>
      </c>
      <c r="M233" s="29" t="n">
        <v>44.06</v>
      </c>
    </row>
    <row r="234" customFormat="false" ht="15" hidden="false" customHeight="false" outlineLevel="0" collapsed="false">
      <c r="A234" s="24" t="n">
        <v>56512</v>
      </c>
      <c r="B234" s="8" t="s">
        <v>222</v>
      </c>
      <c r="C234" s="25" t="n">
        <v>62</v>
      </c>
      <c r="D234" s="25" t="n">
        <v>62</v>
      </c>
      <c r="E234" s="10" t="n">
        <v>0</v>
      </c>
      <c r="F234" s="10" t="n">
        <v>82522</v>
      </c>
      <c r="G234" s="10" t="n">
        <v>82522</v>
      </c>
      <c r="H234" s="10" t="n">
        <v>42248.0097</v>
      </c>
      <c r="I234" s="10" t="n">
        <v>40273.99</v>
      </c>
      <c r="J234" s="10" t="n">
        <v>17242.13</v>
      </c>
      <c r="K234" s="11" t="n">
        <v>0.488</v>
      </c>
      <c r="L234" s="11" t="n">
        <v>0.2089</v>
      </c>
      <c r="M234" s="26" t="n">
        <v>31.27</v>
      </c>
    </row>
    <row r="235" customFormat="false" ht="15" hidden="false" customHeight="false" outlineLevel="0" collapsed="false">
      <c r="A235" s="27" t="n">
        <v>56529</v>
      </c>
      <c r="B235" s="12" t="s">
        <v>223</v>
      </c>
      <c r="C235" s="28" t="n">
        <v>80</v>
      </c>
      <c r="D235" s="28" t="n">
        <v>80</v>
      </c>
      <c r="E235" s="14" t="n">
        <v>0</v>
      </c>
      <c r="F235" s="14" t="n">
        <v>1154</v>
      </c>
      <c r="G235" s="14" t="n">
        <v>1154</v>
      </c>
      <c r="H235" s="14" t="n">
        <v>812.74</v>
      </c>
      <c r="I235" s="14" t="n">
        <v>341.26</v>
      </c>
      <c r="J235" s="14" t="n">
        <v>19.2</v>
      </c>
      <c r="K235" s="15" t="n">
        <v>0.2957</v>
      </c>
      <c r="L235" s="15" t="n">
        <v>0.0166</v>
      </c>
      <c r="M235" s="29" t="n">
        <v>45</v>
      </c>
    </row>
    <row r="236" customFormat="false" ht="15" hidden="false" customHeight="false" outlineLevel="0" collapsed="false">
      <c r="A236" s="24" t="n">
        <v>56530</v>
      </c>
      <c r="B236" s="8" t="s">
        <v>291</v>
      </c>
      <c r="C236" s="25" t="n">
        <v>50</v>
      </c>
      <c r="D236" s="25" t="n">
        <v>50</v>
      </c>
      <c r="E236" s="10" t="n">
        <v>0</v>
      </c>
      <c r="F236" s="10" t="n">
        <v>1550</v>
      </c>
      <c r="G236" s="10" t="n">
        <v>1550</v>
      </c>
      <c r="H236" s="10" t="n">
        <v>117.54</v>
      </c>
      <c r="I236" s="10" t="n">
        <v>1432.46</v>
      </c>
      <c r="J236" s="10" t="n">
        <v>1006.65</v>
      </c>
      <c r="K236" s="11" t="n">
        <v>0.9242</v>
      </c>
      <c r="L236" s="11" t="n">
        <v>0.6495</v>
      </c>
      <c r="M236" s="26" t="n">
        <v>45</v>
      </c>
    </row>
    <row r="237" customFormat="false" ht="15" hidden="false" customHeight="false" outlineLevel="0" collapsed="false">
      <c r="A237" s="27" t="n">
        <v>56539</v>
      </c>
      <c r="B237" s="12" t="s">
        <v>347</v>
      </c>
      <c r="C237" s="28" t="n">
        <v>60</v>
      </c>
      <c r="D237" s="28" t="n">
        <v>60</v>
      </c>
      <c r="E237" s="14" t="n">
        <v>0</v>
      </c>
      <c r="F237" s="14" t="n">
        <v>7565</v>
      </c>
      <c r="G237" s="14" t="n">
        <v>7565</v>
      </c>
      <c r="H237" s="14" t="n">
        <v>5024.55</v>
      </c>
      <c r="I237" s="14" t="n">
        <v>2540.45</v>
      </c>
      <c r="J237" s="14" t="n">
        <v>462.2</v>
      </c>
      <c r="K237" s="15" t="n">
        <v>0.3358</v>
      </c>
      <c r="L237" s="15" t="n">
        <v>0.0611</v>
      </c>
      <c r="M237" s="29" t="n">
        <v>43.38</v>
      </c>
    </row>
    <row r="238" customFormat="false" ht="15" hidden="false" customHeight="false" outlineLevel="0" collapsed="false">
      <c r="A238" s="24" t="n">
        <v>56540</v>
      </c>
      <c r="B238" s="8" t="s">
        <v>348</v>
      </c>
      <c r="C238" s="25" t="n">
        <v>11</v>
      </c>
      <c r="D238" s="25" t="n">
        <v>11</v>
      </c>
      <c r="E238" s="10" t="n">
        <v>0</v>
      </c>
      <c r="F238" s="10" t="n">
        <v>1904.65</v>
      </c>
      <c r="G238" s="10" t="n">
        <v>1904.65</v>
      </c>
      <c r="H238" s="10" t="n">
        <v>1269.6695</v>
      </c>
      <c r="I238" s="10" t="n">
        <v>634.98</v>
      </c>
      <c r="J238" s="10" t="n">
        <v>111.74</v>
      </c>
      <c r="K238" s="11" t="n">
        <v>0.3334</v>
      </c>
      <c r="L238" s="11" t="n">
        <v>0.0587</v>
      </c>
      <c r="M238" s="26" t="n">
        <v>46</v>
      </c>
    </row>
    <row r="239" customFormat="false" ht="15" hidden="false" customHeight="false" outlineLevel="0" collapsed="false">
      <c r="A239" s="27" t="n">
        <v>56575</v>
      </c>
      <c r="B239" s="12" t="s">
        <v>224</v>
      </c>
      <c r="C239" s="28" t="n">
        <v>120</v>
      </c>
      <c r="D239" s="28" t="n">
        <v>120</v>
      </c>
      <c r="E239" s="14" t="n">
        <v>0</v>
      </c>
      <c r="F239" s="14" t="n">
        <v>2850</v>
      </c>
      <c r="G239" s="14" t="n">
        <v>2850</v>
      </c>
      <c r="H239" s="14" t="n">
        <v>1118.38</v>
      </c>
      <c r="I239" s="14" t="n">
        <v>1731.62</v>
      </c>
      <c r="J239" s="14" t="n">
        <v>936.19</v>
      </c>
      <c r="K239" s="15" t="n">
        <v>0.6076</v>
      </c>
      <c r="L239" s="15" t="n">
        <v>0.3285</v>
      </c>
      <c r="M239" s="29" t="n">
        <v>45</v>
      </c>
    </row>
    <row r="240" customFormat="false" ht="15" hidden="false" customHeight="false" outlineLevel="0" collapsed="false">
      <c r="A240" s="24" t="n">
        <v>56698</v>
      </c>
      <c r="B240" s="8" t="s">
        <v>292</v>
      </c>
      <c r="C240" s="25" t="n">
        <v>11</v>
      </c>
      <c r="D240" s="25" t="n">
        <v>11</v>
      </c>
      <c r="E240" s="10" t="n">
        <v>0</v>
      </c>
      <c r="F240" s="10" t="n">
        <v>9180.6</v>
      </c>
      <c r="G240" s="10" t="n">
        <v>9180.6</v>
      </c>
      <c r="H240" s="10" t="n">
        <v>5412.35</v>
      </c>
      <c r="I240" s="10" t="n">
        <v>3768.25</v>
      </c>
      <c r="J240" s="10" t="n">
        <v>1246.16</v>
      </c>
      <c r="K240" s="11" t="n">
        <v>0.4105</v>
      </c>
      <c r="L240" s="11" t="n">
        <v>0.1357</v>
      </c>
      <c r="M240" s="26" t="n">
        <v>40.18</v>
      </c>
    </row>
    <row r="241" customFormat="false" ht="15" hidden="false" customHeight="false" outlineLevel="0" collapsed="false">
      <c r="A241" s="27" t="n">
        <v>56699</v>
      </c>
      <c r="B241" s="12" t="s">
        <v>293</v>
      </c>
      <c r="C241" s="28" t="n">
        <v>22</v>
      </c>
      <c r="D241" s="28" t="n">
        <v>22</v>
      </c>
      <c r="E241" s="14" t="n">
        <v>0</v>
      </c>
      <c r="F241" s="14" t="n">
        <v>21626.11</v>
      </c>
      <c r="G241" s="14" t="n">
        <v>21626.11</v>
      </c>
      <c r="H241" s="14" t="n">
        <v>12721.5804</v>
      </c>
      <c r="I241" s="14" t="n">
        <v>8904.53</v>
      </c>
      <c r="J241" s="14" t="n">
        <v>2963.41</v>
      </c>
      <c r="K241" s="15" t="n">
        <v>0.4117</v>
      </c>
      <c r="L241" s="15" t="n">
        <v>0.137</v>
      </c>
      <c r="M241" s="29" t="n">
        <v>40.18</v>
      </c>
    </row>
    <row r="242" customFormat="false" ht="15" hidden="false" customHeight="false" outlineLevel="0" collapsed="false">
      <c r="A242" s="24" t="n">
        <v>56744</v>
      </c>
      <c r="B242" s="8" t="s">
        <v>378</v>
      </c>
      <c r="C242" s="25" t="n">
        <v>18</v>
      </c>
      <c r="D242" s="25" t="n">
        <v>18</v>
      </c>
      <c r="E242" s="10" t="n">
        <v>0</v>
      </c>
      <c r="F242" s="10" t="n">
        <v>2314.26</v>
      </c>
      <c r="G242" s="10" t="n">
        <v>2314.26</v>
      </c>
      <c r="H242" s="10" t="n">
        <v>768.2701</v>
      </c>
      <c r="I242" s="10" t="n">
        <v>1545.99</v>
      </c>
      <c r="J242" s="10" t="n">
        <v>910.22</v>
      </c>
      <c r="K242" s="11" t="n">
        <v>0.668</v>
      </c>
      <c r="L242" s="11" t="n">
        <v>0.3933</v>
      </c>
      <c r="M242" s="26" t="n">
        <v>50</v>
      </c>
    </row>
    <row r="243" customFormat="false" ht="15" hidden="false" customHeight="false" outlineLevel="0" collapsed="false">
      <c r="A243" s="27" t="n">
        <v>56772</v>
      </c>
      <c r="B243" s="12" t="s">
        <v>228</v>
      </c>
      <c r="C243" s="28" t="n">
        <v>20</v>
      </c>
      <c r="D243" s="28" t="n">
        <v>20</v>
      </c>
      <c r="E243" s="14" t="n">
        <v>0</v>
      </c>
      <c r="F243" s="14" t="n">
        <v>225.6</v>
      </c>
      <c r="G243" s="14" t="n">
        <v>225.6</v>
      </c>
      <c r="H243" s="14" t="n">
        <v>78</v>
      </c>
      <c r="I243" s="14" t="n">
        <v>147.6</v>
      </c>
      <c r="J243" s="14" t="n">
        <v>84.64</v>
      </c>
      <c r="K243" s="15" t="n">
        <v>0.6543</v>
      </c>
      <c r="L243" s="15" t="n">
        <v>0.3752</v>
      </c>
      <c r="M243" s="29" t="n">
        <v>45</v>
      </c>
    </row>
    <row r="244" customFormat="false" ht="15" hidden="false" customHeight="false" outlineLevel="0" collapsed="false">
      <c r="A244" s="24" t="n">
        <v>56806</v>
      </c>
      <c r="B244" s="8" t="s">
        <v>379</v>
      </c>
      <c r="C244" s="25" t="n">
        <v>1</v>
      </c>
      <c r="D244" s="25" t="n">
        <v>1</v>
      </c>
      <c r="E244" s="10" t="n">
        <v>0</v>
      </c>
      <c r="F244" s="10" t="n">
        <v>275</v>
      </c>
      <c r="G244" s="10" t="n">
        <v>275</v>
      </c>
      <c r="H244" s="10" t="n">
        <v>54.05</v>
      </c>
      <c r="I244" s="10" t="n">
        <v>220.95</v>
      </c>
      <c r="J244" s="10" t="n">
        <v>144.2</v>
      </c>
      <c r="K244" s="11" t="n">
        <v>0.8035</v>
      </c>
      <c r="L244" s="11" t="n">
        <v>0.5244</v>
      </c>
      <c r="M244" s="26" t="n">
        <v>45</v>
      </c>
    </row>
    <row r="245" customFormat="false" ht="15" hidden="false" customHeight="false" outlineLevel="0" collapsed="false">
      <c r="A245" s="27" t="n">
        <v>57037</v>
      </c>
      <c r="B245" s="12" t="s">
        <v>380</v>
      </c>
      <c r="C245" s="28" t="n">
        <v>3</v>
      </c>
      <c r="D245" s="28" t="n">
        <v>3</v>
      </c>
      <c r="E245" s="14" t="n">
        <v>0</v>
      </c>
      <c r="F245" s="14" t="n">
        <v>223.11</v>
      </c>
      <c r="G245" s="14" t="n">
        <v>223.11</v>
      </c>
      <c r="H245" s="14" t="n">
        <v>110.3901</v>
      </c>
      <c r="I245" s="14" t="n">
        <v>112.72</v>
      </c>
      <c r="J245" s="14" t="n">
        <v>51.43</v>
      </c>
      <c r="K245" s="15" t="n">
        <v>0.5052</v>
      </c>
      <c r="L245" s="15" t="n">
        <v>0.2305</v>
      </c>
      <c r="M245" s="29" t="n">
        <v>60</v>
      </c>
    </row>
    <row r="246" customFormat="false" ht="15" hidden="false" customHeight="false" outlineLevel="0" collapsed="false">
      <c r="A246" s="24" t="n">
        <v>57108</v>
      </c>
      <c r="B246" s="8" t="s">
        <v>230</v>
      </c>
      <c r="C246" s="25" t="n">
        <v>5</v>
      </c>
      <c r="D246" s="25" t="n">
        <v>5</v>
      </c>
      <c r="E246" s="10" t="n">
        <v>0</v>
      </c>
      <c r="F246" s="10" t="n">
        <v>420.3</v>
      </c>
      <c r="G246" s="10" t="n">
        <v>420.3</v>
      </c>
      <c r="H246" s="10" t="n">
        <v>57.24</v>
      </c>
      <c r="I246" s="10" t="n">
        <v>363.06</v>
      </c>
      <c r="J246" s="10" t="n">
        <v>245.76</v>
      </c>
      <c r="K246" s="11" t="n">
        <v>0.8638</v>
      </c>
      <c r="L246" s="11" t="n">
        <v>0.5847</v>
      </c>
      <c r="M246" s="26" t="n">
        <v>35.8</v>
      </c>
    </row>
    <row r="247" customFormat="false" ht="15" hidden="false" customHeight="false" outlineLevel="0" collapsed="false">
      <c r="A247" s="27" t="n">
        <v>57161</v>
      </c>
      <c r="B247" s="12" t="s">
        <v>231</v>
      </c>
      <c r="C247" s="28" t="n">
        <v>32</v>
      </c>
      <c r="D247" s="28" t="n">
        <v>32</v>
      </c>
      <c r="E247" s="14" t="n">
        <v>0</v>
      </c>
      <c r="F247" s="14" t="n">
        <v>375.04</v>
      </c>
      <c r="G247" s="14" t="n">
        <v>375.04</v>
      </c>
      <c r="H247" s="14" t="n">
        <v>0</v>
      </c>
      <c r="I247" s="14" t="n">
        <v>375.04</v>
      </c>
      <c r="J247" s="14" t="n">
        <v>375.04</v>
      </c>
      <c r="K247" s="15" t="n">
        <v>1</v>
      </c>
      <c r="L247" s="15" t="n">
        <v>1</v>
      </c>
      <c r="M247" s="29" t="n">
        <v>35.13</v>
      </c>
    </row>
    <row r="248" customFormat="false" ht="15" hidden="false" customHeight="false" outlineLevel="0" collapsed="false">
      <c r="A248" s="24" t="n">
        <v>57240</v>
      </c>
      <c r="B248" s="8" t="s">
        <v>232</v>
      </c>
      <c r="C248" s="25" t="n">
        <v>38</v>
      </c>
      <c r="D248" s="25" t="n">
        <v>38</v>
      </c>
      <c r="E248" s="10" t="n">
        <v>0</v>
      </c>
      <c r="F248" s="10" t="n">
        <v>695.02</v>
      </c>
      <c r="G248" s="10" t="n">
        <v>695.02</v>
      </c>
      <c r="H248" s="10" t="n">
        <v>111.91</v>
      </c>
      <c r="I248" s="10" t="n">
        <v>583.11</v>
      </c>
      <c r="J248" s="10" t="n">
        <v>414.5</v>
      </c>
      <c r="K248" s="11" t="n">
        <v>0.839</v>
      </c>
      <c r="L248" s="11" t="n">
        <v>0.5964</v>
      </c>
      <c r="M248" s="26" t="n">
        <v>34.05</v>
      </c>
    </row>
    <row r="249" customFormat="false" ht="15" hidden="false" customHeight="false" outlineLevel="0" collapsed="false">
      <c r="A249" s="27" t="n">
        <v>57270</v>
      </c>
      <c r="B249" s="12" t="s">
        <v>296</v>
      </c>
      <c r="C249" s="28" t="n">
        <v>10</v>
      </c>
      <c r="D249" s="28" t="n">
        <v>10</v>
      </c>
      <c r="E249" s="14" t="n">
        <v>0</v>
      </c>
      <c r="F249" s="14" t="n">
        <v>1496.2</v>
      </c>
      <c r="G249" s="14" t="n">
        <v>1496.2</v>
      </c>
      <c r="H249" s="14" t="n">
        <v>1149.7298</v>
      </c>
      <c r="I249" s="14" t="n">
        <v>346.47</v>
      </c>
      <c r="J249" s="14" t="n">
        <v>-16.5</v>
      </c>
      <c r="K249" s="15" t="n">
        <v>0.2316</v>
      </c>
      <c r="L249" s="15" t="n">
        <v>-0.011</v>
      </c>
      <c r="M249" s="29" t="n">
        <v>34.8</v>
      </c>
    </row>
    <row r="250" customFormat="false" ht="15" hidden="false" customHeight="false" outlineLevel="0" collapsed="false">
      <c r="A250" s="24" t="n">
        <v>57312</v>
      </c>
      <c r="B250" s="8" t="s">
        <v>297</v>
      </c>
      <c r="C250" s="25" t="n">
        <v>140</v>
      </c>
      <c r="D250" s="25" t="n">
        <v>140</v>
      </c>
      <c r="E250" s="10" t="n">
        <v>0</v>
      </c>
      <c r="F250" s="10" t="n">
        <v>3904.6</v>
      </c>
      <c r="G250" s="10" t="n">
        <v>3904.6</v>
      </c>
      <c r="H250" s="10" t="n">
        <v>1686.58</v>
      </c>
      <c r="I250" s="10" t="n">
        <v>2218.02</v>
      </c>
      <c r="J250" s="10" t="n">
        <v>1128.26</v>
      </c>
      <c r="K250" s="11" t="n">
        <v>0.5681</v>
      </c>
      <c r="L250" s="11" t="n">
        <v>0.289</v>
      </c>
      <c r="M250" s="26" t="n">
        <v>45</v>
      </c>
    </row>
    <row r="251" customFormat="false" ht="15" hidden="false" customHeight="false" outlineLevel="0" collapsed="false">
      <c r="A251" s="27" t="n">
        <v>57506</v>
      </c>
      <c r="B251" s="12" t="s">
        <v>381</v>
      </c>
      <c r="C251" s="28" t="n">
        <v>3</v>
      </c>
      <c r="D251" s="28" t="n">
        <v>3</v>
      </c>
      <c r="E251" s="14" t="n">
        <v>0</v>
      </c>
      <c r="F251" s="14" t="n">
        <v>1755.93</v>
      </c>
      <c r="G251" s="14" t="n">
        <v>1755.93</v>
      </c>
      <c r="H251" s="14" t="n">
        <v>648.89</v>
      </c>
      <c r="I251" s="14" t="n">
        <v>1107.04</v>
      </c>
      <c r="J251" s="14" t="n">
        <v>616.97</v>
      </c>
      <c r="K251" s="15" t="n">
        <v>0.6305</v>
      </c>
      <c r="L251" s="15" t="n">
        <v>0.3514</v>
      </c>
      <c r="M251" s="29" t="n">
        <v>50</v>
      </c>
    </row>
    <row r="252" customFormat="false" ht="15" hidden="false" customHeight="false" outlineLevel="0" collapsed="false">
      <c r="A252" s="24" t="n">
        <v>57684</v>
      </c>
      <c r="B252" s="8" t="s">
        <v>382</v>
      </c>
      <c r="C252" s="25" t="n">
        <v>2</v>
      </c>
      <c r="D252" s="25" t="n">
        <v>2</v>
      </c>
      <c r="E252" s="10" t="n">
        <v>0</v>
      </c>
      <c r="F252" s="10" t="n">
        <v>252.92</v>
      </c>
      <c r="G252" s="10" t="n">
        <v>252.92</v>
      </c>
      <c r="H252" s="10" t="n">
        <v>252.92</v>
      </c>
      <c r="I252" s="10" t="n">
        <v>0</v>
      </c>
      <c r="J252" s="10" t="n">
        <v>-87.76</v>
      </c>
      <c r="K252" s="11" t="n">
        <v>0</v>
      </c>
      <c r="L252" s="11" t="n">
        <v>-0.347</v>
      </c>
      <c r="M252" s="26" t="n">
        <v>28</v>
      </c>
    </row>
    <row r="253" customFormat="false" ht="15" hidden="false" customHeight="false" outlineLevel="0" collapsed="false">
      <c r="A253" s="27" t="n">
        <v>57685</v>
      </c>
      <c r="B253" s="12" t="s">
        <v>383</v>
      </c>
      <c r="C253" s="28" t="n">
        <v>2</v>
      </c>
      <c r="D253" s="28" t="n">
        <v>2</v>
      </c>
      <c r="E253" s="14" t="n">
        <v>0</v>
      </c>
      <c r="F253" s="14" t="n">
        <v>306.94</v>
      </c>
      <c r="G253" s="14" t="n">
        <v>306.94</v>
      </c>
      <c r="H253" s="14" t="n">
        <v>306.94</v>
      </c>
      <c r="I253" s="14" t="n">
        <v>0</v>
      </c>
      <c r="J253" s="14" t="n">
        <v>-106.5</v>
      </c>
      <c r="K253" s="15" t="n">
        <v>0</v>
      </c>
      <c r="L253" s="15" t="n">
        <v>-0.347</v>
      </c>
      <c r="M253" s="29" t="n">
        <v>28</v>
      </c>
    </row>
    <row r="254" customFormat="false" ht="15" hidden="false" customHeight="false" outlineLevel="0" collapsed="false">
      <c r="A254" s="24" t="n">
        <v>57686</v>
      </c>
      <c r="B254" s="8" t="s">
        <v>384</v>
      </c>
      <c r="C254" s="25" t="n">
        <v>3</v>
      </c>
      <c r="D254" s="25" t="n">
        <v>3</v>
      </c>
      <c r="E254" s="10" t="n">
        <v>0</v>
      </c>
      <c r="F254" s="10" t="n">
        <v>278.85</v>
      </c>
      <c r="G254" s="10" t="n">
        <v>278.85</v>
      </c>
      <c r="H254" s="10" t="n">
        <v>278.85</v>
      </c>
      <c r="I254" s="10" t="n">
        <v>0</v>
      </c>
      <c r="J254" s="10" t="n">
        <v>-96.76</v>
      </c>
      <c r="K254" s="11" t="n">
        <v>0</v>
      </c>
      <c r="L254" s="11" t="n">
        <v>-0.347</v>
      </c>
      <c r="M254" s="26" t="n">
        <v>28</v>
      </c>
    </row>
    <row r="255" customFormat="false" ht="15" hidden="false" customHeight="false" outlineLevel="0" collapsed="false">
      <c r="A255" s="27" t="n">
        <v>57709</v>
      </c>
      <c r="B255" s="12" t="s">
        <v>385</v>
      </c>
      <c r="C255" s="28" t="n">
        <v>1</v>
      </c>
      <c r="D255" s="28" t="n">
        <v>1</v>
      </c>
      <c r="E255" s="14" t="n">
        <v>30.47</v>
      </c>
      <c r="F255" s="14" t="n">
        <v>0</v>
      </c>
      <c r="G255" s="14" t="n">
        <v>30.47</v>
      </c>
      <c r="H255" s="14" t="n">
        <v>10.27</v>
      </c>
      <c r="I255" s="14" t="n">
        <v>20.2</v>
      </c>
      <c r="J255" s="14" t="n">
        <v>11.83</v>
      </c>
      <c r="K255" s="15" t="n">
        <v>0.6629</v>
      </c>
      <c r="L255" s="15" t="n">
        <v>0.3883</v>
      </c>
      <c r="M255" s="29" t="n">
        <v>0</v>
      </c>
    </row>
    <row r="256" customFormat="false" ht="15" hidden="false" customHeight="false" outlineLevel="0" collapsed="false">
      <c r="A256" s="24" t="n">
        <v>90325</v>
      </c>
      <c r="B256" s="8" t="s">
        <v>236</v>
      </c>
      <c r="C256" s="25" t="n">
        <v>6400</v>
      </c>
      <c r="D256" s="25" t="n">
        <v>6400</v>
      </c>
      <c r="E256" s="10" t="n">
        <v>0</v>
      </c>
      <c r="F256" s="10" t="n">
        <v>5424</v>
      </c>
      <c r="G256" s="10" t="n">
        <v>5424</v>
      </c>
      <c r="H256" s="10" t="n">
        <v>3236.16</v>
      </c>
      <c r="I256" s="10" t="n">
        <v>2187.84</v>
      </c>
      <c r="J256" s="10" t="n">
        <v>697.75</v>
      </c>
      <c r="K256" s="11" t="n">
        <v>0.4034</v>
      </c>
      <c r="L256" s="11" t="n">
        <v>0.1286</v>
      </c>
      <c r="M256" s="26" t="n">
        <v>91</v>
      </c>
    </row>
    <row r="257" customFormat="false" ht="15" hidden="false" customHeight="false" outlineLevel="0" collapsed="false">
      <c r="A257" s="27" t="n">
        <v>90328</v>
      </c>
      <c r="B257" s="12" t="s">
        <v>237</v>
      </c>
      <c r="C257" s="28" t="n">
        <v>1920</v>
      </c>
      <c r="D257" s="28" t="n">
        <v>1920</v>
      </c>
      <c r="E257" s="14" t="n">
        <v>0</v>
      </c>
      <c r="F257" s="14" t="n">
        <v>12384</v>
      </c>
      <c r="G257" s="14" t="n">
        <v>12384</v>
      </c>
      <c r="H257" s="14" t="n">
        <v>5805.6</v>
      </c>
      <c r="I257" s="14" t="n">
        <v>6578.39</v>
      </c>
      <c r="J257" s="14" t="n">
        <v>3176.26</v>
      </c>
      <c r="K257" s="15" t="n">
        <v>0.5312</v>
      </c>
      <c r="L257" s="15" t="n">
        <v>0.2565</v>
      </c>
      <c r="M257" s="29" t="n">
        <v>91</v>
      </c>
    </row>
    <row r="258" customFormat="false" ht="15" hidden="false" customHeight="false" outlineLevel="0" collapsed="false">
      <c r="A258" s="24" t="n">
        <v>90354</v>
      </c>
      <c r="B258" s="8" t="s">
        <v>238</v>
      </c>
      <c r="C258" s="25" t="n">
        <v>500</v>
      </c>
      <c r="D258" s="25" t="n">
        <v>500</v>
      </c>
      <c r="E258" s="10" t="n">
        <v>0</v>
      </c>
      <c r="F258" s="10" t="n">
        <v>630</v>
      </c>
      <c r="G258" s="10" t="n">
        <v>630</v>
      </c>
      <c r="H258" s="10" t="n">
        <v>204.4</v>
      </c>
      <c r="I258" s="10" t="n">
        <v>425.6</v>
      </c>
      <c r="J258" s="10" t="n">
        <v>252.53</v>
      </c>
      <c r="K258" s="11" t="n">
        <v>0.6756</v>
      </c>
      <c r="L258" s="11" t="n">
        <v>0.4008</v>
      </c>
      <c r="M258" s="26" t="n">
        <v>30</v>
      </c>
    </row>
    <row r="259" customFormat="false" ht="15" hidden="false" customHeight="false" outlineLevel="0" collapsed="false">
      <c r="A259" s="27" t="n">
        <v>90366</v>
      </c>
      <c r="B259" s="12" t="s">
        <v>239</v>
      </c>
      <c r="C259" s="28" t="n">
        <v>417</v>
      </c>
      <c r="D259" s="28" t="n">
        <v>417</v>
      </c>
      <c r="E259" s="14" t="n">
        <v>0</v>
      </c>
      <c r="F259" s="14" t="n">
        <v>23685.6</v>
      </c>
      <c r="G259" s="14" t="n">
        <v>23685.6</v>
      </c>
      <c r="H259" s="14" t="n">
        <v>17804.7741</v>
      </c>
      <c r="I259" s="14" t="n">
        <v>5880.83</v>
      </c>
      <c r="J259" s="14" t="n">
        <v>-626.08</v>
      </c>
      <c r="K259" s="15" t="n">
        <v>0.2483</v>
      </c>
      <c r="L259" s="15" t="n">
        <v>-0.0264</v>
      </c>
      <c r="M259" s="29" t="n">
        <v>79</v>
      </c>
    </row>
    <row r="260" customFormat="false" ht="15" hidden="false" customHeight="false" outlineLevel="0" collapsed="false">
      <c r="A260" s="24" t="n">
        <v>90375</v>
      </c>
      <c r="B260" s="8" t="s">
        <v>241</v>
      </c>
      <c r="C260" s="25" t="n">
        <v>171</v>
      </c>
      <c r="D260" s="25" t="n">
        <v>171</v>
      </c>
      <c r="E260" s="10" t="n">
        <v>0</v>
      </c>
      <c r="F260" s="10" t="n">
        <v>126.54</v>
      </c>
      <c r="G260" s="10" t="n">
        <v>126.54</v>
      </c>
      <c r="H260" s="10" t="n">
        <v>91.8441</v>
      </c>
      <c r="I260" s="10" t="n">
        <v>34.7</v>
      </c>
      <c r="J260" s="10" t="n">
        <v>-0.07</v>
      </c>
      <c r="K260" s="11" t="n">
        <v>0.2742</v>
      </c>
      <c r="L260" s="11" t="n">
        <v>-0.0006</v>
      </c>
      <c r="M260" s="26" t="n">
        <v>79</v>
      </c>
    </row>
    <row r="261" customFormat="false" ht="15" hidden="false" customHeight="false" outlineLevel="0" collapsed="false">
      <c r="A261" s="27" t="n">
        <v>90376</v>
      </c>
      <c r="B261" s="12" t="s">
        <v>242</v>
      </c>
      <c r="C261" s="28" t="n">
        <v>50</v>
      </c>
      <c r="D261" s="28" t="n">
        <v>50</v>
      </c>
      <c r="E261" s="14" t="n">
        <v>0</v>
      </c>
      <c r="F261" s="14" t="n">
        <v>996</v>
      </c>
      <c r="G261" s="14" t="n">
        <v>996</v>
      </c>
      <c r="H261" s="14" t="n">
        <v>446.03</v>
      </c>
      <c r="I261" s="14" t="n">
        <v>549.97</v>
      </c>
      <c r="J261" s="14" t="n">
        <v>276.35</v>
      </c>
      <c r="K261" s="15" t="n">
        <v>0.5522</v>
      </c>
      <c r="L261" s="15" t="n">
        <v>0.2775</v>
      </c>
      <c r="M261" s="29" t="n">
        <v>36</v>
      </c>
    </row>
    <row r="262" customFormat="false" ht="15" hidden="false" customHeight="false" outlineLevel="0" collapsed="false">
      <c r="A262" s="24" t="n">
        <v>90471</v>
      </c>
      <c r="B262" s="8" t="s">
        <v>386</v>
      </c>
      <c r="C262" s="25" t="n">
        <v>2000</v>
      </c>
      <c r="D262" s="25" t="n">
        <v>2000</v>
      </c>
      <c r="E262" s="10" t="n">
        <v>0</v>
      </c>
      <c r="F262" s="10" t="n">
        <v>39600</v>
      </c>
      <c r="G262" s="10" t="n">
        <v>39600</v>
      </c>
      <c r="H262" s="10" t="n">
        <v>5082.4</v>
      </c>
      <c r="I262" s="10" t="n">
        <v>34517.6</v>
      </c>
      <c r="J262" s="10" t="n">
        <v>25546.42</v>
      </c>
      <c r="K262" s="11" t="n">
        <v>0.8717</v>
      </c>
      <c r="L262" s="11" t="n">
        <v>0.6451</v>
      </c>
      <c r="M262" s="26" t="n">
        <v>78</v>
      </c>
    </row>
    <row r="263" customFormat="false" ht="15" hidden="false" customHeight="false" outlineLevel="0" collapsed="false">
      <c r="A263" s="27" t="n">
        <v>90481</v>
      </c>
      <c r="B263" s="12" t="s">
        <v>387</v>
      </c>
      <c r="C263" s="28" t="n">
        <v>30</v>
      </c>
      <c r="D263" s="28" t="n">
        <v>30</v>
      </c>
      <c r="E263" s="14" t="n">
        <v>0</v>
      </c>
      <c r="F263" s="14" t="n">
        <v>18900</v>
      </c>
      <c r="G263" s="14" t="n">
        <v>18900</v>
      </c>
      <c r="H263" s="14" t="n">
        <v>8138.109</v>
      </c>
      <c r="I263" s="14" t="n">
        <v>10761.89</v>
      </c>
      <c r="J263" s="14" t="n">
        <v>5569.69</v>
      </c>
      <c r="K263" s="15" t="n">
        <v>0.5694</v>
      </c>
      <c r="L263" s="15" t="n">
        <v>0.2947</v>
      </c>
      <c r="M263" s="29" t="n">
        <v>60</v>
      </c>
    </row>
    <row r="264" customFormat="false" ht="15" hidden="false" customHeight="false" outlineLevel="0" collapsed="false">
      <c r="A264" s="24" t="n">
        <v>90530</v>
      </c>
      <c r="B264" s="8" t="s">
        <v>358</v>
      </c>
      <c r="C264" s="25" t="n">
        <v>44</v>
      </c>
      <c r="D264" s="25" t="n">
        <v>44</v>
      </c>
      <c r="E264" s="10" t="n">
        <v>0</v>
      </c>
      <c r="F264" s="10" t="n">
        <v>12263.24</v>
      </c>
      <c r="G264" s="10" t="n">
        <v>12263.24</v>
      </c>
      <c r="H264" s="10" t="n">
        <v>3503.949</v>
      </c>
      <c r="I264" s="10" t="n">
        <v>8759.29</v>
      </c>
      <c r="J264" s="10" t="n">
        <v>5390.34</v>
      </c>
      <c r="K264" s="11" t="n">
        <v>0.7143</v>
      </c>
      <c r="L264" s="11" t="n">
        <v>0.4396</v>
      </c>
      <c r="M264" s="26" t="n">
        <v>60</v>
      </c>
    </row>
    <row r="265" customFormat="false" ht="15" hidden="false" customHeight="false" outlineLevel="0" collapsed="false">
      <c r="A265" s="27" t="n">
        <v>90532</v>
      </c>
      <c r="B265" s="12" t="s">
        <v>245</v>
      </c>
      <c r="C265" s="28" t="n">
        <v>5</v>
      </c>
      <c r="D265" s="28" t="n">
        <v>5</v>
      </c>
      <c r="E265" s="14" t="n">
        <v>-1630</v>
      </c>
      <c r="F265" s="14" t="n">
        <v>3260</v>
      </c>
      <c r="G265" s="14" t="n">
        <v>1630</v>
      </c>
      <c r="H265" s="14" t="n">
        <v>365.69</v>
      </c>
      <c r="I265" s="14" t="n">
        <v>1264.31</v>
      </c>
      <c r="J265" s="14" t="n">
        <v>816.51</v>
      </c>
      <c r="K265" s="15" t="n">
        <v>0.7757</v>
      </c>
      <c r="L265" s="15" t="n">
        <v>0.5009</v>
      </c>
      <c r="M265" s="29" t="n">
        <v>91</v>
      </c>
    </row>
    <row r="266" customFormat="false" ht="15" hidden="false" customHeight="false" outlineLevel="0" collapsed="false">
      <c r="A266" s="24" t="n">
        <v>90543</v>
      </c>
      <c r="B266" s="8" t="s">
        <v>245</v>
      </c>
      <c r="C266" s="25" t="n">
        <v>20</v>
      </c>
      <c r="D266" s="25" t="n">
        <v>20</v>
      </c>
      <c r="E266" s="10" t="n">
        <v>0</v>
      </c>
      <c r="F266" s="10" t="n">
        <v>5908.8</v>
      </c>
      <c r="G266" s="10" t="n">
        <v>5908.8</v>
      </c>
      <c r="H266" s="10" t="n">
        <v>1341.53</v>
      </c>
      <c r="I266" s="10" t="n">
        <v>4567.27</v>
      </c>
      <c r="J266" s="10" t="n">
        <v>2944.01</v>
      </c>
      <c r="K266" s="11" t="n">
        <v>0.773</v>
      </c>
      <c r="L266" s="11" t="n">
        <v>0.4982</v>
      </c>
      <c r="M266" s="26" t="n">
        <v>60</v>
      </c>
    </row>
    <row r="267" customFormat="false" ht="15" hidden="false" customHeight="false" outlineLevel="0" collapsed="false">
      <c r="A267" s="27" t="n">
        <v>90544</v>
      </c>
      <c r="B267" s="12" t="s">
        <v>246</v>
      </c>
      <c r="C267" s="28" t="n">
        <v>152</v>
      </c>
      <c r="D267" s="28" t="n">
        <v>152</v>
      </c>
      <c r="E267" s="14" t="n">
        <v>0</v>
      </c>
      <c r="F267" s="14" t="n">
        <v>49211.66</v>
      </c>
      <c r="G267" s="14" t="n">
        <v>49211.66</v>
      </c>
      <c r="H267" s="14" t="n">
        <v>23791.22</v>
      </c>
      <c r="I267" s="14" t="n">
        <v>25420.44</v>
      </c>
      <c r="J267" s="14" t="n">
        <v>11901.01</v>
      </c>
      <c r="K267" s="15" t="n">
        <v>0.5166</v>
      </c>
      <c r="L267" s="15" t="n">
        <v>0.2418</v>
      </c>
      <c r="M267" s="29" t="n">
        <v>59.4</v>
      </c>
    </row>
    <row r="268" customFormat="false" ht="15" hidden="false" customHeight="false" outlineLevel="0" collapsed="false">
      <c r="A268" s="24" t="n">
        <v>90564</v>
      </c>
      <c r="B268" s="8" t="s">
        <v>301</v>
      </c>
      <c r="C268" s="25" t="n">
        <v>1037</v>
      </c>
      <c r="D268" s="25" t="n">
        <v>1037</v>
      </c>
      <c r="E268" s="10" t="n">
        <v>0</v>
      </c>
      <c r="F268" s="10" t="n">
        <v>78812</v>
      </c>
      <c r="G268" s="10" t="n">
        <v>78812</v>
      </c>
      <c r="H268" s="10" t="n">
        <v>27172.8147</v>
      </c>
      <c r="I268" s="10" t="n">
        <v>51639.18</v>
      </c>
      <c r="J268" s="10" t="n">
        <v>23811.56</v>
      </c>
      <c r="K268" s="11" t="n">
        <v>0.6552</v>
      </c>
      <c r="L268" s="11" t="n">
        <v>0.3021</v>
      </c>
      <c r="M268" s="26" t="n">
        <v>35</v>
      </c>
    </row>
    <row r="269" customFormat="false" ht="15" hidden="false" customHeight="false" outlineLevel="0" collapsed="false">
      <c r="A269" s="27" t="n">
        <v>90603</v>
      </c>
      <c r="B269" s="12" t="s">
        <v>242</v>
      </c>
      <c r="C269" s="28" t="n">
        <v>14</v>
      </c>
      <c r="D269" s="28" t="n">
        <v>14</v>
      </c>
      <c r="E269" s="14" t="n">
        <v>0</v>
      </c>
      <c r="F269" s="14" t="n">
        <v>572.88</v>
      </c>
      <c r="G269" s="14" t="n">
        <v>572.88</v>
      </c>
      <c r="H269" s="14" t="n">
        <v>195.03</v>
      </c>
      <c r="I269" s="14" t="n">
        <v>377.85</v>
      </c>
      <c r="J269" s="14" t="n">
        <v>220.46</v>
      </c>
      <c r="K269" s="15" t="n">
        <v>0.6596</v>
      </c>
      <c r="L269" s="15" t="n">
        <v>0.3848</v>
      </c>
      <c r="M269" s="29" t="n">
        <v>36</v>
      </c>
    </row>
    <row r="270" customFormat="false" ht="15" hidden="false" customHeight="false" outlineLevel="0" collapsed="false">
      <c r="A270" s="24" t="n">
        <v>90624</v>
      </c>
      <c r="B270" s="8" t="s">
        <v>360</v>
      </c>
      <c r="C270" s="25" t="n">
        <v>100</v>
      </c>
      <c r="D270" s="25" t="n">
        <v>100</v>
      </c>
      <c r="E270" s="10" t="n">
        <v>0</v>
      </c>
      <c r="F270" s="10" t="n">
        <v>7660</v>
      </c>
      <c r="G270" s="10" t="n">
        <v>7660</v>
      </c>
      <c r="H270" s="10" t="n">
        <v>3534</v>
      </c>
      <c r="I270" s="10" t="n">
        <v>4126</v>
      </c>
      <c r="J270" s="10" t="n">
        <v>2021.65</v>
      </c>
      <c r="K270" s="11" t="n">
        <v>0.5386</v>
      </c>
      <c r="L270" s="11" t="n">
        <v>0.2639</v>
      </c>
      <c r="M270" s="26" t="n">
        <v>60</v>
      </c>
    </row>
    <row r="271" customFormat="false" ht="15" hidden="false" customHeight="false" outlineLevel="0" collapsed="false">
      <c r="A271" s="27" t="n">
        <v>90632</v>
      </c>
      <c r="B271" s="12" t="s">
        <v>248</v>
      </c>
      <c r="C271" s="28" t="n">
        <v>5</v>
      </c>
      <c r="D271" s="28" t="n">
        <v>5</v>
      </c>
      <c r="E271" s="14" t="n">
        <v>0</v>
      </c>
      <c r="F271" s="14" t="n">
        <v>1570</v>
      </c>
      <c r="G271" s="14" t="n">
        <v>1570</v>
      </c>
      <c r="H271" s="14" t="n">
        <v>664.27</v>
      </c>
      <c r="I271" s="14" t="n">
        <v>905.73</v>
      </c>
      <c r="J271" s="14" t="n">
        <v>550.05</v>
      </c>
      <c r="K271" s="15" t="n">
        <v>0.5769</v>
      </c>
      <c r="L271" s="15" t="n">
        <v>0.3504</v>
      </c>
      <c r="M271" s="29" t="n">
        <v>20</v>
      </c>
    </row>
    <row r="272" customFormat="false" ht="15" hidden="false" customHeight="false" outlineLevel="0" collapsed="false">
      <c r="A272" s="24" t="n">
        <v>90663</v>
      </c>
      <c r="B272" s="8" t="s">
        <v>303</v>
      </c>
      <c r="C272" s="25" t="n">
        <v>9</v>
      </c>
      <c r="D272" s="25" t="n">
        <v>9</v>
      </c>
      <c r="E272" s="10" t="n">
        <v>0</v>
      </c>
      <c r="F272" s="10" t="n">
        <v>166000</v>
      </c>
      <c r="G272" s="10" t="n">
        <v>166000</v>
      </c>
      <c r="H272" s="10" t="n">
        <v>56880.6899</v>
      </c>
      <c r="I272" s="10" t="n">
        <v>109119.31</v>
      </c>
      <c r="J272" s="10" t="n">
        <v>75808.99</v>
      </c>
      <c r="K272" s="11" t="n">
        <v>0.6573</v>
      </c>
      <c r="L272" s="11" t="n">
        <v>0.4567</v>
      </c>
      <c r="M272" s="26" t="n">
        <v>152.42</v>
      </c>
    </row>
    <row r="273" customFormat="false" ht="15" hidden="false" customHeight="false" outlineLevel="0" collapsed="false">
      <c r="A273" s="27" t="n">
        <v>90739</v>
      </c>
      <c r="B273" s="12" t="s">
        <v>298</v>
      </c>
      <c r="C273" s="28" t="n">
        <v>20</v>
      </c>
      <c r="D273" s="28" t="n">
        <v>20</v>
      </c>
      <c r="E273" s="14" t="n">
        <v>0</v>
      </c>
      <c r="F273" s="14" t="n">
        <v>6180</v>
      </c>
      <c r="G273" s="14" t="n">
        <v>6180</v>
      </c>
      <c r="H273" s="14" t="n">
        <v>2442.36</v>
      </c>
      <c r="I273" s="14" t="n">
        <v>3737.64</v>
      </c>
      <c r="J273" s="14" t="n">
        <v>2039.88</v>
      </c>
      <c r="K273" s="15" t="n">
        <v>0.6048</v>
      </c>
      <c r="L273" s="15" t="n">
        <v>0.3301</v>
      </c>
      <c r="M273" s="29" t="n">
        <v>60</v>
      </c>
    </row>
    <row r="274" customFormat="false" ht="15" hidden="false" customHeight="false" outlineLevel="0" collapsed="false">
      <c r="A274" s="16" t="s">
        <v>249</v>
      </c>
      <c r="B274" s="16" t="str">
        <f aca="false">COUNTA(A6:A273)&amp;" produtos"</f>
        <v>268 produtos</v>
      </c>
      <c r="C274" s="30" t="n">
        <f aca="false">SUM(C6:C273)</f>
        <v>52382</v>
      </c>
      <c r="D274" s="30" t="n">
        <f aca="false">SUM(D6:D273)</f>
        <v>52382</v>
      </c>
      <c r="E274" s="18" t="n">
        <f aca="false">SUM(E6:E273)</f>
        <v>1082.11</v>
      </c>
      <c r="F274" s="18" t="n">
        <f aca="false">SUM(F6:F273)</f>
        <v>4282021.68</v>
      </c>
      <c r="G274" s="18" t="n">
        <f aca="false">SUM(G6:G273)</f>
        <v>4283103.79</v>
      </c>
      <c r="H274" s="18" t="n">
        <f aca="false">SUM(H6:H273)</f>
        <v>1845819.2454</v>
      </c>
      <c r="I274" s="18" t="n">
        <f aca="false">SUM(I6:I273)</f>
        <v>2437284.58</v>
      </c>
      <c r="J274" s="18" t="n">
        <f aca="false">SUM(J6:J273)</f>
        <v>1383237.24</v>
      </c>
      <c r="K274" s="19" t="n">
        <f aca="false">IFERROR(I274/G274,0)</f>
        <v>0.56904635038041</v>
      </c>
      <c r="L274" s="19" t="n">
        <f aca="false">IFERROR(J274/G274,0)</f>
        <v>0.32295207116613</v>
      </c>
      <c r="M274" s="31" t="n">
        <f aca="false">IFERROR(SUMPRODUCT(M6:M273,G6:G273)/G274,0)</f>
        <v>47.8955206445978</v>
      </c>
    </row>
  </sheetData>
  <autoFilter ref="A5:M273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388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990</v>
      </c>
      <c r="D6" s="25" t="n">
        <v>990</v>
      </c>
      <c r="E6" s="10" t="n">
        <v>146</v>
      </c>
      <c r="F6" s="10" t="n">
        <v>30955.95</v>
      </c>
      <c r="G6" s="10" t="n">
        <v>31101.95</v>
      </c>
      <c r="H6" s="10" t="n">
        <v>14324.2152</v>
      </c>
      <c r="I6" s="10" t="n">
        <v>16777.74</v>
      </c>
      <c r="J6" s="10" t="n">
        <v>8468.15</v>
      </c>
      <c r="K6" s="11" t="n">
        <v>0.5394</v>
      </c>
      <c r="L6" s="11" t="n">
        <v>0.2723</v>
      </c>
      <c r="M6" s="26" t="n">
        <v>45.56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172</v>
      </c>
      <c r="D7" s="28" t="n">
        <v>172</v>
      </c>
      <c r="E7" s="14" t="n">
        <v>446.13</v>
      </c>
      <c r="F7" s="14" t="n">
        <v>55482.65</v>
      </c>
      <c r="G7" s="14" t="n">
        <v>55928.78</v>
      </c>
      <c r="H7" s="14" t="n">
        <v>15044.6412</v>
      </c>
      <c r="I7" s="14" t="n">
        <v>40884.14</v>
      </c>
      <c r="J7" s="14" t="n">
        <v>25569.83</v>
      </c>
      <c r="K7" s="15" t="n">
        <v>0.731</v>
      </c>
      <c r="L7" s="15" t="n">
        <v>0.4572</v>
      </c>
      <c r="M7" s="29" t="n">
        <v>46.05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4</v>
      </c>
      <c r="D8" s="25" t="n">
        <v>4</v>
      </c>
      <c r="E8" s="10" t="n">
        <v>0</v>
      </c>
      <c r="F8" s="10" t="n">
        <v>396</v>
      </c>
      <c r="G8" s="10" t="n">
        <v>396</v>
      </c>
      <c r="H8" s="10" t="n">
        <v>192.91</v>
      </c>
      <c r="I8" s="10" t="n">
        <v>203.09</v>
      </c>
      <c r="J8" s="10" t="n">
        <v>113.38</v>
      </c>
      <c r="K8" s="11" t="n">
        <v>0.5129</v>
      </c>
      <c r="L8" s="11" t="n">
        <v>0.2863</v>
      </c>
      <c r="M8" s="26" t="n">
        <v>60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644</v>
      </c>
      <c r="D9" s="28" t="n">
        <v>644</v>
      </c>
      <c r="E9" s="14" t="n">
        <v>0</v>
      </c>
      <c r="F9" s="14" t="n">
        <v>60428.98</v>
      </c>
      <c r="G9" s="14" t="n">
        <v>60428.98</v>
      </c>
      <c r="H9" s="14" t="n">
        <v>8286.7489</v>
      </c>
      <c r="I9" s="14" t="n">
        <v>52142.23</v>
      </c>
      <c r="J9" s="14" t="n">
        <v>37950.67</v>
      </c>
      <c r="K9" s="15" t="n">
        <v>0.8629</v>
      </c>
      <c r="L9" s="15" t="n">
        <v>0.628</v>
      </c>
      <c r="M9" s="29" t="n">
        <v>42.29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10</v>
      </c>
      <c r="D10" s="25" t="n">
        <v>10</v>
      </c>
      <c r="E10" s="10" t="n">
        <v>0</v>
      </c>
      <c r="F10" s="10" t="n">
        <v>800.24</v>
      </c>
      <c r="G10" s="10" t="n">
        <v>800.24</v>
      </c>
      <c r="H10" s="10" t="n">
        <v>98.34</v>
      </c>
      <c r="I10" s="10" t="n">
        <v>701.9</v>
      </c>
      <c r="J10" s="10" t="n">
        <v>482.05</v>
      </c>
      <c r="K10" s="11" t="n">
        <v>0.8771</v>
      </c>
      <c r="L10" s="11" t="n">
        <v>0.6024</v>
      </c>
      <c r="M10" s="26" t="n">
        <v>42.53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256</v>
      </c>
      <c r="D11" s="28" t="n">
        <v>256</v>
      </c>
      <c r="E11" s="14" t="n">
        <v>686.36</v>
      </c>
      <c r="F11" s="14" t="n">
        <v>76368.9</v>
      </c>
      <c r="G11" s="14" t="n">
        <v>77055.26</v>
      </c>
      <c r="H11" s="14" t="n">
        <v>21545.112</v>
      </c>
      <c r="I11" s="14" t="n">
        <v>55510.15</v>
      </c>
      <c r="J11" s="14" t="n">
        <v>38015.46</v>
      </c>
      <c r="K11" s="15" t="n">
        <v>0.7204</v>
      </c>
      <c r="L11" s="15" t="n">
        <v>0.4934</v>
      </c>
      <c r="M11" s="29" t="n">
        <v>40.66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1305</v>
      </c>
      <c r="D12" s="25" t="n">
        <v>1305</v>
      </c>
      <c r="E12" s="10" t="n">
        <v>5085.12</v>
      </c>
      <c r="F12" s="10" t="n">
        <v>221595.12</v>
      </c>
      <c r="G12" s="10" t="n">
        <v>226680.24</v>
      </c>
      <c r="H12" s="10" t="n">
        <v>84512.1876</v>
      </c>
      <c r="I12" s="10" t="n">
        <v>142168.06</v>
      </c>
      <c r="J12" s="10" t="n">
        <v>90213.25</v>
      </c>
      <c r="K12" s="11" t="n">
        <v>0.6272</v>
      </c>
      <c r="L12" s="11" t="n">
        <v>0.398</v>
      </c>
      <c r="M12" s="26" t="n">
        <v>42.66</v>
      </c>
    </row>
    <row r="13" customFormat="false" ht="15" hidden="false" customHeight="false" outlineLevel="0" collapsed="false">
      <c r="A13" s="27" t="n">
        <v>10012</v>
      </c>
      <c r="B13" s="12" t="s">
        <v>362</v>
      </c>
      <c r="C13" s="28" t="n">
        <v>2</v>
      </c>
      <c r="D13" s="28" t="n">
        <v>2</v>
      </c>
      <c r="E13" s="14" t="n">
        <v>0</v>
      </c>
      <c r="F13" s="14" t="n">
        <v>172.7</v>
      </c>
      <c r="G13" s="14" t="n">
        <v>172.7</v>
      </c>
      <c r="H13" s="14" t="n">
        <v>20.8</v>
      </c>
      <c r="I13" s="14" t="n">
        <v>151.9</v>
      </c>
      <c r="J13" s="14" t="n">
        <v>104.46</v>
      </c>
      <c r="K13" s="15" t="n">
        <v>0.8796</v>
      </c>
      <c r="L13" s="15" t="n">
        <v>0.6049</v>
      </c>
      <c r="M13" s="29" t="n">
        <v>7</v>
      </c>
    </row>
    <row r="14" customFormat="false" ht="15" hidden="false" customHeight="false" outlineLevel="0" collapsed="false">
      <c r="A14" s="24" t="n">
        <v>10018</v>
      </c>
      <c r="B14" s="8" t="s">
        <v>38</v>
      </c>
      <c r="C14" s="25" t="n">
        <v>14</v>
      </c>
      <c r="D14" s="25" t="n">
        <v>14</v>
      </c>
      <c r="E14" s="10" t="n">
        <v>0</v>
      </c>
      <c r="F14" s="10" t="n">
        <v>1263.66</v>
      </c>
      <c r="G14" s="10" t="n">
        <v>1263.66</v>
      </c>
      <c r="H14" s="10" t="n">
        <v>472.68</v>
      </c>
      <c r="I14" s="10" t="n">
        <v>790.98</v>
      </c>
      <c r="J14" s="10" t="n">
        <v>491.04</v>
      </c>
      <c r="K14" s="11" t="n">
        <v>0.6259</v>
      </c>
      <c r="L14" s="11" t="n">
        <v>0.3886</v>
      </c>
      <c r="M14" s="26" t="n">
        <v>45.89</v>
      </c>
    </row>
    <row r="15" customFormat="false" ht="15" hidden="false" customHeight="false" outlineLevel="0" collapsed="false">
      <c r="A15" s="27" t="n">
        <v>10019</v>
      </c>
      <c r="B15" s="12" t="s">
        <v>35</v>
      </c>
      <c r="C15" s="28" t="n">
        <v>11</v>
      </c>
      <c r="D15" s="28" t="n">
        <v>11</v>
      </c>
      <c r="E15" s="14" t="n">
        <v>0</v>
      </c>
      <c r="F15" s="14" t="n">
        <v>3017.4</v>
      </c>
      <c r="G15" s="14" t="n">
        <v>3017.4</v>
      </c>
      <c r="H15" s="14" t="n">
        <v>830.2</v>
      </c>
      <c r="I15" s="14" t="n">
        <v>2187.2</v>
      </c>
      <c r="J15" s="14" t="n">
        <v>1787.23</v>
      </c>
      <c r="K15" s="15" t="n">
        <v>0.7249</v>
      </c>
      <c r="L15" s="15" t="n">
        <v>0.5923</v>
      </c>
      <c r="M15" s="29" t="n">
        <v>54.93</v>
      </c>
    </row>
    <row r="16" customFormat="false" ht="15" hidden="false" customHeight="false" outlineLevel="0" collapsed="false">
      <c r="A16" s="24" t="n">
        <v>10021</v>
      </c>
      <c r="B16" s="8" t="s">
        <v>41</v>
      </c>
      <c r="C16" s="25" t="n">
        <v>8</v>
      </c>
      <c r="D16" s="25" t="n">
        <v>8</v>
      </c>
      <c r="E16" s="10" t="n">
        <v>0</v>
      </c>
      <c r="F16" s="10" t="n">
        <v>3338.16</v>
      </c>
      <c r="G16" s="10" t="n">
        <v>3338.16</v>
      </c>
      <c r="H16" s="10" t="n">
        <v>615.11</v>
      </c>
      <c r="I16" s="10" t="n">
        <v>2723.05</v>
      </c>
      <c r="J16" s="10" t="n">
        <v>1805.99</v>
      </c>
      <c r="K16" s="11" t="n">
        <v>0.8157</v>
      </c>
      <c r="L16" s="11" t="n">
        <v>0.541</v>
      </c>
      <c r="M16" s="26" t="n">
        <v>45</v>
      </c>
    </row>
    <row r="17" customFormat="false" ht="15" hidden="false" customHeight="false" outlineLevel="0" collapsed="false">
      <c r="A17" s="27" t="n">
        <v>10022</v>
      </c>
      <c r="B17" s="12" t="s">
        <v>42</v>
      </c>
      <c r="C17" s="28" t="n">
        <v>14</v>
      </c>
      <c r="D17" s="28" t="n">
        <v>14</v>
      </c>
      <c r="E17" s="14" t="n">
        <v>0</v>
      </c>
      <c r="F17" s="14" t="n">
        <v>5140.71</v>
      </c>
      <c r="G17" s="14" t="n">
        <v>5140.71</v>
      </c>
      <c r="H17" s="14" t="n">
        <v>1129.11</v>
      </c>
      <c r="I17" s="14" t="n">
        <v>4011.6</v>
      </c>
      <c r="J17" s="14" t="n">
        <v>2599.33</v>
      </c>
      <c r="K17" s="15" t="n">
        <v>0.7804</v>
      </c>
      <c r="L17" s="15" t="n">
        <v>0.5056</v>
      </c>
      <c r="M17" s="29" t="n">
        <v>43.11</v>
      </c>
    </row>
    <row r="18" customFormat="false" ht="15" hidden="false" customHeight="false" outlineLevel="0" collapsed="false">
      <c r="A18" s="24" t="n">
        <v>10024</v>
      </c>
      <c r="B18" s="8" t="s">
        <v>43</v>
      </c>
      <c r="C18" s="25" t="n">
        <v>198</v>
      </c>
      <c r="D18" s="25" t="n">
        <v>198</v>
      </c>
      <c r="E18" s="10" t="n">
        <v>0</v>
      </c>
      <c r="F18" s="10" t="n">
        <v>9555.48</v>
      </c>
      <c r="G18" s="10" t="n">
        <v>9555.48</v>
      </c>
      <c r="H18" s="10" t="n">
        <v>1468.9008</v>
      </c>
      <c r="I18" s="10" t="n">
        <v>8086.58</v>
      </c>
      <c r="J18" s="10" t="n">
        <v>5461.5</v>
      </c>
      <c r="K18" s="11" t="n">
        <v>0.8463</v>
      </c>
      <c r="L18" s="11" t="n">
        <v>0.5716</v>
      </c>
      <c r="M18" s="26" t="n">
        <v>50</v>
      </c>
    </row>
    <row r="19" customFormat="false" ht="15" hidden="false" customHeight="false" outlineLevel="0" collapsed="false">
      <c r="A19" s="27" t="n">
        <v>10025</v>
      </c>
      <c r="B19" s="12" t="s">
        <v>44</v>
      </c>
      <c r="C19" s="28" t="n">
        <v>76</v>
      </c>
      <c r="D19" s="28" t="n">
        <v>76</v>
      </c>
      <c r="E19" s="14" t="n">
        <v>0</v>
      </c>
      <c r="F19" s="14" t="n">
        <v>4338.61</v>
      </c>
      <c r="G19" s="14" t="n">
        <v>4338.61</v>
      </c>
      <c r="H19" s="14" t="n">
        <v>543.6102</v>
      </c>
      <c r="I19" s="14" t="n">
        <v>3795</v>
      </c>
      <c r="J19" s="14" t="n">
        <v>3046.08</v>
      </c>
      <c r="K19" s="15" t="n">
        <v>0.8747</v>
      </c>
      <c r="L19" s="15" t="n">
        <v>0.7021</v>
      </c>
      <c r="M19" s="29" t="n">
        <v>49.03</v>
      </c>
    </row>
    <row r="20" customFormat="false" ht="15" hidden="false" customHeight="false" outlineLevel="0" collapsed="false">
      <c r="A20" s="24" t="n">
        <v>10027</v>
      </c>
      <c r="B20" s="8" t="s">
        <v>45</v>
      </c>
      <c r="C20" s="25" t="n">
        <v>27</v>
      </c>
      <c r="D20" s="25" t="n">
        <v>27</v>
      </c>
      <c r="E20" s="10" t="n">
        <v>0</v>
      </c>
      <c r="F20" s="10" t="n">
        <v>34752.51</v>
      </c>
      <c r="G20" s="10" t="n">
        <v>34752.51</v>
      </c>
      <c r="H20" s="10" t="n">
        <v>17498.9206</v>
      </c>
      <c r="I20" s="10" t="n">
        <v>17253.59</v>
      </c>
      <c r="J20" s="10" t="n">
        <v>8672.99</v>
      </c>
      <c r="K20" s="11" t="n">
        <v>0.4965</v>
      </c>
      <c r="L20" s="11" t="n">
        <v>0.2496</v>
      </c>
      <c r="M20" s="26" t="n">
        <v>34.97</v>
      </c>
    </row>
    <row r="21" customFormat="false" ht="15" hidden="false" customHeight="false" outlineLevel="0" collapsed="false">
      <c r="A21" s="27" t="n">
        <v>10029</v>
      </c>
      <c r="B21" s="12" t="s">
        <v>44</v>
      </c>
      <c r="C21" s="28" t="n">
        <v>12</v>
      </c>
      <c r="D21" s="28" t="n">
        <v>12</v>
      </c>
      <c r="E21" s="14" t="n">
        <v>0</v>
      </c>
      <c r="F21" s="14" t="n">
        <v>800.52</v>
      </c>
      <c r="G21" s="14" t="n">
        <v>800.52</v>
      </c>
      <c r="H21" s="14" t="n">
        <v>85.47</v>
      </c>
      <c r="I21" s="14" t="n">
        <v>715.05</v>
      </c>
      <c r="J21" s="14" t="n">
        <v>495.12</v>
      </c>
      <c r="K21" s="15" t="n">
        <v>0.8932</v>
      </c>
      <c r="L21" s="15" t="n">
        <v>0.6185</v>
      </c>
      <c r="M21" s="29" t="n">
        <v>43</v>
      </c>
    </row>
    <row r="22" customFormat="false" ht="15" hidden="false" customHeight="false" outlineLevel="0" collapsed="false">
      <c r="A22" s="24" t="n">
        <v>10031</v>
      </c>
      <c r="B22" s="8" t="s">
        <v>46</v>
      </c>
      <c r="C22" s="25" t="n">
        <v>26</v>
      </c>
      <c r="D22" s="25" t="n">
        <v>26</v>
      </c>
      <c r="E22" s="10" t="n">
        <v>0</v>
      </c>
      <c r="F22" s="10" t="n">
        <v>775.25</v>
      </c>
      <c r="G22" s="10" t="n">
        <v>775.25</v>
      </c>
      <c r="H22" s="10" t="n">
        <v>151.8697</v>
      </c>
      <c r="I22" s="10" t="n">
        <v>623.38</v>
      </c>
      <c r="J22" s="10" t="n">
        <v>419.28</v>
      </c>
      <c r="K22" s="11" t="n">
        <v>0.8041</v>
      </c>
      <c r="L22" s="11" t="n">
        <v>0.5408</v>
      </c>
      <c r="M22" s="26" t="n">
        <v>52.4</v>
      </c>
    </row>
    <row r="23" customFormat="false" ht="15" hidden="false" customHeight="false" outlineLevel="0" collapsed="false">
      <c r="A23" s="27" t="n">
        <v>10035</v>
      </c>
      <c r="B23" s="12" t="s">
        <v>47</v>
      </c>
      <c r="C23" s="28" t="n">
        <v>1</v>
      </c>
      <c r="D23" s="28" t="n">
        <v>1</v>
      </c>
      <c r="E23" s="14" t="n">
        <v>0</v>
      </c>
      <c r="F23" s="14" t="n">
        <v>335.25</v>
      </c>
      <c r="G23" s="14" t="n">
        <v>335.25</v>
      </c>
      <c r="H23" s="14" t="n">
        <v>110.97</v>
      </c>
      <c r="I23" s="14" t="n">
        <v>224.28</v>
      </c>
      <c r="J23" s="14" t="n">
        <v>148.33</v>
      </c>
      <c r="K23" s="15" t="n">
        <v>0.669</v>
      </c>
      <c r="L23" s="15" t="n">
        <v>0.4424</v>
      </c>
      <c r="M23" s="29" t="n">
        <v>7</v>
      </c>
    </row>
    <row r="24" customFormat="false" ht="15" hidden="false" customHeight="false" outlineLevel="0" collapsed="false">
      <c r="A24" s="24" t="n">
        <v>10036</v>
      </c>
      <c r="B24" s="8" t="s">
        <v>310</v>
      </c>
      <c r="C24" s="25" t="n">
        <v>3</v>
      </c>
      <c r="D24" s="25" t="n">
        <v>3</v>
      </c>
      <c r="E24" s="10" t="n">
        <v>0</v>
      </c>
      <c r="F24" s="10" t="n">
        <v>1129.02</v>
      </c>
      <c r="G24" s="10" t="n">
        <v>1129.02</v>
      </c>
      <c r="H24" s="10" t="n">
        <v>342.1701</v>
      </c>
      <c r="I24" s="10" t="n">
        <v>786.85</v>
      </c>
      <c r="J24" s="10" t="n">
        <v>476.68</v>
      </c>
      <c r="K24" s="11" t="n">
        <v>0.6969</v>
      </c>
      <c r="L24" s="11" t="n">
        <v>0.4222</v>
      </c>
      <c r="M24" s="26" t="n">
        <v>60</v>
      </c>
    </row>
    <row r="25" customFormat="false" ht="15" hidden="false" customHeight="false" outlineLevel="0" collapsed="false">
      <c r="A25" s="27" t="n">
        <v>10038</v>
      </c>
      <c r="B25" s="12" t="s">
        <v>47</v>
      </c>
      <c r="C25" s="28" t="n">
        <v>26</v>
      </c>
      <c r="D25" s="28" t="n">
        <v>26</v>
      </c>
      <c r="E25" s="14" t="n">
        <v>0</v>
      </c>
      <c r="F25" s="14" t="n">
        <v>6826.45</v>
      </c>
      <c r="G25" s="14" t="n">
        <v>6826.45</v>
      </c>
      <c r="H25" s="14" t="n">
        <v>1949.09</v>
      </c>
      <c r="I25" s="14" t="n">
        <v>4877.36</v>
      </c>
      <c r="J25" s="14" t="n">
        <v>3800.6</v>
      </c>
      <c r="K25" s="15" t="n">
        <v>0.7145</v>
      </c>
      <c r="L25" s="15" t="n">
        <v>0.5567</v>
      </c>
      <c r="M25" s="29" t="n">
        <v>35.05</v>
      </c>
    </row>
    <row r="26" customFormat="false" ht="15" hidden="false" customHeight="false" outlineLevel="0" collapsed="false">
      <c r="A26" s="24" t="n">
        <v>10044</v>
      </c>
      <c r="B26" s="8" t="s">
        <v>48</v>
      </c>
      <c r="C26" s="25" t="n">
        <v>171</v>
      </c>
      <c r="D26" s="25" t="n">
        <v>171</v>
      </c>
      <c r="E26" s="10" t="n">
        <v>599.5</v>
      </c>
      <c r="F26" s="10" t="n">
        <v>9157.09</v>
      </c>
      <c r="G26" s="10" t="n">
        <v>9756.59</v>
      </c>
      <c r="H26" s="10" t="n">
        <v>1221.0202</v>
      </c>
      <c r="I26" s="10" t="n">
        <v>8535.57</v>
      </c>
      <c r="J26" s="10" t="n">
        <v>6335.34</v>
      </c>
      <c r="K26" s="11" t="n">
        <v>0.8749</v>
      </c>
      <c r="L26" s="11" t="n">
        <v>0.6493</v>
      </c>
      <c r="M26" s="26" t="n">
        <v>37.5</v>
      </c>
    </row>
    <row r="27" customFormat="false" ht="15" hidden="false" customHeight="false" outlineLevel="0" collapsed="false">
      <c r="A27" s="27" t="n">
        <v>10047</v>
      </c>
      <c r="B27" s="12" t="s">
        <v>251</v>
      </c>
      <c r="C27" s="28" t="n">
        <v>16</v>
      </c>
      <c r="D27" s="28" t="n">
        <v>16</v>
      </c>
      <c r="E27" s="14" t="n">
        <v>0</v>
      </c>
      <c r="F27" s="14" t="n">
        <v>5745.24</v>
      </c>
      <c r="G27" s="14" t="n">
        <v>5745.24</v>
      </c>
      <c r="H27" s="14" t="n">
        <v>1510.0702</v>
      </c>
      <c r="I27" s="14" t="n">
        <v>4235.17</v>
      </c>
      <c r="J27" s="14" t="n">
        <v>2963.92</v>
      </c>
      <c r="K27" s="15" t="n">
        <v>0.7372</v>
      </c>
      <c r="L27" s="15" t="n">
        <v>0.5159</v>
      </c>
      <c r="M27" s="29" t="n">
        <v>45</v>
      </c>
    </row>
    <row r="28" customFormat="false" ht="15" hidden="false" customHeight="false" outlineLevel="0" collapsed="false">
      <c r="A28" s="24" t="n">
        <v>10052</v>
      </c>
      <c r="B28" s="8" t="s">
        <v>49</v>
      </c>
      <c r="C28" s="25" t="n">
        <v>46</v>
      </c>
      <c r="D28" s="25" t="n">
        <v>46</v>
      </c>
      <c r="E28" s="10" t="n">
        <v>329.44</v>
      </c>
      <c r="F28" s="10" t="n">
        <v>4005.74</v>
      </c>
      <c r="G28" s="10" t="n">
        <v>4335.18</v>
      </c>
      <c r="H28" s="10" t="n">
        <v>487.4204</v>
      </c>
      <c r="I28" s="10" t="n">
        <v>3847.76</v>
      </c>
      <c r="J28" s="10" t="n">
        <v>2640.92</v>
      </c>
      <c r="K28" s="11" t="n">
        <v>0.8876</v>
      </c>
      <c r="L28" s="11" t="n">
        <v>0.6092</v>
      </c>
      <c r="M28" s="26" t="n">
        <v>28.11</v>
      </c>
    </row>
    <row r="29" customFormat="false" ht="15" hidden="false" customHeight="false" outlineLevel="0" collapsed="false">
      <c r="A29" s="27" t="n">
        <v>10064</v>
      </c>
      <c r="B29" s="12" t="s">
        <v>50</v>
      </c>
      <c r="C29" s="28" t="n">
        <v>841</v>
      </c>
      <c r="D29" s="28" t="n">
        <v>841</v>
      </c>
      <c r="E29" s="14" t="n">
        <v>0</v>
      </c>
      <c r="F29" s="14" t="n">
        <v>11667.63</v>
      </c>
      <c r="G29" s="14" t="n">
        <v>11667.63</v>
      </c>
      <c r="H29" s="14" t="n">
        <v>5299.1809</v>
      </c>
      <c r="I29" s="14" t="n">
        <v>6368.45</v>
      </c>
      <c r="J29" s="14" t="n">
        <v>3209.23</v>
      </c>
      <c r="K29" s="15" t="n">
        <v>0.5458</v>
      </c>
      <c r="L29" s="15" t="n">
        <v>0.2751</v>
      </c>
      <c r="M29" s="29" t="n">
        <v>48.96</v>
      </c>
    </row>
    <row r="30" customFormat="false" ht="15" hidden="false" customHeight="false" outlineLevel="0" collapsed="false">
      <c r="A30" s="24" t="n">
        <v>10075</v>
      </c>
      <c r="B30" s="8" t="s">
        <v>52</v>
      </c>
      <c r="C30" s="25" t="n">
        <v>21</v>
      </c>
      <c r="D30" s="25" t="n">
        <v>21</v>
      </c>
      <c r="E30" s="10" t="n">
        <v>0</v>
      </c>
      <c r="F30" s="10" t="n">
        <v>575.84</v>
      </c>
      <c r="G30" s="10" t="n">
        <v>575.84</v>
      </c>
      <c r="H30" s="10" t="n">
        <v>48.3898</v>
      </c>
      <c r="I30" s="10" t="n">
        <v>527.45</v>
      </c>
      <c r="J30" s="10" t="n">
        <v>411.78</v>
      </c>
      <c r="K30" s="11" t="n">
        <v>0.916</v>
      </c>
      <c r="L30" s="11" t="n">
        <v>0.7151</v>
      </c>
      <c r="M30" s="26" t="n">
        <v>42.82</v>
      </c>
    </row>
    <row r="31" customFormat="false" ht="15" hidden="false" customHeight="false" outlineLevel="0" collapsed="false">
      <c r="A31" s="27" t="n">
        <v>10084</v>
      </c>
      <c r="B31" s="12" t="s">
        <v>53</v>
      </c>
      <c r="C31" s="28" t="n">
        <v>292</v>
      </c>
      <c r="D31" s="28" t="n">
        <v>292</v>
      </c>
      <c r="E31" s="14" t="n">
        <v>0</v>
      </c>
      <c r="F31" s="14" t="n">
        <v>3739.78</v>
      </c>
      <c r="G31" s="14" t="n">
        <v>3739.78</v>
      </c>
      <c r="H31" s="14" t="n">
        <v>1076.2651</v>
      </c>
      <c r="I31" s="14" t="n">
        <v>2663.52</v>
      </c>
      <c r="J31" s="14" t="n">
        <v>1667.61</v>
      </c>
      <c r="K31" s="15" t="n">
        <v>0.7122</v>
      </c>
      <c r="L31" s="15" t="n">
        <v>0.4459</v>
      </c>
      <c r="M31" s="29" t="n">
        <v>46.1</v>
      </c>
    </row>
    <row r="32" customFormat="false" ht="15" hidden="false" customHeight="false" outlineLevel="0" collapsed="false">
      <c r="A32" s="24" t="n">
        <v>10087</v>
      </c>
      <c r="B32" s="8" t="s">
        <v>54</v>
      </c>
      <c r="C32" s="25" t="n">
        <v>150</v>
      </c>
      <c r="D32" s="25" t="n">
        <v>150</v>
      </c>
      <c r="E32" s="10" t="n">
        <v>0</v>
      </c>
      <c r="F32" s="10" t="n">
        <v>2276.75</v>
      </c>
      <c r="G32" s="10" t="n">
        <v>2276.75</v>
      </c>
      <c r="H32" s="10" t="n">
        <v>834.1595</v>
      </c>
      <c r="I32" s="10" t="n">
        <v>1442.59</v>
      </c>
      <c r="J32" s="10" t="n">
        <v>1052.16</v>
      </c>
      <c r="K32" s="11" t="n">
        <v>0.6336</v>
      </c>
      <c r="L32" s="11" t="n">
        <v>0.4621</v>
      </c>
      <c r="M32" s="26" t="n">
        <v>38.19</v>
      </c>
    </row>
    <row r="33" customFormat="false" ht="15" hidden="false" customHeight="false" outlineLevel="0" collapsed="false">
      <c r="A33" s="27" t="n">
        <v>10090</v>
      </c>
      <c r="B33" s="12" t="s">
        <v>56</v>
      </c>
      <c r="C33" s="28" t="n">
        <v>50</v>
      </c>
      <c r="D33" s="28" t="n">
        <v>50</v>
      </c>
      <c r="E33" s="14" t="n">
        <v>0</v>
      </c>
      <c r="F33" s="14" t="n">
        <v>10302.2</v>
      </c>
      <c r="G33" s="14" t="n">
        <v>10302.2</v>
      </c>
      <c r="H33" s="14" t="n">
        <v>3047.46</v>
      </c>
      <c r="I33" s="14" t="n">
        <v>7254.74</v>
      </c>
      <c r="J33" s="14" t="n">
        <v>4424.51</v>
      </c>
      <c r="K33" s="15" t="n">
        <v>0.7042</v>
      </c>
      <c r="L33" s="15" t="n">
        <v>0.4295</v>
      </c>
      <c r="M33" s="29" t="n">
        <v>28.77</v>
      </c>
    </row>
    <row r="34" customFormat="false" ht="15" hidden="false" customHeight="false" outlineLevel="0" collapsed="false">
      <c r="A34" s="24" t="n">
        <v>10091</v>
      </c>
      <c r="B34" s="8" t="s">
        <v>57</v>
      </c>
      <c r="C34" s="25" t="n">
        <v>2</v>
      </c>
      <c r="D34" s="25" t="n">
        <v>2</v>
      </c>
      <c r="E34" s="10" t="n">
        <v>0</v>
      </c>
      <c r="F34" s="10" t="n">
        <v>113.52</v>
      </c>
      <c r="G34" s="10" t="n">
        <v>113.52</v>
      </c>
      <c r="H34" s="10" t="n">
        <v>43.8</v>
      </c>
      <c r="I34" s="10" t="n">
        <v>69.72</v>
      </c>
      <c r="J34" s="10" t="n">
        <v>38.53</v>
      </c>
      <c r="K34" s="11" t="n">
        <v>0.6142</v>
      </c>
      <c r="L34" s="11" t="n">
        <v>0.3394</v>
      </c>
      <c r="M34" s="26" t="n">
        <v>8</v>
      </c>
    </row>
    <row r="35" customFormat="false" ht="15" hidden="false" customHeight="false" outlineLevel="0" collapsed="false">
      <c r="A35" s="27" t="n">
        <v>10097</v>
      </c>
      <c r="B35" s="12" t="s">
        <v>58</v>
      </c>
      <c r="C35" s="28" t="n">
        <v>3530</v>
      </c>
      <c r="D35" s="28" t="n">
        <v>3530</v>
      </c>
      <c r="E35" s="14" t="n">
        <v>0</v>
      </c>
      <c r="F35" s="14" t="n">
        <v>13322</v>
      </c>
      <c r="G35" s="14" t="n">
        <v>13322</v>
      </c>
      <c r="H35" s="14" t="n">
        <v>3496.42</v>
      </c>
      <c r="I35" s="14" t="n">
        <v>9825.58</v>
      </c>
      <c r="J35" s="14" t="n">
        <v>6165.76</v>
      </c>
      <c r="K35" s="15" t="n">
        <v>0.7375</v>
      </c>
      <c r="L35" s="15" t="n">
        <v>0.4628</v>
      </c>
      <c r="M35" s="29" t="n">
        <v>51.66</v>
      </c>
    </row>
    <row r="36" customFormat="false" ht="15" hidden="false" customHeight="false" outlineLevel="0" collapsed="false">
      <c r="A36" s="24" t="n">
        <v>10098</v>
      </c>
      <c r="B36" s="8" t="s">
        <v>59</v>
      </c>
      <c r="C36" s="25" t="n">
        <v>82</v>
      </c>
      <c r="D36" s="25" t="n">
        <v>82</v>
      </c>
      <c r="E36" s="10" t="n">
        <v>0</v>
      </c>
      <c r="F36" s="10" t="n">
        <v>14730.53</v>
      </c>
      <c r="G36" s="10" t="n">
        <v>14730.53</v>
      </c>
      <c r="H36" s="10" t="n">
        <v>4767.221</v>
      </c>
      <c r="I36" s="10" t="n">
        <v>9963.31</v>
      </c>
      <c r="J36" s="10" t="n">
        <v>6274.92</v>
      </c>
      <c r="K36" s="11" t="n">
        <v>0.6764</v>
      </c>
      <c r="L36" s="11" t="n">
        <v>0.426</v>
      </c>
      <c r="M36" s="26" t="n">
        <v>46.49</v>
      </c>
    </row>
    <row r="37" customFormat="false" ht="15" hidden="false" customHeight="false" outlineLevel="0" collapsed="false">
      <c r="A37" s="27" t="n">
        <v>10100</v>
      </c>
      <c r="B37" s="12" t="s">
        <v>252</v>
      </c>
      <c r="C37" s="28" t="n">
        <v>26</v>
      </c>
      <c r="D37" s="28" t="n">
        <v>26</v>
      </c>
      <c r="E37" s="14" t="n">
        <v>0</v>
      </c>
      <c r="F37" s="14" t="n">
        <v>657.9</v>
      </c>
      <c r="G37" s="14" t="n">
        <v>657.9</v>
      </c>
      <c r="H37" s="14" t="n">
        <v>234.11</v>
      </c>
      <c r="I37" s="14" t="n">
        <v>423.79</v>
      </c>
      <c r="J37" s="14" t="n">
        <v>251.66</v>
      </c>
      <c r="K37" s="15" t="n">
        <v>0.6442</v>
      </c>
      <c r="L37" s="15" t="n">
        <v>0.3825</v>
      </c>
      <c r="M37" s="29" t="n">
        <v>47.83</v>
      </c>
    </row>
    <row r="38" customFormat="false" ht="15" hidden="false" customHeight="false" outlineLevel="0" collapsed="false">
      <c r="A38" s="24" t="n">
        <v>10102</v>
      </c>
      <c r="B38" s="8" t="s">
        <v>253</v>
      </c>
      <c r="C38" s="25" t="n">
        <v>150</v>
      </c>
      <c r="D38" s="25" t="n">
        <v>150</v>
      </c>
      <c r="E38" s="10" t="n">
        <v>0</v>
      </c>
      <c r="F38" s="10" t="n">
        <v>25440</v>
      </c>
      <c r="G38" s="10" t="n">
        <v>25440</v>
      </c>
      <c r="H38" s="10" t="n">
        <v>9029.505</v>
      </c>
      <c r="I38" s="10" t="n">
        <v>16410.5</v>
      </c>
      <c r="J38" s="10" t="n">
        <v>9421.62</v>
      </c>
      <c r="K38" s="11" t="n">
        <v>0.6451</v>
      </c>
      <c r="L38" s="11" t="n">
        <v>0.3703</v>
      </c>
      <c r="M38" s="26" t="n">
        <v>45</v>
      </c>
    </row>
    <row r="39" customFormat="false" ht="15" hidden="false" customHeight="false" outlineLevel="0" collapsed="false">
      <c r="A39" s="27" t="n">
        <v>10106</v>
      </c>
      <c r="B39" s="12" t="s">
        <v>254</v>
      </c>
      <c r="C39" s="28" t="n">
        <v>6</v>
      </c>
      <c r="D39" s="28" t="n">
        <v>6</v>
      </c>
      <c r="E39" s="14" t="n">
        <v>0</v>
      </c>
      <c r="F39" s="14" t="n">
        <v>94.92</v>
      </c>
      <c r="G39" s="14" t="n">
        <v>94.92</v>
      </c>
      <c r="H39" s="14" t="n">
        <v>27.42</v>
      </c>
      <c r="I39" s="14" t="n">
        <v>67.5</v>
      </c>
      <c r="J39" s="14" t="n">
        <v>46</v>
      </c>
      <c r="K39" s="15" t="n">
        <v>0.7111</v>
      </c>
      <c r="L39" s="15" t="n">
        <v>0.4846</v>
      </c>
      <c r="M39" s="29" t="n">
        <v>60</v>
      </c>
    </row>
    <row r="40" customFormat="false" ht="15" hidden="false" customHeight="false" outlineLevel="0" collapsed="false">
      <c r="A40" s="24" t="n">
        <v>10107</v>
      </c>
      <c r="B40" s="8" t="s">
        <v>40</v>
      </c>
      <c r="C40" s="25" t="n">
        <v>202</v>
      </c>
      <c r="D40" s="25" t="n">
        <v>202</v>
      </c>
      <c r="E40" s="10" t="n">
        <v>0</v>
      </c>
      <c r="F40" s="10" t="n">
        <v>32807.43</v>
      </c>
      <c r="G40" s="10" t="n">
        <v>32807.43</v>
      </c>
      <c r="H40" s="10" t="n">
        <v>12925.0701</v>
      </c>
      <c r="I40" s="10" t="n">
        <v>19882.36</v>
      </c>
      <c r="J40" s="10" t="n">
        <v>12379.14</v>
      </c>
      <c r="K40" s="11" t="n">
        <v>0.606</v>
      </c>
      <c r="L40" s="11" t="n">
        <v>0.3773</v>
      </c>
      <c r="M40" s="26" t="n">
        <v>41.93</v>
      </c>
    </row>
    <row r="41" customFormat="false" ht="15" hidden="false" customHeight="false" outlineLevel="0" collapsed="false">
      <c r="A41" s="27" t="n">
        <v>10108</v>
      </c>
      <c r="B41" s="12" t="s">
        <v>60</v>
      </c>
      <c r="C41" s="28" t="n">
        <v>36</v>
      </c>
      <c r="D41" s="28" t="n">
        <v>36</v>
      </c>
      <c r="E41" s="14" t="n">
        <v>0</v>
      </c>
      <c r="F41" s="14" t="n">
        <v>7579.16</v>
      </c>
      <c r="G41" s="14" t="n">
        <v>7579.16</v>
      </c>
      <c r="H41" s="14" t="n">
        <v>2274.3498</v>
      </c>
      <c r="I41" s="14" t="n">
        <v>5304.81</v>
      </c>
      <c r="J41" s="14" t="n">
        <v>3401.38</v>
      </c>
      <c r="K41" s="15" t="n">
        <v>0.6999</v>
      </c>
      <c r="L41" s="15" t="n">
        <v>0.4488</v>
      </c>
      <c r="M41" s="29" t="n">
        <v>56.36</v>
      </c>
    </row>
    <row r="42" customFormat="false" ht="15" hidden="false" customHeight="false" outlineLevel="0" collapsed="false">
      <c r="A42" s="24" t="n">
        <v>10109</v>
      </c>
      <c r="B42" s="8" t="s">
        <v>61</v>
      </c>
      <c r="C42" s="25" t="n">
        <v>202</v>
      </c>
      <c r="D42" s="25" t="n">
        <v>202</v>
      </c>
      <c r="E42" s="10" t="n">
        <v>0</v>
      </c>
      <c r="F42" s="10" t="n">
        <v>26909.66</v>
      </c>
      <c r="G42" s="10" t="n">
        <v>26909.66</v>
      </c>
      <c r="H42" s="10" t="n">
        <v>12209.47</v>
      </c>
      <c r="I42" s="10" t="n">
        <v>14700.19</v>
      </c>
      <c r="J42" s="10" t="n">
        <v>7506.91</v>
      </c>
      <c r="K42" s="11" t="n">
        <v>0.5463</v>
      </c>
      <c r="L42" s="11" t="n">
        <v>0.279</v>
      </c>
      <c r="M42" s="26" t="n">
        <v>36.38</v>
      </c>
    </row>
    <row r="43" customFormat="false" ht="15" hidden="false" customHeight="false" outlineLevel="0" collapsed="false">
      <c r="A43" s="27" t="n">
        <v>10110</v>
      </c>
      <c r="B43" s="12" t="s">
        <v>62</v>
      </c>
      <c r="C43" s="28" t="n">
        <v>60</v>
      </c>
      <c r="D43" s="28" t="n">
        <v>60</v>
      </c>
      <c r="E43" s="14" t="n">
        <v>0</v>
      </c>
      <c r="F43" s="14" t="n">
        <v>7945.61</v>
      </c>
      <c r="G43" s="14" t="n">
        <v>7945.61</v>
      </c>
      <c r="H43" s="14" t="n">
        <v>3206.1901</v>
      </c>
      <c r="I43" s="14" t="n">
        <v>4739.42</v>
      </c>
      <c r="J43" s="14" t="n">
        <v>2635.36</v>
      </c>
      <c r="K43" s="15" t="n">
        <v>0.5965</v>
      </c>
      <c r="L43" s="15" t="n">
        <v>0.3317</v>
      </c>
      <c r="M43" s="29" t="n">
        <v>35.96</v>
      </c>
    </row>
    <row r="44" customFormat="false" ht="15" hidden="false" customHeight="false" outlineLevel="0" collapsed="false">
      <c r="A44" s="24" t="n">
        <v>10114</v>
      </c>
      <c r="B44" s="8" t="s">
        <v>63</v>
      </c>
      <c r="C44" s="25" t="n">
        <v>61</v>
      </c>
      <c r="D44" s="25" t="n">
        <v>61</v>
      </c>
      <c r="E44" s="10" t="n">
        <v>96.38</v>
      </c>
      <c r="F44" s="10" t="n">
        <v>3979</v>
      </c>
      <c r="G44" s="10" t="n">
        <v>4075.38</v>
      </c>
      <c r="H44" s="10" t="n">
        <v>1465.79</v>
      </c>
      <c r="I44" s="10" t="n">
        <v>2609.59</v>
      </c>
      <c r="J44" s="10" t="n">
        <v>2028.14</v>
      </c>
      <c r="K44" s="11" t="n">
        <v>0.6403</v>
      </c>
      <c r="L44" s="11" t="n">
        <v>0.4977</v>
      </c>
      <c r="M44" s="26" t="n">
        <v>31.11</v>
      </c>
    </row>
    <row r="45" customFormat="false" ht="15" hidden="false" customHeight="false" outlineLevel="0" collapsed="false">
      <c r="A45" s="27" t="n">
        <v>10121</v>
      </c>
      <c r="B45" s="12" t="s">
        <v>64</v>
      </c>
      <c r="C45" s="28" t="n">
        <v>303</v>
      </c>
      <c r="D45" s="28" t="n">
        <v>303</v>
      </c>
      <c r="E45" s="14" t="n">
        <v>0</v>
      </c>
      <c r="F45" s="14" t="n">
        <v>10182.88</v>
      </c>
      <c r="G45" s="14" t="n">
        <v>10182.88</v>
      </c>
      <c r="H45" s="14" t="n">
        <v>5492.3401</v>
      </c>
      <c r="I45" s="14" t="n">
        <v>4690.54</v>
      </c>
      <c r="J45" s="14" t="n">
        <v>1893.12</v>
      </c>
      <c r="K45" s="15" t="n">
        <v>0.4606</v>
      </c>
      <c r="L45" s="15" t="n">
        <v>0.1859</v>
      </c>
      <c r="M45" s="29" t="n">
        <v>44.01</v>
      </c>
    </row>
    <row r="46" customFormat="false" ht="15" hidden="false" customHeight="false" outlineLevel="0" collapsed="false">
      <c r="A46" s="24" t="n">
        <v>10126</v>
      </c>
      <c r="B46" s="8" t="s">
        <v>67</v>
      </c>
      <c r="C46" s="25" t="n">
        <v>122</v>
      </c>
      <c r="D46" s="25" t="n">
        <v>122</v>
      </c>
      <c r="E46" s="10" t="n">
        <v>594.2</v>
      </c>
      <c r="F46" s="10" t="n">
        <v>6655.04</v>
      </c>
      <c r="G46" s="10" t="n">
        <v>7249.24</v>
      </c>
      <c r="H46" s="10" t="n">
        <v>2772.92</v>
      </c>
      <c r="I46" s="10" t="n">
        <v>4476.32</v>
      </c>
      <c r="J46" s="10" t="n">
        <v>2745.29</v>
      </c>
      <c r="K46" s="11" t="n">
        <v>0.6175</v>
      </c>
      <c r="L46" s="11" t="n">
        <v>0.3787</v>
      </c>
      <c r="M46" s="26" t="n">
        <v>38.21</v>
      </c>
    </row>
    <row r="47" customFormat="false" ht="15" hidden="false" customHeight="false" outlineLevel="0" collapsed="false">
      <c r="A47" s="27" t="n">
        <v>10127</v>
      </c>
      <c r="B47" s="12" t="s">
        <v>68</v>
      </c>
      <c r="C47" s="28" t="n">
        <v>69</v>
      </c>
      <c r="D47" s="28" t="n">
        <v>69</v>
      </c>
      <c r="E47" s="14" t="n">
        <v>0</v>
      </c>
      <c r="F47" s="14" t="n">
        <v>6216.58</v>
      </c>
      <c r="G47" s="14" t="n">
        <v>6216.58</v>
      </c>
      <c r="H47" s="14" t="n">
        <v>1379.2004</v>
      </c>
      <c r="I47" s="14" t="n">
        <v>4837.38</v>
      </c>
      <c r="J47" s="14" t="n">
        <v>3942.8</v>
      </c>
      <c r="K47" s="15" t="n">
        <v>0.7781</v>
      </c>
      <c r="L47" s="15" t="n">
        <v>0.6342</v>
      </c>
      <c r="M47" s="29" t="n">
        <v>29.72</v>
      </c>
    </row>
    <row r="48" customFormat="false" ht="15" hidden="false" customHeight="false" outlineLevel="0" collapsed="false">
      <c r="A48" s="24" t="n">
        <v>10136</v>
      </c>
      <c r="B48" s="8" t="s">
        <v>69</v>
      </c>
      <c r="C48" s="25" t="n">
        <v>8</v>
      </c>
      <c r="D48" s="25" t="n">
        <v>8</v>
      </c>
      <c r="E48" s="10" t="n">
        <v>0</v>
      </c>
      <c r="F48" s="10" t="n">
        <v>1531.02</v>
      </c>
      <c r="G48" s="10" t="n">
        <v>1531.02</v>
      </c>
      <c r="H48" s="10" t="n">
        <v>845.79</v>
      </c>
      <c r="I48" s="10" t="n">
        <v>685.23</v>
      </c>
      <c r="J48" s="10" t="n">
        <v>264.64</v>
      </c>
      <c r="K48" s="11" t="n">
        <v>0.4476</v>
      </c>
      <c r="L48" s="11" t="n">
        <v>0.1729</v>
      </c>
      <c r="M48" s="26" t="n">
        <v>44.52</v>
      </c>
    </row>
    <row r="49" customFormat="false" ht="15" hidden="false" customHeight="false" outlineLevel="0" collapsed="false">
      <c r="A49" s="27" t="n">
        <v>10137</v>
      </c>
      <c r="B49" s="12" t="s">
        <v>70</v>
      </c>
      <c r="C49" s="28" t="n">
        <v>2</v>
      </c>
      <c r="D49" s="28" t="n">
        <v>2</v>
      </c>
      <c r="E49" s="14" t="n">
        <v>0</v>
      </c>
      <c r="F49" s="14" t="n">
        <v>376.44</v>
      </c>
      <c r="G49" s="14" t="n">
        <v>376.44</v>
      </c>
      <c r="H49" s="14" t="n">
        <v>186.44</v>
      </c>
      <c r="I49" s="14" t="n">
        <v>190</v>
      </c>
      <c r="J49" s="14" t="n">
        <v>104.72</v>
      </c>
      <c r="K49" s="15" t="n">
        <v>0.5047</v>
      </c>
      <c r="L49" s="15" t="n">
        <v>0.2782</v>
      </c>
      <c r="M49" s="29" t="n">
        <v>7</v>
      </c>
    </row>
    <row r="50" customFormat="false" ht="15" hidden="false" customHeight="false" outlineLevel="0" collapsed="false">
      <c r="A50" s="24" t="n">
        <v>10139</v>
      </c>
      <c r="B50" s="8" t="s">
        <v>71</v>
      </c>
      <c r="C50" s="25" t="n">
        <v>21</v>
      </c>
      <c r="D50" s="25" t="n">
        <v>21</v>
      </c>
      <c r="E50" s="10" t="n">
        <v>0</v>
      </c>
      <c r="F50" s="10" t="n">
        <v>15475.74</v>
      </c>
      <c r="G50" s="10" t="n">
        <v>15475.74</v>
      </c>
      <c r="H50" s="10" t="n">
        <v>5585.4899</v>
      </c>
      <c r="I50" s="10" t="n">
        <v>9890.25</v>
      </c>
      <c r="J50" s="10" t="n">
        <v>5638.77</v>
      </c>
      <c r="K50" s="11" t="n">
        <v>0.6391</v>
      </c>
      <c r="L50" s="11" t="n">
        <v>0.3644</v>
      </c>
      <c r="M50" s="26" t="n">
        <v>48.82</v>
      </c>
    </row>
    <row r="51" customFormat="false" ht="15" hidden="false" customHeight="false" outlineLevel="0" collapsed="false">
      <c r="A51" s="27" t="n">
        <v>10141</v>
      </c>
      <c r="B51" s="12" t="s">
        <v>72</v>
      </c>
      <c r="C51" s="28" t="n">
        <v>520</v>
      </c>
      <c r="D51" s="28" t="n">
        <v>520</v>
      </c>
      <c r="E51" s="14" t="n">
        <v>0</v>
      </c>
      <c r="F51" s="14" t="n">
        <v>32526.42</v>
      </c>
      <c r="G51" s="14" t="n">
        <v>32526.42</v>
      </c>
      <c r="H51" s="14" t="n">
        <v>12827.2529</v>
      </c>
      <c r="I51" s="14" t="n">
        <v>19699.17</v>
      </c>
      <c r="J51" s="14" t="n">
        <v>10921.47</v>
      </c>
      <c r="K51" s="15" t="n">
        <v>0.6056</v>
      </c>
      <c r="L51" s="15" t="n">
        <v>0.3358</v>
      </c>
      <c r="M51" s="29" t="n">
        <v>47.7</v>
      </c>
    </row>
    <row r="52" customFormat="false" ht="15" hidden="false" customHeight="false" outlineLevel="0" collapsed="false">
      <c r="A52" s="24" t="n">
        <v>10143</v>
      </c>
      <c r="B52" s="8" t="s">
        <v>74</v>
      </c>
      <c r="C52" s="25" t="n">
        <v>12</v>
      </c>
      <c r="D52" s="25" t="n">
        <v>12</v>
      </c>
      <c r="E52" s="10" t="n">
        <v>0</v>
      </c>
      <c r="F52" s="10" t="n">
        <v>1930.66</v>
      </c>
      <c r="G52" s="10" t="n">
        <v>1930.66</v>
      </c>
      <c r="H52" s="10" t="n">
        <v>1085.41</v>
      </c>
      <c r="I52" s="10" t="n">
        <v>845.25</v>
      </c>
      <c r="J52" s="10" t="n">
        <v>314.86</v>
      </c>
      <c r="K52" s="11" t="n">
        <v>0.4378</v>
      </c>
      <c r="L52" s="11" t="n">
        <v>0.1631</v>
      </c>
      <c r="M52" s="26" t="n">
        <v>42.07</v>
      </c>
    </row>
    <row r="53" customFormat="false" ht="15" hidden="false" customHeight="false" outlineLevel="0" collapsed="false">
      <c r="A53" s="27" t="n">
        <v>10145</v>
      </c>
      <c r="B53" s="12" t="s">
        <v>63</v>
      </c>
      <c r="C53" s="28" t="n">
        <v>37</v>
      </c>
      <c r="D53" s="28" t="n">
        <v>37</v>
      </c>
      <c r="E53" s="14" t="n">
        <v>0</v>
      </c>
      <c r="F53" s="14" t="n">
        <v>2415.35</v>
      </c>
      <c r="G53" s="14" t="n">
        <v>2415.35</v>
      </c>
      <c r="H53" s="14" t="n">
        <v>1086.1502</v>
      </c>
      <c r="I53" s="14" t="n">
        <v>1329.2</v>
      </c>
      <c r="J53" s="14" t="n">
        <v>665.63</v>
      </c>
      <c r="K53" s="15" t="n">
        <v>0.5503</v>
      </c>
      <c r="L53" s="15" t="n">
        <v>0.2756</v>
      </c>
      <c r="M53" s="29" t="n">
        <v>45.11</v>
      </c>
    </row>
    <row r="54" customFormat="false" ht="15" hidden="false" customHeight="false" outlineLevel="0" collapsed="false">
      <c r="A54" s="24" t="n">
        <v>10147</v>
      </c>
      <c r="B54" s="8" t="s">
        <v>75</v>
      </c>
      <c r="C54" s="25" t="n">
        <v>15</v>
      </c>
      <c r="D54" s="25" t="n">
        <v>15</v>
      </c>
      <c r="E54" s="10" t="n">
        <v>0</v>
      </c>
      <c r="F54" s="10" t="n">
        <v>4974.15</v>
      </c>
      <c r="G54" s="10" t="n">
        <v>4974.15</v>
      </c>
      <c r="H54" s="10" t="n">
        <v>2431.24</v>
      </c>
      <c r="I54" s="10" t="n">
        <v>2542.91</v>
      </c>
      <c r="J54" s="10" t="n">
        <v>1176.41</v>
      </c>
      <c r="K54" s="11" t="n">
        <v>0.5112</v>
      </c>
      <c r="L54" s="11" t="n">
        <v>0.2365</v>
      </c>
      <c r="M54" s="26" t="n">
        <v>50</v>
      </c>
    </row>
    <row r="55" customFormat="false" ht="15" hidden="false" customHeight="false" outlineLevel="0" collapsed="false">
      <c r="A55" s="27" t="n">
        <v>10148</v>
      </c>
      <c r="B55" s="12" t="s">
        <v>76</v>
      </c>
      <c r="C55" s="28" t="n">
        <v>48</v>
      </c>
      <c r="D55" s="28" t="n">
        <v>48</v>
      </c>
      <c r="E55" s="14" t="n">
        <v>0</v>
      </c>
      <c r="F55" s="14" t="n">
        <v>18639.84</v>
      </c>
      <c r="G55" s="14" t="n">
        <v>18639.84</v>
      </c>
      <c r="H55" s="14" t="n">
        <v>3412.0898</v>
      </c>
      <c r="I55" s="14" t="n">
        <v>15227.75</v>
      </c>
      <c r="J55" s="14" t="n">
        <v>10705.72</v>
      </c>
      <c r="K55" s="15" t="n">
        <v>0.8169</v>
      </c>
      <c r="L55" s="15" t="n">
        <v>0.5743</v>
      </c>
      <c r="M55" s="29" t="n">
        <v>36.67</v>
      </c>
    </row>
    <row r="56" customFormat="false" ht="15" hidden="false" customHeight="false" outlineLevel="0" collapsed="false">
      <c r="A56" s="24" t="n">
        <v>10149</v>
      </c>
      <c r="B56" s="8" t="s">
        <v>77</v>
      </c>
      <c r="C56" s="25" t="n">
        <v>106</v>
      </c>
      <c r="D56" s="25" t="n">
        <v>106</v>
      </c>
      <c r="E56" s="10" t="n">
        <v>0</v>
      </c>
      <c r="F56" s="10" t="n">
        <v>5299.4</v>
      </c>
      <c r="G56" s="10" t="n">
        <v>5299.4</v>
      </c>
      <c r="H56" s="10" t="n">
        <v>3206.3084</v>
      </c>
      <c r="I56" s="10" t="n">
        <v>2093.09</v>
      </c>
      <c r="J56" s="10" t="n">
        <v>1116.48</v>
      </c>
      <c r="K56" s="11" t="n">
        <v>0.395</v>
      </c>
      <c r="L56" s="11" t="n">
        <v>0.2107</v>
      </c>
      <c r="M56" s="26" t="n">
        <v>33.34</v>
      </c>
    </row>
    <row r="57" customFormat="false" ht="15" hidden="false" customHeight="false" outlineLevel="0" collapsed="false">
      <c r="A57" s="27" t="n">
        <v>10150</v>
      </c>
      <c r="B57" s="12" t="s">
        <v>78</v>
      </c>
      <c r="C57" s="28" t="n">
        <v>10</v>
      </c>
      <c r="D57" s="28" t="n">
        <v>10</v>
      </c>
      <c r="E57" s="14" t="n">
        <v>0</v>
      </c>
      <c r="F57" s="14" t="n">
        <v>713.55</v>
      </c>
      <c r="G57" s="14" t="n">
        <v>713.55</v>
      </c>
      <c r="H57" s="14" t="n">
        <v>271.1901</v>
      </c>
      <c r="I57" s="14" t="n">
        <v>442.36</v>
      </c>
      <c r="J57" s="14" t="n">
        <v>246.33</v>
      </c>
      <c r="K57" s="15" t="n">
        <v>0.6199</v>
      </c>
      <c r="L57" s="15" t="n">
        <v>0.3452</v>
      </c>
      <c r="M57" s="29" t="n">
        <v>29.16</v>
      </c>
    </row>
    <row r="58" customFormat="false" ht="15" hidden="false" customHeight="false" outlineLevel="0" collapsed="false">
      <c r="A58" s="24" t="n">
        <v>10151</v>
      </c>
      <c r="B58" s="8" t="s">
        <v>79</v>
      </c>
      <c r="C58" s="25" t="n">
        <v>40</v>
      </c>
      <c r="D58" s="25" t="n">
        <v>40</v>
      </c>
      <c r="E58" s="10" t="n">
        <v>0</v>
      </c>
      <c r="F58" s="10" t="n">
        <v>13758.5</v>
      </c>
      <c r="G58" s="10" t="n">
        <v>13758.5</v>
      </c>
      <c r="H58" s="10" t="n">
        <v>2940.909</v>
      </c>
      <c r="I58" s="10" t="n">
        <v>10817.59</v>
      </c>
      <c r="J58" s="10" t="n">
        <v>8519.81</v>
      </c>
      <c r="K58" s="11" t="n">
        <v>0.7862</v>
      </c>
      <c r="L58" s="11" t="n">
        <v>0.6192</v>
      </c>
      <c r="M58" s="26" t="n">
        <v>41.5</v>
      </c>
    </row>
    <row r="59" customFormat="false" ht="15" hidden="false" customHeight="false" outlineLevel="0" collapsed="false">
      <c r="A59" s="27" t="n">
        <v>10152</v>
      </c>
      <c r="B59" s="12" t="s">
        <v>80</v>
      </c>
      <c r="C59" s="28" t="n">
        <v>85</v>
      </c>
      <c r="D59" s="28" t="n">
        <v>85</v>
      </c>
      <c r="E59" s="14" t="n">
        <v>0</v>
      </c>
      <c r="F59" s="14" t="n">
        <v>6418.69</v>
      </c>
      <c r="G59" s="14" t="n">
        <v>6418.69</v>
      </c>
      <c r="H59" s="14" t="n">
        <v>2639.9096</v>
      </c>
      <c r="I59" s="14" t="n">
        <v>3778.78</v>
      </c>
      <c r="J59" s="14" t="n">
        <v>1992.79</v>
      </c>
      <c r="K59" s="15" t="n">
        <v>0.5887</v>
      </c>
      <c r="L59" s="15" t="n">
        <v>0.3105</v>
      </c>
      <c r="M59" s="29" t="n">
        <v>46.39</v>
      </c>
    </row>
    <row r="60" customFormat="false" ht="15" hidden="false" customHeight="false" outlineLevel="0" collapsed="false">
      <c r="A60" s="24" t="n">
        <v>10154</v>
      </c>
      <c r="B60" s="8" t="s">
        <v>81</v>
      </c>
      <c r="C60" s="25" t="n">
        <v>35</v>
      </c>
      <c r="D60" s="25" t="n">
        <v>35</v>
      </c>
      <c r="E60" s="10" t="n">
        <v>0</v>
      </c>
      <c r="F60" s="10" t="n">
        <v>8166.65</v>
      </c>
      <c r="G60" s="10" t="n">
        <v>8166.65</v>
      </c>
      <c r="H60" s="10" t="n">
        <v>3654</v>
      </c>
      <c r="I60" s="10" t="n">
        <v>4512.65</v>
      </c>
      <c r="J60" s="10" t="n">
        <v>2430.03</v>
      </c>
      <c r="K60" s="11" t="n">
        <v>0.5526</v>
      </c>
      <c r="L60" s="11" t="n">
        <v>0.2976</v>
      </c>
      <c r="M60" s="26" t="n">
        <v>41.31</v>
      </c>
    </row>
    <row r="61" customFormat="false" ht="15" hidden="false" customHeight="false" outlineLevel="0" collapsed="false">
      <c r="A61" s="27" t="n">
        <v>10161</v>
      </c>
      <c r="B61" s="12" t="s">
        <v>314</v>
      </c>
      <c r="C61" s="28" t="n">
        <v>3</v>
      </c>
      <c r="D61" s="28" t="n">
        <v>3</v>
      </c>
      <c r="E61" s="14" t="n">
        <v>0</v>
      </c>
      <c r="F61" s="14" t="n">
        <v>137.46</v>
      </c>
      <c r="G61" s="14" t="n">
        <v>137.46</v>
      </c>
      <c r="H61" s="14" t="n">
        <v>51.7101</v>
      </c>
      <c r="I61" s="14" t="n">
        <v>85.75</v>
      </c>
      <c r="J61" s="14" t="n">
        <v>47.99</v>
      </c>
      <c r="K61" s="15" t="n">
        <v>0.6238</v>
      </c>
      <c r="L61" s="15" t="n">
        <v>0.3491</v>
      </c>
      <c r="M61" s="29" t="n">
        <v>35</v>
      </c>
    </row>
    <row r="62" customFormat="false" ht="15" hidden="false" customHeight="false" outlineLevel="0" collapsed="false">
      <c r="A62" s="24" t="n">
        <v>10164</v>
      </c>
      <c r="B62" s="8" t="s">
        <v>83</v>
      </c>
      <c r="C62" s="25" t="n">
        <v>114</v>
      </c>
      <c r="D62" s="25" t="n">
        <v>114</v>
      </c>
      <c r="E62" s="10" t="n">
        <v>0</v>
      </c>
      <c r="F62" s="10" t="n">
        <v>35262</v>
      </c>
      <c r="G62" s="10" t="n">
        <v>35262</v>
      </c>
      <c r="H62" s="10" t="n">
        <v>10172.2221</v>
      </c>
      <c r="I62" s="10" t="n">
        <v>25089.78</v>
      </c>
      <c r="J62" s="10" t="n">
        <v>15575.01</v>
      </c>
      <c r="K62" s="11" t="n">
        <v>0.7115</v>
      </c>
      <c r="L62" s="11" t="n">
        <v>0.4417</v>
      </c>
      <c r="M62" s="26" t="n">
        <v>45.81</v>
      </c>
    </row>
    <row r="63" customFormat="false" ht="15" hidden="false" customHeight="false" outlineLevel="0" collapsed="false">
      <c r="A63" s="27" t="n">
        <v>10170</v>
      </c>
      <c r="B63" s="12" t="s">
        <v>84</v>
      </c>
      <c r="C63" s="28" t="n">
        <v>130</v>
      </c>
      <c r="D63" s="28" t="n">
        <v>130</v>
      </c>
      <c r="E63" s="14" t="n">
        <v>0</v>
      </c>
      <c r="F63" s="14" t="n">
        <v>2184</v>
      </c>
      <c r="G63" s="14" t="n">
        <v>2184</v>
      </c>
      <c r="H63" s="14" t="n">
        <v>1056.671</v>
      </c>
      <c r="I63" s="14" t="n">
        <v>1127.33</v>
      </c>
      <c r="J63" s="14" t="n">
        <v>527.34</v>
      </c>
      <c r="K63" s="15" t="n">
        <v>0.5162</v>
      </c>
      <c r="L63" s="15" t="n">
        <v>0.2415</v>
      </c>
      <c r="M63" s="29" t="n">
        <v>50</v>
      </c>
    </row>
    <row r="64" customFormat="false" ht="15" hidden="false" customHeight="false" outlineLevel="0" collapsed="false">
      <c r="A64" s="24" t="n">
        <v>10176</v>
      </c>
      <c r="B64" s="8" t="s">
        <v>75</v>
      </c>
      <c r="C64" s="25" t="n">
        <v>173</v>
      </c>
      <c r="D64" s="25" t="n">
        <v>173</v>
      </c>
      <c r="E64" s="10" t="n">
        <v>0</v>
      </c>
      <c r="F64" s="10" t="n">
        <v>54708.7</v>
      </c>
      <c r="G64" s="10" t="n">
        <v>54708.7</v>
      </c>
      <c r="H64" s="10" t="n">
        <v>15512.7112</v>
      </c>
      <c r="I64" s="10" t="n">
        <v>39195.99</v>
      </c>
      <c r="J64" s="10" t="n">
        <v>26452.91</v>
      </c>
      <c r="K64" s="11" t="n">
        <v>0.7164</v>
      </c>
      <c r="L64" s="11" t="n">
        <v>0.4835</v>
      </c>
      <c r="M64" s="26" t="n">
        <v>43.03</v>
      </c>
    </row>
    <row r="65" customFormat="false" ht="15" hidden="false" customHeight="false" outlineLevel="0" collapsed="false">
      <c r="A65" s="27" t="n">
        <v>10178</v>
      </c>
      <c r="B65" s="12" t="s">
        <v>85</v>
      </c>
      <c r="C65" s="28" t="n">
        <v>132</v>
      </c>
      <c r="D65" s="28" t="n">
        <v>132</v>
      </c>
      <c r="E65" s="14" t="n">
        <v>775.2</v>
      </c>
      <c r="F65" s="14" t="n">
        <v>6807.93</v>
      </c>
      <c r="G65" s="14" t="n">
        <v>7583.13</v>
      </c>
      <c r="H65" s="14" t="n">
        <v>1153.822</v>
      </c>
      <c r="I65" s="14" t="n">
        <v>6429.31</v>
      </c>
      <c r="J65" s="14" t="n">
        <v>4301.36</v>
      </c>
      <c r="K65" s="15" t="n">
        <v>0.8478</v>
      </c>
      <c r="L65" s="15" t="n">
        <v>0.5672</v>
      </c>
      <c r="M65" s="29" t="n">
        <v>45.1</v>
      </c>
    </row>
    <row r="66" customFormat="false" ht="15" hidden="false" customHeight="false" outlineLevel="0" collapsed="false">
      <c r="A66" s="24" t="n">
        <v>10180</v>
      </c>
      <c r="B66" s="8" t="s">
        <v>86</v>
      </c>
      <c r="C66" s="25" t="n">
        <v>40</v>
      </c>
      <c r="D66" s="25" t="n">
        <v>40</v>
      </c>
      <c r="E66" s="10" t="n">
        <v>0</v>
      </c>
      <c r="F66" s="10" t="n">
        <v>2196.8</v>
      </c>
      <c r="G66" s="10" t="n">
        <v>2196.8</v>
      </c>
      <c r="H66" s="10" t="n">
        <v>1486.6</v>
      </c>
      <c r="I66" s="10" t="n">
        <v>710.2</v>
      </c>
      <c r="J66" s="10" t="n">
        <v>97.07</v>
      </c>
      <c r="K66" s="11" t="n">
        <v>0.3233</v>
      </c>
      <c r="L66" s="11" t="n">
        <v>0.0442</v>
      </c>
      <c r="M66" s="26" t="n">
        <v>50</v>
      </c>
    </row>
    <row r="67" customFormat="false" ht="15" hidden="false" customHeight="false" outlineLevel="0" collapsed="false">
      <c r="A67" s="27" t="n">
        <v>10182</v>
      </c>
      <c r="B67" s="12" t="s">
        <v>87</v>
      </c>
      <c r="C67" s="28" t="n">
        <v>3</v>
      </c>
      <c r="D67" s="28" t="n">
        <v>3</v>
      </c>
      <c r="E67" s="14" t="n">
        <v>0</v>
      </c>
      <c r="F67" s="14" t="n">
        <v>592.4</v>
      </c>
      <c r="G67" s="14" t="n">
        <v>592.4</v>
      </c>
      <c r="H67" s="14" t="n">
        <v>177.21</v>
      </c>
      <c r="I67" s="14" t="n">
        <v>415.19</v>
      </c>
      <c r="J67" s="14" t="n">
        <v>251.91</v>
      </c>
      <c r="K67" s="15" t="n">
        <v>0.7009</v>
      </c>
      <c r="L67" s="15" t="n">
        <v>0.4252</v>
      </c>
      <c r="M67" s="29" t="n">
        <v>52.58</v>
      </c>
    </row>
    <row r="68" customFormat="false" ht="15" hidden="false" customHeight="false" outlineLevel="0" collapsed="false">
      <c r="A68" s="24" t="n">
        <v>10188</v>
      </c>
      <c r="B68" s="8" t="s">
        <v>88</v>
      </c>
      <c r="C68" s="25" t="n">
        <v>80</v>
      </c>
      <c r="D68" s="25" t="n">
        <v>80</v>
      </c>
      <c r="E68" s="10" t="n">
        <v>0</v>
      </c>
      <c r="F68" s="10" t="n">
        <v>328</v>
      </c>
      <c r="G68" s="10" t="n">
        <v>328</v>
      </c>
      <c r="H68" s="10" t="n">
        <v>117.26</v>
      </c>
      <c r="I68" s="10" t="n">
        <v>210.74</v>
      </c>
      <c r="J68" s="10" t="n">
        <v>119.18</v>
      </c>
      <c r="K68" s="11" t="n">
        <v>0.6425</v>
      </c>
      <c r="L68" s="11" t="n">
        <v>0.3634</v>
      </c>
      <c r="M68" s="26" t="n">
        <v>45</v>
      </c>
    </row>
    <row r="69" customFormat="false" ht="15" hidden="false" customHeight="false" outlineLevel="0" collapsed="false">
      <c r="A69" s="27" t="n">
        <v>10189</v>
      </c>
      <c r="B69" s="12" t="s">
        <v>89</v>
      </c>
      <c r="C69" s="28" t="n">
        <v>92</v>
      </c>
      <c r="D69" s="28" t="n">
        <v>92</v>
      </c>
      <c r="E69" s="14" t="n">
        <v>0</v>
      </c>
      <c r="F69" s="14" t="n">
        <v>377.2</v>
      </c>
      <c r="G69" s="14" t="n">
        <v>377.2</v>
      </c>
      <c r="H69" s="14" t="n">
        <v>148.4116</v>
      </c>
      <c r="I69" s="14" t="n">
        <v>228.79</v>
      </c>
      <c r="J69" s="14" t="n">
        <v>123.52</v>
      </c>
      <c r="K69" s="15" t="n">
        <v>0.6065</v>
      </c>
      <c r="L69" s="15" t="n">
        <v>0.3275</v>
      </c>
      <c r="M69" s="29" t="n">
        <v>45</v>
      </c>
    </row>
    <row r="70" customFormat="false" ht="15" hidden="false" customHeight="false" outlineLevel="0" collapsed="false">
      <c r="A70" s="24" t="n">
        <v>10191</v>
      </c>
      <c r="B70" s="8" t="s">
        <v>90</v>
      </c>
      <c r="C70" s="25" t="n">
        <v>40</v>
      </c>
      <c r="D70" s="25" t="n">
        <v>40</v>
      </c>
      <c r="E70" s="10" t="n">
        <v>0</v>
      </c>
      <c r="F70" s="10" t="n">
        <v>725.6</v>
      </c>
      <c r="G70" s="10" t="n">
        <v>725.6</v>
      </c>
      <c r="H70" s="10" t="n">
        <v>175.24</v>
      </c>
      <c r="I70" s="10" t="n">
        <v>550.36</v>
      </c>
      <c r="J70" s="10" t="n">
        <v>347.85</v>
      </c>
      <c r="K70" s="11" t="n">
        <v>0.7585</v>
      </c>
      <c r="L70" s="11" t="n">
        <v>0.4794</v>
      </c>
      <c r="M70" s="26" t="n">
        <v>45</v>
      </c>
    </row>
    <row r="71" customFormat="false" ht="15" hidden="false" customHeight="false" outlineLevel="0" collapsed="false">
      <c r="A71" s="27" t="n">
        <v>10193</v>
      </c>
      <c r="B71" s="12" t="s">
        <v>91</v>
      </c>
      <c r="C71" s="28" t="n">
        <v>30</v>
      </c>
      <c r="D71" s="28" t="n">
        <v>30</v>
      </c>
      <c r="E71" s="14" t="n">
        <v>0</v>
      </c>
      <c r="F71" s="14" t="n">
        <v>2610</v>
      </c>
      <c r="G71" s="14" t="n">
        <v>2610</v>
      </c>
      <c r="H71" s="14" t="n">
        <v>846.24</v>
      </c>
      <c r="I71" s="14" t="n">
        <v>1763.76</v>
      </c>
      <c r="J71" s="14" t="n">
        <v>1035.32</v>
      </c>
      <c r="K71" s="15" t="n">
        <v>0.6758</v>
      </c>
      <c r="L71" s="15" t="n">
        <v>0.3967</v>
      </c>
      <c r="M71" s="29" t="n">
        <v>45</v>
      </c>
    </row>
    <row r="72" customFormat="false" ht="15" hidden="false" customHeight="false" outlineLevel="0" collapsed="false">
      <c r="A72" s="24" t="n">
        <v>10197</v>
      </c>
      <c r="B72" s="8" t="s">
        <v>92</v>
      </c>
      <c r="C72" s="25" t="n">
        <v>5</v>
      </c>
      <c r="D72" s="25" t="n">
        <v>5</v>
      </c>
      <c r="E72" s="10" t="n">
        <v>0</v>
      </c>
      <c r="F72" s="10" t="n">
        <v>2386.8</v>
      </c>
      <c r="G72" s="10" t="n">
        <v>2386.8</v>
      </c>
      <c r="H72" s="10" t="n">
        <v>1146.55</v>
      </c>
      <c r="I72" s="10" t="n">
        <v>1240.25</v>
      </c>
      <c r="J72" s="10" t="n">
        <v>661.21</v>
      </c>
      <c r="K72" s="11" t="n">
        <v>0.5196</v>
      </c>
      <c r="L72" s="11" t="n">
        <v>0.277</v>
      </c>
      <c r="M72" s="26" t="n">
        <v>31</v>
      </c>
    </row>
    <row r="73" customFormat="false" ht="15" hidden="false" customHeight="false" outlineLevel="0" collapsed="false">
      <c r="A73" s="27" t="n">
        <v>10199</v>
      </c>
      <c r="B73" s="12" t="s">
        <v>93</v>
      </c>
      <c r="C73" s="28" t="n">
        <v>13</v>
      </c>
      <c r="D73" s="28" t="n">
        <v>13</v>
      </c>
      <c r="E73" s="14" t="n">
        <v>0</v>
      </c>
      <c r="F73" s="14" t="n">
        <v>4261.2</v>
      </c>
      <c r="G73" s="14" t="n">
        <v>4261.2</v>
      </c>
      <c r="H73" s="14" t="n">
        <v>2723.75</v>
      </c>
      <c r="I73" s="14" t="n">
        <v>1537.45</v>
      </c>
      <c r="J73" s="14" t="n">
        <v>366.82</v>
      </c>
      <c r="K73" s="15" t="n">
        <v>0.3608</v>
      </c>
      <c r="L73" s="15" t="n">
        <v>0.0861</v>
      </c>
      <c r="M73" s="29" t="n">
        <v>53.81</v>
      </c>
    </row>
    <row r="74" customFormat="false" ht="15" hidden="false" customHeight="false" outlineLevel="0" collapsed="false">
      <c r="A74" s="24" t="n">
        <v>10200</v>
      </c>
      <c r="B74" s="8" t="s">
        <v>94</v>
      </c>
      <c r="C74" s="25" t="n">
        <v>228</v>
      </c>
      <c r="D74" s="25" t="n">
        <v>228</v>
      </c>
      <c r="E74" s="10" t="n">
        <v>0</v>
      </c>
      <c r="F74" s="10" t="n">
        <v>5543.14</v>
      </c>
      <c r="G74" s="10" t="n">
        <v>5543.14</v>
      </c>
      <c r="H74" s="10" t="n">
        <v>1682.1561</v>
      </c>
      <c r="I74" s="10" t="n">
        <v>3860.99</v>
      </c>
      <c r="J74" s="10" t="n">
        <v>2338.16</v>
      </c>
      <c r="K74" s="11" t="n">
        <v>0.6965</v>
      </c>
      <c r="L74" s="11" t="n">
        <v>0.4218</v>
      </c>
      <c r="M74" s="26" t="n">
        <v>34.28</v>
      </c>
    </row>
    <row r="75" customFormat="false" ht="15" hidden="false" customHeight="false" outlineLevel="0" collapsed="false">
      <c r="A75" s="27" t="n">
        <v>10201</v>
      </c>
      <c r="B75" s="12" t="s">
        <v>79</v>
      </c>
      <c r="C75" s="28" t="n">
        <v>128</v>
      </c>
      <c r="D75" s="28" t="n">
        <v>128</v>
      </c>
      <c r="E75" s="14" t="n">
        <v>642</v>
      </c>
      <c r="F75" s="14" t="n">
        <v>35688.81</v>
      </c>
      <c r="G75" s="14" t="n">
        <v>36330.81</v>
      </c>
      <c r="H75" s="14" t="n">
        <v>32550.9129</v>
      </c>
      <c r="I75" s="14" t="n">
        <v>3779.9</v>
      </c>
      <c r="J75" s="14" t="n">
        <v>-2058.61</v>
      </c>
      <c r="K75" s="15" t="n">
        <v>0.104</v>
      </c>
      <c r="L75" s="15" t="n">
        <v>-0.0567</v>
      </c>
      <c r="M75" s="29" t="n">
        <v>46.4</v>
      </c>
    </row>
    <row r="76" customFormat="false" ht="15" hidden="false" customHeight="false" outlineLevel="0" collapsed="false">
      <c r="A76" s="24" t="n">
        <v>10202</v>
      </c>
      <c r="B76" s="8" t="s">
        <v>95</v>
      </c>
      <c r="C76" s="25" t="n">
        <v>794</v>
      </c>
      <c r="D76" s="25" t="n">
        <v>794</v>
      </c>
      <c r="E76" s="10" t="n">
        <v>0</v>
      </c>
      <c r="F76" s="10" t="n">
        <v>46760.48</v>
      </c>
      <c r="G76" s="10" t="n">
        <v>46760.48</v>
      </c>
      <c r="H76" s="10" t="n">
        <v>24988.051</v>
      </c>
      <c r="I76" s="10" t="n">
        <v>21772.43</v>
      </c>
      <c r="J76" s="10" t="n">
        <v>9422.06</v>
      </c>
      <c r="K76" s="11" t="n">
        <v>0.4656</v>
      </c>
      <c r="L76" s="11" t="n">
        <v>0.2015</v>
      </c>
      <c r="M76" s="26" t="n">
        <v>48.2</v>
      </c>
    </row>
    <row r="77" customFormat="false" ht="15" hidden="false" customHeight="false" outlineLevel="0" collapsed="false">
      <c r="A77" s="27" t="n">
        <v>10204</v>
      </c>
      <c r="B77" s="12" t="s">
        <v>96</v>
      </c>
      <c r="C77" s="28" t="n">
        <v>1</v>
      </c>
      <c r="D77" s="28" t="n">
        <v>1</v>
      </c>
      <c r="E77" s="14" t="n">
        <v>0</v>
      </c>
      <c r="F77" s="14" t="n">
        <v>840.29</v>
      </c>
      <c r="G77" s="14" t="n">
        <v>840.29</v>
      </c>
      <c r="H77" s="14" t="n">
        <v>245.33</v>
      </c>
      <c r="I77" s="14" t="n">
        <v>594.96</v>
      </c>
      <c r="J77" s="14" t="n">
        <v>360.44</v>
      </c>
      <c r="K77" s="15" t="n">
        <v>0.708</v>
      </c>
      <c r="L77" s="15" t="n">
        <v>0.4289</v>
      </c>
      <c r="M77" s="29" t="n">
        <v>28</v>
      </c>
    </row>
    <row r="78" customFormat="false" ht="15" hidden="false" customHeight="false" outlineLevel="0" collapsed="false">
      <c r="A78" s="24" t="n">
        <v>10206</v>
      </c>
      <c r="B78" s="8" t="s">
        <v>97</v>
      </c>
      <c r="C78" s="25" t="n">
        <v>38</v>
      </c>
      <c r="D78" s="25" t="n">
        <v>38</v>
      </c>
      <c r="E78" s="10" t="n">
        <v>0</v>
      </c>
      <c r="F78" s="10" t="n">
        <v>1411.76</v>
      </c>
      <c r="G78" s="10" t="n">
        <v>1411.76</v>
      </c>
      <c r="H78" s="10" t="n">
        <v>390.72</v>
      </c>
      <c r="I78" s="10" t="n">
        <v>1021.04</v>
      </c>
      <c r="J78" s="10" t="n">
        <v>633.04</v>
      </c>
      <c r="K78" s="11" t="n">
        <v>0.7232</v>
      </c>
      <c r="L78" s="11" t="n">
        <v>0.4484</v>
      </c>
      <c r="M78" s="26" t="n">
        <v>29.83</v>
      </c>
    </row>
    <row r="79" customFormat="false" ht="15" hidden="false" customHeight="false" outlineLevel="0" collapsed="false">
      <c r="A79" s="27" t="n">
        <v>10208</v>
      </c>
      <c r="B79" s="12" t="s">
        <v>40</v>
      </c>
      <c r="C79" s="28" t="n">
        <v>79</v>
      </c>
      <c r="D79" s="28" t="n">
        <v>79</v>
      </c>
      <c r="E79" s="14" t="n">
        <v>0</v>
      </c>
      <c r="F79" s="14" t="n">
        <v>20959.26</v>
      </c>
      <c r="G79" s="14" t="n">
        <v>20959.26</v>
      </c>
      <c r="H79" s="14" t="n">
        <v>5324.251</v>
      </c>
      <c r="I79" s="14" t="n">
        <v>15635.01</v>
      </c>
      <c r="J79" s="14" t="n">
        <v>11051.1</v>
      </c>
      <c r="K79" s="15" t="n">
        <v>0.746</v>
      </c>
      <c r="L79" s="15" t="n">
        <v>0.5273</v>
      </c>
      <c r="M79" s="29" t="n">
        <v>31.96</v>
      </c>
    </row>
    <row r="80" customFormat="false" ht="15" hidden="false" customHeight="false" outlineLevel="0" collapsed="false">
      <c r="A80" s="24" t="n">
        <v>10211</v>
      </c>
      <c r="B80" s="8" t="s">
        <v>258</v>
      </c>
      <c r="C80" s="25" t="n">
        <v>14</v>
      </c>
      <c r="D80" s="25" t="n">
        <v>14</v>
      </c>
      <c r="E80" s="10" t="n">
        <v>0</v>
      </c>
      <c r="F80" s="10" t="n">
        <v>558.98</v>
      </c>
      <c r="G80" s="10" t="n">
        <v>558.98</v>
      </c>
      <c r="H80" s="10" t="n">
        <v>166.2896</v>
      </c>
      <c r="I80" s="10" t="n">
        <v>392.69</v>
      </c>
      <c r="J80" s="10" t="n">
        <v>309.49</v>
      </c>
      <c r="K80" s="11" t="n">
        <v>0.7025</v>
      </c>
      <c r="L80" s="11" t="n">
        <v>0.5537</v>
      </c>
      <c r="M80" s="26" t="n">
        <v>35.35</v>
      </c>
    </row>
    <row r="81" customFormat="false" ht="15" hidden="false" customHeight="false" outlineLevel="0" collapsed="false">
      <c r="A81" s="27" t="n">
        <v>10212</v>
      </c>
      <c r="B81" s="12" t="s">
        <v>74</v>
      </c>
      <c r="C81" s="28" t="n">
        <v>133</v>
      </c>
      <c r="D81" s="28" t="n">
        <v>133</v>
      </c>
      <c r="E81" s="14" t="n">
        <v>0</v>
      </c>
      <c r="F81" s="14" t="n">
        <v>24701.97</v>
      </c>
      <c r="G81" s="14" t="n">
        <v>24701.97</v>
      </c>
      <c r="H81" s="14" t="n">
        <v>12637.4</v>
      </c>
      <c r="I81" s="14" t="n">
        <v>12064.57</v>
      </c>
      <c r="J81" s="14" t="n">
        <v>5298.91</v>
      </c>
      <c r="K81" s="15" t="n">
        <v>0.4884</v>
      </c>
      <c r="L81" s="15" t="n">
        <v>0.2145</v>
      </c>
      <c r="M81" s="29" t="n">
        <v>29.84</v>
      </c>
    </row>
    <row r="82" customFormat="false" ht="15" hidden="false" customHeight="false" outlineLevel="0" collapsed="false">
      <c r="A82" s="24" t="n">
        <v>10215</v>
      </c>
      <c r="B82" s="8" t="s">
        <v>87</v>
      </c>
      <c r="C82" s="25" t="n">
        <v>21</v>
      </c>
      <c r="D82" s="25" t="n">
        <v>21</v>
      </c>
      <c r="E82" s="10" t="n">
        <v>234.88</v>
      </c>
      <c r="F82" s="10" t="n">
        <v>5150</v>
      </c>
      <c r="G82" s="10" t="n">
        <v>5384.88</v>
      </c>
      <c r="H82" s="10" t="n">
        <v>984.3</v>
      </c>
      <c r="I82" s="10" t="n">
        <v>4400.58</v>
      </c>
      <c r="J82" s="10" t="n">
        <v>3687.69</v>
      </c>
      <c r="K82" s="11" t="n">
        <v>0.8172</v>
      </c>
      <c r="L82" s="11" t="n">
        <v>0.6848</v>
      </c>
      <c r="M82" s="26" t="n">
        <v>28.69</v>
      </c>
    </row>
    <row r="83" customFormat="false" ht="15" hidden="false" customHeight="false" outlineLevel="0" collapsed="false">
      <c r="A83" s="27" t="n">
        <v>10216</v>
      </c>
      <c r="B83" s="12" t="s">
        <v>98</v>
      </c>
      <c r="C83" s="28" t="n">
        <v>1</v>
      </c>
      <c r="D83" s="28" t="n">
        <v>1</v>
      </c>
      <c r="E83" s="14" t="n">
        <v>0</v>
      </c>
      <c r="F83" s="14" t="n">
        <v>214.98</v>
      </c>
      <c r="G83" s="14" t="n">
        <v>214.98</v>
      </c>
      <c r="H83" s="14" t="n">
        <v>94.57</v>
      </c>
      <c r="I83" s="14" t="n">
        <v>120.41</v>
      </c>
      <c r="J83" s="14" t="n">
        <v>71.71</v>
      </c>
      <c r="K83" s="15" t="n">
        <v>0.5601</v>
      </c>
      <c r="L83" s="15" t="n">
        <v>0.3336</v>
      </c>
      <c r="M83" s="29" t="n">
        <v>53</v>
      </c>
    </row>
    <row r="84" customFormat="false" ht="15" hidden="false" customHeight="false" outlineLevel="0" collapsed="false">
      <c r="A84" s="24" t="n">
        <v>10219</v>
      </c>
      <c r="B84" s="8" t="s">
        <v>364</v>
      </c>
      <c r="C84" s="25" t="n">
        <v>152</v>
      </c>
      <c r="D84" s="25" t="n">
        <v>152</v>
      </c>
      <c r="E84" s="10" t="n">
        <v>0</v>
      </c>
      <c r="F84" s="10" t="n">
        <v>2534.52</v>
      </c>
      <c r="G84" s="10" t="n">
        <v>2534.52</v>
      </c>
      <c r="H84" s="10" t="n">
        <v>2165.376</v>
      </c>
      <c r="I84" s="10" t="n">
        <v>369.14</v>
      </c>
      <c r="J84" s="10" t="n">
        <v>-298</v>
      </c>
      <c r="K84" s="11" t="n">
        <v>0.1456</v>
      </c>
      <c r="L84" s="11" t="n">
        <v>-0.1176</v>
      </c>
      <c r="M84" s="26" t="n">
        <v>50</v>
      </c>
    </row>
    <row r="85" customFormat="false" ht="15" hidden="false" customHeight="false" outlineLevel="0" collapsed="false">
      <c r="A85" s="27" t="n">
        <v>10220</v>
      </c>
      <c r="B85" s="12" t="s">
        <v>99</v>
      </c>
      <c r="C85" s="28" t="n">
        <v>4</v>
      </c>
      <c r="D85" s="28" t="n">
        <v>4</v>
      </c>
      <c r="E85" s="14" t="n">
        <v>0</v>
      </c>
      <c r="F85" s="14" t="n">
        <v>751</v>
      </c>
      <c r="G85" s="14" t="n">
        <v>751</v>
      </c>
      <c r="H85" s="14" t="n">
        <v>357.31</v>
      </c>
      <c r="I85" s="14" t="n">
        <v>393.69</v>
      </c>
      <c r="J85" s="14" t="n">
        <v>187.37</v>
      </c>
      <c r="K85" s="15" t="n">
        <v>0.5242</v>
      </c>
      <c r="L85" s="15" t="n">
        <v>0.2495</v>
      </c>
      <c r="M85" s="29" t="n">
        <v>60</v>
      </c>
    </row>
    <row r="86" customFormat="false" ht="15" hidden="false" customHeight="false" outlineLevel="0" collapsed="false">
      <c r="A86" s="24" t="n">
        <v>10221</v>
      </c>
      <c r="B86" s="8" t="s">
        <v>70</v>
      </c>
      <c r="C86" s="25" t="n">
        <v>13</v>
      </c>
      <c r="D86" s="25" t="n">
        <v>13</v>
      </c>
      <c r="E86" s="10" t="n">
        <v>0</v>
      </c>
      <c r="F86" s="10" t="n">
        <v>1950.5</v>
      </c>
      <c r="G86" s="10" t="n">
        <v>1950.5</v>
      </c>
      <c r="H86" s="10" t="n">
        <v>1056.87</v>
      </c>
      <c r="I86" s="10" t="n">
        <v>893.63</v>
      </c>
      <c r="J86" s="10" t="n">
        <v>357.8</v>
      </c>
      <c r="K86" s="11" t="n">
        <v>0.4582</v>
      </c>
      <c r="L86" s="11" t="n">
        <v>0.1834</v>
      </c>
      <c r="M86" s="26" t="n">
        <v>53.02</v>
      </c>
    </row>
    <row r="87" customFormat="false" ht="15" hidden="false" customHeight="false" outlineLevel="0" collapsed="false">
      <c r="A87" s="27" t="n">
        <v>10223</v>
      </c>
      <c r="B87" s="12" t="s">
        <v>260</v>
      </c>
      <c r="C87" s="28" t="n">
        <v>73</v>
      </c>
      <c r="D87" s="28" t="n">
        <v>73</v>
      </c>
      <c r="E87" s="14" t="n">
        <v>0</v>
      </c>
      <c r="F87" s="14" t="n">
        <v>6398.79</v>
      </c>
      <c r="G87" s="14" t="n">
        <v>6398.79</v>
      </c>
      <c r="H87" s="14" t="n">
        <v>4155.588</v>
      </c>
      <c r="I87" s="14" t="n">
        <v>2243.2</v>
      </c>
      <c r="J87" s="14" t="n">
        <v>480.7</v>
      </c>
      <c r="K87" s="15" t="n">
        <v>0.3506</v>
      </c>
      <c r="L87" s="15" t="n">
        <v>0.0751</v>
      </c>
      <c r="M87" s="29" t="n">
        <v>49.72</v>
      </c>
    </row>
    <row r="88" customFormat="false" ht="15" hidden="false" customHeight="false" outlineLevel="0" collapsed="false">
      <c r="A88" s="24" t="n">
        <v>10229</v>
      </c>
      <c r="B88" s="8" t="s">
        <v>100</v>
      </c>
      <c r="C88" s="25" t="n">
        <v>70</v>
      </c>
      <c r="D88" s="25" t="n">
        <v>70</v>
      </c>
      <c r="E88" s="10" t="n">
        <v>0</v>
      </c>
      <c r="F88" s="10" t="n">
        <v>13602.66</v>
      </c>
      <c r="G88" s="10" t="n">
        <v>13602.66</v>
      </c>
      <c r="H88" s="10" t="n">
        <v>2156.7202</v>
      </c>
      <c r="I88" s="10" t="n">
        <v>11445.94</v>
      </c>
      <c r="J88" s="10" t="n">
        <v>7649.42</v>
      </c>
      <c r="K88" s="11" t="n">
        <v>0.8414</v>
      </c>
      <c r="L88" s="11" t="n">
        <v>0.5623</v>
      </c>
      <c r="M88" s="26" t="n">
        <v>29.67</v>
      </c>
    </row>
    <row r="89" customFormat="false" ht="15" hidden="false" customHeight="false" outlineLevel="0" collapsed="false">
      <c r="A89" s="27" t="n">
        <v>10230</v>
      </c>
      <c r="B89" s="12" t="s">
        <v>101</v>
      </c>
      <c r="C89" s="28" t="n">
        <v>18</v>
      </c>
      <c r="D89" s="28" t="n">
        <v>18</v>
      </c>
      <c r="E89" s="14" t="n">
        <v>0</v>
      </c>
      <c r="F89" s="14" t="n">
        <v>3874</v>
      </c>
      <c r="G89" s="14" t="n">
        <v>3874</v>
      </c>
      <c r="H89" s="14" t="n">
        <v>1046.4399</v>
      </c>
      <c r="I89" s="14" t="n">
        <v>2827.56</v>
      </c>
      <c r="J89" s="14" t="n">
        <v>1793.25</v>
      </c>
      <c r="K89" s="15" t="n">
        <v>0.7299</v>
      </c>
      <c r="L89" s="15" t="n">
        <v>0.4629</v>
      </c>
      <c r="M89" s="29" t="n">
        <v>38.66</v>
      </c>
    </row>
    <row r="90" customFormat="false" ht="15" hidden="false" customHeight="false" outlineLevel="0" collapsed="false">
      <c r="A90" s="24" t="n">
        <v>10240</v>
      </c>
      <c r="B90" s="8" t="s">
        <v>102</v>
      </c>
      <c r="C90" s="25" t="n">
        <v>204</v>
      </c>
      <c r="D90" s="25" t="n">
        <v>204</v>
      </c>
      <c r="E90" s="10" t="n">
        <v>0</v>
      </c>
      <c r="F90" s="10" t="n">
        <v>8400.16</v>
      </c>
      <c r="G90" s="10" t="n">
        <v>8400.16</v>
      </c>
      <c r="H90" s="10" t="n">
        <v>1923.07</v>
      </c>
      <c r="I90" s="10" t="n">
        <v>6477.09</v>
      </c>
      <c r="J90" s="10" t="n">
        <v>4169.39</v>
      </c>
      <c r="K90" s="11" t="n">
        <v>0.7711</v>
      </c>
      <c r="L90" s="11" t="n">
        <v>0.4963</v>
      </c>
      <c r="M90" s="26" t="n">
        <v>50</v>
      </c>
    </row>
    <row r="91" customFormat="false" ht="15" hidden="false" customHeight="false" outlineLevel="0" collapsed="false">
      <c r="A91" s="27" t="n">
        <v>10244</v>
      </c>
      <c r="B91" s="12" t="s">
        <v>103</v>
      </c>
      <c r="C91" s="28" t="n">
        <v>80</v>
      </c>
      <c r="D91" s="28" t="n">
        <v>80</v>
      </c>
      <c r="E91" s="14" t="n">
        <v>0</v>
      </c>
      <c r="F91" s="14" t="n">
        <v>15590.2</v>
      </c>
      <c r="G91" s="14" t="n">
        <v>15590.2</v>
      </c>
      <c r="H91" s="14" t="n">
        <v>2464.14</v>
      </c>
      <c r="I91" s="14" t="n">
        <v>13126.06</v>
      </c>
      <c r="J91" s="14" t="n">
        <v>9095.64</v>
      </c>
      <c r="K91" s="15" t="n">
        <v>0.8419</v>
      </c>
      <c r="L91" s="15" t="n">
        <v>0.5834</v>
      </c>
      <c r="M91" s="29" t="n">
        <v>34.39</v>
      </c>
    </row>
    <row r="92" customFormat="false" ht="15" hidden="false" customHeight="false" outlineLevel="0" collapsed="false">
      <c r="A92" s="24" t="n">
        <v>10247</v>
      </c>
      <c r="B92" s="8" t="s">
        <v>104</v>
      </c>
      <c r="C92" s="25" t="n">
        <v>178</v>
      </c>
      <c r="D92" s="25" t="n">
        <v>178</v>
      </c>
      <c r="E92" s="10" t="n">
        <v>0</v>
      </c>
      <c r="F92" s="10" t="n">
        <v>30654.31</v>
      </c>
      <c r="G92" s="10" t="n">
        <v>30654.31</v>
      </c>
      <c r="H92" s="10" t="n">
        <v>11875.141</v>
      </c>
      <c r="I92" s="10" t="n">
        <v>18779.17</v>
      </c>
      <c r="J92" s="10" t="n">
        <v>10518.66</v>
      </c>
      <c r="K92" s="11" t="n">
        <v>0.6126</v>
      </c>
      <c r="L92" s="11" t="n">
        <v>0.3431</v>
      </c>
      <c r="M92" s="26" t="n">
        <v>47.58</v>
      </c>
    </row>
    <row r="93" customFormat="false" ht="15" hidden="false" customHeight="false" outlineLevel="0" collapsed="false">
      <c r="A93" s="27" t="n">
        <v>10250</v>
      </c>
      <c r="B93" s="12" t="s">
        <v>105</v>
      </c>
      <c r="C93" s="28" t="n">
        <v>67</v>
      </c>
      <c r="D93" s="28" t="n">
        <v>67</v>
      </c>
      <c r="E93" s="14" t="n">
        <v>0</v>
      </c>
      <c r="F93" s="14" t="n">
        <v>14399.17</v>
      </c>
      <c r="G93" s="14" t="n">
        <v>14399.17</v>
      </c>
      <c r="H93" s="14" t="n">
        <v>4540.8204</v>
      </c>
      <c r="I93" s="14" t="n">
        <v>9858.35</v>
      </c>
      <c r="J93" s="14" t="n">
        <v>5902.63</v>
      </c>
      <c r="K93" s="15" t="n">
        <v>0.6846</v>
      </c>
      <c r="L93" s="15" t="n">
        <v>0.4099</v>
      </c>
      <c r="M93" s="29" t="n">
        <v>40.15</v>
      </c>
    </row>
    <row r="94" customFormat="false" ht="15" hidden="false" customHeight="false" outlineLevel="0" collapsed="false">
      <c r="A94" s="24" t="n">
        <v>10251</v>
      </c>
      <c r="B94" s="8" t="s">
        <v>106</v>
      </c>
      <c r="C94" s="25" t="n">
        <v>1</v>
      </c>
      <c r="D94" s="25" t="n">
        <v>1</v>
      </c>
      <c r="E94" s="10" t="n">
        <v>0</v>
      </c>
      <c r="F94" s="10" t="n">
        <v>222.91</v>
      </c>
      <c r="G94" s="10" t="n">
        <v>222.91</v>
      </c>
      <c r="H94" s="10" t="n">
        <v>69.03</v>
      </c>
      <c r="I94" s="10" t="n">
        <v>153.88</v>
      </c>
      <c r="J94" s="10" t="n">
        <v>92.64</v>
      </c>
      <c r="K94" s="11" t="n">
        <v>0.6903</v>
      </c>
      <c r="L94" s="11" t="n">
        <v>0.4156</v>
      </c>
      <c r="M94" s="26" t="n">
        <v>10</v>
      </c>
    </row>
    <row r="95" customFormat="false" ht="15" hidden="false" customHeight="false" outlineLevel="0" collapsed="false">
      <c r="A95" s="27" t="n">
        <v>10254</v>
      </c>
      <c r="B95" s="12" t="s">
        <v>108</v>
      </c>
      <c r="C95" s="28" t="n">
        <v>109</v>
      </c>
      <c r="D95" s="28" t="n">
        <v>109</v>
      </c>
      <c r="E95" s="14" t="n">
        <v>0</v>
      </c>
      <c r="F95" s="14" t="n">
        <v>20039.71</v>
      </c>
      <c r="G95" s="14" t="n">
        <v>20039.71</v>
      </c>
      <c r="H95" s="14" t="n">
        <v>8335.8692</v>
      </c>
      <c r="I95" s="14" t="n">
        <v>11703.84</v>
      </c>
      <c r="J95" s="14" t="n">
        <v>7204.09</v>
      </c>
      <c r="K95" s="15" t="n">
        <v>0.584</v>
      </c>
      <c r="L95" s="15" t="n">
        <v>0.3595</v>
      </c>
      <c r="M95" s="29" t="n">
        <v>44.35</v>
      </c>
    </row>
    <row r="96" customFormat="false" ht="15" hidden="false" customHeight="false" outlineLevel="0" collapsed="false">
      <c r="A96" s="24" t="n">
        <v>10255</v>
      </c>
      <c r="B96" s="8" t="s">
        <v>109</v>
      </c>
      <c r="C96" s="25" t="n">
        <v>63</v>
      </c>
      <c r="D96" s="25" t="n">
        <v>63</v>
      </c>
      <c r="E96" s="10" t="n">
        <v>0</v>
      </c>
      <c r="F96" s="10" t="n">
        <v>12414.27</v>
      </c>
      <c r="G96" s="10" t="n">
        <v>12414.27</v>
      </c>
      <c r="H96" s="10" t="n">
        <v>4323.98</v>
      </c>
      <c r="I96" s="10" t="n">
        <v>8090.29</v>
      </c>
      <c r="J96" s="10" t="n">
        <v>5604.86</v>
      </c>
      <c r="K96" s="11" t="n">
        <v>0.6517</v>
      </c>
      <c r="L96" s="11" t="n">
        <v>0.4515</v>
      </c>
      <c r="M96" s="26" t="n">
        <v>40.64</v>
      </c>
    </row>
    <row r="97" customFormat="false" ht="15" hidden="false" customHeight="false" outlineLevel="0" collapsed="false">
      <c r="A97" s="27" t="n">
        <v>10256</v>
      </c>
      <c r="B97" s="12" t="s">
        <v>110</v>
      </c>
      <c r="C97" s="28" t="n">
        <v>57</v>
      </c>
      <c r="D97" s="28" t="n">
        <v>57</v>
      </c>
      <c r="E97" s="14" t="n">
        <v>0</v>
      </c>
      <c r="F97" s="14" t="n">
        <v>19742.1</v>
      </c>
      <c r="G97" s="14" t="n">
        <v>19742.1</v>
      </c>
      <c r="H97" s="14" t="n">
        <v>7182.8201</v>
      </c>
      <c r="I97" s="14" t="n">
        <v>12559.28</v>
      </c>
      <c r="J97" s="14" t="n">
        <v>7135.73</v>
      </c>
      <c r="K97" s="15" t="n">
        <v>0.6362</v>
      </c>
      <c r="L97" s="15" t="n">
        <v>0.3614</v>
      </c>
      <c r="M97" s="29" t="n">
        <v>50</v>
      </c>
    </row>
    <row r="98" customFormat="false" ht="15" hidden="false" customHeight="false" outlineLevel="0" collapsed="false">
      <c r="A98" s="24" t="n">
        <v>10257</v>
      </c>
      <c r="B98" s="8" t="s">
        <v>111</v>
      </c>
      <c r="C98" s="25" t="n">
        <v>32</v>
      </c>
      <c r="D98" s="25" t="n">
        <v>32</v>
      </c>
      <c r="E98" s="10" t="n">
        <v>0</v>
      </c>
      <c r="F98" s="10" t="n">
        <v>271667.76</v>
      </c>
      <c r="G98" s="10" t="n">
        <v>271667.76</v>
      </c>
      <c r="H98" s="10" t="n">
        <v>149650.37</v>
      </c>
      <c r="I98" s="10" t="n">
        <v>122017.39</v>
      </c>
      <c r="J98" s="10" t="n">
        <v>47384.81</v>
      </c>
      <c r="K98" s="11" t="n">
        <v>0.4491</v>
      </c>
      <c r="L98" s="11" t="n">
        <v>0.1744</v>
      </c>
      <c r="M98" s="26" t="n">
        <v>29.51</v>
      </c>
    </row>
    <row r="99" customFormat="false" ht="15" hidden="false" customHeight="false" outlineLevel="0" collapsed="false">
      <c r="A99" s="27" t="n">
        <v>10261</v>
      </c>
      <c r="B99" s="12" t="s">
        <v>389</v>
      </c>
      <c r="C99" s="28" t="n">
        <v>1</v>
      </c>
      <c r="D99" s="28" t="n">
        <v>1</v>
      </c>
      <c r="E99" s="14" t="n">
        <v>0</v>
      </c>
      <c r="F99" s="14" t="n">
        <v>222.18</v>
      </c>
      <c r="G99" s="14" t="n">
        <v>222.18</v>
      </c>
      <c r="H99" s="14" t="n">
        <v>90.82</v>
      </c>
      <c r="I99" s="14" t="n">
        <v>131.36</v>
      </c>
      <c r="J99" s="14" t="n">
        <v>81.03</v>
      </c>
      <c r="K99" s="15" t="n">
        <v>0.5912</v>
      </c>
      <c r="L99" s="15" t="n">
        <v>0.3647</v>
      </c>
      <c r="M99" s="29" t="n">
        <v>53</v>
      </c>
    </row>
    <row r="100" customFormat="false" ht="15" hidden="false" customHeight="false" outlineLevel="0" collapsed="false">
      <c r="A100" s="24" t="n">
        <v>10267</v>
      </c>
      <c r="B100" s="8" t="s">
        <v>112</v>
      </c>
      <c r="C100" s="25" t="n">
        <v>58</v>
      </c>
      <c r="D100" s="25" t="n">
        <v>58</v>
      </c>
      <c r="E100" s="10" t="n">
        <v>381.23</v>
      </c>
      <c r="F100" s="10" t="n">
        <v>5910.34</v>
      </c>
      <c r="G100" s="10" t="n">
        <v>6291.57</v>
      </c>
      <c r="H100" s="10" t="n">
        <v>1714.379</v>
      </c>
      <c r="I100" s="10" t="n">
        <v>4577.19</v>
      </c>
      <c r="J100" s="10" t="n">
        <v>3014.89</v>
      </c>
      <c r="K100" s="11" t="n">
        <v>0.7275</v>
      </c>
      <c r="L100" s="11" t="n">
        <v>0.4792</v>
      </c>
      <c r="M100" s="26" t="n">
        <v>40.03</v>
      </c>
    </row>
    <row r="101" customFormat="false" ht="15" hidden="false" customHeight="false" outlineLevel="0" collapsed="false">
      <c r="A101" s="27" t="n">
        <v>10275</v>
      </c>
      <c r="B101" s="12" t="s">
        <v>315</v>
      </c>
      <c r="C101" s="28" t="n">
        <v>358</v>
      </c>
      <c r="D101" s="28" t="n">
        <v>358</v>
      </c>
      <c r="E101" s="14" t="n">
        <v>0</v>
      </c>
      <c r="F101" s="14" t="n">
        <v>9173.97</v>
      </c>
      <c r="G101" s="14" t="n">
        <v>9173.97</v>
      </c>
      <c r="H101" s="14" t="n">
        <v>3374.01</v>
      </c>
      <c r="I101" s="14" t="n">
        <v>5799.96</v>
      </c>
      <c r="J101" s="14" t="n">
        <v>3577.91</v>
      </c>
      <c r="K101" s="15" t="n">
        <v>0.6322</v>
      </c>
      <c r="L101" s="15" t="n">
        <v>0.39</v>
      </c>
      <c r="M101" s="29" t="n">
        <v>38.35</v>
      </c>
    </row>
    <row r="102" customFormat="false" ht="15" hidden="false" customHeight="false" outlineLevel="0" collapsed="false">
      <c r="A102" s="24" t="n">
        <v>10277</v>
      </c>
      <c r="B102" s="8" t="s">
        <v>113</v>
      </c>
      <c r="C102" s="25" t="n">
        <v>220</v>
      </c>
      <c r="D102" s="25" t="n">
        <v>220</v>
      </c>
      <c r="E102" s="10" t="n">
        <v>0</v>
      </c>
      <c r="F102" s="10" t="n">
        <v>4113.6</v>
      </c>
      <c r="G102" s="10" t="n">
        <v>4113.6</v>
      </c>
      <c r="H102" s="10" t="n">
        <v>1877.73</v>
      </c>
      <c r="I102" s="10" t="n">
        <v>2235.87</v>
      </c>
      <c r="J102" s="10" t="n">
        <v>1105.77</v>
      </c>
      <c r="K102" s="11" t="n">
        <v>0.5435</v>
      </c>
      <c r="L102" s="11" t="n">
        <v>0.2688</v>
      </c>
      <c r="M102" s="26" t="n">
        <v>50.66</v>
      </c>
    </row>
    <row r="103" customFormat="false" ht="15" hidden="false" customHeight="false" outlineLevel="0" collapsed="false">
      <c r="A103" s="27" t="n">
        <v>10282</v>
      </c>
      <c r="B103" s="12" t="s">
        <v>116</v>
      </c>
      <c r="C103" s="28" t="n">
        <v>8</v>
      </c>
      <c r="D103" s="28" t="n">
        <v>8</v>
      </c>
      <c r="E103" s="14" t="n">
        <v>0</v>
      </c>
      <c r="F103" s="14" t="n">
        <v>2253.11</v>
      </c>
      <c r="G103" s="14" t="n">
        <v>2253.11</v>
      </c>
      <c r="H103" s="14" t="n">
        <v>1060.22</v>
      </c>
      <c r="I103" s="14" t="n">
        <v>1192.89</v>
      </c>
      <c r="J103" s="14" t="n">
        <v>573.92</v>
      </c>
      <c r="K103" s="15" t="n">
        <v>0.5294</v>
      </c>
      <c r="L103" s="15" t="n">
        <v>0.2547</v>
      </c>
      <c r="M103" s="29" t="n">
        <v>45.2</v>
      </c>
    </row>
    <row r="104" customFormat="false" ht="15" hidden="false" customHeight="false" outlineLevel="0" collapsed="false">
      <c r="A104" s="24" t="n">
        <v>10283</v>
      </c>
      <c r="B104" s="8" t="s">
        <v>117</v>
      </c>
      <c r="C104" s="25" t="n">
        <v>3</v>
      </c>
      <c r="D104" s="25" t="n">
        <v>3</v>
      </c>
      <c r="E104" s="10" t="n">
        <v>0</v>
      </c>
      <c r="F104" s="10" t="n">
        <v>1495.89</v>
      </c>
      <c r="G104" s="10" t="n">
        <v>1495.89</v>
      </c>
      <c r="H104" s="10" t="n">
        <v>583.0299</v>
      </c>
      <c r="I104" s="10" t="n">
        <v>912.86</v>
      </c>
      <c r="J104" s="10" t="n">
        <v>501.91</v>
      </c>
      <c r="K104" s="11" t="n">
        <v>0.6102</v>
      </c>
      <c r="L104" s="11" t="n">
        <v>0.3355</v>
      </c>
      <c r="M104" s="26" t="n">
        <v>31</v>
      </c>
    </row>
    <row r="105" customFormat="false" ht="15" hidden="false" customHeight="false" outlineLevel="0" collapsed="false">
      <c r="A105" s="27" t="n">
        <v>10286</v>
      </c>
      <c r="B105" s="12" t="s">
        <v>119</v>
      </c>
      <c r="C105" s="28" t="n">
        <v>15</v>
      </c>
      <c r="D105" s="28" t="n">
        <v>15</v>
      </c>
      <c r="E105" s="14" t="n">
        <v>0</v>
      </c>
      <c r="F105" s="14" t="n">
        <v>2554.05</v>
      </c>
      <c r="G105" s="14" t="n">
        <v>2554.05</v>
      </c>
      <c r="H105" s="14" t="n">
        <v>871.01</v>
      </c>
      <c r="I105" s="14" t="n">
        <v>1683.04</v>
      </c>
      <c r="J105" s="14" t="n">
        <v>1063.43</v>
      </c>
      <c r="K105" s="15" t="n">
        <v>0.659</v>
      </c>
      <c r="L105" s="15" t="n">
        <v>0.4164</v>
      </c>
      <c r="M105" s="29" t="n">
        <v>33.93</v>
      </c>
    </row>
    <row r="106" customFormat="false" ht="15" hidden="false" customHeight="false" outlineLevel="0" collapsed="false">
      <c r="A106" s="24" t="n">
        <v>10287</v>
      </c>
      <c r="B106" s="8" t="s">
        <v>40</v>
      </c>
      <c r="C106" s="25" t="n">
        <v>24</v>
      </c>
      <c r="D106" s="25" t="n">
        <v>24</v>
      </c>
      <c r="E106" s="10" t="n">
        <v>0</v>
      </c>
      <c r="F106" s="10" t="n">
        <v>4983.6</v>
      </c>
      <c r="G106" s="10" t="n">
        <v>4983.6</v>
      </c>
      <c r="H106" s="10" t="n">
        <v>1597.78</v>
      </c>
      <c r="I106" s="10" t="n">
        <v>3385.82</v>
      </c>
      <c r="J106" s="10" t="n">
        <v>2176.81</v>
      </c>
      <c r="K106" s="11" t="n">
        <v>0.6794</v>
      </c>
      <c r="L106" s="11" t="n">
        <v>0.4368</v>
      </c>
      <c r="M106" s="26" t="n">
        <v>37.17</v>
      </c>
    </row>
    <row r="107" customFormat="false" ht="15" hidden="false" customHeight="false" outlineLevel="0" collapsed="false">
      <c r="A107" s="27" t="n">
        <v>10288</v>
      </c>
      <c r="B107" s="12" t="s">
        <v>120</v>
      </c>
      <c r="C107" s="28" t="n">
        <v>4</v>
      </c>
      <c r="D107" s="28" t="n">
        <v>4</v>
      </c>
      <c r="E107" s="14" t="n">
        <v>0</v>
      </c>
      <c r="F107" s="14" t="n">
        <v>1199.84</v>
      </c>
      <c r="G107" s="14" t="n">
        <v>1199.84</v>
      </c>
      <c r="H107" s="14" t="n">
        <v>435.48</v>
      </c>
      <c r="I107" s="14" t="n">
        <v>764.36</v>
      </c>
      <c r="J107" s="14" t="n">
        <v>434.74</v>
      </c>
      <c r="K107" s="15" t="n">
        <v>0.6371</v>
      </c>
      <c r="L107" s="15" t="n">
        <v>0.3623</v>
      </c>
      <c r="M107" s="29" t="n">
        <v>37.5</v>
      </c>
    </row>
    <row r="108" customFormat="false" ht="15" hidden="false" customHeight="false" outlineLevel="0" collapsed="false">
      <c r="A108" s="24" t="n">
        <v>10296</v>
      </c>
      <c r="B108" s="8" t="s">
        <v>121</v>
      </c>
      <c r="C108" s="25" t="n">
        <v>659</v>
      </c>
      <c r="D108" s="25" t="n">
        <v>659</v>
      </c>
      <c r="E108" s="10" t="n">
        <v>0</v>
      </c>
      <c r="F108" s="10" t="n">
        <v>75383.53</v>
      </c>
      <c r="G108" s="10" t="n">
        <v>75383.53</v>
      </c>
      <c r="H108" s="10" t="n">
        <v>48007.653</v>
      </c>
      <c r="I108" s="10" t="n">
        <v>27375.88</v>
      </c>
      <c r="J108" s="10" t="n">
        <v>7892.96</v>
      </c>
      <c r="K108" s="11" t="n">
        <v>0.3632</v>
      </c>
      <c r="L108" s="11" t="n">
        <v>0.1047</v>
      </c>
      <c r="M108" s="26" t="n">
        <v>50.19</v>
      </c>
    </row>
    <row r="109" customFormat="false" ht="15" hidden="false" customHeight="false" outlineLevel="0" collapsed="false">
      <c r="A109" s="27" t="n">
        <v>10299</v>
      </c>
      <c r="B109" s="12" t="s">
        <v>122</v>
      </c>
      <c r="C109" s="28" t="n">
        <v>53</v>
      </c>
      <c r="D109" s="28" t="n">
        <v>53</v>
      </c>
      <c r="E109" s="14" t="n">
        <v>0</v>
      </c>
      <c r="F109" s="14" t="n">
        <v>8522.66</v>
      </c>
      <c r="G109" s="14" t="n">
        <v>8522.66</v>
      </c>
      <c r="H109" s="14" t="n">
        <v>5717.2202</v>
      </c>
      <c r="I109" s="14" t="n">
        <v>2805.44</v>
      </c>
      <c r="J109" s="14" t="n">
        <v>737.84</v>
      </c>
      <c r="K109" s="15" t="n">
        <v>0.3292</v>
      </c>
      <c r="L109" s="15" t="n">
        <v>0.0866</v>
      </c>
      <c r="M109" s="29" t="n">
        <v>35.95</v>
      </c>
    </row>
    <row r="110" customFormat="false" ht="15" hidden="false" customHeight="false" outlineLevel="0" collapsed="false">
      <c r="A110" s="24" t="n">
        <v>10300</v>
      </c>
      <c r="B110" s="8" t="s">
        <v>123</v>
      </c>
      <c r="C110" s="25" t="n">
        <v>53</v>
      </c>
      <c r="D110" s="25" t="n">
        <v>53</v>
      </c>
      <c r="E110" s="10" t="n">
        <v>0</v>
      </c>
      <c r="F110" s="10" t="n">
        <v>8522.66</v>
      </c>
      <c r="G110" s="10" t="n">
        <v>8522.66</v>
      </c>
      <c r="H110" s="10" t="n">
        <v>5616.3605</v>
      </c>
      <c r="I110" s="10" t="n">
        <v>2906.3</v>
      </c>
      <c r="J110" s="10" t="n">
        <v>838.7</v>
      </c>
      <c r="K110" s="11" t="n">
        <v>0.341</v>
      </c>
      <c r="L110" s="11" t="n">
        <v>0.0984</v>
      </c>
      <c r="M110" s="26" t="n">
        <v>35.95</v>
      </c>
    </row>
    <row r="111" customFormat="false" ht="15" hidden="false" customHeight="false" outlineLevel="0" collapsed="false">
      <c r="A111" s="27" t="n">
        <v>10301</v>
      </c>
      <c r="B111" s="12" t="s">
        <v>124</v>
      </c>
      <c r="C111" s="28" t="n">
        <v>70</v>
      </c>
      <c r="D111" s="28" t="n">
        <v>70</v>
      </c>
      <c r="E111" s="14" t="n">
        <v>0</v>
      </c>
      <c r="F111" s="14" t="n">
        <v>8663.9</v>
      </c>
      <c r="G111" s="14" t="n">
        <v>8663.9</v>
      </c>
      <c r="H111" s="14" t="n">
        <v>5604.8306</v>
      </c>
      <c r="I111" s="14" t="n">
        <v>3059.07</v>
      </c>
      <c r="J111" s="14" t="n">
        <v>957.23</v>
      </c>
      <c r="K111" s="15" t="n">
        <v>0.3531</v>
      </c>
      <c r="L111" s="15" t="n">
        <v>0.1105</v>
      </c>
      <c r="M111" s="29" t="n">
        <v>36.03</v>
      </c>
    </row>
    <row r="112" customFormat="false" ht="15" hidden="false" customHeight="false" outlineLevel="0" collapsed="false">
      <c r="A112" s="24" t="n">
        <v>10304</v>
      </c>
      <c r="B112" s="8" t="s">
        <v>125</v>
      </c>
      <c r="C112" s="25" t="n">
        <v>54</v>
      </c>
      <c r="D112" s="25" t="n">
        <v>54</v>
      </c>
      <c r="E112" s="10" t="n">
        <v>0</v>
      </c>
      <c r="F112" s="10" t="n">
        <v>6683.58</v>
      </c>
      <c r="G112" s="10" t="n">
        <v>6683.58</v>
      </c>
      <c r="H112" s="10" t="n">
        <v>4289.481</v>
      </c>
      <c r="I112" s="10" t="n">
        <v>2394.1</v>
      </c>
      <c r="J112" s="10" t="n">
        <v>772.65</v>
      </c>
      <c r="K112" s="11" t="n">
        <v>0.3582</v>
      </c>
      <c r="L112" s="11" t="n">
        <v>0.1156</v>
      </c>
      <c r="M112" s="26" t="n">
        <v>34.67</v>
      </c>
    </row>
    <row r="113" customFormat="false" ht="15" hidden="false" customHeight="false" outlineLevel="0" collapsed="false">
      <c r="A113" s="27" t="n">
        <v>10322</v>
      </c>
      <c r="B113" s="12" t="s">
        <v>262</v>
      </c>
      <c r="C113" s="28" t="n">
        <v>10</v>
      </c>
      <c r="D113" s="28" t="n">
        <v>10</v>
      </c>
      <c r="E113" s="14" t="n">
        <v>0</v>
      </c>
      <c r="F113" s="14" t="n">
        <v>3537.1</v>
      </c>
      <c r="G113" s="14" t="n">
        <v>3537.1</v>
      </c>
      <c r="H113" s="14" t="n">
        <v>2623.53</v>
      </c>
      <c r="I113" s="14" t="n">
        <v>913.57</v>
      </c>
      <c r="J113" s="14" t="n">
        <v>-58.15</v>
      </c>
      <c r="K113" s="15" t="n">
        <v>0.2583</v>
      </c>
      <c r="L113" s="15" t="n">
        <v>-0.0164</v>
      </c>
      <c r="M113" s="29" t="n">
        <v>31</v>
      </c>
    </row>
    <row r="114" customFormat="false" ht="15" hidden="false" customHeight="false" outlineLevel="0" collapsed="false">
      <c r="A114" s="24" t="n">
        <v>10325</v>
      </c>
      <c r="B114" s="8" t="s">
        <v>126</v>
      </c>
      <c r="C114" s="25" t="n">
        <v>93</v>
      </c>
      <c r="D114" s="25" t="n">
        <v>93</v>
      </c>
      <c r="E114" s="10" t="n">
        <v>0</v>
      </c>
      <c r="F114" s="10" t="n">
        <v>19313.31</v>
      </c>
      <c r="G114" s="10" t="n">
        <v>19313.31</v>
      </c>
      <c r="H114" s="10" t="n">
        <v>7238.2789</v>
      </c>
      <c r="I114" s="10" t="n">
        <v>12075.03</v>
      </c>
      <c r="J114" s="10" t="n">
        <v>6769.28</v>
      </c>
      <c r="K114" s="11" t="n">
        <v>0.6252</v>
      </c>
      <c r="L114" s="11" t="n">
        <v>0.3505</v>
      </c>
      <c r="M114" s="26" t="n">
        <v>38.97</v>
      </c>
    </row>
    <row r="115" customFormat="false" ht="15" hidden="false" customHeight="false" outlineLevel="0" collapsed="false">
      <c r="A115" s="27" t="n">
        <v>10328</v>
      </c>
      <c r="B115" s="12" t="s">
        <v>317</v>
      </c>
      <c r="C115" s="28" t="n">
        <v>50</v>
      </c>
      <c r="D115" s="28" t="n">
        <v>50</v>
      </c>
      <c r="E115" s="14" t="n">
        <v>0</v>
      </c>
      <c r="F115" s="14" t="n">
        <v>3921.5</v>
      </c>
      <c r="G115" s="14" t="n">
        <v>3921.5</v>
      </c>
      <c r="H115" s="14" t="n">
        <v>684.39</v>
      </c>
      <c r="I115" s="14" t="n">
        <v>3237.11</v>
      </c>
      <c r="J115" s="14" t="n">
        <v>2756.33</v>
      </c>
      <c r="K115" s="15" t="n">
        <v>0.8255</v>
      </c>
      <c r="L115" s="15" t="n">
        <v>0.7029</v>
      </c>
      <c r="M115" s="29" t="n">
        <v>30</v>
      </c>
    </row>
    <row r="116" customFormat="false" ht="15" hidden="false" customHeight="false" outlineLevel="0" collapsed="false">
      <c r="A116" s="24" t="n">
        <v>10331</v>
      </c>
      <c r="B116" s="8" t="s">
        <v>127</v>
      </c>
      <c r="C116" s="25" t="n">
        <v>4</v>
      </c>
      <c r="D116" s="25" t="n">
        <v>4</v>
      </c>
      <c r="E116" s="10" t="n">
        <v>0</v>
      </c>
      <c r="F116" s="10" t="n">
        <v>131.2</v>
      </c>
      <c r="G116" s="10" t="n">
        <v>131.2</v>
      </c>
      <c r="H116" s="10" t="n">
        <v>67.38</v>
      </c>
      <c r="I116" s="10" t="n">
        <v>63.82</v>
      </c>
      <c r="J116" s="10" t="n">
        <v>27.78</v>
      </c>
      <c r="K116" s="11" t="n">
        <v>0.4864</v>
      </c>
      <c r="L116" s="11" t="n">
        <v>0.2117</v>
      </c>
      <c r="M116" s="26" t="n">
        <v>45</v>
      </c>
    </row>
    <row r="117" customFormat="false" ht="15" hidden="false" customHeight="false" outlineLevel="0" collapsed="false">
      <c r="A117" s="27" t="n">
        <v>10335</v>
      </c>
      <c r="B117" s="12" t="s">
        <v>96</v>
      </c>
      <c r="C117" s="28" t="n">
        <v>6</v>
      </c>
      <c r="D117" s="28" t="n">
        <v>6</v>
      </c>
      <c r="E117" s="14" t="n">
        <v>0</v>
      </c>
      <c r="F117" s="14" t="n">
        <v>1262.16</v>
      </c>
      <c r="G117" s="14" t="n">
        <v>1262.16</v>
      </c>
      <c r="H117" s="14" t="n">
        <v>840.36</v>
      </c>
      <c r="I117" s="14" t="n">
        <v>421.8</v>
      </c>
      <c r="J117" s="14" t="n">
        <v>75.06</v>
      </c>
      <c r="K117" s="15" t="n">
        <v>0.3342</v>
      </c>
      <c r="L117" s="15" t="n">
        <v>0.0595</v>
      </c>
      <c r="M117" s="29" t="n">
        <v>37.33</v>
      </c>
    </row>
    <row r="118" customFormat="false" ht="15" hidden="false" customHeight="false" outlineLevel="0" collapsed="false">
      <c r="A118" s="24" t="n">
        <v>10337</v>
      </c>
      <c r="B118" s="8" t="s">
        <v>96</v>
      </c>
      <c r="C118" s="25" t="n">
        <v>7</v>
      </c>
      <c r="D118" s="25" t="n">
        <v>7</v>
      </c>
      <c r="E118" s="10" t="n">
        <v>0</v>
      </c>
      <c r="F118" s="10" t="n">
        <v>4095</v>
      </c>
      <c r="G118" s="10" t="n">
        <v>4095</v>
      </c>
      <c r="H118" s="10" t="n">
        <v>1421.65</v>
      </c>
      <c r="I118" s="10" t="n">
        <v>2673.35</v>
      </c>
      <c r="J118" s="10" t="n">
        <v>1530.39</v>
      </c>
      <c r="K118" s="11" t="n">
        <v>0.6528</v>
      </c>
      <c r="L118" s="11" t="n">
        <v>0.3737</v>
      </c>
      <c r="M118" s="26" t="n">
        <v>45</v>
      </c>
    </row>
    <row r="119" customFormat="false" ht="15" hidden="false" customHeight="false" outlineLevel="0" collapsed="false">
      <c r="A119" s="27" t="n">
        <v>10340</v>
      </c>
      <c r="B119" s="12" t="s">
        <v>128</v>
      </c>
      <c r="C119" s="28" t="n">
        <v>89</v>
      </c>
      <c r="D119" s="28" t="n">
        <v>89</v>
      </c>
      <c r="E119" s="14" t="n">
        <v>0</v>
      </c>
      <c r="F119" s="14" t="n">
        <v>757.29</v>
      </c>
      <c r="G119" s="14" t="n">
        <v>757.29</v>
      </c>
      <c r="H119" s="14" t="n">
        <v>408.7797</v>
      </c>
      <c r="I119" s="14" t="n">
        <v>348.51</v>
      </c>
      <c r="J119" s="14" t="n">
        <v>151.06</v>
      </c>
      <c r="K119" s="15" t="n">
        <v>0.4602</v>
      </c>
      <c r="L119" s="15" t="n">
        <v>0.1995</v>
      </c>
      <c r="M119" s="29" t="n">
        <v>50</v>
      </c>
    </row>
    <row r="120" customFormat="false" ht="15" hidden="false" customHeight="false" outlineLevel="0" collapsed="false">
      <c r="A120" s="24" t="n">
        <v>10343</v>
      </c>
      <c r="B120" s="8" t="s">
        <v>129</v>
      </c>
      <c r="C120" s="25" t="n">
        <v>14</v>
      </c>
      <c r="D120" s="25" t="n">
        <v>14</v>
      </c>
      <c r="E120" s="10" t="n">
        <v>0</v>
      </c>
      <c r="F120" s="10" t="n">
        <v>2803.08</v>
      </c>
      <c r="G120" s="10" t="n">
        <v>2803.08</v>
      </c>
      <c r="H120" s="10" t="n">
        <v>1297.5204</v>
      </c>
      <c r="I120" s="10" t="n">
        <v>1505.56</v>
      </c>
      <c r="J120" s="10" t="n">
        <v>735.49</v>
      </c>
      <c r="K120" s="11" t="n">
        <v>0.5371</v>
      </c>
      <c r="L120" s="11" t="n">
        <v>0.2624</v>
      </c>
      <c r="M120" s="26" t="n">
        <v>35.57</v>
      </c>
    </row>
    <row r="121" customFormat="false" ht="15" hidden="false" customHeight="false" outlineLevel="0" collapsed="false">
      <c r="A121" s="27" t="n">
        <v>10346</v>
      </c>
      <c r="B121" s="12" t="s">
        <v>130</v>
      </c>
      <c r="C121" s="28" t="n">
        <v>110</v>
      </c>
      <c r="D121" s="28" t="n">
        <v>110</v>
      </c>
      <c r="E121" s="14" t="n">
        <v>0</v>
      </c>
      <c r="F121" s="14" t="n">
        <v>21099</v>
      </c>
      <c r="G121" s="14" t="n">
        <v>21099</v>
      </c>
      <c r="H121" s="14" t="n">
        <v>3699.5804</v>
      </c>
      <c r="I121" s="14" t="n">
        <v>17399.42</v>
      </c>
      <c r="J121" s="14" t="n">
        <v>11510.67</v>
      </c>
      <c r="K121" s="15" t="n">
        <v>0.8247</v>
      </c>
      <c r="L121" s="15" t="n">
        <v>0.5456</v>
      </c>
      <c r="M121" s="29" t="n">
        <v>29.74</v>
      </c>
    </row>
    <row r="122" customFormat="false" ht="15" hidden="false" customHeight="false" outlineLevel="0" collapsed="false">
      <c r="A122" s="24" t="n">
        <v>10356</v>
      </c>
      <c r="B122" s="8" t="s">
        <v>261</v>
      </c>
      <c r="C122" s="25" t="n">
        <v>2</v>
      </c>
      <c r="D122" s="25" t="n">
        <v>2</v>
      </c>
      <c r="E122" s="10" t="n">
        <v>0</v>
      </c>
      <c r="F122" s="10" t="n">
        <v>420.74</v>
      </c>
      <c r="G122" s="10" t="n">
        <v>420.74</v>
      </c>
      <c r="H122" s="10" t="n">
        <v>129.02</v>
      </c>
      <c r="I122" s="10" t="n">
        <v>291.72</v>
      </c>
      <c r="J122" s="10" t="n">
        <v>176.14</v>
      </c>
      <c r="K122" s="11" t="n">
        <v>0.6933</v>
      </c>
      <c r="L122" s="11" t="n">
        <v>0.4186</v>
      </c>
      <c r="M122" s="26" t="n">
        <v>60</v>
      </c>
    </row>
    <row r="123" customFormat="false" ht="15" hidden="false" customHeight="false" outlineLevel="0" collapsed="false">
      <c r="A123" s="27" t="n">
        <v>10358</v>
      </c>
      <c r="B123" s="12" t="s">
        <v>129</v>
      </c>
      <c r="C123" s="28" t="n">
        <v>3</v>
      </c>
      <c r="D123" s="28" t="n">
        <v>3</v>
      </c>
      <c r="E123" s="14" t="n">
        <v>0</v>
      </c>
      <c r="F123" s="14" t="n">
        <v>989.49</v>
      </c>
      <c r="G123" s="14" t="n">
        <v>989.49</v>
      </c>
      <c r="H123" s="14" t="n">
        <v>449.26</v>
      </c>
      <c r="I123" s="14" t="n">
        <v>540.23</v>
      </c>
      <c r="J123" s="14" t="n">
        <v>264.06</v>
      </c>
      <c r="K123" s="15" t="n">
        <v>0.546</v>
      </c>
      <c r="L123" s="15" t="n">
        <v>0.2669</v>
      </c>
      <c r="M123" s="29" t="n">
        <v>28.82</v>
      </c>
    </row>
    <row r="124" customFormat="false" ht="15" hidden="false" customHeight="false" outlineLevel="0" collapsed="false">
      <c r="A124" s="24" t="n">
        <v>10361</v>
      </c>
      <c r="B124" s="8" t="s">
        <v>96</v>
      </c>
      <c r="C124" s="25" t="n">
        <v>31</v>
      </c>
      <c r="D124" s="25" t="n">
        <v>31</v>
      </c>
      <c r="E124" s="10" t="n">
        <v>0</v>
      </c>
      <c r="F124" s="10" t="n">
        <v>25046.47</v>
      </c>
      <c r="G124" s="10" t="n">
        <v>25046.47</v>
      </c>
      <c r="H124" s="10" t="n">
        <v>7186.8901</v>
      </c>
      <c r="I124" s="10" t="n">
        <v>17859.58</v>
      </c>
      <c r="J124" s="10" t="n">
        <v>10869.07</v>
      </c>
      <c r="K124" s="11" t="n">
        <v>0.7131</v>
      </c>
      <c r="L124" s="11" t="n">
        <v>0.434</v>
      </c>
      <c r="M124" s="26" t="n">
        <v>28.9</v>
      </c>
    </row>
    <row r="125" customFormat="false" ht="15" hidden="false" customHeight="false" outlineLevel="0" collapsed="false">
      <c r="A125" s="27" t="n">
        <v>10362</v>
      </c>
      <c r="B125" s="12" t="s">
        <v>131</v>
      </c>
      <c r="C125" s="28" t="n">
        <v>19</v>
      </c>
      <c r="D125" s="28" t="n">
        <v>19</v>
      </c>
      <c r="E125" s="14" t="n">
        <v>0</v>
      </c>
      <c r="F125" s="14" t="n">
        <v>1507.46</v>
      </c>
      <c r="G125" s="14" t="n">
        <v>1507.46</v>
      </c>
      <c r="H125" s="14" t="n">
        <v>639.34</v>
      </c>
      <c r="I125" s="14" t="n">
        <v>868.12</v>
      </c>
      <c r="J125" s="14" t="n">
        <v>453.97</v>
      </c>
      <c r="K125" s="15" t="n">
        <v>0.5759</v>
      </c>
      <c r="L125" s="15" t="n">
        <v>0.3011</v>
      </c>
      <c r="M125" s="29" t="n">
        <v>38.16</v>
      </c>
    </row>
    <row r="126" customFormat="false" ht="15" hidden="false" customHeight="false" outlineLevel="0" collapsed="false">
      <c r="A126" s="24" t="n">
        <v>10363</v>
      </c>
      <c r="B126" s="8" t="s">
        <v>132</v>
      </c>
      <c r="C126" s="25" t="n">
        <v>109</v>
      </c>
      <c r="D126" s="25" t="n">
        <v>109</v>
      </c>
      <c r="E126" s="10" t="n">
        <v>0</v>
      </c>
      <c r="F126" s="10" t="n">
        <v>6776.08</v>
      </c>
      <c r="G126" s="10" t="n">
        <v>6776.08</v>
      </c>
      <c r="H126" s="10" t="n">
        <v>3894.91</v>
      </c>
      <c r="I126" s="10" t="n">
        <v>2881.17</v>
      </c>
      <c r="J126" s="10" t="n">
        <v>1735.3</v>
      </c>
      <c r="K126" s="11" t="n">
        <v>0.4252</v>
      </c>
      <c r="L126" s="11" t="n">
        <v>0.2561</v>
      </c>
      <c r="M126" s="26" t="n">
        <v>37.93</v>
      </c>
    </row>
    <row r="127" customFormat="false" ht="15" hidden="false" customHeight="false" outlineLevel="0" collapsed="false">
      <c r="A127" s="27" t="n">
        <v>10373</v>
      </c>
      <c r="B127" s="12" t="s">
        <v>263</v>
      </c>
      <c r="C127" s="28" t="n">
        <v>6</v>
      </c>
      <c r="D127" s="28" t="n">
        <v>6</v>
      </c>
      <c r="E127" s="14" t="n">
        <v>0</v>
      </c>
      <c r="F127" s="14" t="n">
        <v>228.72</v>
      </c>
      <c r="G127" s="14" t="n">
        <v>228.72</v>
      </c>
      <c r="H127" s="14" t="n">
        <v>90.1302</v>
      </c>
      <c r="I127" s="14" t="n">
        <v>138.59</v>
      </c>
      <c r="J127" s="14" t="n">
        <v>75.76</v>
      </c>
      <c r="K127" s="15" t="n">
        <v>0.6059</v>
      </c>
      <c r="L127" s="15" t="n">
        <v>0.3312</v>
      </c>
      <c r="M127" s="29" t="n">
        <v>58</v>
      </c>
    </row>
    <row r="128" customFormat="false" ht="15" hidden="false" customHeight="false" outlineLevel="0" collapsed="false">
      <c r="A128" s="24" t="n">
        <v>10374</v>
      </c>
      <c r="B128" s="8" t="s">
        <v>319</v>
      </c>
      <c r="C128" s="25" t="n">
        <v>5</v>
      </c>
      <c r="D128" s="25" t="n">
        <v>5</v>
      </c>
      <c r="E128" s="10" t="n">
        <v>240.85</v>
      </c>
      <c r="F128" s="10" t="n">
        <v>0</v>
      </c>
      <c r="G128" s="10" t="n">
        <v>240.85</v>
      </c>
      <c r="H128" s="10" t="n">
        <v>99.67</v>
      </c>
      <c r="I128" s="10" t="n">
        <v>141.18</v>
      </c>
      <c r="J128" s="10" t="n">
        <v>57.61</v>
      </c>
      <c r="K128" s="11" t="n">
        <v>0.5862</v>
      </c>
      <c r="L128" s="11" t="n">
        <v>0.2392</v>
      </c>
      <c r="M128" s="26" t="n">
        <v>0</v>
      </c>
    </row>
    <row r="129" customFormat="false" ht="15" hidden="false" customHeight="false" outlineLevel="0" collapsed="false">
      <c r="A129" s="27" t="n">
        <v>10375</v>
      </c>
      <c r="B129" s="12" t="s">
        <v>133</v>
      </c>
      <c r="C129" s="28" t="n">
        <v>10</v>
      </c>
      <c r="D129" s="28" t="n">
        <v>10</v>
      </c>
      <c r="E129" s="14" t="n">
        <v>0</v>
      </c>
      <c r="F129" s="14" t="n">
        <v>401.5</v>
      </c>
      <c r="G129" s="14" t="n">
        <v>401.5</v>
      </c>
      <c r="H129" s="14" t="n">
        <v>164.62</v>
      </c>
      <c r="I129" s="14" t="n">
        <v>236.88</v>
      </c>
      <c r="J129" s="14" t="n">
        <v>126.58</v>
      </c>
      <c r="K129" s="15" t="n">
        <v>0.59</v>
      </c>
      <c r="L129" s="15" t="n">
        <v>0.3153</v>
      </c>
      <c r="M129" s="29" t="n">
        <v>50</v>
      </c>
    </row>
    <row r="130" customFormat="false" ht="15" hidden="false" customHeight="false" outlineLevel="0" collapsed="false">
      <c r="A130" s="24" t="n">
        <v>10376</v>
      </c>
      <c r="B130" s="8" t="s">
        <v>264</v>
      </c>
      <c r="C130" s="25" t="n">
        <v>21</v>
      </c>
      <c r="D130" s="25" t="n">
        <v>21</v>
      </c>
      <c r="E130" s="10" t="n">
        <v>0</v>
      </c>
      <c r="F130" s="10" t="n">
        <v>1164.03</v>
      </c>
      <c r="G130" s="10" t="n">
        <v>1164.03</v>
      </c>
      <c r="H130" s="10" t="n">
        <v>544.2402</v>
      </c>
      <c r="I130" s="10" t="n">
        <v>619.79</v>
      </c>
      <c r="J130" s="10" t="n">
        <v>300.02</v>
      </c>
      <c r="K130" s="11" t="n">
        <v>0.5325</v>
      </c>
      <c r="L130" s="11" t="n">
        <v>0.2577</v>
      </c>
      <c r="M130" s="26" t="n">
        <v>51</v>
      </c>
    </row>
    <row r="131" customFormat="false" ht="15" hidden="false" customHeight="false" outlineLevel="0" collapsed="false">
      <c r="A131" s="27" t="n">
        <v>10395</v>
      </c>
      <c r="B131" s="12" t="s">
        <v>151</v>
      </c>
      <c r="C131" s="28" t="n">
        <v>3</v>
      </c>
      <c r="D131" s="28" t="n">
        <v>3</v>
      </c>
      <c r="E131" s="14" t="n">
        <v>0</v>
      </c>
      <c r="F131" s="14" t="n">
        <v>516.54</v>
      </c>
      <c r="G131" s="14" t="n">
        <v>516.54</v>
      </c>
      <c r="H131" s="14" t="n">
        <v>226.2501</v>
      </c>
      <c r="I131" s="14" t="n">
        <v>290.29</v>
      </c>
      <c r="J131" s="14" t="n">
        <v>169.8</v>
      </c>
      <c r="K131" s="15" t="n">
        <v>0.562</v>
      </c>
      <c r="L131" s="15" t="n">
        <v>0.3287</v>
      </c>
      <c r="M131" s="29" t="n">
        <v>20</v>
      </c>
    </row>
    <row r="132" customFormat="false" ht="15" hidden="false" customHeight="false" outlineLevel="0" collapsed="false">
      <c r="A132" s="24" t="n">
        <v>10397</v>
      </c>
      <c r="B132" s="8" t="s">
        <v>134</v>
      </c>
      <c r="C132" s="25" t="n">
        <v>55</v>
      </c>
      <c r="D132" s="25" t="n">
        <v>55</v>
      </c>
      <c r="E132" s="10" t="n">
        <v>0</v>
      </c>
      <c r="F132" s="10" t="n">
        <v>6464.28</v>
      </c>
      <c r="G132" s="10" t="n">
        <v>6464.28</v>
      </c>
      <c r="H132" s="10" t="n">
        <v>1542.8104</v>
      </c>
      <c r="I132" s="10" t="n">
        <v>4921.47</v>
      </c>
      <c r="J132" s="10" t="n">
        <v>3145.61</v>
      </c>
      <c r="K132" s="11" t="n">
        <v>0.7613</v>
      </c>
      <c r="L132" s="11" t="n">
        <v>0.4866</v>
      </c>
      <c r="M132" s="26" t="n">
        <v>37.34</v>
      </c>
    </row>
    <row r="133" customFormat="false" ht="15" hidden="false" customHeight="false" outlineLevel="0" collapsed="false">
      <c r="A133" s="27" t="n">
        <v>10404</v>
      </c>
      <c r="B133" s="12" t="s">
        <v>96</v>
      </c>
      <c r="C133" s="28" t="n">
        <v>32</v>
      </c>
      <c r="D133" s="28" t="n">
        <v>32</v>
      </c>
      <c r="E133" s="14" t="n">
        <v>0</v>
      </c>
      <c r="F133" s="14" t="n">
        <v>6972.48</v>
      </c>
      <c r="G133" s="14" t="n">
        <v>6972.48</v>
      </c>
      <c r="H133" s="14" t="n">
        <v>3322.0204</v>
      </c>
      <c r="I133" s="14" t="n">
        <v>3650.46</v>
      </c>
      <c r="J133" s="14" t="n">
        <v>1734.97</v>
      </c>
      <c r="K133" s="15" t="n">
        <v>0.5236</v>
      </c>
      <c r="L133" s="15" t="n">
        <v>0.2488</v>
      </c>
      <c r="M133" s="29" t="n">
        <v>36.31</v>
      </c>
    </row>
    <row r="134" customFormat="false" ht="15" hidden="false" customHeight="false" outlineLevel="0" collapsed="false">
      <c r="A134" s="24" t="n">
        <v>10405</v>
      </c>
      <c r="B134" s="8" t="s">
        <v>96</v>
      </c>
      <c r="C134" s="25" t="n">
        <v>2</v>
      </c>
      <c r="D134" s="25" t="n">
        <v>2</v>
      </c>
      <c r="E134" s="10" t="n">
        <v>0</v>
      </c>
      <c r="F134" s="10" t="n">
        <v>417.54</v>
      </c>
      <c r="G134" s="10" t="n">
        <v>417.54</v>
      </c>
      <c r="H134" s="10" t="n">
        <v>213.45</v>
      </c>
      <c r="I134" s="10" t="n">
        <v>204.09</v>
      </c>
      <c r="J134" s="10" t="n">
        <v>89.38</v>
      </c>
      <c r="K134" s="11" t="n">
        <v>0.4888</v>
      </c>
      <c r="L134" s="11" t="n">
        <v>0.2141</v>
      </c>
      <c r="M134" s="26" t="n">
        <v>41</v>
      </c>
    </row>
    <row r="135" customFormat="false" ht="15" hidden="false" customHeight="false" outlineLevel="0" collapsed="false">
      <c r="A135" s="27" t="n">
        <v>10406</v>
      </c>
      <c r="B135" s="12" t="s">
        <v>135</v>
      </c>
      <c r="C135" s="28" t="n">
        <v>109</v>
      </c>
      <c r="D135" s="28" t="n">
        <v>109</v>
      </c>
      <c r="E135" s="14" t="n">
        <v>0</v>
      </c>
      <c r="F135" s="14" t="n">
        <v>18554.11</v>
      </c>
      <c r="G135" s="14" t="n">
        <v>18554.11</v>
      </c>
      <c r="H135" s="14" t="n">
        <v>7705.97</v>
      </c>
      <c r="I135" s="14" t="n">
        <v>10848.14</v>
      </c>
      <c r="J135" s="14" t="n">
        <v>8245.32</v>
      </c>
      <c r="K135" s="15" t="n">
        <v>0.5847</v>
      </c>
      <c r="L135" s="15" t="n">
        <v>0.4444</v>
      </c>
      <c r="M135" s="29" t="n">
        <v>37.46</v>
      </c>
    </row>
    <row r="136" customFormat="false" ht="15" hidden="false" customHeight="false" outlineLevel="0" collapsed="false">
      <c r="A136" s="24" t="n">
        <v>10408</v>
      </c>
      <c r="B136" s="8" t="s">
        <v>136</v>
      </c>
      <c r="C136" s="25" t="n">
        <v>205</v>
      </c>
      <c r="D136" s="25" t="n">
        <v>205</v>
      </c>
      <c r="E136" s="10" t="n">
        <v>0</v>
      </c>
      <c r="F136" s="10" t="n">
        <v>58054.65</v>
      </c>
      <c r="G136" s="10" t="n">
        <v>58054.65</v>
      </c>
      <c r="H136" s="10" t="n">
        <v>35986.2</v>
      </c>
      <c r="I136" s="10" t="n">
        <v>22068.45</v>
      </c>
      <c r="J136" s="10" t="n">
        <v>6119.71</v>
      </c>
      <c r="K136" s="11" t="n">
        <v>0.3801</v>
      </c>
      <c r="L136" s="11" t="n">
        <v>0.1054</v>
      </c>
      <c r="M136" s="26" t="n">
        <v>50</v>
      </c>
    </row>
    <row r="137" customFormat="false" ht="15" hidden="false" customHeight="false" outlineLevel="0" collapsed="false">
      <c r="A137" s="27" t="n">
        <v>10412</v>
      </c>
      <c r="B137" s="12" t="s">
        <v>129</v>
      </c>
      <c r="C137" s="28" t="n">
        <v>86</v>
      </c>
      <c r="D137" s="28" t="n">
        <v>86</v>
      </c>
      <c r="E137" s="14" t="n">
        <v>0</v>
      </c>
      <c r="F137" s="14" t="n">
        <v>31032.15</v>
      </c>
      <c r="G137" s="14" t="n">
        <v>31032.15</v>
      </c>
      <c r="H137" s="14" t="n">
        <v>15180.9507</v>
      </c>
      <c r="I137" s="14" t="n">
        <v>15851.2</v>
      </c>
      <c r="J137" s="14" t="n">
        <v>7193.62</v>
      </c>
      <c r="K137" s="15" t="n">
        <v>0.5108</v>
      </c>
      <c r="L137" s="15" t="n">
        <v>0.2318</v>
      </c>
      <c r="M137" s="29" t="n">
        <v>29.57</v>
      </c>
    </row>
    <row r="138" customFormat="false" ht="15" hidden="false" customHeight="false" outlineLevel="0" collapsed="false">
      <c r="A138" s="24" t="n">
        <v>10419</v>
      </c>
      <c r="B138" s="8" t="s">
        <v>138</v>
      </c>
      <c r="C138" s="25" t="n">
        <v>30</v>
      </c>
      <c r="D138" s="25" t="n">
        <v>30</v>
      </c>
      <c r="E138" s="10" t="n">
        <v>0</v>
      </c>
      <c r="F138" s="10" t="n">
        <v>2396.7</v>
      </c>
      <c r="G138" s="10" t="n">
        <v>2396.7</v>
      </c>
      <c r="H138" s="10" t="n">
        <v>919.95</v>
      </c>
      <c r="I138" s="10" t="n">
        <v>1476.75</v>
      </c>
      <c r="J138" s="10" t="n">
        <v>807.84</v>
      </c>
      <c r="K138" s="11" t="n">
        <v>0.6162</v>
      </c>
      <c r="L138" s="11" t="n">
        <v>0.3371</v>
      </c>
      <c r="M138" s="26" t="n">
        <v>29</v>
      </c>
    </row>
    <row r="139" customFormat="false" ht="15" hidden="false" customHeight="false" outlineLevel="0" collapsed="false">
      <c r="A139" s="27" t="n">
        <v>10422</v>
      </c>
      <c r="B139" s="12" t="s">
        <v>139</v>
      </c>
      <c r="C139" s="28" t="n">
        <v>40</v>
      </c>
      <c r="D139" s="28" t="n">
        <v>40</v>
      </c>
      <c r="E139" s="14" t="n">
        <v>0</v>
      </c>
      <c r="F139" s="14" t="n">
        <v>31428.92</v>
      </c>
      <c r="G139" s="14" t="n">
        <v>31428.92</v>
      </c>
      <c r="H139" s="14" t="n">
        <v>10595.95</v>
      </c>
      <c r="I139" s="14" t="n">
        <v>20832.97</v>
      </c>
      <c r="J139" s="14" t="n">
        <v>12198.84</v>
      </c>
      <c r="K139" s="15" t="n">
        <v>0.6629</v>
      </c>
      <c r="L139" s="15" t="n">
        <v>0.3881</v>
      </c>
      <c r="M139" s="29" t="n">
        <v>29.4</v>
      </c>
    </row>
    <row r="140" customFormat="false" ht="15" hidden="false" customHeight="false" outlineLevel="0" collapsed="false">
      <c r="A140" s="24" t="n">
        <v>10427</v>
      </c>
      <c r="B140" s="8" t="s">
        <v>140</v>
      </c>
      <c r="C140" s="25" t="n">
        <v>12</v>
      </c>
      <c r="D140" s="25" t="n">
        <v>12</v>
      </c>
      <c r="E140" s="10" t="n">
        <v>0</v>
      </c>
      <c r="F140" s="10" t="n">
        <v>2891.66</v>
      </c>
      <c r="G140" s="10" t="n">
        <v>2891.66</v>
      </c>
      <c r="H140" s="10" t="n">
        <v>1085.21</v>
      </c>
      <c r="I140" s="10" t="n">
        <v>1806.45</v>
      </c>
      <c r="J140" s="10" t="n">
        <v>1075.97</v>
      </c>
      <c r="K140" s="11" t="n">
        <v>0.6247</v>
      </c>
      <c r="L140" s="11" t="n">
        <v>0.3721</v>
      </c>
      <c r="M140" s="26" t="n">
        <v>45.85</v>
      </c>
    </row>
    <row r="141" customFormat="false" ht="15" hidden="false" customHeight="false" outlineLevel="0" collapsed="false">
      <c r="A141" s="27" t="n">
        <v>10428</v>
      </c>
      <c r="B141" s="12" t="s">
        <v>141</v>
      </c>
      <c r="C141" s="28" t="n">
        <v>8</v>
      </c>
      <c r="D141" s="28" t="n">
        <v>8</v>
      </c>
      <c r="E141" s="14" t="n">
        <v>0</v>
      </c>
      <c r="F141" s="14" t="n">
        <v>8354.72</v>
      </c>
      <c r="G141" s="14" t="n">
        <v>8354.72</v>
      </c>
      <c r="H141" s="14" t="n">
        <v>4728.75</v>
      </c>
      <c r="I141" s="14" t="n">
        <v>3625.97</v>
      </c>
      <c r="J141" s="14" t="n">
        <v>1294.19</v>
      </c>
      <c r="K141" s="15" t="n">
        <v>0.434</v>
      </c>
      <c r="L141" s="15" t="n">
        <v>0.1549</v>
      </c>
      <c r="M141" s="29" t="n">
        <v>29.5</v>
      </c>
    </row>
    <row r="142" customFormat="false" ht="15" hidden="false" customHeight="false" outlineLevel="0" collapsed="false">
      <c r="A142" s="24" t="n">
        <v>10439</v>
      </c>
      <c r="B142" s="8" t="s">
        <v>141</v>
      </c>
      <c r="C142" s="25" t="n">
        <v>21</v>
      </c>
      <c r="D142" s="25" t="n">
        <v>21</v>
      </c>
      <c r="E142" s="10" t="n">
        <v>0</v>
      </c>
      <c r="F142" s="10" t="n">
        <v>24949.89</v>
      </c>
      <c r="G142" s="10" t="n">
        <v>24949.89</v>
      </c>
      <c r="H142" s="10" t="n">
        <v>10182.7601</v>
      </c>
      <c r="I142" s="10" t="n">
        <v>14767.13</v>
      </c>
      <c r="J142" s="10" t="n">
        <v>7803.64</v>
      </c>
      <c r="K142" s="11" t="n">
        <v>0.5919</v>
      </c>
      <c r="L142" s="11" t="n">
        <v>0.3128</v>
      </c>
      <c r="M142" s="26" t="n">
        <v>29.57</v>
      </c>
    </row>
    <row r="143" customFormat="false" ht="15" hidden="false" customHeight="false" outlineLevel="0" collapsed="false">
      <c r="A143" s="27" t="n">
        <v>10443</v>
      </c>
      <c r="B143" s="12" t="s">
        <v>142</v>
      </c>
      <c r="C143" s="28" t="n">
        <v>2</v>
      </c>
      <c r="D143" s="28" t="n">
        <v>2</v>
      </c>
      <c r="E143" s="14" t="n">
        <v>0</v>
      </c>
      <c r="F143" s="14" t="n">
        <v>148.52</v>
      </c>
      <c r="G143" s="14" t="n">
        <v>148.52</v>
      </c>
      <c r="H143" s="14" t="n">
        <v>64.8</v>
      </c>
      <c r="I143" s="14" t="n">
        <v>83.72</v>
      </c>
      <c r="J143" s="14" t="n">
        <v>42.92</v>
      </c>
      <c r="K143" s="15" t="n">
        <v>0.5637</v>
      </c>
      <c r="L143" s="15" t="n">
        <v>0.289</v>
      </c>
      <c r="M143" s="29" t="n">
        <v>33</v>
      </c>
    </row>
    <row r="144" customFormat="false" ht="15" hidden="false" customHeight="false" outlineLevel="0" collapsed="false">
      <c r="A144" s="24" t="n">
        <v>10444</v>
      </c>
      <c r="B144" s="8" t="s">
        <v>143</v>
      </c>
      <c r="C144" s="25" t="n">
        <v>14</v>
      </c>
      <c r="D144" s="25" t="n">
        <v>14</v>
      </c>
      <c r="E144" s="10" t="n">
        <v>0</v>
      </c>
      <c r="F144" s="10" t="n">
        <v>4947.46</v>
      </c>
      <c r="G144" s="10" t="n">
        <v>4947.46</v>
      </c>
      <c r="H144" s="10" t="n">
        <v>2207.5</v>
      </c>
      <c r="I144" s="10" t="n">
        <v>2739.96</v>
      </c>
      <c r="J144" s="10" t="n">
        <v>1359.14</v>
      </c>
      <c r="K144" s="11" t="n">
        <v>0.5538</v>
      </c>
      <c r="L144" s="11" t="n">
        <v>0.2747</v>
      </c>
      <c r="M144" s="26" t="n">
        <v>29.5</v>
      </c>
    </row>
    <row r="145" customFormat="false" ht="15" hidden="false" customHeight="false" outlineLevel="0" collapsed="false">
      <c r="A145" s="27" t="n">
        <v>10445</v>
      </c>
      <c r="B145" s="12" t="s">
        <v>144</v>
      </c>
      <c r="C145" s="28" t="n">
        <v>53</v>
      </c>
      <c r="D145" s="28" t="n">
        <v>53</v>
      </c>
      <c r="E145" s="14" t="n">
        <v>0</v>
      </c>
      <c r="F145" s="14" t="n">
        <v>5616.98</v>
      </c>
      <c r="G145" s="14" t="n">
        <v>5616.98</v>
      </c>
      <c r="H145" s="14" t="n">
        <v>2809.8702</v>
      </c>
      <c r="I145" s="14" t="n">
        <v>2807.11</v>
      </c>
      <c r="J145" s="14" t="n">
        <v>1239.4</v>
      </c>
      <c r="K145" s="15" t="n">
        <v>0.4998</v>
      </c>
      <c r="L145" s="15" t="n">
        <v>0.2207</v>
      </c>
      <c r="M145" s="29" t="n">
        <v>29.65</v>
      </c>
    </row>
    <row r="146" customFormat="false" ht="15" hidden="false" customHeight="false" outlineLevel="0" collapsed="false">
      <c r="A146" s="24" t="n">
        <v>10446</v>
      </c>
      <c r="B146" s="8" t="s">
        <v>145</v>
      </c>
      <c r="C146" s="25" t="n">
        <v>110</v>
      </c>
      <c r="D146" s="25" t="n">
        <v>110</v>
      </c>
      <c r="E146" s="10" t="n">
        <v>0</v>
      </c>
      <c r="F146" s="10" t="n">
        <v>4902.3</v>
      </c>
      <c r="G146" s="10" t="n">
        <v>4902.3</v>
      </c>
      <c r="H146" s="10" t="n">
        <v>1499.09</v>
      </c>
      <c r="I146" s="10" t="n">
        <v>3403.21</v>
      </c>
      <c r="J146" s="10" t="n">
        <v>2034.97</v>
      </c>
      <c r="K146" s="11" t="n">
        <v>0.6942</v>
      </c>
      <c r="L146" s="11" t="n">
        <v>0.4151</v>
      </c>
      <c r="M146" s="26" t="n">
        <v>29.87</v>
      </c>
    </row>
    <row r="147" customFormat="false" ht="15" hidden="false" customHeight="false" outlineLevel="0" collapsed="false">
      <c r="A147" s="27" t="n">
        <v>10447</v>
      </c>
      <c r="B147" s="12" t="s">
        <v>146</v>
      </c>
      <c r="C147" s="28" t="n">
        <v>136</v>
      </c>
      <c r="D147" s="28" t="n">
        <v>136</v>
      </c>
      <c r="E147" s="14" t="n">
        <v>0</v>
      </c>
      <c r="F147" s="14" t="n">
        <v>1207.68</v>
      </c>
      <c r="G147" s="14" t="n">
        <v>1207.68</v>
      </c>
      <c r="H147" s="14" t="n">
        <v>331.4795</v>
      </c>
      <c r="I147" s="14" t="n">
        <v>876.2</v>
      </c>
      <c r="J147" s="14" t="n">
        <v>483.53</v>
      </c>
      <c r="K147" s="15" t="n">
        <v>0.7255</v>
      </c>
      <c r="L147" s="15" t="n">
        <v>0.4004</v>
      </c>
      <c r="M147" s="29" t="n">
        <v>29.1</v>
      </c>
    </row>
    <row r="148" customFormat="false" ht="15" hidden="false" customHeight="false" outlineLevel="0" collapsed="false">
      <c r="A148" s="24" t="n">
        <v>10448</v>
      </c>
      <c r="B148" s="8" t="s">
        <v>147</v>
      </c>
      <c r="C148" s="25" t="n">
        <v>382</v>
      </c>
      <c r="D148" s="25" t="n">
        <v>382</v>
      </c>
      <c r="E148" s="10" t="n">
        <v>0</v>
      </c>
      <c r="F148" s="10" t="n">
        <v>8491.86</v>
      </c>
      <c r="G148" s="10" t="n">
        <v>8491.86</v>
      </c>
      <c r="H148" s="10" t="n">
        <v>2464.845</v>
      </c>
      <c r="I148" s="10" t="n">
        <v>6027.01</v>
      </c>
      <c r="J148" s="10" t="n">
        <v>3966.89</v>
      </c>
      <c r="K148" s="11" t="n">
        <v>0.7097</v>
      </c>
      <c r="L148" s="11" t="n">
        <v>0.4671</v>
      </c>
      <c r="M148" s="26" t="n">
        <v>35.96</v>
      </c>
    </row>
    <row r="149" customFormat="false" ht="15" hidden="false" customHeight="false" outlineLevel="0" collapsed="false">
      <c r="A149" s="27" t="n">
        <v>10470</v>
      </c>
      <c r="B149" s="12" t="s">
        <v>368</v>
      </c>
      <c r="C149" s="28" t="n">
        <v>2</v>
      </c>
      <c r="D149" s="28" t="n">
        <v>2</v>
      </c>
      <c r="E149" s="14" t="n">
        <v>0</v>
      </c>
      <c r="F149" s="14" t="n">
        <v>100</v>
      </c>
      <c r="G149" s="14" t="n">
        <v>100</v>
      </c>
      <c r="H149" s="14" t="n">
        <v>35.6</v>
      </c>
      <c r="I149" s="14" t="n">
        <v>64.4</v>
      </c>
      <c r="J149" s="14" t="n">
        <v>36.93</v>
      </c>
      <c r="K149" s="15" t="n">
        <v>0.644</v>
      </c>
      <c r="L149" s="15" t="n">
        <v>0.3693</v>
      </c>
      <c r="M149" s="29" t="n">
        <v>58</v>
      </c>
    </row>
    <row r="150" customFormat="false" ht="15" hidden="false" customHeight="false" outlineLevel="0" collapsed="false">
      <c r="A150" s="24" t="n">
        <v>10475</v>
      </c>
      <c r="B150" s="8" t="s">
        <v>150</v>
      </c>
      <c r="C150" s="25" t="n">
        <v>30</v>
      </c>
      <c r="D150" s="25" t="n">
        <v>30</v>
      </c>
      <c r="E150" s="10" t="n">
        <v>0</v>
      </c>
      <c r="F150" s="10" t="n">
        <v>3911.1</v>
      </c>
      <c r="G150" s="10" t="n">
        <v>3911.1</v>
      </c>
      <c r="H150" s="10" t="n">
        <v>2791.99</v>
      </c>
      <c r="I150" s="10" t="n">
        <v>1119.11</v>
      </c>
      <c r="J150" s="10" t="n">
        <v>44.66</v>
      </c>
      <c r="K150" s="11" t="n">
        <v>0.2861</v>
      </c>
      <c r="L150" s="11" t="n">
        <v>0.0114</v>
      </c>
      <c r="M150" s="26" t="n">
        <v>50</v>
      </c>
    </row>
    <row r="151" customFormat="false" ht="15" hidden="false" customHeight="false" outlineLevel="0" collapsed="false">
      <c r="A151" s="27" t="n">
        <v>10476</v>
      </c>
      <c r="B151" s="12" t="s">
        <v>151</v>
      </c>
      <c r="C151" s="28" t="n">
        <v>80</v>
      </c>
      <c r="D151" s="28" t="n">
        <v>80</v>
      </c>
      <c r="E151" s="14" t="n">
        <v>0</v>
      </c>
      <c r="F151" s="14" t="n">
        <v>12135.2</v>
      </c>
      <c r="G151" s="14" t="n">
        <v>12135.2</v>
      </c>
      <c r="H151" s="14" t="n">
        <v>6725.08</v>
      </c>
      <c r="I151" s="14" t="n">
        <v>5410.12</v>
      </c>
      <c r="J151" s="14" t="n">
        <v>2076.35</v>
      </c>
      <c r="K151" s="15" t="n">
        <v>0.4458</v>
      </c>
      <c r="L151" s="15" t="n">
        <v>0.1711</v>
      </c>
      <c r="M151" s="29" t="n">
        <v>50</v>
      </c>
    </row>
    <row r="152" customFormat="false" ht="15" hidden="false" customHeight="false" outlineLevel="0" collapsed="false">
      <c r="A152" s="24" t="n">
        <v>10477</v>
      </c>
      <c r="B152" s="8" t="s">
        <v>152</v>
      </c>
      <c r="C152" s="25" t="n">
        <v>93</v>
      </c>
      <c r="D152" s="25" t="n">
        <v>93</v>
      </c>
      <c r="E152" s="10" t="n">
        <v>0</v>
      </c>
      <c r="F152" s="10" t="n">
        <v>12218.5</v>
      </c>
      <c r="G152" s="10" t="n">
        <v>12218.5</v>
      </c>
      <c r="H152" s="10" t="n">
        <v>7357.9305</v>
      </c>
      <c r="I152" s="10" t="n">
        <v>4860.57</v>
      </c>
      <c r="J152" s="10" t="n">
        <v>1503.89</v>
      </c>
      <c r="K152" s="11" t="n">
        <v>0.3978</v>
      </c>
      <c r="L152" s="11" t="n">
        <v>0.1231</v>
      </c>
      <c r="M152" s="26" t="n">
        <v>50</v>
      </c>
    </row>
    <row r="153" customFormat="false" ht="15" hidden="false" customHeight="false" outlineLevel="0" collapsed="false">
      <c r="A153" s="27" t="n">
        <v>10481</v>
      </c>
      <c r="B153" s="12" t="s">
        <v>74</v>
      </c>
      <c r="C153" s="28" t="n">
        <v>59</v>
      </c>
      <c r="D153" s="28" t="n">
        <v>59</v>
      </c>
      <c r="E153" s="14" t="n">
        <v>0</v>
      </c>
      <c r="F153" s="14" t="n">
        <v>12325.52</v>
      </c>
      <c r="G153" s="14" t="n">
        <v>12325.52</v>
      </c>
      <c r="H153" s="14" t="n">
        <v>6208.8801</v>
      </c>
      <c r="I153" s="14" t="n">
        <v>6116.64</v>
      </c>
      <c r="J153" s="14" t="n">
        <v>2730.61</v>
      </c>
      <c r="K153" s="15" t="n">
        <v>0.4963</v>
      </c>
      <c r="L153" s="15" t="n">
        <v>0.2215</v>
      </c>
      <c r="M153" s="29" t="n">
        <v>30.57</v>
      </c>
    </row>
    <row r="154" customFormat="false" ht="15" hidden="false" customHeight="false" outlineLevel="0" collapsed="false">
      <c r="A154" s="24" t="n">
        <v>10484</v>
      </c>
      <c r="B154" s="8" t="s">
        <v>74</v>
      </c>
      <c r="C154" s="25" t="n">
        <v>-1</v>
      </c>
      <c r="D154" s="25" t="n">
        <v>-1</v>
      </c>
      <c r="E154" s="10" t="n">
        <v>0</v>
      </c>
      <c r="F154" s="10" t="n">
        <v>-181.32</v>
      </c>
      <c r="G154" s="10" t="n">
        <v>-181.32</v>
      </c>
      <c r="H154" s="10" t="n">
        <v>-93.72</v>
      </c>
      <c r="I154" s="10" t="n">
        <v>-87.6</v>
      </c>
      <c r="J154" s="10" t="n">
        <v>-65.37</v>
      </c>
      <c r="K154" s="11" t="n">
        <v>0.4831</v>
      </c>
      <c r="L154" s="11" t="n">
        <v>0.3605</v>
      </c>
      <c r="M154" s="26" t="n">
        <v>30</v>
      </c>
    </row>
    <row r="155" customFormat="false" ht="15" hidden="false" customHeight="false" outlineLevel="0" collapsed="false">
      <c r="A155" s="27" t="n">
        <v>10485</v>
      </c>
      <c r="B155" s="12" t="s">
        <v>40</v>
      </c>
      <c r="C155" s="28" t="n">
        <v>57</v>
      </c>
      <c r="D155" s="28" t="n">
        <v>57</v>
      </c>
      <c r="E155" s="14" t="n">
        <v>0</v>
      </c>
      <c r="F155" s="14" t="n">
        <v>8101.51</v>
      </c>
      <c r="G155" s="14" t="n">
        <v>8101.51</v>
      </c>
      <c r="H155" s="14" t="n">
        <v>3642.7405</v>
      </c>
      <c r="I155" s="14" t="n">
        <v>4458.77</v>
      </c>
      <c r="J155" s="14" t="n">
        <v>2233.11</v>
      </c>
      <c r="K155" s="15" t="n">
        <v>0.5504</v>
      </c>
      <c r="L155" s="15" t="n">
        <v>0.2756</v>
      </c>
      <c r="M155" s="29" t="n">
        <v>50</v>
      </c>
    </row>
    <row r="156" customFormat="false" ht="15" hidden="false" customHeight="false" outlineLevel="0" collapsed="false">
      <c r="A156" s="24" t="n">
        <v>10488</v>
      </c>
      <c r="B156" s="8" t="s">
        <v>154</v>
      </c>
      <c r="C156" s="25" t="n">
        <v>43</v>
      </c>
      <c r="D156" s="25" t="n">
        <v>43</v>
      </c>
      <c r="E156" s="10" t="n">
        <v>2403.34</v>
      </c>
      <c r="F156" s="10" t="n">
        <v>17399.92</v>
      </c>
      <c r="G156" s="10" t="n">
        <v>19803.26</v>
      </c>
      <c r="H156" s="10" t="n">
        <v>7537.6901</v>
      </c>
      <c r="I156" s="10" t="n">
        <v>12265.57</v>
      </c>
      <c r="J156" s="10" t="n">
        <v>7528.63</v>
      </c>
      <c r="K156" s="11" t="n">
        <v>0.6194</v>
      </c>
      <c r="L156" s="11" t="n">
        <v>0.3802</v>
      </c>
      <c r="M156" s="26" t="n">
        <v>25.96</v>
      </c>
    </row>
    <row r="157" customFormat="false" ht="15" hidden="false" customHeight="false" outlineLevel="0" collapsed="false">
      <c r="A157" s="27" t="n">
        <v>10493</v>
      </c>
      <c r="B157" s="12" t="s">
        <v>155</v>
      </c>
      <c r="C157" s="28" t="n">
        <v>40</v>
      </c>
      <c r="D157" s="28" t="n">
        <v>40</v>
      </c>
      <c r="E157" s="14" t="n">
        <v>0</v>
      </c>
      <c r="F157" s="14" t="n">
        <v>19036.8</v>
      </c>
      <c r="G157" s="14" t="n">
        <v>19036.8</v>
      </c>
      <c r="H157" s="14" t="n">
        <v>9298.58</v>
      </c>
      <c r="I157" s="14" t="n">
        <v>9738.22</v>
      </c>
      <c r="J157" s="14" t="n">
        <v>4508.42</v>
      </c>
      <c r="K157" s="15" t="n">
        <v>0.5115</v>
      </c>
      <c r="L157" s="15" t="n">
        <v>0.2368</v>
      </c>
      <c r="M157" s="29" t="n">
        <v>38.5</v>
      </c>
    </row>
    <row r="158" customFormat="false" ht="15" hidden="false" customHeight="false" outlineLevel="0" collapsed="false">
      <c r="A158" s="24" t="n">
        <v>10498</v>
      </c>
      <c r="B158" s="8" t="s">
        <v>156</v>
      </c>
      <c r="C158" s="25" t="n">
        <v>4</v>
      </c>
      <c r="D158" s="25" t="n">
        <v>4</v>
      </c>
      <c r="E158" s="10" t="n">
        <v>314.19</v>
      </c>
      <c r="F158" s="10" t="n">
        <v>942.57</v>
      </c>
      <c r="G158" s="10" t="n">
        <v>1256.76</v>
      </c>
      <c r="H158" s="10" t="n">
        <v>397.1799</v>
      </c>
      <c r="I158" s="10" t="n">
        <v>859.58</v>
      </c>
      <c r="J158" s="10" t="n">
        <v>514.33</v>
      </c>
      <c r="K158" s="11" t="n">
        <v>0.684</v>
      </c>
      <c r="L158" s="11" t="n">
        <v>0.4093</v>
      </c>
      <c r="M158" s="26" t="n">
        <v>39.5</v>
      </c>
    </row>
    <row r="159" customFormat="false" ht="15" hidden="false" customHeight="false" outlineLevel="0" collapsed="false">
      <c r="A159" s="27" t="n">
        <v>10500</v>
      </c>
      <c r="B159" s="12" t="s">
        <v>265</v>
      </c>
      <c r="C159" s="28" t="n">
        <v>7</v>
      </c>
      <c r="D159" s="28" t="n">
        <v>7</v>
      </c>
      <c r="E159" s="14" t="n">
        <v>0</v>
      </c>
      <c r="F159" s="14" t="n">
        <v>2618</v>
      </c>
      <c r="G159" s="14" t="n">
        <v>2618</v>
      </c>
      <c r="H159" s="14" t="n">
        <v>1032.1402</v>
      </c>
      <c r="I159" s="14" t="n">
        <v>1585.86</v>
      </c>
      <c r="J159" s="14" t="n">
        <v>866.64</v>
      </c>
      <c r="K159" s="15" t="n">
        <v>0.6058</v>
      </c>
      <c r="L159" s="15" t="n">
        <v>0.331</v>
      </c>
      <c r="M159" s="29" t="n">
        <v>30</v>
      </c>
    </row>
    <row r="160" customFormat="false" ht="15" hidden="false" customHeight="false" outlineLevel="0" collapsed="false">
      <c r="A160" s="24" t="n">
        <v>10504</v>
      </c>
      <c r="B160" s="8" t="s">
        <v>157</v>
      </c>
      <c r="C160" s="25" t="n">
        <v>6</v>
      </c>
      <c r="D160" s="25" t="n">
        <v>6</v>
      </c>
      <c r="E160" s="10" t="n">
        <v>0</v>
      </c>
      <c r="F160" s="10" t="n">
        <v>28865.4</v>
      </c>
      <c r="G160" s="10" t="n">
        <v>28865.4</v>
      </c>
      <c r="H160" s="10" t="n">
        <v>16064.11</v>
      </c>
      <c r="I160" s="10" t="n">
        <v>12801.29</v>
      </c>
      <c r="J160" s="10" t="n">
        <v>4871.38</v>
      </c>
      <c r="K160" s="11" t="n">
        <v>0.4435</v>
      </c>
      <c r="L160" s="11" t="n">
        <v>0.1688</v>
      </c>
      <c r="M160" s="26" t="n">
        <v>36</v>
      </c>
    </row>
    <row r="161" customFormat="false" ht="15" hidden="false" customHeight="false" outlineLevel="0" collapsed="false">
      <c r="A161" s="27" t="n">
        <v>10509</v>
      </c>
      <c r="B161" s="12" t="s">
        <v>266</v>
      </c>
      <c r="C161" s="28" t="n">
        <v>2</v>
      </c>
      <c r="D161" s="28" t="n">
        <v>2</v>
      </c>
      <c r="E161" s="14" t="n">
        <v>0</v>
      </c>
      <c r="F161" s="14" t="n">
        <v>157.92</v>
      </c>
      <c r="G161" s="14" t="n">
        <v>157.92</v>
      </c>
      <c r="H161" s="14" t="n">
        <v>33.52</v>
      </c>
      <c r="I161" s="14" t="n">
        <v>124.4</v>
      </c>
      <c r="J161" s="14" t="n">
        <v>69.61</v>
      </c>
      <c r="K161" s="15" t="n">
        <v>0.7877</v>
      </c>
      <c r="L161" s="15" t="n">
        <v>0.4408</v>
      </c>
      <c r="M161" s="29" t="n">
        <v>42</v>
      </c>
    </row>
    <row r="162" customFormat="false" ht="15" hidden="false" customHeight="false" outlineLevel="0" collapsed="false">
      <c r="A162" s="24" t="n">
        <v>10539</v>
      </c>
      <c r="B162" s="8" t="s">
        <v>159</v>
      </c>
      <c r="C162" s="25" t="n">
        <v>12</v>
      </c>
      <c r="D162" s="25" t="n">
        <v>12</v>
      </c>
      <c r="E162" s="10" t="n">
        <v>0</v>
      </c>
      <c r="F162" s="10" t="n">
        <v>4999.92</v>
      </c>
      <c r="G162" s="10" t="n">
        <v>4999.92</v>
      </c>
      <c r="H162" s="10" t="n">
        <v>6676.2501</v>
      </c>
      <c r="I162" s="10" t="n">
        <v>-1676.33</v>
      </c>
      <c r="J162" s="10" t="n">
        <v>-3071.81</v>
      </c>
      <c r="K162" s="11" t="n">
        <v>-0.3353</v>
      </c>
      <c r="L162" s="11" t="n">
        <v>-0.6144</v>
      </c>
      <c r="M162" s="26" t="n">
        <v>30.75</v>
      </c>
    </row>
    <row r="163" customFormat="false" ht="15" hidden="false" customHeight="false" outlineLevel="0" collapsed="false">
      <c r="A163" s="27" t="n">
        <v>10544</v>
      </c>
      <c r="B163" s="12" t="s">
        <v>160</v>
      </c>
      <c r="C163" s="28" t="n">
        <v>10</v>
      </c>
      <c r="D163" s="28" t="n">
        <v>10</v>
      </c>
      <c r="E163" s="14" t="n">
        <v>0</v>
      </c>
      <c r="F163" s="14" t="n">
        <v>4095.7</v>
      </c>
      <c r="G163" s="14" t="n">
        <v>4095.7</v>
      </c>
      <c r="H163" s="14" t="n">
        <v>2974.27</v>
      </c>
      <c r="I163" s="14" t="n">
        <v>1121.43</v>
      </c>
      <c r="J163" s="14" t="n">
        <v>-21.68</v>
      </c>
      <c r="K163" s="15" t="n">
        <v>0.2738</v>
      </c>
      <c r="L163" s="15" t="n">
        <v>-0.0053</v>
      </c>
      <c r="M163" s="29" t="n">
        <v>31</v>
      </c>
    </row>
    <row r="164" customFormat="false" ht="15" hidden="false" customHeight="false" outlineLevel="0" collapsed="false">
      <c r="A164" s="24" t="n">
        <v>10554</v>
      </c>
      <c r="B164" s="8" t="s">
        <v>161</v>
      </c>
      <c r="C164" s="25" t="n">
        <v>24</v>
      </c>
      <c r="D164" s="25" t="n">
        <v>24</v>
      </c>
      <c r="E164" s="10" t="n">
        <v>0</v>
      </c>
      <c r="F164" s="10" t="n">
        <v>2463.36</v>
      </c>
      <c r="G164" s="10" t="n">
        <v>2463.36</v>
      </c>
      <c r="H164" s="10" t="n">
        <v>390.4898</v>
      </c>
      <c r="I164" s="10" t="n">
        <v>2072.87</v>
      </c>
      <c r="J164" s="10" t="n">
        <v>1396.12</v>
      </c>
      <c r="K164" s="11" t="n">
        <v>0.8415</v>
      </c>
      <c r="L164" s="11" t="n">
        <v>0.5668</v>
      </c>
      <c r="M164" s="26" t="n">
        <v>50</v>
      </c>
    </row>
    <row r="165" customFormat="false" ht="15" hidden="false" customHeight="false" outlineLevel="0" collapsed="false">
      <c r="A165" s="27" t="n">
        <v>10555</v>
      </c>
      <c r="B165" s="12" t="s">
        <v>162</v>
      </c>
      <c r="C165" s="28" t="n">
        <v>5</v>
      </c>
      <c r="D165" s="28" t="n">
        <v>5</v>
      </c>
      <c r="E165" s="14" t="n">
        <v>0</v>
      </c>
      <c r="F165" s="14" t="n">
        <v>2263.45</v>
      </c>
      <c r="G165" s="14" t="n">
        <v>2263.45</v>
      </c>
      <c r="H165" s="14" t="n">
        <v>813.94</v>
      </c>
      <c r="I165" s="14" t="n">
        <v>1449.51</v>
      </c>
      <c r="J165" s="14" t="n">
        <v>936.74</v>
      </c>
      <c r="K165" s="15" t="n">
        <v>0.6404</v>
      </c>
      <c r="L165" s="15" t="n">
        <v>0.4139</v>
      </c>
      <c r="M165" s="29" t="n">
        <v>47</v>
      </c>
    </row>
    <row r="166" customFormat="false" ht="15" hidden="false" customHeight="false" outlineLevel="0" collapsed="false">
      <c r="A166" s="24" t="n">
        <v>10556</v>
      </c>
      <c r="B166" s="8" t="s">
        <v>390</v>
      </c>
      <c r="C166" s="25" t="n">
        <v>26</v>
      </c>
      <c r="D166" s="25" t="n">
        <v>26</v>
      </c>
      <c r="E166" s="10" t="n">
        <v>0</v>
      </c>
      <c r="F166" s="10" t="n">
        <v>394680</v>
      </c>
      <c r="G166" s="10" t="n">
        <v>394680</v>
      </c>
      <c r="H166" s="10" t="n">
        <v>125602.4588</v>
      </c>
      <c r="I166" s="10" t="n">
        <v>269077.54</v>
      </c>
      <c r="J166" s="10" t="n">
        <v>220689.78</v>
      </c>
      <c r="K166" s="11" t="n">
        <v>0.6818</v>
      </c>
      <c r="L166" s="11" t="n">
        <v>0.5592</v>
      </c>
      <c r="M166" s="26" t="n">
        <v>30</v>
      </c>
    </row>
    <row r="167" customFormat="false" ht="15" hidden="false" customHeight="false" outlineLevel="0" collapsed="false">
      <c r="A167" s="27" t="n">
        <v>10560</v>
      </c>
      <c r="B167" s="12" t="s">
        <v>158</v>
      </c>
      <c r="C167" s="28" t="n">
        <v>76</v>
      </c>
      <c r="D167" s="28" t="n">
        <v>76</v>
      </c>
      <c r="E167" s="14" t="n">
        <v>0</v>
      </c>
      <c r="F167" s="14" t="n">
        <v>15484.57</v>
      </c>
      <c r="G167" s="14" t="n">
        <v>15484.57</v>
      </c>
      <c r="H167" s="14" t="n">
        <v>7676.5996</v>
      </c>
      <c r="I167" s="14" t="n">
        <v>7807.97</v>
      </c>
      <c r="J167" s="14" t="n">
        <v>3518.2</v>
      </c>
      <c r="K167" s="15" t="n">
        <v>0.5042</v>
      </c>
      <c r="L167" s="15" t="n">
        <v>0.2272</v>
      </c>
      <c r="M167" s="29" t="n">
        <v>52.74</v>
      </c>
    </row>
    <row r="168" customFormat="false" ht="15" hidden="false" customHeight="false" outlineLevel="0" collapsed="false">
      <c r="A168" s="24" t="n">
        <v>10563</v>
      </c>
      <c r="B168" s="8" t="s">
        <v>269</v>
      </c>
      <c r="C168" s="25" t="n">
        <v>8</v>
      </c>
      <c r="D168" s="25" t="n">
        <v>8</v>
      </c>
      <c r="E168" s="10" t="n">
        <v>0</v>
      </c>
      <c r="F168" s="10" t="n">
        <v>1744</v>
      </c>
      <c r="G168" s="10" t="n">
        <v>1744</v>
      </c>
      <c r="H168" s="10" t="n">
        <v>787.15</v>
      </c>
      <c r="I168" s="10" t="n">
        <v>956.85</v>
      </c>
      <c r="J168" s="10" t="n">
        <v>477.75</v>
      </c>
      <c r="K168" s="11" t="n">
        <v>0.5487</v>
      </c>
      <c r="L168" s="11" t="n">
        <v>0.2739</v>
      </c>
      <c r="M168" s="26" t="n">
        <v>43</v>
      </c>
    </row>
    <row r="169" customFormat="false" ht="15" hidden="false" customHeight="false" outlineLevel="0" collapsed="false">
      <c r="A169" s="27" t="n">
        <v>10564</v>
      </c>
      <c r="B169" s="12" t="s">
        <v>163</v>
      </c>
      <c r="C169" s="28" t="n">
        <v>35</v>
      </c>
      <c r="D169" s="28" t="n">
        <v>35</v>
      </c>
      <c r="E169" s="14" t="n">
        <v>0</v>
      </c>
      <c r="F169" s="14" t="n">
        <v>3937.5</v>
      </c>
      <c r="G169" s="14" t="n">
        <v>3937.5</v>
      </c>
      <c r="H169" s="14" t="n">
        <v>3242.03</v>
      </c>
      <c r="I169" s="14" t="n">
        <v>695.47</v>
      </c>
      <c r="J169" s="14" t="n">
        <v>-386.24</v>
      </c>
      <c r="K169" s="15" t="n">
        <v>0.1766</v>
      </c>
      <c r="L169" s="15" t="n">
        <v>-0.0981</v>
      </c>
      <c r="M169" s="29" t="n">
        <v>50</v>
      </c>
    </row>
    <row r="170" customFormat="false" ht="15" hidden="false" customHeight="false" outlineLevel="0" collapsed="false">
      <c r="A170" s="24" t="n">
        <v>10567</v>
      </c>
      <c r="B170" s="8" t="s">
        <v>164</v>
      </c>
      <c r="C170" s="25" t="n">
        <v>12</v>
      </c>
      <c r="D170" s="25" t="n">
        <v>12</v>
      </c>
      <c r="E170" s="10" t="n">
        <v>0</v>
      </c>
      <c r="F170" s="10" t="n">
        <v>418.08</v>
      </c>
      <c r="G170" s="10" t="n">
        <v>418.08</v>
      </c>
      <c r="H170" s="10" t="n">
        <v>231.73</v>
      </c>
      <c r="I170" s="10" t="n">
        <v>186.35</v>
      </c>
      <c r="J170" s="10" t="n">
        <v>69.66</v>
      </c>
      <c r="K170" s="11" t="n">
        <v>0.4457</v>
      </c>
      <c r="L170" s="11" t="n">
        <v>0.1666</v>
      </c>
      <c r="M170" s="26" t="n">
        <v>31</v>
      </c>
    </row>
    <row r="171" customFormat="false" ht="15" hidden="false" customHeight="false" outlineLevel="0" collapsed="false">
      <c r="A171" s="27" t="n">
        <v>10570</v>
      </c>
      <c r="B171" s="12" t="s">
        <v>323</v>
      </c>
      <c r="C171" s="28" t="n">
        <v>100</v>
      </c>
      <c r="D171" s="28" t="n">
        <v>100</v>
      </c>
      <c r="E171" s="14" t="n">
        <v>0</v>
      </c>
      <c r="F171" s="14" t="n">
        <v>3080</v>
      </c>
      <c r="G171" s="14" t="n">
        <v>3080</v>
      </c>
      <c r="H171" s="14" t="n">
        <v>1456.88</v>
      </c>
      <c r="I171" s="14" t="n">
        <v>1623.12</v>
      </c>
      <c r="J171" s="14" t="n">
        <v>776.98</v>
      </c>
      <c r="K171" s="15" t="n">
        <v>0.527</v>
      </c>
      <c r="L171" s="15" t="n">
        <v>0.2523</v>
      </c>
      <c r="M171" s="29" t="n">
        <v>46</v>
      </c>
    </row>
    <row r="172" customFormat="false" ht="15" hidden="false" customHeight="false" outlineLevel="0" collapsed="false">
      <c r="A172" s="24" t="n">
        <v>10576</v>
      </c>
      <c r="B172" s="8" t="s">
        <v>165</v>
      </c>
      <c r="C172" s="25" t="n">
        <v>50</v>
      </c>
      <c r="D172" s="25" t="n">
        <v>50</v>
      </c>
      <c r="E172" s="10" t="n">
        <v>0</v>
      </c>
      <c r="F172" s="10" t="n">
        <v>1103</v>
      </c>
      <c r="G172" s="10" t="n">
        <v>1103</v>
      </c>
      <c r="H172" s="10" t="n">
        <v>693.93</v>
      </c>
      <c r="I172" s="10" t="n">
        <v>409.07</v>
      </c>
      <c r="J172" s="10" t="n">
        <v>101.22</v>
      </c>
      <c r="K172" s="11" t="n">
        <v>0.3709</v>
      </c>
      <c r="L172" s="11" t="n">
        <v>0.0918</v>
      </c>
      <c r="M172" s="26" t="n">
        <v>45</v>
      </c>
    </row>
    <row r="173" customFormat="false" ht="15" hidden="false" customHeight="false" outlineLevel="0" collapsed="false">
      <c r="A173" s="27" t="n">
        <v>10585</v>
      </c>
      <c r="B173" s="12" t="s">
        <v>166</v>
      </c>
      <c r="C173" s="28" t="n">
        <v>5</v>
      </c>
      <c r="D173" s="28" t="n">
        <v>5</v>
      </c>
      <c r="E173" s="14" t="n">
        <v>0</v>
      </c>
      <c r="F173" s="14" t="n">
        <v>2805.4</v>
      </c>
      <c r="G173" s="14" t="n">
        <v>2805.4</v>
      </c>
      <c r="H173" s="14" t="n">
        <v>4494.65</v>
      </c>
      <c r="I173" s="14" t="n">
        <v>-1689.25</v>
      </c>
      <c r="J173" s="14" t="n">
        <v>-2472.24</v>
      </c>
      <c r="K173" s="15" t="n">
        <v>-0.6021</v>
      </c>
      <c r="L173" s="15" t="n">
        <v>-0.8812</v>
      </c>
      <c r="M173" s="29" t="n">
        <v>45</v>
      </c>
    </row>
    <row r="174" customFormat="false" ht="15" hidden="false" customHeight="false" outlineLevel="0" collapsed="false">
      <c r="A174" s="24" t="n">
        <v>10588</v>
      </c>
      <c r="B174" s="8" t="s">
        <v>271</v>
      </c>
      <c r="C174" s="25" t="n">
        <v>25</v>
      </c>
      <c r="D174" s="25" t="n">
        <v>25</v>
      </c>
      <c r="E174" s="10" t="n">
        <v>0</v>
      </c>
      <c r="F174" s="10" t="n">
        <v>545</v>
      </c>
      <c r="G174" s="10" t="n">
        <v>545</v>
      </c>
      <c r="H174" s="10" t="n">
        <v>60.73</v>
      </c>
      <c r="I174" s="10" t="n">
        <v>484.27</v>
      </c>
      <c r="J174" s="10" t="n">
        <v>332.15</v>
      </c>
      <c r="K174" s="11" t="n">
        <v>0.8886</v>
      </c>
      <c r="L174" s="11" t="n">
        <v>0.6094</v>
      </c>
      <c r="M174" s="26" t="n">
        <v>50</v>
      </c>
    </row>
    <row r="175" customFormat="false" ht="15" hidden="false" customHeight="false" outlineLevel="0" collapsed="false">
      <c r="A175" s="27" t="n">
        <v>10589</v>
      </c>
      <c r="B175" s="12" t="s">
        <v>391</v>
      </c>
      <c r="C175" s="28" t="n">
        <v>756</v>
      </c>
      <c r="D175" s="28" t="n">
        <v>756</v>
      </c>
      <c r="E175" s="14" t="n">
        <v>0</v>
      </c>
      <c r="F175" s="14" t="n">
        <v>11279.52</v>
      </c>
      <c r="G175" s="14" t="n">
        <v>11279.52</v>
      </c>
      <c r="H175" s="14" t="n">
        <v>6354.8334</v>
      </c>
      <c r="I175" s="14" t="n">
        <v>4924.69</v>
      </c>
      <c r="J175" s="14" t="n">
        <v>1825.98</v>
      </c>
      <c r="K175" s="15" t="n">
        <v>0.4366</v>
      </c>
      <c r="L175" s="15" t="n">
        <v>0.1619</v>
      </c>
      <c r="M175" s="29" t="n">
        <v>60</v>
      </c>
    </row>
    <row r="176" customFormat="false" ht="15" hidden="false" customHeight="false" outlineLevel="0" collapsed="false">
      <c r="A176" s="24" t="n">
        <v>10590</v>
      </c>
      <c r="B176" s="8" t="s">
        <v>392</v>
      </c>
      <c r="C176" s="25" t="n">
        <v>300</v>
      </c>
      <c r="D176" s="25" t="n">
        <v>300</v>
      </c>
      <c r="E176" s="10" t="n">
        <v>0</v>
      </c>
      <c r="F176" s="10" t="n">
        <v>6270</v>
      </c>
      <c r="G176" s="10" t="n">
        <v>6270</v>
      </c>
      <c r="H176" s="10" t="n">
        <v>3200.172</v>
      </c>
      <c r="I176" s="10" t="n">
        <v>3069.83</v>
      </c>
      <c r="J176" s="10" t="n">
        <v>1347.35</v>
      </c>
      <c r="K176" s="11" t="n">
        <v>0.4896</v>
      </c>
      <c r="L176" s="11" t="n">
        <v>0.2149</v>
      </c>
      <c r="M176" s="26" t="n">
        <v>60</v>
      </c>
    </row>
    <row r="177" customFormat="false" ht="15" hidden="false" customHeight="false" outlineLevel="0" collapsed="false">
      <c r="A177" s="27" t="n">
        <v>10591</v>
      </c>
      <c r="B177" s="12" t="s">
        <v>324</v>
      </c>
      <c r="C177" s="28" t="n">
        <v>1</v>
      </c>
      <c r="D177" s="28" t="n">
        <v>1</v>
      </c>
      <c r="E177" s="14" t="n">
        <v>12080.74</v>
      </c>
      <c r="F177" s="14" t="n">
        <v>0</v>
      </c>
      <c r="G177" s="14" t="n">
        <v>12080.74</v>
      </c>
      <c r="H177" s="14" t="n">
        <v>5404.43</v>
      </c>
      <c r="I177" s="14" t="n">
        <v>6676.31</v>
      </c>
      <c r="J177" s="14" t="n">
        <v>3139.96</v>
      </c>
      <c r="K177" s="15" t="n">
        <v>0.5526</v>
      </c>
      <c r="L177" s="15" t="n">
        <v>0.2599</v>
      </c>
      <c r="M177" s="29" t="n">
        <v>5</v>
      </c>
    </row>
    <row r="178" customFormat="false" ht="15" hidden="false" customHeight="false" outlineLevel="0" collapsed="false">
      <c r="A178" s="24" t="n">
        <v>10592</v>
      </c>
      <c r="B178" s="8" t="s">
        <v>167</v>
      </c>
      <c r="C178" s="25" t="n">
        <v>3</v>
      </c>
      <c r="D178" s="25" t="n">
        <v>3</v>
      </c>
      <c r="E178" s="10" t="n">
        <v>0</v>
      </c>
      <c r="F178" s="10" t="n">
        <v>2562.14</v>
      </c>
      <c r="G178" s="10" t="n">
        <v>2562.14</v>
      </c>
      <c r="H178" s="10" t="n">
        <v>787.2</v>
      </c>
      <c r="I178" s="10" t="n">
        <v>1774.94</v>
      </c>
      <c r="J178" s="10" t="n">
        <v>1071.08</v>
      </c>
      <c r="K178" s="11" t="n">
        <v>0.6928</v>
      </c>
      <c r="L178" s="11" t="n">
        <v>0.418</v>
      </c>
      <c r="M178" s="26" t="n">
        <v>50</v>
      </c>
    </row>
    <row r="179" customFormat="false" ht="15" hidden="false" customHeight="false" outlineLevel="0" collapsed="false">
      <c r="A179" s="27" t="n">
        <v>10601</v>
      </c>
      <c r="B179" s="12" t="s">
        <v>169</v>
      </c>
      <c r="C179" s="28" t="n">
        <v>15</v>
      </c>
      <c r="D179" s="28" t="n">
        <v>15</v>
      </c>
      <c r="E179" s="14" t="n">
        <v>165.48</v>
      </c>
      <c r="F179" s="14" t="n">
        <v>1017.73</v>
      </c>
      <c r="G179" s="14" t="n">
        <v>1183.21</v>
      </c>
      <c r="H179" s="14" t="n">
        <v>323.2497</v>
      </c>
      <c r="I179" s="14" t="n">
        <v>859.96</v>
      </c>
      <c r="J179" s="14" t="n">
        <v>580.78</v>
      </c>
      <c r="K179" s="15" t="n">
        <v>0.7268</v>
      </c>
      <c r="L179" s="15" t="n">
        <v>0.4909</v>
      </c>
      <c r="M179" s="29" t="n">
        <v>15.67</v>
      </c>
    </row>
    <row r="180" customFormat="false" ht="15" hidden="false" customHeight="false" outlineLevel="0" collapsed="false">
      <c r="A180" s="24" t="n">
        <v>10604</v>
      </c>
      <c r="B180" s="8" t="s">
        <v>158</v>
      </c>
      <c r="C180" s="25" t="n">
        <v>60</v>
      </c>
      <c r="D180" s="25" t="n">
        <v>60</v>
      </c>
      <c r="E180" s="10" t="n">
        <v>0</v>
      </c>
      <c r="F180" s="10" t="n">
        <v>12666</v>
      </c>
      <c r="G180" s="10" t="n">
        <v>12666</v>
      </c>
      <c r="H180" s="10" t="n">
        <v>7298.871</v>
      </c>
      <c r="I180" s="10" t="n">
        <v>5367.13</v>
      </c>
      <c r="J180" s="10" t="n">
        <v>3814.28</v>
      </c>
      <c r="K180" s="11" t="n">
        <v>0.4237</v>
      </c>
      <c r="L180" s="11" t="n">
        <v>0.3011</v>
      </c>
      <c r="M180" s="26" t="n">
        <v>30</v>
      </c>
    </row>
    <row r="181" customFormat="false" ht="15" hidden="false" customHeight="false" outlineLevel="0" collapsed="false">
      <c r="A181" s="27" t="n">
        <v>10615</v>
      </c>
      <c r="B181" s="12" t="s">
        <v>171</v>
      </c>
      <c r="C181" s="28" t="n">
        <v>97</v>
      </c>
      <c r="D181" s="28" t="n">
        <v>97</v>
      </c>
      <c r="E181" s="14" t="n">
        <v>0</v>
      </c>
      <c r="F181" s="14" t="n">
        <v>16310.98</v>
      </c>
      <c r="G181" s="14" t="n">
        <v>16310.98</v>
      </c>
      <c r="H181" s="14" t="n">
        <v>9435.7597</v>
      </c>
      <c r="I181" s="14" t="n">
        <v>6875.22</v>
      </c>
      <c r="J181" s="14" t="n">
        <v>2394.28</v>
      </c>
      <c r="K181" s="15" t="n">
        <v>0.4215</v>
      </c>
      <c r="L181" s="15" t="n">
        <v>0.1468</v>
      </c>
      <c r="M181" s="29" t="n">
        <v>50</v>
      </c>
    </row>
    <row r="182" customFormat="false" ht="15" hidden="false" customHeight="false" outlineLevel="0" collapsed="false">
      <c r="A182" s="24" t="n">
        <v>10616</v>
      </c>
      <c r="B182" s="8" t="s">
        <v>172</v>
      </c>
      <c r="C182" s="25" t="n">
        <v>305</v>
      </c>
      <c r="D182" s="25" t="n">
        <v>305</v>
      </c>
      <c r="E182" s="10" t="n">
        <v>0</v>
      </c>
      <c r="F182" s="10" t="n">
        <v>65386.32</v>
      </c>
      <c r="G182" s="10" t="n">
        <v>65386.32</v>
      </c>
      <c r="H182" s="10" t="n">
        <v>29062.6831</v>
      </c>
      <c r="I182" s="10" t="n">
        <v>36323.64</v>
      </c>
      <c r="J182" s="10" t="n">
        <v>18360.72</v>
      </c>
      <c r="K182" s="11" t="n">
        <v>0.5555</v>
      </c>
      <c r="L182" s="11" t="n">
        <v>0.2808</v>
      </c>
      <c r="M182" s="26" t="n">
        <v>50</v>
      </c>
    </row>
    <row r="183" customFormat="false" ht="15" hidden="false" customHeight="false" outlineLevel="0" collapsed="false">
      <c r="A183" s="27" t="n">
        <v>10617</v>
      </c>
      <c r="B183" s="12" t="s">
        <v>173</v>
      </c>
      <c r="C183" s="28" t="n">
        <v>233</v>
      </c>
      <c r="D183" s="28" t="n">
        <v>233</v>
      </c>
      <c r="E183" s="14" t="n">
        <v>0</v>
      </c>
      <c r="F183" s="14" t="n">
        <v>24968.28</v>
      </c>
      <c r="G183" s="14" t="n">
        <v>24968.28</v>
      </c>
      <c r="H183" s="14" t="n">
        <v>7989.1319</v>
      </c>
      <c r="I183" s="14" t="n">
        <v>16979.15</v>
      </c>
      <c r="J183" s="14" t="n">
        <v>10011.91</v>
      </c>
      <c r="K183" s="15" t="n">
        <v>0.68</v>
      </c>
      <c r="L183" s="15" t="n">
        <v>0.401</v>
      </c>
      <c r="M183" s="29" t="n">
        <v>50</v>
      </c>
    </row>
    <row r="184" customFormat="false" ht="15" hidden="false" customHeight="false" outlineLevel="0" collapsed="false">
      <c r="A184" s="24" t="n">
        <v>10620</v>
      </c>
      <c r="B184" s="8" t="s">
        <v>174</v>
      </c>
      <c r="C184" s="25" t="n">
        <v>90</v>
      </c>
      <c r="D184" s="25" t="n">
        <v>90</v>
      </c>
      <c r="E184" s="10" t="n">
        <v>0</v>
      </c>
      <c r="F184" s="10" t="n">
        <v>7159.5</v>
      </c>
      <c r="G184" s="10" t="n">
        <v>7159.5</v>
      </c>
      <c r="H184" s="10" t="n">
        <v>3349.32</v>
      </c>
      <c r="I184" s="10" t="n">
        <v>3810.18</v>
      </c>
      <c r="J184" s="10" t="n">
        <v>1843.33</v>
      </c>
      <c r="K184" s="11" t="n">
        <v>0.5322</v>
      </c>
      <c r="L184" s="11" t="n">
        <v>0.2575</v>
      </c>
      <c r="M184" s="26" t="n">
        <v>50</v>
      </c>
    </row>
    <row r="185" customFormat="false" ht="15" hidden="false" customHeight="false" outlineLevel="0" collapsed="false">
      <c r="A185" s="27" t="n">
        <v>10624</v>
      </c>
      <c r="B185" s="12" t="s">
        <v>176</v>
      </c>
      <c r="C185" s="28" t="n">
        <v>10</v>
      </c>
      <c r="D185" s="28" t="n">
        <v>10</v>
      </c>
      <c r="E185" s="14" t="n">
        <v>0</v>
      </c>
      <c r="F185" s="14" t="n">
        <v>118682.3</v>
      </c>
      <c r="G185" s="14" t="n">
        <v>118682.3</v>
      </c>
      <c r="H185" s="14" t="n">
        <v>67976.83</v>
      </c>
      <c r="I185" s="14" t="n">
        <v>50705.47</v>
      </c>
      <c r="J185" s="14" t="n">
        <v>18101.07</v>
      </c>
      <c r="K185" s="15" t="n">
        <v>0.4272</v>
      </c>
      <c r="L185" s="15" t="n">
        <v>0.1525</v>
      </c>
      <c r="M185" s="29" t="n">
        <v>45</v>
      </c>
    </row>
    <row r="186" customFormat="false" ht="15" hidden="false" customHeight="false" outlineLevel="0" collapsed="false">
      <c r="A186" s="24" t="n">
        <v>10627</v>
      </c>
      <c r="B186" s="8" t="s">
        <v>178</v>
      </c>
      <c r="C186" s="25" t="n">
        <v>120</v>
      </c>
      <c r="D186" s="25" t="n">
        <v>120</v>
      </c>
      <c r="E186" s="10" t="n">
        <v>0</v>
      </c>
      <c r="F186" s="10" t="n">
        <v>3393.6</v>
      </c>
      <c r="G186" s="10" t="n">
        <v>3393.6</v>
      </c>
      <c r="H186" s="10" t="n">
        <v>890.08</v>
      </c>
      <c r="I186" s="10" t="n">
        <v>2503.52</v>
      </c>
      <c r="J186" s="10" t="n">
        <v>1571.23</v>
      </c>
      <c r="K186" s="11" t="n">
        <v>0.7377</v>
      </c>
      <c r="L186" s="11" t="n">
        <v>0.463</v>
      </c>
      <c r="M186" s="26" t="n">
        <v>50</v>
      </c>
    </row>
    <row r="187" customFormat="false" ht="15" hidden="false" customHeight="false" outlineLevel="0" collapsed="false">
      <c r="A187" s="27" t="n">
        <v>10628</v>
      </c>
      <c r="B187" s="12" t="s">
        <v>179</v>
      </c>
      <c r="C187" s="28" t="n">
        <v>20</v>
      </c>
      <c r="D187" s="28" t="n">
        <v>20</v>
      </c>
      <c r="E187" s="14" t="n">
        <v>0</v>
      </c>
      <c r="F187" s="14" t="n">
        <v>1831.2</v>
      </c>
      <c r="G187" s="14" t="n">
        <v>1831.2</v>
      </c>
      <c r="H187" s="14" t="n">
        <v>744.48</v>
      </c>
      <c r="I187" s="14" t="n">
        <v>1086.72</v>
      </c>
      <c r="J187" s="14" t="n">
        <v>583.66</v>
      </c>
      <c r="K187" s="15" t="n">
        <v>0.5934</v>
      </c>
      <c r="L187" s="15" t="n">
        <v>0.3187</v>
      </c>
      <c r="M187" s="29" t="n">
        <v>50</v>
      </c>
    </row>
    <row r="188" customFormat="false" ht="15" hidden="false" customHeight="false" outlineLevel="0" collapsed="false">
      <c r="A188" s="24" t="n">
        <v>10631</v>
      </c>
      <c r="B188" s="8" t="s">
        <v>393</v>
      </c>
      <c r="C188" s="25" t="n">
        <v>63</v>
      </c>
      <c r="D188" s="25" t="n">
        <v>63</v>
      </c>
      <c r="E188" s="10" t="n">
        <v>0</v>
      </c>
      <c r="F188" s="10" t="n">
        <v>21890.61</v>
      </c>
      <c r="G188" s="10" t="n">
        <v>21890.61</v>
      </c>
      <c r="H188" s="10" t="n">
        <v>3902.4405</v>
      </c>
      <c r="I188" s="10" t="n">
        <v>17988.17</v>
      </c>
      <c r="J188" s="10" t="n">
        <v>15304.38</v>
      </c>
      <c r="K188" s="11" t="n">
        <v>0.8217</v>
      </c>
      <c r="L188" s="11" t="n">
        <v>0.6991</v>
      </c>
      <c r="M188" s="26" t="n">
        <v>30</v>
      </c>
    </row>
    <row r="189" customFormat="false" ht="15" hidden="false" customHeight="false" outlineLevel="0" collapsed="false">
      <c r="A189" s="27" t="n">
        <v>10635</v>
      </c>
      <c r="B189" s="12" t="s">
        <v>326</v>
      </c>
      <c r="C189" s="28" t="n">
        <v>5</v>
      </c>
      <c r="D189" s="28" t="n">
        <v>5</v>
      </c>
      <c r="E189" s="14" t="n">
        <v>0</v>
      </c>
      <c r="F189" s="14" t="n">
        <v>803.45</v>
      </c>
      <c r="G189" s="14" t="n">
        <v>803.45</v>
      </c>
      <c r="H189" s="14" t="n">
        <v>510.6</v>
      </c>
      <c r="I189" s="14" t="n">
        <v>292.85</v>
      </c>
      <c r="J189" s="14" t="n">
        <v>68.61</v>
      </c>
      <c r="K189" s="15" t="n">
        <v>0.3645</v>
      </c>
      <c r="L189" s="15" t="n">
        <v>0.0854</v>
      </c>
      <c r="M189" s="29" t="n">
        <v>50</v>
      </c>
    </row>
    <row r="190" customFormat="false" ht="15" hidden="false" customHeight="false" outlineLevel="0" collapsed="false">
      <c r="A190" s="24" t="n">
        <v>10636</v>
      </c>
      <c r="B190" s="8" t="s">
        <v>273</v>
      </c>
      <c r="C190" s="25" t="n">
        <v>30</v>
      </c>
      <c r="D190" s="25" t="n">
        <v>30</v>
      </c>
      <c r="E190" s="10" t="n">
        <v>0</v>
      </c>
      <c r="F190" s="10" t="n">
        <v>1240.5</v>
      </c>
      <c r="G190" s="10" t="n">
        <v>1240.5</v>
      </c>
      <c r="H190" s="10" t="n">
        <v>300.9</v>
      </c>
      <c r="I190" s="10" t="n">
        <v>939.6</v>
      </c>
      <c r="J190" s="10" t="n">
        <v>593.38</v>
      </c>
      <c r="K190" s="11" t="n">
        <v>0.7574</v>
      </c>
      <c r="L190" s="11" t="n">
        <v>0.4783</v>
      </c>
      <c r="M190" s="26" t="n">
        <v>50</v>
      </c>
    </row>
    <row r="191" customFormat="false" ht="15" hidden="false" customHeight="false" outlineLevel="0" collapsed="false">
      <c r="A191" s="27" t="n">
        <v>10637</v>
      </c>
      <c r="B191" s="12" t="s">
        <v>180</v>
      </c>
      <c r="C191" s="28" t="n">
        <v>141</v>
      </c>
      <c r="D191" s="28" t="n">
        <v>141</v>
      </c>
      <c r="E191" s="14" t="n">
        <v>0</v>
      </c>
      <c r="F191" s="14" t="n">
        <v>135757</v>
      </c>
      <c r="G191" s="14" t="n">
        <v>135757</v>
      </c>
      <c r="H191" s="14" t="n">
        <v>43872.8588</v>
      </c>
      <c r="I191" s="14" t="n">
        <v>91884.14</v>
      </c>
      <c r="J191" s="14" t="n">
        <v>53994.37</v>
      </c>
      <c r="K191" s="15" t="n">
        <v>0.6768</v>
      </c>
      <c r="L191" s="15" t="n">
        <v>0.3977</v>
      </c>
      <c r="M191" s="29" t="n">
        <v>45</v>
      </c>
    </row>
    <row r="192" customFormat="false" ht="15" hidden="false" customHeight="false" outlineLevel="0" collapsed="false">
      <c r="A192" s="24" t="n">
        <v>10665</v>
      </c>
      <c r="B192" s="8" t="s">
        <v>274</v>
      </c>
      <c r="C192" s="25" t="n">
        <v>70</v>
      </c>
      <c r="D192" s="25" t="n">
        <v>70</v>
      </c>
      <c r="E192" s="10" t="n">
        <v>0</v>
      </c>
      <c r="F192" s="10" t="n">
        <v>10347.1</v>
      </c>
      <c r="G192" s="10" t="n">
        <v>10347.1</v>
      </c>
      <c r="H192" s="10" t="n">
        <v>6672.11</v>
      </c>
      <c r="I192" s="10" t="n">
        <v>3674.99</v>
      </c>
      <c r="J192" s="10" t="n">
        <v>832.45</v>
      </c>
      <c r="K192" s="11" t="n">
        <v>0.3552</v>
      </c>
      <c r="L192" s="11" t="n">
        <v>0.0805</v>
      </c>
      <c r="M192" s="26" t="n">
        <v>50</v>
      </c>
    </row>
    <row r="193" customFormat="false" ht="15" hidden="false" customHeight="false" outlineLevel="0" collapsed="false">
      <c r="A193" s="27" t="n">
        <v>10669</v>
      </c>
      <c r="B193" s="12" t="s">
        <v>394</v>
      </c>
      <c r="C193" s="28" t="n">
        <v>3</v>
      </c>
      <c r="D193" s="28" t="n">
        <v>3</v>
      </c>
      <c r="E193" s="14" t="n">
        <v>0</v>
      </c>
      <c r="F193" s="14" t="n">
        <v>305.37</v>
      </c>
      <c r="G193" s="14" t="n">
        <v>305.37</v>
      </c>
      <c r="H193" s="14" t="n">
        <v>74.15</v>
      </c>
      <c r="I193" s="14" t="n">
        <v>231.22</v>
      </c>
      <c r="J193" s="14" t="n">
        <v>147.33</v>
      </c>
      <c r="K193" s="15" t="n">
        <v>0.7572</v>
      </c>
      <c r="L193" s="15" t="n">
        <v>0.4825</v>
      </c>
      <c r="M193" s="29" t="n">
        <v>50</v>
      </c>
    </row>
    <row r="194" customFormat="false" ht="15" hidden="false" customHeight="false" outlineLevel="0" collapsed="false">
      <c r="A194" s="24" t="n">
        <v>10674</v>
      </c>
      <c r="B194" s="8" t="s">
        <v>184</v>
      </c>
      <c r="C194" s="25" t="n">
        <v>219</v>
      </c>
      <c r="D194" s="25" t="n">
        <v>219</v>
      </c>
      <c r="E194" s="10" t="n">
        <v>0</v>
      </c>
      <c r="F194" s="10" t="n">
        <v>27863.8</v>
      </c>
      <c r="G194" s="10" t="n">
        <v>27863.8</v>
      </c>
      <c r="H194" s="10" t="n">
        <v>19861.5402</v>
      </c>
      <c r="I194" s="10" t="n">
        <v>8002.26</v>
      </c>
      <c r="J194" s="10" t="n">
        <v>347.54</v>
      </c>
      <c r="K194" s="11" t="n">
        <v>0.2872</v>
      </c>
      <c r="L194" s="11" t="n">
        <v>0.0125</v>
      </c>
      <c r="M194" s="26" t="n">
        <v>50</v>
      </c>
    </row>
    <row r="195" customFormat="false" ht="15" hidden="false" customHeight="false" outlineLevel="0" collapsed="false">
      <c r="A195" s="27" t="n">
        <v>10677</v>
      </c>
      <c r="B195" s="12" t="s">
        <v>371</v>
      </c>
      <c r="C195" s="28" t="n">
        <v>8</v>
      </c>
      <c r="D195" s="28" t="n">
        <v>8</v>
      </c>
      <c r="E195" s="14" t="n">
        <v>502.38</v>
      </c>
      <c r="F195" s="14" t="n">
        <v>150.64</v>
      </c>
      <c r="G195" s="14" t="n">
        <v>653.02</v>
      </c>
      <c r="H195" s="14" t="n">
        <v>290.5398</v>
      </c>
      <c r="I195" s="14" t="n">
        <v>362.48</v>
      </c>
      <c r="J195" s="14" t="n">
        <v>180.6</v>
      </c>
      <c r="K195" s="15" t="n">
        <v>0.5551</v>
      </c>
      <c r="L195" s="15" t="n">
        <v>0.2766</v>
      </c>
      <c r="M195" s="29" t="n">
        <v>6.85</v>
      </c>
    </row>
    <row r="196" customFormat="false" ht="15" hidden="false" customHeight="false" outlineLevel="0" collapsed="false">
      <c r="A196" s="24" t="n">
        <v>10678</v>
      </c>
      <c r="B196" s="8" t="s">
        <v>185</v>
      </c>
      <c r="C196" s="25" t="n">
        <v>220</v>
      </c>
      <c r="D196" s="25" t="n">
        <v>220</v>
      </c>
      <c r="E196" s="10" t="n">
        <v>0</v>
      </c>
      <c r="F196" s="10" t="n">
        <v>19690</v>
      </c>
      <c r="G196" s="10" t="n">
        <v>19690</v>
      </c>
      <c r="H196" s="10" t="n">
        <v>9383.032</v>
      </c>
      <c r="I196" s="10" t="n">
        <v>10306.97</v>
      </c>
      <c r="J196" s="10" t="n">
        <v>5755.62</v>
      </c>
      <c r="K196" s="11" t="n">
        <v>0.5235</v>
      </c>
      <c r="L196" s="11" t="n">
        <v>0.2923</v>
      </c>
      <c r="M196" s="26" t="n">
        <v>50</v>
      </c>
    </row>
    <row r="197" customFormat="false" ht="15" hidden="false" customHeight="false" outlineLevel="0" collapsed="false">
      <c r="A197" s="27" t="n">
        <v>10679</v>
      </c>
      <c r="B197" s="12" t="s">
        <v>158</v>
      </c>
      <c r="C197" s="28" t="n">
        <v>95</v>
      </c>
      <c r="D197" s="28" t="n">
        <v>95</v>
      </c>
      <c r="E197" s="14" t="n">
        <v>0</v>
      </c>
      <c r="F197" s="14" t="n">
        <v>9840.75</v>
      </c>
      <c r="G197" s="14" t="n">
        <v>9840.75</v>
      </c>
      <c r="H197" s="14" t="n">
        <v>8813.49</v>
      </c>
      <c r="I197" s="14" t="n">
        <v>1027.26</v>
      </c>
      <c r="J197" s="14" t="n">
        <v>-1315.87</v>
      </c>
      <c r="K197" s="15" t="n">
        <v>0.1044</v>
      </c>
      <c r="L197" s="15" t="n">
        <v>-0.1337</v>
      </c>
      <c r="M197" s="29" t="n">
        <v>50</v>
      </c>
    </row>
    <row r="198" customFormat="false" ht="15" hidden="false" customHeight="false" outlineLevel="0" collapsed="false">
      <c r="A198" s="24" t="n">
        <v>10697</v>
      </c>
      <c r="B198" s="8" t="s">
        <v>186</v>
      </c>
      <c r="C198" s="25" t="n">
        <v>8</v>
      </c>
      <c r="D198" s="25" t="n">
        <v>8</v>
      </c>
      <c r="E198" s="10" t="n">
        <v>0</v>
      </c>
      <c r="F198" s="10" t="n">
        <v>2022.34</v>
      </c>
      <c r="G198" s="10" t="n">
        <v>2022.34</v>
      </c>
      <c r="H198" s="10" t="n">
        <v>650.81</v>
      </c>
      <c r="I198" s="10" t="n">
        <v>1371.53</v>
      </c>
      <c r="J198" s="10" t="n">
        <v>1002.26</v>
      </c>
      <c r="K198" s="11" t="n">
        <v>0.6782</v>
      </c>
      <c r="L198" s="11" t="n">
        <v>0.4956</v>
      </c>
      <c r="M198" s="26" t="n">
        <v>37.89</v>
      </c>
    </row>
    <row r="199" customFormat="false" ht="15" hidden="false" customHeight="false" outlineLevel="0" collapsed="false">
      <c r="A199" s="27" t="n">
        <v>10701</v>
      </c>
      <c r="B199" s="12" t="s">
        <v>187</v>
      </c>
      <c r="C199" s="28" t="n">
        <v>45</v>
      </c>
      <c r="D199" s="28" t="n">
        <v>45</v>
      </c>
      <c r="E199" s="14" t="n">
        <v>0</v>
      </c>
      <c r="F199" s="14" t="n">
        <v>9160</v>
      </c>
      <c r="G199" s="14" t="n">
        <v>9160</v>
      </c>
      <c r="H199" s="14" t="n">
        <v>3344.67</v>
      </c>
      <c r="I199" s="14" t="n">
        <v>5815.33</v>
      </c>
      <c r="J199" s="14" t="n">
        <v>3258.78</v>
      </c>
      <c r="K199" s="15" t="n">
        <v>0.6349</v>
      </c>
      <c r="L199" s="15" t="n">
        <v>0.3558</v>
      </c>
      <c r="M199" s="29" t="n">
        <v>45</v>
      </c>
    </row>
    <row r="200" customFormat="false" ht="15" hidden="false" customHeight="false" outlineLevel="0" collapsed="false">
      <c r="A200" s="24" t="n">
        <v>10707</v>
      </c>
      <c r="B200" s="8" t="s">
        <v>188</v>
      </c>
      <c r="C200" s="25" t="n">
        <v>5</v>
      </c>
      <c r="D200" s="25" t="n">
        <v>5</v>
      </c>
      <c r="E200" s="10" t="n">
        <v>25998</v>
      </c>
      <c r="F200" s="10" t="n">
        <v>42996</v>
      </c>
      <c r="G200" s="10" t="n">
        <v>68994</v>
      </c>
      <c r="H200" s="10" t="n">
        <v>24308.6101</v>
      </c>
      <c r="I200" s="10" t="n">
        <v>44685.39</v>
      </c>
      <c r="J200" s="10" t="n">
        <v>32271.91</v>
      </c>
      <c r="K200" s="11" t="n">
        <v>0.6477</v>
      </c>
      <c r="L200" s="11" t="n">
        <v>0.4677</v>
      </c>
      <c r="M200" s="26" t="n">
        <v>21.71</v>
      </c>
    </row>
    <row r="201" customFormat="false" ht="15" hidden="false" customHeight="false" outlineLevel="0" collapsed="false">
      <c r="A201" s="27" t="n">
        <v>10711</v>
      </c>
      <c r="B201" s="12" t="s">
        <v>276</v>
      </c>
      <c r="C201" s="28" t="n">
        <v>34</v>
      </c>
      <c r="D201" s="28" t="n">
        <v>34</v>
      </c>
      <c r="E201" s="14" t="n">
        <v>0</v>
      </c>
      <c r="F201" s="14" t="n">
        <v>6912.4</v>
      </c>
      <c r="G201" s="14" t="n">
        <v>6912.4</v>
      </c>
      <c r="H201" s="14" t="n">
        <v>3724.5205</v>
      </c>
      <c r="I201" s="14" t="n">
        <v>3187.88</v>
      </c>
      <c r="J201" s="14" t="n">
        <v>1288.91</v>
      </c>
      <c r="K201" s="15" t="n">
        <v>0.4612</v>
      </c>
      <c r="L201" s="15" t="n">
        <v>0.1865</v>
      </c>
      <c r="M201" s="29" t="n">
        <v>50</v>
      </c>
    </row>
    <row r="202" customFormat="false" ht="15" hidden="false" customHeight="false" outlineLevel="0" collapsed="false">
      <c r="A202" s="24" t="n">
        <v>10712</v>
      </c>
      <c r="B202" s="8" t="s">
        <v>189</v>
      </c>
      <c r="C202" s="25" t="n">
        <v>3623</v>
      </c>
      <c r="D202" s="25" t="n">
        <v>3623</v>
      </c>
      <c r="E202" s="10" t="n">
        <v>0</v>
      </c>
      <c r="F202" s="10" t="n">
        <v>13586.25</v>
      </c>
      <c r="G202" s="10" t="n">
        <v>13586.25</v>
      </c>
      <c r="H202" s="10" t="n">
        <v>8182.9694</v>
      </c>
      <c r="I202" s="10" t="n">
        <v>5403.27</v>
      </c>
      <c r="J202" s="10" t="n">
        <v>1611.36</v>
      </c>
      <c r="K202" s="11" t="n">
        <v>0.3977</v>
      </c>
      <c r="L202" s="11" t="n">
        <v>0.1186</v>
      </c>
      <c r="M202" s="26" t="n">
        <v>45</v>
      </c>
    </row>
    <row r="203" customFormat="false" ht="15" hidden="false" customHeight="false" outlineLevel="0" collapsed="false">
      <c r="A203" s="27" t="n">
        <v>10714</v>
      </c>
      <c r="B203" s="12" t="s">
        <v>395</v>
      </c>
      <c r="C203" s="28" t="n">
        <v>14</v>
      </c>
      <c r="D203" s="28" t="n">
        <v>14</v>
      </c>
      <c r="E203" s="14" t="n">
        <v>0</v>
      </c>
      <c r="F203" s="14" t="n">
        <v>3313.66</v>
      </c>
      <c r="G203" s="14" t="n">
        <v>3313.66</v>
      </c>
      <c r="H203" s="14" t="n">
        <v>1418.27</v>
      </c>
      <c r="I203" s="14" t="n">
        <v>1895.39</v>
      </c>
      <c r="J203" s="14" t="n">
        <v>985.06</v>
      </c>
      <c r="K203" s="15" t="n">
        <v>0.572</v>
      </c>
      <c r="L203" s="15" t="n">
        <v>0.2973</v>
      </c>
      <c r="M203" s="29" t="n">
        <v>42</v>
      </c>
    </row>
    <row r="204" customFormat="false" ht="15" hidden="false" customHeight="false" outlineLevel="0" collapsed="false">
      <c r="A204" s="24" t="n">
        <v>10721</v>
      </c>
      <c r="B204" s="8" t="s">
        <v>190</v>
      </c>
      <c r="C204" s="25" t="n">
        <v>12</v>
      </c>
      <c r="D204" s="25" t="n">
        <v>12</v>
      </c>
      <c r="E204" s="10" t="n">
        <v>0</v>
      </c>
      <c r="F204" s="10" t="n">
        <v>143204.38</v>
      </c>
      <c r="G204" s="10" t="n">
        <v>143204.38</v>
      </c>
      <c r="H204" s="10" t="n">
        <v>79354.64</v>
      </c>
      <c r="I204" s="10" t="n">
        <v>63849.74</v>
      </c>
      <c r="J204" s="10" t="n">
        <v>29108.34</v>
      </c>
      <c r="K204" s="11" t="n">
        <v>0.4459</v>
      </c>
      <c r="L204" s="11" t="n">
        <v>0.2033</v>
      </c>
      <c r="M204" s="26" t="n">
        <v>36.44</v>
      </c>
    </row>
    <row r="205" customFormat="false" ht="15" hidden="false" customHeight="false" outlineLevel="0" collapsed="false">
      <c r="A205" s="27" t="n">
        <v>10722</v>
      </c>
      <c r="B205" s="12" t="s">
        <v>191</v>
      </c>
      <c r="C205" s="28" t="n">
        <v>19</v>
      </c>
      <c r="D205" s="28" t="n">
        <v>19</v>
      </c>
      <c r="E205" s="14" t="n">
        <v>0</v>
      </c>
      <c r="F205" s="14" t="n">
        <v>207300.19</v>
      </c>
      <c r="G205" s="14" t="n">
        <v>207300.19</v>
      </c>
      <c r="H205" s="14" t="n">
        <v>112042.6404</v>
      </c>
      <c r="I205" s="14" t="n">
        <v>95257.55</v>
      </c>
      <c r="J205" s="14" t="n">
        <v>44966.52</v>
      </c>
      <c r="K205" s="15" t="n">
        <v>0.4595</v>
      </c>
      <c r="L205" s="15" t="n">
        <v>0.2169</v>
      </c>
      <c r="M205" s="29" t="n">
        <v>35.56</v>
      </c>
    </row>
    <row r="206" customFormat="false" ht="15" hidden="false" customHeight="false" outlineLevel="0" collapsed="false">
      <c r="A206" s="24" t="n">
        <v>10723</v>
      </c>
      <c r="B206" s="8" t="s">
        <v>192</v>
      </c>
      <c r="C206" s="25" t="n">
        <v>33</v>
      </c>
      <c r="D206" s="25" t="n">
        <v>33</v>
      </c>
      <c r="E206" s="10" t="n">
        <v>0</v>
      </c>
      <c r="F206" s="10" t="n">
        <v>36300</v>
      </c>
      <c r="G206" s="10" t="n">
        <v>36300</v>
      </c>
      <c r="H206" s="10" t="n">
        <v>17516.6999</v>
      </c>
      <c r="I206" s="10" t="n">
        <v>18783.3</v>
      </c>
      <c r="J206" s="10" t="n">
        <v>8810.97</v>
      </c>
      <c r="K206" s="11" t="n">
        <v>0.5174</v>
      </c>
      <c r="L206" s="11" t="n">
        <v>0.2427</v>
      </c>
      <c r="M206" s="26" t="n">
        <v>50</v>
      </c>
    </row>
    <row r="207" customFormat="false" ht="15" hidden="false" customHeight="false" outlineLevel="0" collapsed="false">
      <c r="A207" s="27" t="n">
        <v>10730</v>
      </c>
      <c r="B207" s="12" t="s">
        <v>193</v>
      </c>
      <c r="C207" s="28" t="n">
        <v>52</v>
      </c>
      <c r="D207" s="28" t="n">
        <v>52</v>
      </c>
      <c r="E207" s="14" t="n">
        <v>0</v>
      </c>
      <c r="F207" s="14" t="n">
        <v>702.48</v>
      </c>
      <c r="G207" s="14" t="n">
        <v>702.48</v>
      </c>
      <c r="H207" s="14" t="n">
        <v>306.88</v>
      </c>
      <c r="I207" s="14" t="n">
        <v>395.6</v>
      </c>
      <c r="J207" s="14" t="n">
        <v>203.93</v>
      </c>
      <c r="K207" s="15" t="n">
        <v>0.5631</v>
      </c>
      <c r="L207" s="15" t="n">
        <v>0.2903</v>
      </c>
      <c r="M207" s="29" t="n">
        <v>28.5</v>
      </c>
    </row>
    <row r="208" customFormat="false" ht="15" hidden="false" customHeight="false" outlineLevel="0" collapsed="false">
      <c r="A208" s="24" t="n">
        <v>10731</v>
      </c>
      <c r="B208" s="8" t="s">
        <v>396</v>
      </c>
      <c r="C208" s="25" t="n">
        <v>17</v>
      </c>
      <c r="D208" s="25" t="n">
        <v>17</v>
      </c>
      <c r="E208" s="10" t="n">
        <v>0</v>
      </c>
      <c r="F208" s="10" t="n">
        <v>573.6</v>
      </c>
      <c r="G208" s="10" t="n">
        <v>573.6</v>
      </c>
      <c r="H208" s="10" t="n">
        <v>139.49</v>
      </c>
      <c r="I208" s="10" t="n">
        <v>434.11</v>
      </c>
      <c r="J208" s="10" t="n">
        <v>276.54</v>
      </c>
      <c r="K208" s="11" t="n">
        <v>0.7568</v>
      </c>
      <c r="L208" s="11" t="n">
        <v>0.4821</v>
      </c>
      <c r="M208" s="26" t="n">
        <v>50</v>
      </c>
    </row>
    <row r="209" customFormat="false" ht="15" hidden="false" customHeight="false" outlineLevel="0" collapsed="false">
      <c r="A209" s="27" t="n">
        <v>10732</v>
      </c>
      <c r="B209" s="12" t="s">
        <v>277</v>
      </c>
      <c r="C209" s="28" t="n">
        <v>4</v>
      </c>
      <c r="D209" s="28" t="n">
        <v>4</v>
      </c>
      <c r="E209" s="14" t="n">
        <v>0</v>
      </c>
      <c r="F209" s="14" t="n">
        <v>4252.08</v>
      </c>
      <c r="G209" s="14" t="n">
        <v>4252.08</v>
      </c>
      <c r="H209" s="14" t="n">
        <v>1535.27</v>
      </c>
      <c r="I209" s="14" t="n">
        <v>2716.81</v>
      </c>
      <c r="J209" s="14" t="n">
        <v>1530.05</v>
      </c>
      <c r="K209" s="15" t="n">
        <v>0.6389</v>
      </c>
      <c r="L209" s="15" t="n">
        <v>0.3598</v>
      </c>
      <c r="M209" s="29" t="n">
        <v>28</v>
      </c>
    </row>
    <row r="210" customFormat="false" ht="15" hidden="false" customHeight="false" outlineLevel="0" collapsed="false">
      <c r="A210" s="24" t="n">
        <v>10736</v>
      </c>
      <c r="B210" s="8" t="s">
        <v>194</v>
      </c>
      <c r="C210" s="25" t="n">
        <v>4</v>
      </c>
      <c r="D210" s="25" t="n">
        <v>4</v>
      </c>
      <c r="E210" s="10" t="n">
        <v>0</v>
      </c>
      <c r="F210" s="10" t="n">
        <v>2550.48</v>
      </c>
      <c r="G210" s="10" t="n">
        <v>2550.48</v>
      </c>
      <c r="H210" s="10" t="n">
        <v>702.18</v>
      </c>
      <c r="I210" s="10" t="n">
        <v>1848.3</v>
      </c>
      <c r="J210" s="10" t="n">
        <v>1136.46</v>
      </c>
      <c r="K210" s="11" t="n">
        <v>0.7247</v>
      </c>
      <c r="L210" s="11" t="n">
        <v>0.4456</v>
      </c>
      <c r="M210" s="26" t="n">
        <v>50</v>
      </c>
    </row>
    <row r="211" customFormat="false" ht="15" hidden="false" customHeight="false" outlineLevel="0" collapsed="false">
      <c r="A211" s="27" t="n">
        <v>10737</v>
      </c>
      <c r="B211" s="12" t="s">
        <v>331</v>
      </c>
      <c r="C211" s="28" t="n">
        <v>20</v>
      </c>
      <c r="D211" s="28" t="n">
        <v>20</v>
      </c>
      <c r="E211" s="14" t="n">
        <v>0</v>
      </c>
      <c r="F211" s="14" t="n">
        <v>12298.6</v>
      </c>
      <c r="G211" s="14" t="n">
        <v>12298.6</v>
      </c>
      <c r="H211" s="14" t="n">
        <v>5822.87</v>
      </c>
      <c r="I211" s="14" t="n">
        <v>6475.73</v>
      </c>
      <c r="J211" s="14" t="n">
        <v>3043.19</v>
      </c>
      <c r="K211" s="15" t="n">
        <v>0.5265</v>
      </c>
      <c r="L211" s="15" t="n">
        <v>0.2474</v>
      </c>
      <c r="M211" s="29" t="n">
        <v>50</v>
      </c>
    </row>
    <row r="212" customFormat="false" ht="15" hidden="false" customHeight="false" outlineLevel="0" collapsed="false">
      <c r="A212" s="24" t="n">
        <v>40004</v>
      </c>
      <c r="B212" s="8" t="s">
        <v>278</v>
      </c>
      <c r="C212" s="25" t="n">
        <v>2</v>
      </c>
      <c r="D212" s="25" t="n">
        <v>2</v>
      </c>
      <c r="E212" s="10" t="n">
        <v>0</v>
      </c>
      <c r="F212" s="10" t="n">
        <v>427.12</v>
      </c>
      <c r="G212" s="10" t="n">
        <v>427.12</v>
      </c>
      <c r="H212" s="10" t="n">
        <v>37.61</v>
      </c>
      <c r="I212" s="10" t="n">
        <v>389.51</v>
      </c>
      <c r="J212" s="10" t="n">
        <v>272.17</v>
      </c>
      <c r="K212" s="11" t="n">
        <v>0.9119</v>
      </c>
      <c r="L212" s="11" t="n">
        <v>0.6372</v>
      </c>
      <c r="M212" s="26" t="n">
        <v>28</v>
      </c>
    </row>
    <row r="213" customFormat="false" ht="15" hidden="false" customHeight="false" outlineLevel="0" collapsed="false">
      <c r="A213" s="27" t="n">
        <v>40005</v>
      </c>
      <c r="B213" s="12" t="s">
        <v>195</v>
      </c>
      <c r="C213" s="28" t="n">
        <v>15</v>
      </c>
      <c r="D213" s="28" t="n">
        <v>15</v>
      </c>
      <c r="E213" s="14" t="n">
        <v>0</v>
      </c>
      <c r="F213" s="14" t="n">
        <v>8305.35</v>
      </c>
      <c r="G213" s="14" t="n">
        <v>8305.35</v>
      </c>
      <c r="H213" s="14" t="n">
        <v>2344.55</v>
      </c>
      <c r="I213" s="14" t="n">
        <v>5960.8</v>
      </c>
      <c r="J213" s="14" t="n">
        <v>3651.61</v>
      </c>
      <c r="K213" s="15" t="n">
        <v>0.7177</v>
      </c>
      <c r="L213" s="15" t="n">
        <v>0.4397</v>
      </c>
      <c r="M213" s="29" t="n">
        <v>16.15</v>
      </c>
    </row>
    <row r="214" customFormat="false" ht="15" hidden="false" customHeight="false" outlineLevel="0" collapsed="false">
      <c r="A214" s="24" t="n">
        <v>50028</v>
      </c>
      <c r="B214" s="8" t="s">
        <v>372</v>
      </c>
      <c r="C214" s="25" t="n">
        <v>2</v>
      </c>
      <c r="D214" s="25" t="n">
        <v>2</v>
      </c>
      <c r="E214" s="10" t="n">
        <v>0</v>
      </c>
      <c r="F214" s="10" t="n">
        <v>58.5</v>
      </c>
      <c r="G214" s="10" t="n">
        <v>58.5</v>
      </c>
      <c r="H214" s="10" t="n">
        <v>1.79</v>
      </c>
      <c r="I214" s="10" t="n">
        <v>56.71</v>
      </c>
      <c r="J214" s="10" t="n">
        <v>49.53</v>
      </c>
      <c r="K214" s="11" t="n">
        <v>0.9694</v>
      </c>
      <c r="L214" s="11" t="n">
        <v>0.8467</v>
      </c>
      <c r="M214" s="26" t="n">
        <v>30</v>
      </c>
    </row>
    <row r="215" customFormat="false" ht="15" hidden="false" customHeight="false" outlineLevel="0" collapsed="false">
      <c r="A215" s="27" t="n">
        <v>50999</v>
      </c>
      <c r="B215" s="12" t="s">
        <v>197</v>
      </c>
      <c r="C215" s="28" t="n">
        <v>12</v>
      </c>
      <c r="D215" s="28" t="n">
        <v>12</v>
      </c>
      <c r="E215" s="14" t="n">
        <v>0</v>
      </c>
      <c r="F215" s="14" t="n">
        <v>1717.6</v>
      </c>
      <c r="G215" s="14" t="n">
        <v>1717.6</v>
      </c>
      <c r="H215" s="14" t="n">
        <v>201.8901</v>
      </c>
      <c r="I215" s="14" t="n">
        <v>1515.71</v>
      </c>
      <c r="J215" s="14" t="n">
        <v>1158.35</v>
      </c>
      <c r="K215" s="15" t="n">
        <v>0.8825</v>
      </c>
      <c r="L215" s="15" t="n">
        <v>0.6744</v>
      </c>
      <c r="M215" s="29" t="n">
        <v>46.13</v>
      </c>
    </row>
    <row r="216" customFormat="false" ht="15" hidden="false" customHeight="false" outlineLevel="0" collapsed="false">
      <c r="A216" s="24" t="n">
        <v>51053</v>
      </c>
      <c r="B216" s="8" t="s">
        <v>198</v>
      </c>
      <c r="C216" s="25" t="n">
        <v>2</v>
      </c>
      <c r="D216" s="25" t="n">
        <v>2</v>
      </c>
      <c r="E216" s="10" t="n">
        <v>0</v>
      </c>
      <c r="F216" s="10" t="n">
        <v>352.62</v>
      </c>
      <c r="G216" s="10" t="n">
        <v>352.62</v>
      </c>
      <c r="H216" s="10" t="n">
        <v>162.46</v>
      </c>
      <c r="I216" s="10" t="n">
        <v>190.16</v>
      </c>
      <c r="J216" s="10" t="n">
        <v>93.29</v>
      </c>
      <c r="K216" s="11" t="n">
        <v>0.5393</v>
      </c>
      <c r="L216" s="11" t="n">
        <v>0.2646</v>
      </c>
      <c r="M216" s="26" t="n">
        <v>61</v>
      </c>
    </row>
    <row r="217" customFormat="false" ht="15" hidden="false" customHeight="false" outlineLevel="0" collapsed="false">
      <c r="A217" s="27" t="n">
        <v>51630</v>
      </c>
      <c r="B217" s="12" t="s">
        <v>202</v>
      </c>
      <c r="C217" s="28" t="n">
        <v>4</v>
      </c>
      <c r="D217" s="28" t="n">
        <v>4</v>
      </c>
      <c r="E217" s="14" t="n">
        <v>0</v>
      </c>
      <c r="F217" s="14" t="n">
        <v>137.12</v>
      </c>
      <c r="G217" s="14" t="n">
        <v>137.12</v>
      </c>
      <c r="H217" s="14" t="n">
        <v>20.87</v>
      </c>
      <c r="I217" s="14" t="n">
        <v>116.25</v>
      </c>
      <c r="J217" s="14" t="n">
        <v>78.59</v>
      </c>
      <c r="K217" s="15" t="n">
        <v>0.8478</v>
      </c>
      <c r="L217" s="15" t="n">
        <v>0.5731</v>
      </c>
      <c r="M217" s="29" t="n">
        <v>48.75</v>
      </c>
    </row>
    <row r="218" customFormat="false" ht="15" hidden="false" customHeight="false" outlineLevel="0" collapsed="false">
      <c r="A218" s="24" t="n">
        <v>51644</v>
      </c>
      <c r="B218" s="8" t="s">
        <v>283</v>
      </c>
      <c r="C218" s="25" t="n">
        <v>108</v>
      </c>
      <c r="D218" s="25" t="n">
        <v>108</v>
      </c>
      <c r="E218" s="10" t="n">
        <v>0</v>
      </c>
      <c r="F218" s="10" t="n">
        <v>181.8</v>
      </c>
      <c r="G218" s="10" t="n">
        <v>181.8</v>
      </c>
      <c r="H218" s="10" t="n">
        <v>10.6298</v>
      </c>
      <c r="I218" s="10" t="n">
        <v>171.17</v>
      </c>
      <c r="J218" s="10" t="n">
        <v>121.84</v>
      </c>
      <c r="K218" s="11" t="n">
        <v>0.9415</v>
      </c>
      <c r="L218" s="11" t="n">
        <v>0.6702</v>
      </c>
      <c r="M218" s="26" t="n">
        <v>50</v>
      </c>
    </row>
    <row r="219" customFormat="false" ht="15" hidden="false" customHeight="false" outlineLevel="0" collapsed="false">
      <c r="A219" s="27" t="n">
        <v>51741</v>
      </c>
      <c r="B219" s="12" t="s">
        <v>397</v>
      </c>
      <c r="C219" s="28" t="n">
        <v>10</v>
      </c>
      <c r="D219" s="28" t="n">
        <v>10</v>
      </c>
      <c r="E219" s="14" t="n">
        <v>0</v>
      </c>
      <c r="F219" s="14" t="n">
        <v>98.53</v>
      </c>
      <c r="G219" s="14" t="n">
        <v>98.53</v>
      </c>
      <c r="H219" s="14" t="n">
        <v>10.49</v>
      </c>
      <c r="I219" s="14" t="n">
        <v>88.04</v>
      </c>
      <c r="J219" s="14" t="n">
        <v>60.97</v>
      </c>
      <c r="K219" s="15" t="n">
        <v>0.8935</v>
      </c>
      <c r="L219" s="15" t="n">
        <v>0.6188</v>
      </c>
      <c r="M219" s="29" t="n">
        <v>10</v>
      </c>
    </row>
    <row r="220" customFormat="false" ht="15" hidden="false" customHeight="false" outlineLevel="0" collapsed="false">
      <c r="A220" s="24" t="n">
        <v>52566</v>
      </c>
      <c r="B220" s="8" t="s">
        <v>205</v>
      </c>
      <c r="C220" s="25" t="n">
        <v>4</v>
      </c>
      <c r="D220" s="25" t="n">
        <v>4</v>
      </c>
      <c r="E220" s="10" t="n">
        <v>0</v>
      </c>
      <c r="F220" s="10" t="n">
        <v>831.68</v>
      </c>
      <c r="G220" s="10" t="n">
        <v>831.68</v>
      </c>
      <c r="H220" s="10" t="n">
        <v>326.3</v>
      </c>
      <c r="I220" s="10" t="n">
        <v>505.38</v>
      </c>
      <c r="J220" s="10" t="n">
        <v>276.9</v>
      </c>
      <c r="K220" s="11" t="n">
        <v>0.6077</v>
      </c>
      <c r="L220" s="11" t="n">
        <v>0.3329</v>
      </c>
      <c r="M220" s="26" t="n">
        <v>60</v>
      </c>
    </row>
    <row r="221" customFormat="false" ht="15" hidden="false" customHeight="false" outlineLevel="0" collapsed="false">
      <c r="A221" s="27" t="n">
        <v>52585</v>
      </c>
      <c r="B221" s="12" t="s">
        <v>284</v>
      </c>
      <c r="C221" s="28" t="n">
        <v>60</v>
      </c>
      <c r="D221" s="28" t="n">
        <v>60</v>
      </c>
      <c r="E221" s="14" t="n">
        <v>0</v>
      </c>
      <c r="F221" s="14" t="n">
        <v>5025.3</v>
      </c>
      <c r="G221" s="14" t="n">
        <v>5025.3</v>
      </c>
      <c r="H221" s="14" t="n">
        <v>822</v>
      </c>
      <c r="I221" s="14" t="n">
        <v>4203.3</v>
      </c>
      <c r="J221" s="14" t="n">
        <v>2822.77</v>
      </c>
      <c r="K221" s="15" t="n">
        <v>0.8364</v>
      </c>
      <c r="L221" s="15" t="n">
        <v>0.5617</v>
      </c>
      <c r="M221" s="29" t="n">
        <v>29.31</v>
      </c>
    </row>
    <row r="222" customFormat="false" ht="15" hidden="false" customHeight="false" outlineLevel="0" collapsed="false">
      <c r="A222" s="24" t="n">
        <v>54188</v>
      </c>
      <c r="B222" s="8" t="s">
        <v>398</v>
      </c>
      <c r="C222" s="25" t="n">
        <v>3</v>
      </c>
      <c r="D222" s="25" t="n">
        <v>3</v>
      </c>
      <c r="E222" s="10" t="n">
        <v>188.96</v>
      </c>
      <c r="F222" s="10" t="n">
        <v>377.92</v>
      </c>
      <c r="G222" s="10" t="n">
        <v>566.88</v>
      </c>
      <c r="H222" s="10" t="n">
        <v>3</v>
      </c>
      <c r="I222" s="10" t="n">
        <v>563.88</v>
      </c>
      <c r="J222" s="10" t="n">
        <v>407.93</v>
      </c>
      <c r="K222" s="11" t="n">
        <v>0.9947</v>
      </c>
      <c r="L222" s="11" t="n">
        <v>0.7196</v>
      </c>
      <c r="M222" s="26" t="n">
        <v>40</v>
      </c>
    </row>
    <row r="223" customFormat="false" ht="15" hidden="false" customHeight="false" outlineLevel="0" collapsed="false">
      <c r="A223" s="27" t="n">
        <v>54497</v>
      </c>
      <c r="B223" s="12" t="s">
        <v>399</v>
      </c>
      <c r="C223" s="28" t="n">
        <v>12</v>
      </c>
      <c r="D223" s="28" t="n">
        <v>12</v>
      </c>
      <c r="E223" s="14" t="n">
        <v>0</v>
      </c>
      <c r="F223" s="14" t="n">
        <v>852</v>
      </c>
      <c r="G223" s="14" t="n">
        <v>852</v>
      </c>
      <c r="H223" s="14" t="n">
        <v>377.2896</v>
      </c>
      <c r="I223" s="14" t="n">
        <v>474.71</v>
      </c>
      <c r="J223" s="14" t="n">
        <v>370.26</v>
      </c>
      <c r="K223" s="15" t="n">
        <v>0.5572</v>
      </c>
      <c r="L223" s="15" t="n">
        <v>0.4346</v>
      </c>
      <c r="M223" s="29" t="n">
        <v>45</v>
      </c>
    </row>
    <row r="224" customFormat="false" ht="15" hidden="false" customHeight="false" outlineLevel="0" collapsed="false">
      <c r="A224" s="24" t="n">
        <v>54661</v>
      </c>
      <c r="B224" s="8" t="s">
        <v>400</v>
      </c>
      <c r="C224" s="25" t="n">
        <v>4.5</v>
      </c>
      <c r="D224" s="25" t="n">
        <v>4.5</v>
      </c>
      <c r="E224" s="10" t="n">
        <v>0</v>
      </c>
      <c r="F224" s="10" t="n">
        <v>117.68</v>
      </c>
      <c r="G224" s="10" t="n">
        <v>117.68</v>
      </c>
      <c r="H224" s="10" t="n">
        <v>51.98</v>
      </c>
      <c r="I224" s="10" t="n">
        <v>65.7</v>
      </c>
      <c r="J224" s="10" t="n">
        <v>33.37</v>
      </c>
      <c r="K224" s="11" t="n">
        <v>0.5583</v>
      </c>
      <c r="L224" s="11" t="n">
        <v>0.2836</v>
      </c>
      <c r="M224" s="26" t="n">
        <v>46</v>
      </c>
    </row>
    <row r="225" customFormat="false" ht="15" hidden="false" customHeight="false" outlineLevel="0" collapsed="false">
      <c r="A225" s="27" t="n">
        <v>54801</v>
      </c>
      <c r="B225" s="12" t="s">
        <v>213</v>
      </c>
      <c r="C225" s="28" t="n">
        <v>42</v>
      </c>
      <c r="D225" s="28" t="n">
        <v>42</v>
      </c>
      <c r="E225" s="14" t="n">
        <v>0</v>
      </c>
      <c r="F225" s="14" t="n">
        <v>14470.8</v>
      </c>
      <c r="G225" s="14" t="n">
        <v>14470.8</v>
      </c>
      <c r="H225" s="14" t="n">
        <v>7033.12</v>
      </c>
      <c r="I225" s="14" t="n">
        <v>7437.68</v>
      </c>
      <c r="J225" s="14" t="n">
        <v>3410.7</v>
      </c>
      <c r="K225" s="15" t="n">
        <v>0.514</v>
      </c>
      <c r="L225" s="15" t="n">
        <v>0.2357</v>
      </c>
      <c r="M225" s="29" t="n">
        <v>29.92</v>
      </c>
    </row>
    <row r="226" customFormat="false" ht="15" hidden="false" customHeight="false" outlineLevel="0" collapsed="false">
      <c r="A226" s="24" t="n">
        <v>55027</v>
      </c>
      <c r="B226" s="8" t="s">
        <v>377</v>
      </c>
      <c r="C226" s="25" t="n">
        <v>1</v>
      </c>
      <c r="D226" s="25" t="n">
        <v>1</v>
      </c>
      <c r="E226" s="10" t="n">
        <v>0</v>
      </c>
      <c r="F226" s="10" t="n">
        <v>8000</v>
      </c>
      <c r="G226" s="10" t="n">
        <v>8000</v>
      </c>
      <c r="H226" s="10" t="n">
        <v>10950</v>
      </c>
      <c r="I226" s="10" t="n">
        <v>-2950</v>
      </c>
      <c r="J226" s="10" t="n">
        <v>-3930.8</v>
      </c>
      <c r="K226" s="11" t="n">
        <v>-0.3688</v>
      </c>
      <c r="L226" s="11" t="n">
        <v>-0.4913</v>
      </c>
      <c r="M226" s="26" t="n">
        <v>14</v>
      </c>
    </row>
    <row r="227" customFormat="false" ht="15" hidden="false" customHeight="false" outlineLevel="0" collapsed="false">
      <c r="A227" s="27" t="n">
        <v>55558</v>
      </c>
      <c r="B227" s="12" t="s">
        <v>216</v>
      </c>
      <c r="C227" s="28" t="n">
        <v>1</v>
      </c>
      <c r="D227" s="28" t="n">
        <v>1</v>
      </c>
      <c r="E227" s="14" t="n">
        <v>0</v>
      </c>
      <c r="F227" s="14" t="n">
        <v>425.67</v>
      </c>
      <c r="G227" s="14" t="n">
        <v>425.67</v>
      </c>
      <c r="H227" s="14" t="n">
        <v>209.9</v>
      </c>
      <c r="I227" s="14" t="n">
        <v>215.77</v>
      </c>
      <c r="J227" s="14" t="n">
        <v>112.5</v>
      </c>
      <c r="K227" s="15" t="n">
        <v>0.5069</v>
      </c>
      <c r="L227" s="15" t="n">
        <v>0.2643</v>
      </c>
      <c r="M227" s="29" t="n">
        <v>43</v>
      </c>
    </row>
    <row r="228" customFormat="false" ht="15" hidden="false" customHeight="false" outlineLevel="0" collapsed="false">
      <c r="A228" s="24" t="n">
        <v>55626</v>
      </c>
      <c r="B228" s="8" t="s">
        <v>288</v>
      </c>
      <c r="C228" s="25" t="n">
        <v>5</v>
      </c>
      <c r="D228" s="25" t="n">
        <v>5</v>
      </c>
      <c r="E228" s="10" t="n">
        <v>0</v>
      </c>
      <c r="F228" s="10" t="n">
        <v>418.3</v>
      </c>
      <c r="G228" s="10" t="n">
        <v>418.3</v>
      </c>
      <c r="H228" s="10" t="n">
        <v>197</v>
      </c>
      <c r="I228" s="10" t="n">
        <v>221.3</v>
      </c>
      <c r="J228" s="10" t="n">
        <v>119.82</v>
      </c>
      <c r="K228" s="11" t="n">
        <v>0.529</v>
      </c>
      <c r="L228" s="11" t="n">
        <v>0.2864</v>
      </c>
      <c r="M228" s="26" t="n">
        <v>40</v>
      </c>
    </row>
    <row r="229" customFormat="false" ht="15" hidden="false" customHeight="false" outlineLevel="0" collapsed="false">
      <c r="A229" s="27" t="n">
        <v>55635</v>
      </c>
      <c r="B229" s="12" t="s">
        <v>401</v>
      </c>
      <c r="C229" s="28" t="n">
        <v>33</v>
      </c>
      <c r="D229" s="28" t="n">
        <v>33</v>
      </c>
      <c r="E229" s="14" t="n">
        <v>0</v>
      </c>
      <c r="F229" s="14" t="n">
        <v>1066.8</v>
      </c>
      <c r="G229" s="14" t="n">
        <v>1066.8</v>
      </c>
      <c r="H229" s="14" t="n">
        <v>355.4709</v>
      </c>
      <c r="I229" s="14" t="n">
        <v>711.33</v>
      </c>
      <c r="J229" s="14" t="n">
        <v>420.4</v>
      </c>
      <c r="K229" s="15" t="n">
        <v>0.6668</v>
      </c>
      <c r="L229" s="15" t="n">
        <v>0.3941</v>
      </c>
      <c r="M229" s="29" t="n">
        <v>28.37</v>
      </c>
    </row>
    <row r="230" customFormat="false" ht="15" hidden="false" customHeight="false" outlineLevel="0" collapsed="false">
      <c r="A230" s="24" t="n">
        <v>56376</v>
      </c>
      <c r="B230" s="8" t="s">
        <v>290</v>
      </c>
      <c r="C230" s="25" t="n">
        <v>1</v>
      </c>
      <c r="D230" s="25" t="n">
        <v>1</v>
      </c>
      <c r="E230" s="10" t="n">
        <v>0</v>
      </c>
      <c r="F230" s="10" t="n">
        <v>349.81</v>
      </c>
      <c r="G230" s="10" t="n">
        <v>349.81</v>
      </c>
      <c r="H230" s="10" t="n">
        <v>103.46</v>
      </c>
      <c r="I230" s="10" t="n">
        <v>246.35</v>
      </c>
      <c r="J230" s="10" t="n">
        <v>150.25</v>
      </c>
      <c r="K230" s="11" t="n">
        <v>0.7042</v>
      </c>
      <c r="L230" s="11" t="n">
        <v>0.4295</v>
      </c>
      <c r="M230" s="26" t="n">
        <v>28</v>
      </c>
    </row>
    <row r="231" customFormat="false" ht="15" hidden="false" customHeight="false" outlineLevel="0" collapsed="false">
      <c r="A231" s="27" t="n">
        <v>56388</v>
      </c>
      <c r="B231" s="12" t="s">
        <v>402</v>
      </c>
      <c r="C231" s="28" t="n">
        <v>1229</v>
      </c>
      <c r="D231" s="28" t="n">
        <v>1229</v>
      </c>
      <c r="E231" s="14" t="n">
        <v>0</v>
      </c>
      <c r="F231" s="14" t="n">
        <v>13914</v>
      </c>
      <c r="G231" s="14" t="n">
        <v>13914</v>
      </c>
      <c r="H231" s="14" t="n">
        <v>8274.3497</v>
      </c>
      <c r="I231" s="14" t="n">
        <v>5639.65</v>
      </c>
      <c r="J231" s="14" t="n">
        <v>1817.2</v>
      </c>
      <c r="K231" s="15" t="n">
        <v>0.4053</v>
      </c>
      <c r="L231" s="15" t="n">
        <v>0.1306</v>
      </c>
      <c r="M231" s="29" t="n">
        <v>46</v>
      </c>
    </row>
    <row r="232" customFormat="false" ht="15" hidden="false" customHeight="false" outlineLevel="0" collapsed="false">
      <c r="A232" s="24" t="n">
        <v>56390</v>
      </c>
      <c r="B232" s="8" t="s">
        <v>219</v>
      </c>
      <c r="C232" s="25" t="n">
        <v>14</v>
      </c>
      <c r="D232" s="25" t="n">
        <v>14</v>
      </c>
      <c r="E232" s="10" t="n">
        <v>0</v>
      </c>
      <c r="F232" s="10" t="n">
        <v>12364.52</v>
      </c>
      <c r="G232" s="10" t="n">
        <v>12364.52</v>
      </c>
      <c r="H232" s="10" t="n">
        <v>7604.92</v>
      </c>
      <c r="I232" s="10" t="n">
        <v>4759.6</v>
      </c>
      <c r="J232" s="10" t="n">
        <v>1362.83</v>
      </c>
      <c r="K232" s="11" t="n">
        <v>0.3849</v>
      </c>
      <c r="L232" s="11" t="n">
        <v>0.1102</v>
      </c>
      <c r="M232" s="26" t="n">
        <v>33</v>
      </c>
    </row>
    <row r="233" customFormat="false" ht="15" hidden="false" customHeight="false" outlineLevel="0" collapsed="false">
      <c r="A233" s="27" t="n">
        <v>56391</v>
      </c>
      <c r="B233" s="12" t="s">
        <v>220</v>
      </c>
      <c r="C233" s="28" t="n">
        <v>5</v>
      </c>
      <c r="D233" s="28" t="n">
        <v>5</v>
      </c>
      <c r="E233" s="14" t="n">
        <v>0</v>
      </c>
      <c r="F233" s="14" t="n">
        <v>3837.65</v>
      </c>
      <c r="G233" s="14" t="n">
        <v>3837.65</v>
      </c>
      <c r="H233" s="14" t="n">
        <v>2432.23</v>
      </c>
      <c r="I233" s="14" t="n">
        <v>1405.42</v>
      </c>
      <c r="J233" s="14" t="n">
        <v>351.14</v>
      </c>
      <c r="K233" s="15" t="n">
        <v>0.3662</v>
      </c>
      <c r="L233" s="15" t="n">
        <v>0.0915</v>
      </c>
      <c r="M233" s="29" t="n">
        <v>31</v>
      </c>
    </row>
    <row r="234" customFormat="false" ht="15" hidden="false" customHeight="false" outlineLevel="0" collapsed="false">
      <c r="A234" s="24" t="n">
        <v>56482</v>
      </c>
      <c r="B234" s="8" t="s">
        <v>221</v>
      </c>
      <c r="C234" s="25" t="n">
        <v>46</v>
      </c>
      <c r="D234" s="25" t="n">
        <v>46</v>
      </c>
      <c r="E234" s="10" t="n">
        <v>0</v>
      </c>
      <c r="F234" s="10" t="n">
        <v>3116.21</v>
      </c>
      <c r="G234" s="10" t="n">
        <v>3116.21</v>
      </c>
      <c r="H234" s="10" t="n">
        <v>627.29</v>
      </c>
      <c r="I234" s="10" t="n">
        <v>2488.92</v>
      </c>
      <c r="J234" s="10" t="n">
        <v>1666.35</v>
      </c>
      <c r="K234" s="11" t="n">
        <v>0.7987</v>
      </c>
      <c r="L234" s="11" t="n">
        <v>0.5347</v>
      </c>
      <c r="M234" s="26" t="n">
        <v>47.32</v>
      </c>
    </row>
    <row r="235" customFormat="false" ht="15" hidden="false" customHeight="false" outlineLevel="0" collapsed="false">
      <c r="A235" s="27" t="n">
        <v>56512</v>
      </c>
      <c r="B235" s="12" t="s">
        <v>222</v>
      </c>
      <c r="C235" s="28" t="n">
        <v>73</v>
      </c>
      <c r="D235" s="28" t="n">
        <v>73</v>
      </c>
      <c r="E235" s="14" t="n">
        <v>0</v>
      </c>
      <c r="F235" s="14" t="n">
        <v>97936.04</v>
      </c>
      <c r="G235" s="14" t="n">
        <v>97936.04</v>
      </c>
      <c r="H235" s="14" t="n">
        <v>49361.8995</v>
      </c>
      <c r="I235" s="14" t="n">
        <v>48574.14</v>
      </c>
      <c r="J235" s="14" t="n">
        <v>21240.14</v>
      </c>
      <c r="K235" s="15" t="n">
        <v>0.496</v>
      </c>
      <c r="L235" s="15" t="n">
        <v>0.2169</v>
      </c>
      <c r="M235" s="29" t="n">
        <v>29.56</v>
      </c>
    </row>
    <row r="236" customFormat="false" ht="15" hidden="false" customHeight="false" outlineLevel="0" collapsed="false">
      <c r="A236" s="24" t="n">
        <v>56529</v>
      </c>
      <c r="B236" s="8" t="s">
        <v>223</v>
      </c>
      <c r="C236" s="25" t="n">
        <v>80</v>
      </c>
      <c r="D236" s="25" t="n">
        <v>80</v>
      </c>
      <c r="E236" s="10" t="n">
        <v>0</v>
      </c>
      <c r="F236" s="10" t="n">
        <v>1154</v>
      </c>
      <c r="G236" s="10" t="n">
        <v>1154</v>
      </c>
      <c r="H236" s="10" t="n">
        <v>804.8</v>
      </c>
      <c r="I236" s="10" t="n">
        <v>349.2</v>
      </c>
      <c r="J236" s="10" t="n">
        <v>27.13</v>
      </c>
      <c r="K236" s="11" t="n">
        <v>0.3026</v>
      </c>
      <c r="L236" s="11" t="n">
        <v>0.0235</v>
      </c>
      <c r="M236" s="26" t="n">
        <v>45</v>
      </c>
    </row>
    <row r="237" customFormat="false" ht="15" hidden="false" customHeight="false" outlineLevel="0" collapsed="false">
      <c r="A237" s="27" t="n">
        <v>56530</v>
      </c>
      <c r="B237" s="12" t="s">
        <v>291</v>
      </c>
      <c r="C237" s="28" t="n">
        <v>100</v>
      </c>
      <c r="D237" s="28" t="n">
        <v>100</v>
      </c>
      <c r="E237" s="14" t="n">
        <v>0</v>
      </c>
      <c r="F237" s="14" t="n">
        <v>3100</v>
      </c>
      <c r="G237" s="14" t="n">
        <v>3100</v>
      </c>
      <c r="H237" s="14" t="n">
        <v>235.08</v>
      </c>
      <c r="I237" s="14" t="n">
        <v>2864.92</v>
      </c>
      <c r="J237" s="14" t="n">
        <v>2013.3</v>
      </c>
      <c r="K237" s="15" t="n">
        <v>0.9242</v>
      </c>
      <c r="L237" s="15" t="n">
        <v>0.6495</v>
      </c>
      <c r="M237" s="29" t="n">
        <v>45</v>
      </c>
    </row>
    <row r="238" customFormat="false" ht="15" hidden="false" customHeight="false" outlineLevel="0" collapsed="false">
      <c r="A238" s="24" t="n">
        <v>56539</v>
      </c>
      <c r="B238" s="8" t="s">
        <v>347</v>
      </c>
      <c r="C238" s="25" t="n">
        <v>23</v>
      </c>
      <c r="D238" s="25" t="n">
        <v>23</v>
      </c>
      <c r="E238" s="10" t="n">
        <v>0</v>
      </c>
      <c r="F238" s="10" t="n">
        <v>2967</v>
      </c>
      <c r="G238" s="10" t="n">
        <v>2967</v>
      </c>
      <c r="H238" s="10" t="n">
        <v>1954.839</v>
      </c>
      <c r="I238" s="10" t="n">
        <v>1012.16</v>
      </c>
      <c r="J238" s="10" t="n">
        <v>197.07</v>
      </c>
      <c r="K238" s="11" t="n">
        <v>0.3411</v>
      </c>
      <c r="L238" s="11" t="n">
        <v>0.0664</v>
      </c>
      <c r="M238" s="26" t="n">
        <v>30</v>
      </c>
    </row>
    <row r="239" customFormat="false" ht="15" hidden="false" customHeight="false" outlineLevel="0" collapsed="false">
      <c r="A239" s="27" t="n">
        <v>56575</v>
      </c>
      <c r="B239" s="12" t="s">
        <v>224</v>
      </c>
      <c r="C239" s="28" t="n">
        <v>60</v>
      </c>
      <c r="D239" s="28" t="n">
        <v>60</v>
      </c>
      <c r="E239" s="14" t="n">
        <v>0</v>
      </c>
      <c r="F239" s="14" t="n">
        <v>1420</v>
      </c>
      <c r="G239" s="14" t="n">
        <v>1420</v>
      </c>
      <c r="H239" s="14" t="n">
        <v>748.92</v>
      </c>
      <c r="I239" s="14" t="n">
        <v>671.08</v>
      </c>
      <c r="J239" s="14" t="n">
        <v>274.77</v>
      </c>
      <c r="K239" s="15" t="n">
        <v>0.4726</v>
      </c>
      <c r="L239" s="15" t="n">
        <v>0.1935</v>
      </c>
      <c r="M239" s="29" t="n">
        <v>45</v>
      </c>
    </row>
    <row r="240" customFormat="false" ht="15" hidden="false" customHeight="false" outlineLevel="0" collapsed="false">
      <c r="A240" s="24" t="n">
        <v>56698</v>
      </c>
      <c r="B240" s="8" t="s">
        <v>292</v>
      </c>
      <c r="C240" s="25" t="n">
        <v>4</v>
      </c>
      <c r="D240" s="25" t="n">
        <v>4</v>
      </c>
      <c r="E240" s="10" t="n">
        <v>0</v>
      </c>
      <c r="F240" s="10" t="n">
        <v>3521.76</v>
      </c>
      <c r="G240" s="10" t="n">
        <v>3521.76</v>
      </c>
      <c r="H240" s="10" t="n">
        <v>2229.84</v>
      </c>
      <c r="I240" s="10" t="n">
        <v>1291.92</v>
      </c>
      <c r="J240" s="10" t="n">
        <v>324.42</v>
      </c>
      <c r="K240" s="11" t="n">
        <v>0.3668</v>
      </c>
      <c r="L240" s="11" t="n">
        <v>0.0921</v>
      </c>
      <c r="M240" s="26" t="n">
        <v>38</v>
      </c>
    </row>
    <row r="241" customFormat="false" ht="15" hidden="false" customHeight="false" outlineLevel="0" collapsed="false">
      <c r="A241" s="27" t="n">
        <v>56699</v>
      </c>
      <c r="B241" s="12" t="s">
        <v>293</v>
      </c>
      <c r="C241" s="28" t="n">
        <v>8</v>
      </c>
      <c r="D241" s="28" t="n">
        <v>8</v>
      </c>
      <c r="E241" s="14" t="n">
        <v>0</v>
      </c>
      <c r="F241" s="14" t="n">
        <v>10952.36</v>
      </c>
      <c r="G241" s="14" t="n">
        <v>10952.36</v>
      </c>
      <c r="H241" s="14" t="n">
        <v>4721.62</v>
      </c>
      <c r="I241" s="14" t="n">
        <v>6230.74</v>
      </c>
      <c r="J241" s="14" t="n">
        <v>3221.91</v>
      </c>
      <c r="K241" s="15" t="n">
        <v>0.5689</v>
      </c>
      <c r="L241" s="15" t="n">
        <v>0.2942</v>
      </c>
      <c r="M241" s="29" t="n">
        <v>38</v>
      </c>
    </row>
    <row r="242" customFormat="false" ht="15" hidden="false" customHeight="false" outlineLevel="0" collapsed="false">
      <c r="A242" s="24" t="n">
        <v>56772</v>
      </c>
      <c r="B242" s="8" t="s">
        <v>228</v>
      </c>
      <c r="C242" s="25" t="n">
        <v>10</v>
      </c>
      <c r="D242" s="25" t="n">
        <v>10</v>
      </c>
      <c r="E242" s="10" t="n">
        <v>0</v>
      </c>
      <c r="F242" s="10" t="n">
        <v>112.8</v>
      </c>
      <c r="G242" s="10" t="n">
        <v>112.8</v>
      </c>
      <c r="H242" s="10" t="n">
        <v>39</v>
      </c>
      <c r="I242" s="10" t="n">
        <v>73.8</v>
      </c>
      <c r="J242" s="10" t="n">
        <v>42.32</v>
      </c>
      <c r="K242" s="11" t="n">
        <v>0.6543</v>
      </c>
      <c r="L242" s="11" t="n">
        <v>0.3752</v>
      </c>
      <c r="M242" s="26" t="n">
        <v>45</v>
      </c>
    </row>
    <row r="243" customFormat="false" ht="15" hidden="false" customHeight="false" outlineLevel="0" collapsed="false">
      <c r="A243" s="27" t="n">
        <v>57161</v>
      </c>
      <c r="B243" s="12" t="s">
        <v>231</v>
      </c>
      <c r="C243" s="28" t="n">
        <v>26</v>
      </c>
      <c r="D243" s="28" t="n">
        <v>26</v>
      </c>
      <c r="E243" s="14" t="n">
        <v>0</v>
      </c>
      <c r="F243" s="14" t="n">
        <v>304.72</v>
      </c>
      <c r="G243" s="14" t="n">
        <v>304.72</v>
      </c>
      <c r="H243" s="14" t="n">
        <v>0</v>
      </c>
      <c r="I243" s="14" t="n">
        <v>304.72</v>
      </c>
      <c r="J243" s="14" t="n">
        <v>304.72</v>
      </c>
      <c r="K243" s="15" t="n">
        <v>1</v>
      </c>
      <c r="L243" s="15" t="n">
        <v>1</v>
      </c>
      <c r="M243" s="29" t="n">
        <v>34.23</v>
      </c>
    </row>
    <row r="244" customFormat="false" ht="15" hidden="false" customHeight="false" outlineLevel="0" collapsed="false">
      <c r="A244" s="24" t="n">
        <v>57240</v>
      </c>
      <c r="B244" s="8" t="s">
        <v>232</v>
      </c>
      <c r="C244" s="25" t="n">
        <v>40</v>
      </c>
      <c r="D244" s="25" t="n">
        <v>40</v>
      </c>
      <c r="E244" s="10" t="n">
        <v>0</v>
      </c>
      <c r="F244" s="10" t="n">
        <v>731.6</v>
      </c>
      <c r="G244" s="10" t="n">
        <v>731.6</v>
      </c>
      <c r="H244" s="10" t="n">
        <v>117.8</v>
      </c>
      <c r="I244" s="10" t="n">
        <v>613.8</v>
      </c>
      <c r="J244" s="10" t="n">
        <v>436.32</v>
      </c>
      <c r="K244" s="11" t="n">
        <v>0.839</v>
      </c>
      <c r="L244" s="11" t="n">
        <v>0.5964</v>
      </c>
      <c r="M244" s="26" t="n">
        <v>36.5</v>
      </c>
    </row>
    <row r="245" customFormat="false" ht="15" hidden="false" customHeight="false" outlineLevel="0" collapsed="false">
      <c r="A245" s="27" t="n">
        <v>57276</v>
      </c>
      <c r="B245" s="12" t="s">
        <v>403</v>
      </c>
      <c r="C245" s="28" t="n">
        <v>704</v>
      </c>
      <c r="D245" s="28" t="n">
        <v>704</v>
      </c>
      <c r="E245" s="14" t="n">
        <v>0</v>
      </c>
      <c r="F245" s="14" t="n">
        <v>5984</v>
      </c>
      <c r="G245" s="14" t="n">
        <v>5984</v>
      </c>
      <c r="H245" s="14" t="n">
        <v>3507.1872</v>
      </c>
      <c r="I245" s="14" t="n">
        <v>2476.81</v>
      </c>
      <c r="J245" s="14" t="n">
        <v>832.89</v>
      </c>
      <c r="K245" s="15" t="n">
        <v>0.4139</v>
      </c>
      <c r="L245" s="15" t="n">
        <v>0.1392</v>
      </c>
      <c r="M245" s="29" t="n">
        <v>30</v>
      </c>
    </row>
    <row r="246" customFormat="false" ht="15" hidden="false" customHeight="false" outlineLevel="0" collapsed="false">
      <c r="A246" s="24" t="n">
        <v>57306</v>
      </c>
      <c r="B246" s="8" t="s">
        <v>404</v>
      </c>
      <c r="C246" s="25" t="n">
        <v>40</v>
      </c>
      <c r="D246" s="25" t="n">
        <v>40</v>
      </c>
      <c r="E246" s="10" t="n">
        <v>0</v>
      </c>
      <c r="F246" s="10" t="n">
        <v>1640</v>
      </c>
      <c r="G246" s="10" t="n">
        <v>1640</v>
      </c>
      <c r="H246" s="10" t="n">
        <v>632.28</v>
      </c>
      <c r="I246" s="10" t="n">
        <v>1007.72</v>
      </c>
      <c r="J246" s="10" t="n">
        <v>557.18</v>
      </c>
      <c r="K246" s="11" t="n">
        <v>0.6145</v>
      </c>
      <c r="L246" s="11" t="n">
        <v>0.3397</v>
      </c>
      <c r="M246" s="26" t="n">
        <v>35</v>
      </c>
    </row>
    <row r="247" customFormat="false" ht="15" hidden="false" customHeight="false" outlineLevel="0" collapsed="false">
      <c r="A247" s="27" t="n">
        <v>57312</v>
      </c>
      <c r="B247" s="12" t="s">
        <v>297</v>
      </c>
      <c r="C247" s="28" t="n">
        <v>80</v>
      </c>
      <c r="D247" s="28" t="n">
        <v>80</v>
      </c>
      <c r="E247" s="14" t="n">
        <v>0</v>
      </c>
      <c r="F247" s="14" t="n">
        <v>2231.2</v>
      </c>
      <c r="G247" s="14" t="n">
        <v>2231.2</v>
      </c>
      <c r="H247" s="14" t="n">
        <v>888.14</v>
      </c>
      <c r="I247" s="14" t="n">
        <v>1343.06</v>
      </c>
      <c r="J247" s="14" t="n">
        <v>720.34</v>
      </c>
      <c r="K247" s="15" t="n">
        <v>0.6019</v>
      </c>
      <c r="L247" s="15" t="n">
        <v>0.3228</v>
      </c>
      <c r="M247" s="29" t="n">
        <v>45</v>
      </c>
    </row>
    <row r="248" customFormat="false" ht="15" hidden="false" customHeight="false" outlineLevel="0" collapsed="false">
      <c r="A248" s="24" t="n">
        <v>57333</v>
      </c>
      <c r="B248" s="8" t="s">
        <v>405</v>
      </c>
      <c r="C248" s="25" t="n">
        <v>10</v>
      </c>
      <c r="D248" s="25" t="n">
        <v>10</v>
      </c>
      <c r="E248" s="10" t="n">
        <v>0</v>
      </c>
      <c r="F248" s="10" t="n">
        <v>562</v>
      </c>
      <c r="G248" s="10" t="n">
        <v>562</v>
      </c>
      <c r="H248" s="10" t="n">
        <v>209.36</v>
      </c>
      <c r="I248" s="10" t="n">
        <v>352.64</v>
      </c>
      <c r="J248" s="10" t="n">
        <v>198.25</v>
      </c>
      <c r="K248" s="11" t="n">
        <v>0.6275</v>
      </c>
      <c r="L248" s="11" t="n">
        <v>0.3528</v>
      </c>
      <c r="M248" s="26" t="n">
        <v>30</v>
      </c>
    </row>
    <row r="249" customFormat="false" ht="15" hidden="false" customHeight="false" outlineLevel="0" collapsed="false">
      <c r="A249" s="27" t="n">
        <v>57552</v>
      </c>
      <c r="B249" s="12" t="s">
        <v>352</v>
      </c>
      <c r="C249" s="28" t="n">
        <v>20</v>
      </c>
      <c r="D249" s="28" t="n">
        <v>20</v>
      </c>
      <c r="E249" s="14" t="n">
        <v>0</v>
      </c>
      <c r="F249" s="14" t="n">
        <v>4784</v>
      </c>
      <c r="G249" s="14" t="n">
        <v>4784</v>
      </c>
      <c r="H249" s="14" t="n">
        <v>2095.34</v>
      </c>
      <c r="I249" s="14" t="n">
        <v>2688.66</v>
      </c>
      <c r="J249" s="14" t="n">
        <v>1374.4</v>
      </c>
      <c r="K249" s="15" t="n">
        <v>0.562</v>
      </c>
      <c r="L249" s="15" t="n">
        <v>0.2873</v>
      </c>
      <c r="M249" s="29" t="n">
        <v>32</v>
      </c>
    </row>
    <row r="250" customFormat="false" ht="15" hidden="false" customHeight="false" outlineLevel="0" collapsed="false">
      <c r="A250" s="24" t="n">
        <v>57684</v>
      </c>
      <c r="B250" s="8" t="s">
        <v>382</v>
      </c>
      <c r="C250" s="25" t="n">
        <v>2</v>
      </c>
      <c r="D250" s="25" t="n">
        <v>2</v>
      </c>
      <c r="E250" s="10" t="n">
        <v>0</v>
      </c>
      <c r="F250" s="10" t="n">
        <v>252.92</v>
      </c>
      <c r="G250" s="10" t="n">
        <v>252.92</v>
      </c>
      <c r="H250" s="10" t="n">
        <v>252.92</v>
      </c>
      <c r="I250" s="10" t="n">
        <v>0</v>
      </c>
      <c r="J250" s="10" t="n">
        <v>-87.76</v>
      </c>
      <c r="K250" s="11" t="n">
        <v>0</v>
      </c>
      <c r="L250" s="11" t="n">
        <v>-0.347</v>
      </c>
      <c r="M250" s="26" t="n">
        <v>28</v>
      </c>
    </row>
    <row r="251" customFormat="false" ht="15" hidden="false" customHeight="false" outlineLevel="0" collapsed="false">
      <c r="A251" s="27" t="n">
        <v>90325</v>
      </c>
      <c r="B251" s="12" t="s">
        <v>236</v>
      </c>
      <c r="C251" s="28" t="n">
        <v>9400</v>
      </c>
      <c r="D251" s="28" t="n">
        <v>9400</v>
      </c>
      <c r="E251" s="14" t="n">
        <v>0</v>
      </c>
      <c r="F251" s="14" t="n">
        <v>8800</v>
      </c>
      <c r="G251" s="14" t="n">
        <v>8800</v>
      </c>
      <c r="H251" s="14" t="n">
        <v>3741.6</v>
      </c>
      <c r="I251" s="14" t="n">
        <v>5058.4</v>
      </c>
      <c r="J251" s="14" t="n">
        <v>2640.86</v>
      </c>
      <c r="K251" s="15" t="n">
        <v>0.5748</v>
      </c>
      <c r="L251" s="15" t="n">
        <v>0.3001</v>
      </c>
      <c r="M251" s="29" t="n">
        <v>60</v>
      </c>
    </row>
    <row r="252" customFormat="false" ht="15" hidden="false" customHeight="false" outlineLevel="0" collapsed="false">
      <c r="A252" s="24" t="n">
        <v>90328</v>
      </c>
      <c r="B252" s="8" t="s">
        <v>237</v>
      </c>
      <c r="C252" s="25" t="n">
        <v>1680</v>
      </c>
      <c r="D252" s="25" t="n">
        <v>1680</v>
      </c>
      <c r="E252" s="10" t="n">
        <v>0</v>
      </c>
      <c r="F252" s="10" t="n">
        <v>13204.8</v>
      </c>
      <c r="G252" s="10" t="n">
        <v>13204.8</v>
      </c>
      <c r="H252" s="10" t="n">
        <v>5967.204</v>
      </c>
      <c r="I252" s="10" t="n">
        <v>7237.59</v>
      </c>
      <c r="J252" s="10" t="n">
        <v>3609.97</v>
      </c>
      <c r="K252" s="11" t="n">
        <v>0.5481</v>
      </c>
      <c r="L252" s="11" t="n">
        <v>0.2734</v>
      </c>
      <c r="M252" s="26" t="n">
        <v>60</v>
      </c>
    </row>
    <row r="253" customFormat="false" ht="15" hidden="false" customHeight="false" outlineLevel="0" collapsed="false">
      <c r="A253" s="27" t="n">
        <v>90354</v>
      </c>
      <c r="B253" s="12" t="s">
        <v>238</v>
      </c>
      <c r="C253" s="28" t="n">
        <v>820</v>
      </c>
      <c r="D253" s="28" t="n">
        <v>820</v>
      </c>
      <c r="E253" s="14" t="n">
        <v>0</v>
      </c>
      <c r="F253" s="14" t="n">
        <v>3674.8</v>
      </c>
      <c r="G253" s="14" t="n">
        <v>3674.8</v>
      </c>
      <c r="H253" s="14" t="n">
        <v>1504.914</v>
      </c>
      <c r="I253" s="14" t="n">
        <v>2169.89</v>
      </c>
      <c r="J253" s="14" t="n">
        <v>1160.35</v>
      </c>
      <c r="K253" s="15" t="n">
        <v>0.5905</v>
      </c>
      <c r="L253" s="15" t="n">
        <v>0.3158</v>
      </c>
      <c r="M253" s="29" t="n">
        <v>49.06</v>
      </c>
    </row>
    <row r="254" customFormat="false" ht="15" hidden="false" customHeight="false" outlineLevel="0" collapsed="false">
      <c r="A254" s="24" t="n">
        <v>90366</v>
      </c>
      <c r="B254" s="8" t="s">
        <v>239</v>
      </c>
      <c r="C254" s="25" t="n">
        <v>2000</v>
      </c>
      <c r="D254" s="25" t="n">
        <v>2000</v>
      </c>
      <c r="E254" s="10" t="n">
        <v>0</v>
      </c>
      <c r="F254" s="10" t="n">
        <v>63680</v>
      </c>
      <c r="G254" s="10" t="n">
        <v>63680</v>
      </c>
      <c r="H254" s="10" t="n">
        <v>26798.26</v>
      </c>
      <c r="I254" s="10" t="n">
        <v>36881.75</v>
      </c>
      <c r="J254" s="10" t="n">
        <v>19387.57</v>
      </c>
      <c r="K254" s="11" t="n">
        <v>0.5792</v>
      </c>
      <c r="L254" s="11" t="n">
        <v>0.3045</v>
      </c>
      <c r="M254" s="26" t="n">
        <v>107</v>
      </c>
    </row>
    <row r="255" customFormat="false" ht="15" hidden="false" customHeight="false" outlineLevel="0" collapsed="false">
      <c r="A255" s="27" t="n">
        <v>90372</v>
      </c>
      <c r="B255" s="12" t="s">
        <v>240</v>
      </c>
      <c r="C255" s="28" t="n">
        <v>150</v>
      </c>
      <c r="D255" s="28" t="n">
        <v>150</v>
      </c>
      <c r="E255" s="14" t="n">
        <v>0</v>
      </c>
      <c r="F255" s="14" t="n">
        <v>2029.5</v>
      </c>
      <c r="G255" s="14" t="n">
        <v>2029.5</v>
      </c>
      <c r="H255" s="14" t="n">
        <v>756.765</v>
      </c>
      <c r="I255" s="14" t="n">
        <v>1272.74</v>
      </c>
      <c r="J255" s="14" t="n">
        <v>715.19</v>
      </c>
      <c r="K255" s="15" t="n">
        <v>0.6271</v>
      </c>
      <c r="L255" s="15" t="n">
        <v>0.3524</v>
      </c>
      <c r="M255" s="29" t="n">
        <v>107</v>
      </c>
    </row>
    <row r="256" customFormat="false" ht="15" hidden="false" customHeight="false" outlineLevel="0" collapsed="false">
      <c r="A256" s="24" t="n">
        <v>90375</v>
      </c>
      <c r="B256" s="8" t="s">
        <v>241</v>
      </c>
      <c r="C256" s="25" t="n">
        <v>500</v>
      </c>
      <c r="D256" s="25" t="n">
        <v>500</v>
      </c>
      <c r="E256" s="10" t="n">
        <v>0</v>
      </c>
      <c r="F256" s="10" t="n">
        <v>370</v>
      </c>
      <c r="G256" s="10" t="n">
        <v>370</v>
      </c>
      <c r="H256" s="10" t="n">
        <v>266.85</v>
      </c>
      <c r="I256" s="10" t="n">
        <v>103.15</v>
      </c>
      <c r="J256" s="10" t="n">
        <v>1.5</v>
      </c>
      <c r="K256" s="11" t="n">
        <v>0.2788</v>
      </c>
      <c r="L256" s="11" t="n">
        <v>0.0041</v>
      </c>
      <c r="M256" s="26" t="n">
        <v>107</v>
      </c>
    </row>
    <row r="257" customFormat="false" ht="15" hidden="false" customHeight="false" outlineLevel="0" collapsed="false">
      <c r="A257" s="27" t="n">
        <v>90376</v>
      </c>
      <c r="B257" s="12" t="s">
        <v>242</v>
      </c>
      <c r="C257" s="28" t="n">
        <v>52</v>
      </c>
      <c r="D257" s="28" t="n">
        <v>52</v>
      </c>
      <c r="E257" s="14" t="n">
        <v>0</v>
      </c>
      <c r="F257" s="14" t="n">
        <v>1052.58</v>
      </c>
      <c r="G257" s="14" t="n">
        <v>1052.58</v>
      </c>
      <c r="H257" s="14" t="n">
        <v>468.87</v>
      </c>
      <c r="I257" s="14" t="n">
        <v>583.71</v>
      </c>
      <c r="J257" s="14" t="n">
        <v>294.55</v>
      </c>
      <c r="K257" s="15" t="n">
        <v>0.5546</v>
      </c>
      <c r="L257" s="15" t="n">
        <v>0.2798</v>
      </c>
      <c r="M257" s="29" t="n">
        <v>58.39</v>
      </c>
    </row>
    <row r="258" customFormat="false" ht="15" hidden="false" customHeight="false" outlineLevel="0" collapsed="false">
      <c r="A258" s="24" t="n">
        <v>90388</v>
      </c>
      <c r="B258" s="8" t="s">
        <v>246</v>
      </c>
      <c r="C258" s="25" t="n">
        <v>2</v>
      </c>
      <c r="D258" s="25" t="n">
        <v>2</v>
      </c>
      <c r="E258" s="10" t="n">
        <v>0</v>
      </c>
      <c r="F258" s="10" t="n">
        <v>780</v>
      </c>
      <c r="G258" s="10" t="n">
        <v>780</v>
      </c>
      <c r="H258" s="10" t="n">
        <v>8.24</v>
      </c>
      <c r="I258" s="10" t="n">
        <v>771.76</v>
      </c>
      <c r="J258" s="10" t="n">
        <v>557.48</v>
      </c>
      <c r="K258" s="11" t="n">
        <v>0.9894</v>
      </c>
      <c r="L258" s="11" t="n">
        <v>0.7147</v>
      </c>
      <c r="M258" s="26" t="n">
        <v>30</v>
      </c>
    </row>
    <row r="259" customFormat="false" ht="15" hidden="false" customHeight="false" outlineLevel="0" collapsed="false">
      <c r="A259" s="27" t="n">
        <v>90394</v>
      </c>
      <c r="B259" s="12" t="s">
        <v>406</v>
      </c>
      <c r="C259" s="28" t="n">
        <v>7000</v>
      </c>
      <c r="D259" s="28" t="n">
        <v>7000</v>
      </c>
      <c r="E259" s="14" t="n">
        <v>0</v>
      </c>
      <c r="F259" s="14" t="n">
        <v>24830</v>
      </c>
      <c r="G259" s="14" t="n">
        <v>24830</v>
      </c>
      <c r="H259" s="14" t="n">
        <v>5138.5</v>
      </c>
      <c r="I259" s="14" t="n">
        <v>19691.5</v>
      </c>
      <c r="J259" s="14" t="n">
        <v>12870.21</v>
      </c>
      <c r="K259" s="15" t="n">
        <v>0.7931</v>
      </c>
      <c r="L259" s="15" t="n">
        <v>0.5183</v>
      </c>
      <c r="M259" s="29" t="n">
        <v>30</v>
      </c>
    </row>
    <row r="260" customFormat="false" ht="15" hidden="false" customHeight="false" outlineLevel="0" collapsed="false">
      <c r="A260" s="24" t="n">
        <v>90419</v>
      </c>
      <c r="B260" s="8" t="s">
        <v>298</v>
      </c>
      <c r="C260" s="25" t="n">
        <v>25</v>
      </c>
      <c r="D260" s="25" t="n">
        <v>25</v>
      </c>
      <c r="E260" s="10" t="n">
        <v>0</v>
      </c>
      <c r="F260" s="10" t="n">
        <v>5378</v>
      </c>
      <c r="G260" s="10" t="n">
        <v>5378</v>
      </c>
      <c r="H260" s="10" t="n">
        <v>3433.11</v>
      </c>
      <c r="I260" s="10" t="n">
        <v>1944.89</v>
      </c>
      <c r="J260" s="10" t="n">
        <v>467.45</v>
      </c>
      <c r="K260" s="11" t="n">
        <v>0.3616</v>
      </c>
      <c r="L260" s="11" t="n">
        <v>0.0869</v>
      </c>
      <c r="M260" s="26" t="n">
        <v>60</v>
      </c>
    </row>
    <row r="261" customFormat="false" ht="15" hidden="false" customHeight="false" outlineLevel="0" collapsed="false">
      <c r="A261" s="27" t="n">
        <v>90435</v>
      </c>
      <c r="B261" s="12" t="s">
        <v>244</v>
      </c>
      <c r="C261" s="28" t="n">
        <v>840</v>
      </c>
      <c r="D261" s="28" t="n">
        <v>840</v>
      </c>
      <c r="E261" s="14" t="n">
        <v>0</v>
      </c>
      <c r="F261" s="14" t="n">
        <v>17640</v>
      </c>
      <c r="G261" s="14" t="n">
        <v>17640</v>
      </c>
      <c r="H261" s="14" t="n">
        <v>3539.298</v>
      </c>
      <c r="I261" s="14" t="n">
        <v>14100.7</v>
      </c>
      <c r="J261" s="14" t="n">
        <v>9254.63</v>
      </c>
      <c r="K261" s="15" t="n">
        <v>0.7994</v>
      </c>
      <c r="L261" s="15" t="n">
        <v>0.5246</v>
      </c>
      <c r="M261" s="29" t="n">
        <v>107</v>
      </c>
    </row>
    <row r="262" customFormat="false" ht="15" hidden="false" customHeight="false" outlineLevel="0" collapsed="false">
      <c r="A262" s="24" t="n">
        <v>90460</v>
      </c>
      <c r="B262" s="8" t="s">
        <v>356</v>
      </c>
      <c r="C262" s="25" t="n">
        <v>100</v>
      </c>
      <c r="D262" s="25" t="n">
        <v>100</v>
      </c>
      <c r="E262" s="10" t="n">
        <v>0</v>
      </c>
      <c r="F262" s="10" t="n">
        <v>6300</v>
      </c>
      <c r="G262" s="10" t="n">
        <v>6300</v>
      </c>
      <c r="H262" s="10" t="n">
        <v>1216.59</v>
      </c>
      <c r="I262" s="10" t="n">
        <v>5083.41</v>
      </c>
      <c r="J262" s="10" t="n">
        <v>3352.67</v>
      </c>
      <c r="K262" s="11" t="n">
        <v>0.8069</v>
      </c>
      <c r="L262" s="11" t="n">
        <v>0.5322</v>
      </c>
      <c r="M262" s="26" t="n">
        <v>60</v>
      </c>
    </row>
    <row r="263" customFormat="false" ht="15" hidden="false" customHeight="false" outlineLevel="0" collapsed="false">
      <c r="A263" s="27" t="n">
        <v>90540</v>
      </c>
      <c r="B263" s="12" t="s">
        <v>245</v>
      </c>
      <c r="C263" s="28" t="n">
        <v>30</v>
      </c>
      <c r="D263" s="28" t="n">
        <v>30</v>
      </c>
      <c r="E263" s="14" t="n">
        <v>0</v>
      </c>
      <c r="F263" s="14" t="n">
        <v>7623</v>
      </c>
      <c r="G263" s="14" t="n">
        <v>7623</v>
      </c>
      <c r="H263" s="14" t="n">
        <v>3212.109</v>
      </c>
      <c r="I263" s="14" t="n">
        <v>4410.89</v>
      </c>
      <c r="J263" s="14" t="n">
        <v>2316.7</v>
      </c>
      <c r="K263" s="15" t="n">
        <v>0.5786</v>
      </c>
      <c r="L263" s="15" t="n">
        <v>0.3039</v>
      </c>
      <c r="M263" s="29" t="n">
        <v>60</v>
      </c>
    </row>
    <row r="264" customFormat="false" ht="15" hidden="false" customHeight="false" outlineLevel="0" collapsed="false">
      <c r="A264" s="24" t="n">
        <v>90544</v>
      </c>
      <c r="B264" s="8" t="s">
        <v>246</v>
      </c>
      <c r="C264" s="25" t="n">
        <v>80</v>
      </c>
      <c r="D264" s="25" t="n">
        <v>80</v>
      </c>
      <c r="E264" s="10" t="n">
        <v>0</v>
      </c>
      <c r="F264" s="10" t="n">
        <v>25718.4</v>
      </c>
      <c r="G264" s="10" t="n">
        <v>25718.4</v>
      </c>
      <c r="H264" s="10" t="n">
        <v>12459.36</v>
      </c>
      <c r="I264" s="10" t="n">
        <v>13259.04</v>
      </c>
      <c r="J264" s="10" t="n">
        <v>6193.68</v>
      </c>
      <c r="K264" s="11" t="n">
        <v>0.5155</v>
      </c>
      <c r="L264" s="11" t="n">
        <v>0.2408</v>
      </c>
      <c r="M264" s="26" t="n">
        <v>63</v>
      </c>
    </row>
    <row r="265" customFormat="false" ht="15" hidden="false" customHeight="false" outlineLevel="0" collapsed="false">
      <c r="A265" s="27" t="n">
        <v>90564</v>
      </c>
      <c r="B265" s="12" t="s">
        <v>301</v>
      </c>
      <c r="C265" s="28" t="n">
        <v>1572</v>
      </c>
      <c r="D265" s="28" t="n">
        <v>1572</v>
      </c>
      <c r="E265" s="14" t="n">
        <v>0</v>
      </c>
      <c r="F265" s="14" t="n">
        <v>147768</v>
      </c>
      <c r="G265" s="14" t="n">
        <v>147768</v>
      </c>
      <c r="H265" s="14" t="n">
        <v>55666.287</v>
      </c>
      <c r="I265" s="14" t="n">
        <v>92101.72</v>
      </c>
      <c r="J265" s="14" t="n">
        <v>44765.35</v>
      </c>
      <c r="K265" s="15" t="n">
        <v>0.6233</v>
      </c>
      <c r="L265" s="15" t="n">
        <v>0.3029</v>
      </c>
      <c r="M265" s="29" t="n">
        <v>35.85</v>
      </c>
    </row>
    <row r="266" customFormat="false" ht="15" hidden="false" customHeight="false" outlineLevel="0" collapsed="false">
      <c r="A266" s="24" t="n">
        <v>90603</v>
      </c>
      <c r="B266" s="8" t="s">
        <v>242</v>
      </c>
      <c r="C266" s="25" t="n">
        <v>16</v>
      </c>
      <c r="D266" s="25" t="n">
        <v>16</v>
      </c>
      <c r="E266" s="10" t="n">
        <v>0</v>
      </c>
      <c r="F266" s="10" t="n">
        <v>654.72</v>
      </c>
      <c r="G266" s="10" t="n">
        <v>654.72</v>
      </c>
      <c r="H266" s="10" t="n">
        <v>222.9008</v>
      </c>
      <c r="I266" s="10" t="n">
        <v>431.82</v>
      </c>
      <c r="J266" s="10" t="n">
        <v>251.96</v>
      </c>
      <c r="K266" s="11" t="n">
        <v>0.6595</v>
      </c>
      <c r="L266" s="11" t="n">
        <v>0.3848</v>
      </c>
      <c r="M266" s="26" t="n">
        <v>44.5</v>
      </c>
    </row>
    <row r="267" customFormat="false" ht="15" hidden="false" customHeight="false" outlineLevel="0" collapsed="false">
      <c r="A267" s="27" t="n">
        <v>90624</v>
      </c>
      <c r="B267" s="12" t="s">
        <v>360</v>
      </c>
      <c r="C267" s="28" t="n">
        <v>200</v>
      </c>
      <c r="D267" s="28" t="n">
        <v>200</v>
      </c>
      <c r="E267" s="14" t="n">
        <v>0</v>
      </c>
      <c r="F267" s="14" t="n">
        <v>17929</v>
      </c>
      <c r="G267" s="14" t="n">
        <v>17929</v>
      </c>
      <c r="H267" s="14" t="n">
        <v>8226.46</v>
      </c>
      <c r="I267" s="14" t="n">
        <v>9702.54</v>
      </c>
      <c r="J267" s="14" t="n">
        <v>4777.08</v>
      </c>
      <c r="K267" s="15" t="n">
        <v>0.5412</v>
      </c>
      <c r="L267" s="15" t="n">
        <v>0.2664</v>
      </c>
      <c r="M267" s="29" t="n">
        <v>60</v>
      </c>
    </row>
    <row r="268" customFormat="false" ht="15" hidden="false" customHeight="false" outlineLevel="0" collapsed="false">
      <c r="A268" s="24" t="n">
        <v>90742</v>
      </c>
      <c r="B268" s="8" t="s">
        <v>298</v>
      </c>
      <c r="C268" s="25" t="n">
        <v>1</v>
      </c>
      <c r="D268" s="25" t="n">
        <v>1</v>
      </c>
      <c r="E268" s="10" t="n">
        <v>0</v>
      </c>
      <c r="F268" s="10" t="n">
        <v>359.56</v>
      </c>
      <c r="G268" s="10" t="n">
        <v>359.56</v>
      </c>
      <c r="H268" s="10" t="n">
        <v>129.5</v>
      </c>
      <c r="I268" s="10" t="n">
        <v>230.06</v>
      </c>
      <c r="J268" s="10" t="n">
        <v>148.6</v>
      </c>
      <c r="K268" s="11" t="n">
        <v>0.6398</v>
      </c>
      <c r="L268" s="11" t="n">
        <v>0.4133</v>
      </c>
      <c r="M268" s="26" t="n">
        <v>5</v>
      </c>
    </row>
    <row r="269" customFormat="false" ht="15" hidden="false" customHeight="false" outlineLevel="0" collapsed="false">
      <c r="A269" s="16" t="s">
        <v>249</v>
      </c>
      <c r="B269" s="16" t="str">
        <f aca="false">COUNTA(A6:A268)&amp;" produtos"</f>
        <v>263 produtos</v>
      </c>
      <c r="C269" s="30" t="n">
        <f aca="false">SUM(C6:C268)</f>
        <v>52985.5</v>
      </c>
      <c r="D269" s="30" t="n">
        <f aca="false">SUM(D6:D268)</f>
        <v>52985.5</v>
      </c>
      <c r="E269" s="18" t="n">
        <f aca="false">SUM(E6:E268)</f>
        <v>51910.38</v>
      </c>
      <c r="F269" s="18" t="n">
        <f aca="false">SUM(F6:F268)</f>
        <v>4062673.86</v>
      </c>
      <c r="G269" s="18" t="n">
        <f aca="false">SUM(G6:G268)</f>
        <v>4114584.24</v>
      </c>
      <c r="H269" s="18" t="n">
        <f aca="false">SUM(H6:H268)</f>
        <v>1765162.8383</v>
      </c>
      <c r="I269" s="18" t="n">
        <f aca="false">SUM(I6:I268)</f>
        <v>2349421.46</v>
      </c>
      <c r="J269" s="18" t="n">
        <f aca="false">SUM(J6:J268)</f>
        <v>1342882.91</v>
      </c>
      <c r="K269" s="19" t="n">
        <f aca="false">IFERROR(I269/G269,0)</f>
        <v>0.570998507494405</v>
      </c>
      <c r="L269" s="19" t="n">
        <f aca="false">IFERROR(J269/G269,0)</f>
        <v>0.326371470766145</v>
      </c>
      <c r="M269" s="31" t="n">
        <f aca="false">IFERROR(SUMPRODUCT(M6:M268,G6:G268)/G269,0)</f>
        <v>40.2918936899685</v>
      </c>
    </row>
  </sheetData>
  <autoFilter ref="A5:M268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407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1050</v>
      </c>
      <c r="D6" s="25" t="n">
        <v>1050</v>
      </c>
      <c r="E6" s="10" t="n">
        <v>0</v>
      </c>
      <c r="F6" s="10" t="n">
        <v>31478.94</v>
      </c>
      <c r="G6" s="10" t="n">
        <v>31478.94</v>
      </c>
      <c r="H6" s="10" t="n">
        <v>13700.8554</v>
      </c>
      <c r="I6" s="10" t="n">
        <v>17778.08</v>
      </c>
      <c r="J6" s="10" t="n">
        <v>9077.59</v>
      </c>
      <c r="K6" s="11" t="n">
        <v>0.5648</v>
      </c>
      <c r="L6" s="11" t="n">
        <v>0.2884</v>
      </c>
      <c r="M6" s="26" t="n">
        <v>41.42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252</v>
      </c>
      <c r="D7" s="28" t="n">
        <v>252</v>
      </c>
      <c r="E7" s="14" t="n">
        <v>0</v>
      </c>
      <c r="F7" s="14" t="n">
        <v>80080.74</v>
      </c>
      <c r="G7" s="14" t="n">
        <v>80080.74</v>
      </c>
      <c r="H7" s="14" t="n">
        <v>22117.428</v>
      </c>
      <c r="I7" s="14" t="n">
        <v>57963.31</v>
      </c>
      <c r="J7" s="14" t="n">
        <v>37002.75</v>
      </c>
      <c r="K7" s="15" t="n">
        <v>0.7238</v>
      </c>
      <c r="L7" s="15" t="n">
        <v>0.4621</v>
      </c>
      <c r="M7" s="29" t="n">
        <v>50.72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1</v>
      </c>
      <c r="D8" s="25" t="n">
        <v>1</v>
      </c>
      <c r="E8" s="10" t="n">
        <v>0</v>
      </c>
      <c r="F8" s="10" t="n">
        <v>99</v>
      </c>
      <c r="G8" s="10" t="n">
        <v>99</v>
      </c>
      <c r="H8" s="10" t="n">
        <v>48.23</v>
      </c>
      <c r="I8" s="10" t="n">
        <v>50.77</v>
      </c>
      <c r="J8" s="10" t="n">
        <v>23.58</v>
      </c>
      <c r="K8" s="11" t="n">
        <v>0.5128</v>
      </c>
      <c r="L8" s="11" t="n">
        <v>0.2382</v>
      </c>
      <c r="M8" s="26" t="n">
        <v>30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759</v>
      </c>
      <c r="D9" s="28" t="n">
        <v>759</v>
      </c>
      <c r="E9" s="14" t="n">
        <v>0</v>
      </c>
      <c r="F9" s="14" t="n">
        <v>71089.1</v>
      </c>
      <c r="G9" s="14" t="n">
        <v>71089.1</v>
      </c>
      <c r="H9" s="14" t="n">
        <v>9987.747</v>
      </c>
      <c r="I9" s="14" t="n">
        <v>61101.35</v>
      </c>
      <c r="J9" s="14" t="n">
        <v>43964.55</v>
      </c>
      <c r="K9" s="15" t="n">
        <v>0.8595</v>
      </c>
      <c r="L9" s="15" t="n">
        <v>0.6184</v>
      </c>
      <c r="M9" s="29" t="n">
        <v>51.65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27</v>
      </c>
      <c r="D10" s="25" t="n">
        <v>27</v>
      </c>
      <c r="E10" s="10" t="n">
        <v>0</v>
      </c>
      <c r="F10" s="10" t="n">
        <v>1662.82</v>
      </c>
      <c r="G10" s="10" t="n">
        <v>1662.82</v>
      </c>
      <c r="H10" s="10" t="n">
        <v>267.7996</v>
      </c>
      <c r="I10" s="10" t="n">
        <v>1395.02</v>
      </c>
      <c r="J10" s="10" t="n">
        <v>952.72</v>
      </c>
      <c r="K10" s="11" t="n">
        <v>0.8389</v>
      </c>
      <c r="L10" s="11" t="n">
        <v>0.573</v>
      </c>
      <c r="M10" s="26" t="n">
        <v>40.28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309</v>
      </c>
      <c r="D11" s="28" t="n">
        <v>309</v>
      </c>
      <c r="E11" s="14" t="n">
        <v>0</v>
      </c>
      <c r="F11" s="14" t="n">
        <v>93443.36</v>
      </c>
      <c r="G11" s="14" t="n">
        <v>93443.36</v>
      </c>
      <c r="H11" s="14" t="n">
        <v>26698.9214</v>
      </c>
      <c r="I11" s="14" t="n">
        <v>66744.44</v>
      </c>
      <c r="J11" s="14" t="n">
        <v>43661.86</v>
      </c>
      <c r="K11" s="15" t="n">
        <v>0.7143</v>
      </c>
      <c r="L11" s="15" t="n">
        <v>0.4673</v>
      </c>
      <c r="M11" s="29" t="n">
        <v>50.9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1342</v>
      </c>
      <c r="D12" s="25" t="n">
        <v>1342</v>
      </c>
      <c r="E12" s="10" t="n">
        <v>1483.16</v>
      </c>
      <c r="F12" s="10" t="n">
        <v>241344.14</v>
      </c>
      <c r="G12" s="10" t="n">
        <v>242827.3</v>
      </c>
      <c r="H12" s="10" t="n">
        <v>89386.2458</v>
      </c>
      <c r="I12" s="10" t="n">
        <v>153441.06</v>
      </c>
      <c r="J12" s="10" t="n">
        <v>93930.75</v>
      </c>
      <c r="K12" s="11" t="n">
        <v>0.6319</v>
      </c>
      <c r="L12" s="11" t="n">
        <v>0.3868</v>
      </c>
      <c r="M12" s="26" t="n">
        <v>54.3</v>
      </c>
    </row>
    <row r="13" customFormat="false" ht="15" hidden="false" customHeight="false" outlineLevel="0" collapsed="false">
      <c r="A13" s="27" t="n">
        <v>10012</v>
      </c>
      <c r="B13" s="12" t="s">
        <v>362</v>
      </c>
      <c r="C13" s="28" t="n">
        <v>1</v>
      </c>
      <c r="D13" s="28" t="n">
        <v>1</v>
      </c>
      <c r="E13" s="14" t="n">
        <v>0</v>
      </c>
      <c r="F13" s="14" t="n">
        <v>66.96</v>
      </c>
      <c r="G13" s="14" t="n">
        <v>66.96</v>
      </c>
      <c r="H13" s="14" t="n">
        <v>10.4</v>
      </c>
      <c r="I13" s="14" t="n">
        <v>56.56</v>
      </c>
      <c r="J13" s="14" t="n">
        <v>38.17</v>
      </c>
      <c r="K13" s="15" t="n">
        <v>0.8447</v>
      </c>
      <c r="L13" s="15" t="n">
        <v>0.57</v>
      </c>
      <c r="M13" s="29" t="n">
        <v>45</v>
      </c>
    </row>
    <row r="14" customFormat="false" ht="15" hidden="false" customHeight="false" outlineLevel="0" collapsed="false">
      <c r="A14" s="24" t="n">
        <v>10018</v>
      </c>
      <c r="B14" s="8" t="s">
        <v>38</v>
      </c>
      <c r="C14" s="25" t="n">
        <v>16</v>
      </c>
      <c r="D14" s="25" t="n">
        <v>16</v>
      </c>
      <c r="E14" s="10" t="n">
        <v>0</v>
      </c>
      <c r="F14" s="10" t="n">
        <v>1530.75</v>
      </c>
      <c r="G14" s="10" t="n">
        <v>1530.75</v>
      </c>
      <c r="H14" s="10" t="n">
        <v>551.31</v>
      </c>
      <c r="I14" s="10" t="n">
        <v>979.44</v>
      </c>
      <c r="J14" s="10" t="n">
        <v>555.53</v>
      </c>
      <c r="K14" s="11" t="n">
        <v>0.6398</v>
      </c>
      <c r="L14" s="11" t="n">
        <v>0.3629</v>
      </c>
      <c r="M14" s="26" t="n">
        <v>41.82</v>
      </c>
    </row>
    <row r="15" customFormat="false" ht="15" hidden="false" customHeight="false" outlineLevel="0" collapsed="false">
      <c r="A15" s="27" t="n">
        <v>10021</v>
      </c>
      <c r="B15" s="12" t="s">
        <v>41</v>
      </c>
      <c r="C15" s="28" t="n">
        <v>11</v>
      </c>
      <c r="D15" s="28" t="n">
        <v>11</v>
      </c>
      <c r="E15" s="14" t="n">
        <v>0</v>
      </c>
      <c r="F15" s="14" t="n">
        <v>4589.97</v>
      </c>
      <c r="G15" s="14" t="n">
        <v>4589.97</v>
      </c>
      <c r="H15" s="14" t="n">
        <v>838.84</v>
      </c>
      <c r="I15" s="14" t="n">
        <v>3751.13</v>
      </c>
      <c r="J15" s="14" t="n">
        <v>2490.17</v>
      </c>
      <c r="K15" s="15" t="n">
        <v>0.8172</v>
      </c>
      <c r="L15" s="15" t="n">
        <v>0.5425</v>
      </c>
      <c r="M15" s="29" t="n">
        <v>44.18</v>
      </c>
    </row>
    <row r="16" customFormat="false" ht="15" hidden="false" customHeight="false" outlineLevel="0" collapsed="false">
      <c r="A16" s="24" t="n">
        <v>10022</v>
      </c>
      <c r="B16" s="8" t="s">
        <v>42</v>
      </c>
      <c r="C16" s="25" t="n">
        <v>9</v>
      </c>
      <c r="D16" s="25" t="n">
        <v>9</v>
      </c>
      <c r="E16" s="10" t="n">
        <v>0</v>
      </c>
      <c r="F16" s="10" t="n">
        <v>3035.58</v>
      </c>
      <c r="G16" s="10" t="n">
        <v>3035.58</v>
      </c>
      <c r="H16" s="10" t="n">
        <v>729.01</v>
      </c>
      <c r="I16" s="10" t="n">
        <v>2306.57</v>
      </c>
      <c r="J16" s="10" t="n">
        <v>1472.64</v>
      </c>
      <c r="K16" s="11" t="n">
        <v>0.7598</v>
      </c>
      <c r="L16" s="11" t="n">
        <v>0.4851</v>
      </c>
      <c r="M16" s="26" t="n">
        <v>25.77</v>
      </c>
    </row>
    <row r="17" customFormat="false" ht="15" hidden="false" customHeight="false" outlineLevel="0" collapsed="false">
      <c r="A17" s="27" t="n">
        <v>10024</v>
      </c>
      <c r="B17" s="12" t="s">
        <v>43</v>
      </c>
      <c r="C17" s="28" t="n">
        <v>270</v>
      </c>
      <c r="D17" s="28" t="n">
        <v>270</v>
      </c>
      <c r="E17" s="14" t="n">
        <v>0</v>
      </c>
      <c r="F17" s="14" t="n">
        <v>13030.2</v>
      </c>
      <c r="G17" s="14" t="n">
        <v>13030.2</v>
      </c>
      <c r="H17" s="14" t="n">
        <v>1986.698</v>
      </c>
      <c r="I17" s="14" t="n">
        <v>11043.5</v>
      </c>
      <c r="J17" s="14" t="n">
        <v>7463.87</v>
      </c>
      <c r="K17" s="15" t="n">
        <v>0.8475</v>
      </c>
      <c r="L17" s="15" t="n">
        <v>0.5728</v>
      </c>
      <c r="M17" s="29" t="n">
        <v>50</v>
      </c>
    </row>
    <row r="18" customFormat="false" ht="15" hidden="false" customHeight="false" outlineLevel="0" collapsed="false">
      <c r="A18" s="24" t="n">
        <v>10025</v>
      </c>
      <c r="B18" s="8" t="s">
        <v>44</v>
      </c>
      <c r="C18" s="25" t="n">
        <v>82</v>
      </c>
      <c r="D18" s="25" t="n">
        <v>82</v>
      </c>
      <c r="E18" s="10" t="n">
        <v>0</v>
      </c>
      <c r="F18" s="10" t="n">
        <v>4816.69</v>
      </c>
      <c r="G18" s="10" t="n">
        <v>4816.69</v>
      </c>
      <c r="H18" s="10" t="n">
        <v>587.2804</v>
      </c>
      <c r="I18" s="10" t="n">
        <v>4229.41</v>
      </c>
      <c r="J18" s="10" t="n">
        <v>2906.17</v>
      </c>
      <c r="K18" s="11" t="n">
        <v>0.8781</v>
      </c>
      <c r="L18" s="11" t="n">
        <v>0.6034</v>
      </c>
      <c r="M18" s="26" t="n">
        <v>48.3</v>
      </c>
    </row>
    <row r="19" customFormat="false" ht="15" hidden="false" customHeight="false" outlineLevel="0" collapsed="false">
      <c r="A19" s="27" t="n">
        <v>10027</v>
      </c>
      <c r="B19" s="12" t="s">
        <v>45</v>
      </c>
      <c r="C19" s="28" t="n">
        <v>39</v>
      </c>
      <c r="D19" s="28" t="n">
        <v>39</v>
      </c>
      <c r="E19" s="14" t="n">
        <v>0</v>
      </c>
      <c r="F19" s="14" t="n">
        <v>52641.28</v>
      </c>
      <c r="G19" s="14" t="n">
        <v>52641.28</v>
      </c>
      <c r="H19" s="14" t="n">
        <v>28553.3999</v>
      </c>
      <c r="I19" s="14" t="n">
        <v>24087.88</v>
      </c>
      <c r="J19" s="14" t="n">
        <v>11251.9</v>
      </c>
      <c r="K19" s="15" t="n">
        <v>0.4576</v>
      </c>
      <c r="L19" s="15" t="n">
        <v>0.2137</v>
      </c>
      <c r="M19" s="29" t="n">
        <v>36.89</v>
      </c>
    </row>
    <row r="20" customFormat="false" ht="15" hidden="false" customHeight="false" outlineLevel="0" collapsed="false">
      <c r="A20" s="24" t="n">
        <v>10031</v>
      </c>
      <c r="B20" s="8" t="s">
        <v>46</v>
      </c>
      <c r="C20" s="25" t="n">
        <v>31</v>
      </c>
      <c r="D20" s="25" t="n">
        <v>31</v>
      </c>
      <c r="E20" s="10" t="n">
        <v>119.73</v>
      </c>
      <c r="F20" s="10" t="n">
        <v>859.6</v>
      </c>
      <c r="G20" s="10" t="n">
        <v>979.33</v>
      </c>
      <c r="H20" s="10" t="n">
        <v>181.39</v>
      </c>
      <c r="I20" s="10" t="n">
        <v>797.94</v>
      </c>
      <c r="J20" s="10" t="n">
        <v>534.66</v>
      </c>
      <c r="K20" s="11" t="n">
        <v>0.8148</v>
      </c>
      <c r="L20" s="11" t="n">
        <v>0.5459</v>
      </c>
      <c r="M20" s="26" t="n">
        <v>35.09</v>
      </c>
    </row>
    <row r="21" customFormat="false" ht="15" hidden="false" customHeight="false" outlineLevel="0" collapsed="false">
      <c r="A21" s="27" t="n">
        <v>10038</v>
      </c>
      <c r="B21" s="12" t="s">
        <v>47</v>
      </c>
      <c r="C21" s="28" t="n">
        <v>11</v>
      </c>
      <c r="D21" s="28" t="n">
        <v>11</v>
      </c>
      <c r="E21" s="14" t="n">
        <v>0</v>
      </c>
      <c r="F21" s="14" t="n">
        <v>2995.19</v>
      </c>
      <c r="G21" s="14" t="n">
        <v>2995.19</v>
      </c>
      <c r="H21" s="14" t="n">
        <v>917.33</v>
      </c>
      <c r="I21" s="14" t="n">
        <v>2077.86</v>
      </c>
      <c r="J21" s="14" t="n">
        <v>1255.03</v>
      </c>
      <c r="K21" s="15" t="n">
        <v>0.6937</v>
      </c>
      <c r="L21" s="15" t="n">
        <v>0.419</v>
      </c>
      <c r="M21" s="29" t="n">
        <v>50</v>
      </c>
    </row>
    <row r="22" customFormat="false" ht="15" hidden="false" customHeight="false" outlineLevel="0" collapsed="false">
      <c r="A22" s="24" t="n">
        <v>10044</v>
      </c>
      <c r="B22" s="8" t="s">
        <v>48</v>
      </c>
      <c r="C22" s="25" t="n">
        <v>681</v>
      </c>
      <c r="D22" s="25" t="n">
        <v>681</v>
      </c>
      <c r="E22" s="10" t="n">
        <v>0</v>
      </c>
      <c r="F22" s="10" t="n">
        <v>32995.86</v>
      </c>
      <c r="G22" s="10" t="n">
        <v>32995.86</v>
      </c>
      <c r="H22" s="10" t="n">
        <v>4877.3205</v>
      </c>
      <c r="I22" s="10" t="n">
        <v>28118.54</v>
      </c>
      <c r="J22" s="10" t="n">
        <v>22914.31</v>
      </c>
      <c r="K22" s="11" t="n">
        <v>0.8522</v>
      </c>
      <c r="L22" s="11" t="n">
        <v>0.6945</v>
      </c>
      <c r="M22" s="26" t="n">
        <v>57.77</v>
      </c>
    </row>
    <row r="23" customFormat="false" ht="15" hidden="false" customHeight="false" outlineLevel="0" collapsed="false">
      <c r="A23" s="27" t="n">
        <v>10047</v>
      </c>
      <c r="B23" s="12" t="s">
        <v>251</v>
      </c>
      <c r="C23" s="28" t="n">
        <v>10</v>
      </c>
      <c r="D23" s="28" t="n">
        <v>10</v>
      </c>
      <c r="E23" s="14" t="n">
        <v>0</v>
      </c>
      <c r="F23" s="14" t="n">
        <v>3726.6</v>
      </c>
      <c r="G23" s="14" t="n">
        <v>3726.6</v>
      </c>
      <c r="H23" s="14" t="n">
        <v>945.47</v>
      </c>
      <c r="I23" s="14" t="n">
        <v>2781.13</v>
      </c>
      <c r="J23" s="14" t="n">
        <v>1757.36</v>
      </c>
      <c r="K23" s="15" t="n">
        <v>0.7463</v>
      </c>
      <c r="L23" s="15" t="n">
        <v>0.4716</v>
      </c>
      <c r="M23" s="29" t="n">
        <v>45</v>
      </c>
    </row>
    <row r="24" customFormat="false" ht="15" hidden="false" customHeight="false" outlineLevel="0" collapsed="false">
      <c r="A24" s="24" t="n">
        <v>10052</v>
      </c>
      <c r="B24" s="8" t="s">
        <v>49</v>
      </c>
      <c r="C24" s="25" t="n">
        <v>45</v>
      </c>
      <c r="D24" s="25" t="n">
        <v>45</v>
      </c>
      <c r="E24" s="10" t="n">
        <v>0</v>
      </c>
      <c r="F24" s="10" t="n">
        <v>4651.85</v>
      </c>
      <c r="G24" s="10" t="n">
        <v>4651.85</v>
      </c>
      <c r="H24" s="10" t="n">
        <v>474.24</v>
      </c>
      <c r="I24" s="10" t="n">
        <v>4177.61</v>
      </c>
      <c r="J24" s="10" t="n">
        <v>2899.66</v>
      </c>
      <c r="K24" s="11" t="n">
        <v>0.8981</v>
      </c>
      <c r="L24" s="11" t="n">
        <v>0.6233</v>
      </c>
      <c r="M24" s="26" t="n">
        <v>30.83</v>
      </c>
    </row>
    <row r="25" customFormat="false" ht="15" hidden="false" customHeight="false" outlineLevel="0" collapsed="false">
      <c r="A25" s="27" t="n">
        <v>10064</v>
      </c>
      <c r="B25" s="12" t="s">
        <v>50</v>
      </c>
      <c r="C25" s="28" t="n">
        <v>1016</v>
      </c>
      <c r="D25" s="28" t="n">
        <v>1016</v>
      </c>
      <c r="E25" s="14" t="n">
        <v>0</v>
      </c>
      <c r="F25" s="14" t="n">
        <v>14702.07</v>
      </c>
      <c r="G25" s="14" t="n">
        <v>14702.07</v>
      </c>
      <c r="H25" s="14" t="n">
        <v>6409.3049</v>
      </c>
      <c r="I25" s="14" t="n">
        <v>8292.76</v>
      </c>
      <c r="J25" s="14" t="n">
        <v>4708.77</v>
      </c>
      <c r="K25" s="15" t="n">
        <v>0.5641</v>
      </c>
      <c r="L25" s="15" t="n">
        <v>0.3203</v>
      </c>
      <c r="M25" s="29" t="n">
        <v>53.77</v>
      </c>
    </row>
    <row r="26" customFormat="false" ht="15" hidden="false" customHeight="false" outlineLevel="0" collapsed="false">
      <c r="A26" s="24" t="n">
        <v>10068</v>
      </c>
      <c r="B26" s="8" t="s">
        <v>51</v>
      </c>
      <c r="C26" s="25" t="n">
        <v>20</v>
      </c>
      <c r="D26" s="25" t="n">
        <v>20</v>
      </c>
      <c r="E26" s="10" t="n">
        <v>0</v>
      </c>
      <c r="F26" s="10" t="n">
        <v>5714.4</v>
      </c>
      <c r="G26" s="10" t="n">
        <v>5714.4</v>
      </c>
      <c r="H26" s="10" t="n">
        <v>1987.1</v>
      </c>
      <c r="I26" s="10" t="n">
        <v>3727.3</v>
      </c>
      <c r="J26" s="10" t="n">
        <v>2157.43</v>
      </c>
      <c r="K26" s="11" t="n">
        <v>0.6523</v>
      </c>
      <c r="L26" s="11" t="n">
        <v>0.3775</v>
      </c>
      <c r="M26" s="26" t="n">
        <v>50</v>
      </c>
    </row>
    <row r="27" customFormat="false" ht="15" hidden="false" customHeight="false" outlineLevel="0" collapsed="false">
      <c r="A27" s="27" t="n">
        <v>10075</v>
      </c>
      <c r="B27" s="12" t="s">
        <v>52</v>
      </c>
      <c r="C27" s="28" t="n">
        <v>1</v>
      </c>
      <c r="D27" s="28" t="n">
        <v>1</v>
      </c>
      <c r="E27" s="14" t="n">
        <v>0</v>
      </c>
      <c r="F27" s="14" t="n">
        <v>24.25</v>
      </c>
      <c r="G27" s="14" t="n">
        <v>24.25</v>
      </c>
      <c r="H27" s="14" t="n">
        <v>2.31</v>
      </c>
      <c r="I27" s="14" t="n">
        <v>21.94</v>
      </c>
      <c r="J27" s="14" t="n">
        <v>15.28</v>
      </c>
      <c r="K27" s="15" t="n">
        <v>0.9047</v>
      </c>
      <c r="L27" s="15" t="n">
        <v>0.6301</v>
      </c>
      <c r="M27" s="29" t="n">
        <v>7</v>
      </c>
    </row>
    <row r="28" customFormat="false" ht="15" hidden="false" customHeight="false" outlineLevel="0" collapsed="false">
      <c r="A28" s="24" t="n">
        <v>10081</v>
      </c>
      <c r="B28" s="8" t="s">
        <v>318</v>
      </c>
      <c r="C28" s="25" t="n">
        <v>5</v>
      </c>
      <c r="D28" s="25" t="n">
        <v>5</v>
      </c>
      <c r="E28" s="10" t="n">
        <v>0</v>
      </c>
      <c r="F28" s="10" t="n">
        <v>1391.25</v>
      </c>
      <c r="G28" s="10" t="n">
        <v>1391.25</v>
      </c>
      <c r="H28" s="10" t="n">
        <v>165.37</v>
      </c>
      <c r="I28" s="10" t="n">
        <v>1225.88</v>
      </c>
      <c r="J28" s="10" t="n">
        <v>843.67</v>
      </c>
      <c r="K28" s="11" t="n">
        <v>0.8811</v>
      </c>
      <c r="L28" s="11" t="n">
        <v>0.6064</v>
      </c>
      <c r="M28" s="26" t="n">
        <v>50</v>
      </c>
    </row>
    <row r="29" customFormat="false" ht="15" hidden="false" customHeight="false" outlineLevel="0" collapsed="false">
      <c r="A29" s="27" t="n">
        <v>10084</v>
      </c>
      <c r="B29" s="12" t="s">
        <v>53</v>
      </c>
      <c r="C29" s="28" t="n">
        <v>356</v>
      </c>
      <c r="D29" s="28" t="n">
        <v>356</v>
      </c>
      <c r="E29" s="14" t="n">
        <v>0</v>
      </c>
      <c r="F29" s="14" t="n">
        <v>4402.66</v>
      </c>
      <c r="G29" s="14" t="n">
        <v>4402.66</v>
      </c>
      <c r="H29" s="14" t="n">
        <v>1277.2901</v>
      </c>
      <c r="I29" s="14" t="n">
        <v>3125.37</v>
      </c>
      <c r="J29" s="14" t="n">
        <v>1990.08</v>
      </c>
      <c r="K29" s="15" t="n">
        <v>0.7099</v>
      </c>
      <c r="L29" s="15" t="n">
        <v>0.452</v>
      </c>
      <c r="M29" s="29" t="n">
        <v>48.14</v>
      </c>
    </row>
    <row r="30" customFormat="false" ht="15" hidden="false" customHeight="false" outlineLevel="0" collapsed="false">
      <c r="A30" s="24" t="n">
        <v>10087</v>
      </c>
      <c r="B30" s="8" t="s">
        <v>54</v>
      </c>
      <c r="C30" s="25" t="n">
        <v>55</v>
      </c>
      <c r="D30" s="25" t="n">
        <v>55</v>
      </c>
      <c r="E30" s="10" t="n">
        <v>0</v>
      </c>
      <c r="F30" s="10" t="n">
        <v>698.9</v>
      </c>
      <c r="G30" s="10" t="n">
        <v>698.9</v>
      </c>
      <c r="H30" s="10" t="n">
        <v>305.86</v>
      </c>
      <c r="I30" s="10" t="n">
        <v>393.04</v>
      </c>
      <c r="J30" s="10" t="n">
        <v>201.03</v>
      </c>
      <c r="K30" s="11" t="n">
        <v>0.5624</v>
      </c>
      <c r="L30" s="11" t="n">
        <v>0.2876</v>
      </c>
      <c r="M30" s="26" t="n">
        <v>32.77</v>
      </c>
    </row>
    <row r="31" customFormat="false" ht="15" hidden="false" customHeight="false" outlineLevel="0" collapsed="false">
      <c r="A31" s="27" t="n">
        <v>10089</v>
      </c>
      <c r="B31" s="12" t="s">
        <v>313</v>
      </c>
      <c r="C31" s="28" t="n">
        <v>1</v>
      </c>
      <c r="D31" s="28" t="n">
        <v>1</v>
      </c>
      <c r="E31" s="14" t="n">
        <v>0</v>
      </c>
      <c r="F31" s="14" t="n">
        <v>351</v>
      </c>
      <c r="G31" s="14" t="n">
        <v>351</v>
      </c>
      <c r="H31" s="14" t="n">
        <v>85</v>
      </c>
      <c r="I31" s="14" t="n">
        <v>266</v>
      </c>
      <c r="J31" s="14" t="n">
        <v>169.57</v>
      </c>
      <c r="K31" s="15" t="n">
        <v>0.7578</v>
      </c>
      <c r="L31" s="15" t="n">
        <v>0.4831</v>
      </c>
      <c r="M31" s="29" t="n">
        <v>30</v>
      </c>
    </row>
    <row r="32" customFormat="false" ht="15" hidden="false" customHeight="false" outlineLevel="0" collapsed="false">
      <c r="A32" s="24" t="n">
        <v>10090</v>
      </c>
      <c r="B32" s="8" t="s">
        <v>56</v>
      </c>
      <c r="C32" s="25" t="n">
        <v>80</v>
      </c>
      <c r="D32" s="25" t="n">
        <v>80</v>
      </c>
      <c r="E32" s="10" t="n">
        <v>0</v>
      </c>
      <c r="F32" s="10" t="n">
        <v>18888</v>
      </c>
      <c r="G32" s="10" t="n">
        <v>18888</v>
      </c>
      <c r="H32" s="10" t="n">
        <v>4950.06</v>
      </c>
      <c r="I32" s="10" t="n">
        <v>13937.94</v>
      </c>
      <c r="J32" s="10" t="n">
        <v>8749.05</v>
      </c>
      <c r="K32" s="11" t="n">
        <v>0.7379</v>
      </c>
      <c r="L32" s="11" t="n">
        <v>0.4632</v>
      </c>
      <c r="M32" s="26" t="n">
        <v>28</v>
      </c>
    </row>
    <row r="33" customFormat="false" ht="15" hidden="false" customHeight="false" outlineLevel="0" collapsed="false">
      <c r="A33" s="27" t="n">
        <v>10097</v>
      </c>
      <c r="B33" s="12" t="s">
        <v>58</v>
      </c>
      <c r="C33" s="28" t="n">
        <v>5580</v>
      </c>
      <c r="D33" s="28" t="n">
        <v>5580</v>
      </c>
      <c r="E33" s="14" t="n">
        <v>0</v>
      </c>
      <c r="F33" s="14" t="n">
        <v>20512</v>
      </c>
      <c r="G33" s="14" t="n">
        <v>20512</v>
      </c>
      <c r="H33" s="14" t="n">
        <v>5403.084</v>
      </c>
      <c r="I33" s="14" t="n">
        <v>15108.92</v>
      </c>
      <c r="J33" s="14" t="n">
        <v>9473.86</v>
      </c>
      <c r="K33" s="15" t="n">
        <v>0.7366</v>
      </c>
      <c r="L33" s="15" t="n">
        <v>0.4619</v>
      </c>
      <c r="M33" s="29" t="n">
        <v>54.69</v>
      </c>
    </row>
    <row r="34" customFormat="false" ht="15" hidden="false" customHeight="false" outlineLevel="0" collapsed="false">
      <c r="A34" s="24" t="n">
        <v>10098</v>
      </c>
      <c r="B34" s="8" t="s">
        <v>59</v>
      </c>
      <c r="C34" s="25" t="n">
        <v>85</v>
      </c>
      <c r="D34" s="25" t="n">
        <v>85</v>
      </c>
      <c r="E34" s="10" t="n">
        <v>0</v>
      </c>
      <c r="F34" s="10" t="n">
        <v>14145.67</v>
      </c>
      <c r="G34" s="10" t="n">
        <v>14145.67</v>
      </c>
      <c r="H34" s="10" t="n">
        <v>4927.2904</v>
      </c>
      <c r="I34" s="10" t="n">
        <v>9218.38</v>
      </c>
      <c r="J34" s="10" t="n">
        <v>5649.95</v>
      </c>
      <c r="K34" s="11" t="n">
        <v>0.6517</v>
      </c>
      <c r="L34" s="11" t="n">
        <v>0.3994</v>
      </c>
      <c r="M34" s="26" t="n">
        <v>53.88</v>
      </c>
    </row>
    <row r="35" customFormat="false" ht="15" hidden="false" customHeight="false" outlineLevel="0" collapsed="false">
      <c r="A35" s="27" t="n">
        <v>10100</v>
      </c>
      <c r="B35" s="12" t="s">
        <v>252</v>
      </c>
      <c r="C35" s="28" t="n">
        <v>50</v>
      </c>
      <c r="D35" s="28" t="n">
        <v>50</v>
      </c>
      <c r="E35" s="14" t="n">
        <v>0</v>
      </c>
      <c r="F35" s="14" t="n">
        <v>855</v>
      </c>
      <c r="G35" s="14" t="n">
        <v>855</v>
      </c>
      <c r="H35" s="14" t="n">
        <v>450.21</v>
      </c>
      <c r="I35" s="14" t="n">
        <v>404.79</v>
      </c>
      <c r="J35" s="14" t="n">
        <v>166.16</v>
      </c>
      <c r="K35" s="15" t="n">
        <v>0.4734</v>
      </c>
      <c r="L35" s="15" t="n">
        <v>0.1943</v>
      </c>
      <c r="M35" s="29" t="n">
        <v>50</v>
      </c>
    </row>
    <row r="36" customFormat="false" ht="15" hidden="false" customHeight="false" outlineLevel="0" collapsed="false">
      <c r="A36" s="24" t="n">
        <v>10102</v>
      </c>
      <c r="B36" s="8" t="s">
        <v>253</v>
      </c>
      <c r="C36" s="25" t="n">
        <v>150</v>
      </c>
      <c r="D36" s="25" t="n">
        <v>150</v>
      </c>
      <c r="E36" s="10" t="n">
        <v>0</v>
      </c>
      <c r="F36" s="10" t="n">
        <v>28185</v>
      </c>
      <c r="G36" s="10" t="n">
        <v>28185</v>
      </c>
      <c r="H36" s="10" t="n">
        <v>9145.41</v>
      </c>
      <c r="I36" s="10" t="n">
        <v>19039.59</v>
      </c>
      <c r="J36" s="10" t="n">
        <v>11296.61</v>
      </c>
      <c r="K36" s="11" t="n">
        <v>0.6755</v>
      </c>
      <c r="L36" s="11" t="n">
        <v>0.4008</v>
      </c>
      <c r="M36" s="26" t="n">
        <v>45</v>
      </c>
    </row>
    <row r="37" customFormat="false" ht="15" hidden="false" customHeight="false" outlineLevel="0" collapsed="false">
      <c r="A37" s="27" t="n">
        <v>10106</v>
      </c>
      <c r="B37" s="12" t="s">
        <v>254</v>
      </c>
      <c r="C37" s="28" t="n">
        <v>5</v>
      </c>
      <c r="D37" s="28" t="n">
        <v>5</v>
      </c>
      <c r="E37" s="14" t="n">
        <v>0</v>
      </c>
      <c r="F37" s="14" t="n">
        <v>79.1</v>
      </c>
      <c r="G37" s="14" t="n">
        <v>79.1</v>
      </c>
      <c r="H37" s="14" t="n">
        <v>22.85</v>
      </c>
      <c r="I37" s="14" t="n">
        <v>56.25</v>
      </c>
      <c r="J37" s="14" t="n">
        <v>34.52</v>
      </c>
      <c r="K37" s="15" t="n">
        <v>0.7111</v>
      </c>
      <c r="L37" s="15" t="n">
        <v>0.4364</v>
      </c>
      <c r="M37" s="29" t="n">
        <v>46</v>
      </c>
    </row>
    <row r="38" customFormat="false" ht="15" hidden="false" customHeight="false" outlineLevel="0" collapsed="false">
      <c r="A38" s="24" t="n">
        <v>10107</v>
      </c>
      <c r="B38" s="8" t="s">
        <v>40</v>
      </c>
      <c r="C38" s="25" t="n">
        <v>188</v>
      </c>
      <c r="D38" s="25" t="n">
        <v>188</v>
      </c>
      <c r="E38" s="10" t="n">
        <v>0</v>
      </c>
      <c r="F38" s="10" t="n">
        <v>29052.88</v>
      </c>
      <c r="G38" s="10" t="n">
        <v>29052.88</v>
      </c>
      <c r="H38" s="10" t="n">
        <v>12093.9492</v>
      </c>
      <c r="I38" s="10" t="n">
        <v>16958.93</v>
      </c>
      <c r="J38" s="10" t="n">
        <v>9052.29</v>
      </c>
      <c r="K38" s="11" t="n">
        <v>0.5837</v>
      </c>
      <c r="L38" s="11" t="n">
        <v>0.3116</v>
      </c>
      <c r="M38" s="26" t="n">
        <v>52.31</v>
      </c>
    </row>
    <row r="39" customFormat="false" ht="15" hidden="false" customHeight="false" outlineLevel="0" collapsed="false">
      <c r="A39" s="27" t="n">
        <v>10108</v>
      </c>
      <c r="B39" s="12" t="s">
        <v>60</v>
      </c>
      <c r="C39" s="28" t="n">
        <v>71</v>
      </c>
      <c r="D39" s="28" t="n">
        <v>71</v>
      </c>
      <c r="E39" s="14" t="n">
        <v>0</v>
      </c>
      <c r="F39" s="14" t="n">
        <v>12935.92</v>
      </c>
      <c r="G39" s="14" t="n">
        <v>12935.92</v>
      </c>
      <c r="H39" s="14" t="n">
        <v>4496.082</v>
      </c>
      <c r="I39" s="14" t="n">
        <v>8439.84</v>
      </c>
      <c r="J39" s="14" t="n">
        <v>6036.95</v>
      </c>
      <c r="K39" s="15" t="n">
        <v>0.6524</v>
      </c>
      <c r="L39" s="15" t="n">
        <v>0.4667</v>
      </c>
      <c r="M39" s="29" t="n">
        <v>51.55</v>
      </c>
    </row>
    <row r="40" customFormat="false" ht="15" hidden="false" customHeight="false" outlineLevel="0" collapsed="false">
      <c r="A40" s="24" t="n">
        <v>10109</v>
      </c>
      <c r="B40" s="8" t="s">
        <v>61</v>
      </c>
      <c r="C40" s="25" t="n">
        <v>127</v>
      </c>
      <c r="D40" s="25" t="n">
        <v>127</v>
      </c>
      <c r="E40" s="10" t="n">
        <v>0</v>
      </c>
      <c r="F40" s="10" t="n">
        <v>17769.55</v>
      </c>
      <c r="G40" s="10" t="n">
        <v>17769.55</v>
      </c>
      <c r="H40" s="10" t="n">
        <v>7833.9793</v>
      </c>
      <c r="I40" s="10" t="n">
        <v>9935.57</v>
      </c>
      <c r="J40" s="10" t="n">
        <v>5350.14</v>
      </c>
      <c r="K40" s="11" t="n">
        <v>0.5591</v>
      </c>
      <c r="L40" s="11" t="n">
        <v>0.3011</v>
      </c>
      <c r="M40" s="26" t="n">
        <v>36.61</v>
      </c>
    </row>
    <row r="41" customFormat="false" ht="15" hidden="false" customHeight="false" outlineLevel="0" collapsed="false">
      <c r="A41" s="27" t="n">
        <v>10110</v>
      </c>
      <c r="B41" s="12" t="s">
        <v>62</v>
      </c>
      <c r="C41" s="28" t="n">
        <v>61</v>
      </c>
      <c r="D41" s="28" t="n">
        <v>61</v>
      </c>
      <c r="E41" s="14" t="n">
        <v>0</v>
      </c>
      <c r="F41" s="14" t="n">
        <v>8480.41</v>
      </c>
      <c r="G41" s="14" t="n">
        <v>8480.41</v>
      </c>
      <c r="H41" s="14" t="n">
        <v>3455.4802</v>
      </c>
      <c r="I41" s="14" t="n">
        <v>5024.93</v>
      </c>
      <c r="J41" s="14" t="n">
        <v>2653.82</v>
      </c>
      <c r="K41" s="15" t="n">
        <v>0.5925</v>
      </c>
      <c r="L41" s="15" t="n">
        <v>0.3129</v>
      </c>
      <c r="M41" s="29" t="n">
        <v>37.26</v>
      </c>
    </row>
    <row r="42" customFormat="false" ht="15" hidden="false" customHeight="false" outlineLevel="0" collapsed="false">
      <c r="A42" s="24" t="n">
        <v>10114</v>
      </c>
      <c r="B42" s="8" t="s">
        <v>63</v>
      </c>
      <c r="C42" s="25" t="n">
        <v>5</v>
      </c>
      <c r="D42" s="25" t="n">
        <v>5</v>
      </c>
      <c r="E42" s="10" t="n">
        <v>0</v>
      </c>
      <c r="F42" s="10" t="n">
        <v>260.6</v>
      </c>
      <c r="G42" s="10" t="n">
        <v>260.6</v>
      </c>
      <c r="H42" s="10" t="n">
        <v>109.3</v>
      </c>
      <c r="I42" s="10" t="n">
        <v>151.3</v>
      </c>
      <c r="J42" s="10" t="n">
        <v>79.71</v>
      </c>
      <c r="K42" s="11" t="n">
        <v>0.5806</v>
      </c>
      <c r="L42" s="11" t="n">
        <v>0.3059</v>
      </c>
      <c r="M42" s="26" t="n">
        <v>7</v>
      </c>
    </row>
    <row r="43" customFormat="false" ht="15" hidden="false" customHeight="false" outlineLevel="0" collapsed="false">
      <c r="A43" s="27" t="n">
        <v>10121</v>
      </c>
      <c r="B43" s="12" t="s">
        <v>64</v>
      </c>
      <c r="C43" s="28" t="n">
        <v>540</v>
      </c>
      <c r="D43" s="28" t="n">
        <v>540</v>
      </c>
      <c r="E43" s="14" t="n">
        <v>0</v>
      </c>
      <c r="F43" s="14" t="n">
        <v>19208.97</v>
      </c>
      <c r="G43" s="14" t="n">
        <v>19208.97</v>
      </c>
      <c r="H43" s="14" t="n">
        <v>9729.4214</v>
      </c>
      <c r="I43" s="14" t="n">
        <v>9479.55</v>
      </c>
      <c r="J43" s="14" t="n">
        <v>4777.18</v>
      </c>
      <c r="K43" s="15" t="n">
        <v>0.4935</v>
      </c>
      <c r="L43" s="15" t="n">
        <v>0.2487</v>
      </c>
      <c r="M43" s="29" t="n">
        <v>45.3</v>
      </c>
    </row>
    <row r="44" customFormat="false" ht="15" hidden="false" customHeight="false" outlineLevel="0" collapsed="false">
      <c r="A44" s="24" t="n">
        <v>10126</v>
      </c>
      <c r="B44" s="8" t="s">
        <v>67</v>
      </c>
      <c r="C44" s="25" t="n">
        <v>13</v>
      </c>
      <c r="D44" s="25" t="n">
        <v>13</v>
      </c>
      <c r="E44" s="10" t="n">
        <v>0</v>
      </c>
      <c r="F44" s="10" t="n">
        <v>754.64</v>
      </c>
      <c r="G44" s="10" t="n">
        <v>754.64</v>
      </c>
      <c r="H44" s="10" t="n">
        <v>306.7601</v>
      </c>
      <c r="I44" s="10" t="n">
        <v>447.88</v>
      </c>
      <c r="J44" s="10" t="n">
        <v>240.56</v>
      </c>
      <c r="K44" s="11" t="n">
        <v>0.5935</v>
      </c>
      <c r="L44" s="11" t="n">
        <v>0.3188</v>
      </c>
      <c r="M44" s="26" t="n">
        <v>48.73</v>
      </c>
    </row>
    <row r="45" customFormat="false" ht="15" hidden="false" customHeight="false" outlineLevel="0" collapsed="false">
      <c r="A45" s="27" t="n">
        <v>10127</v>
      </c>
      <c r="B45" s="12" t="s">
        <v>68</v>
      </c>
      <c r="C45" s="28" t="n">
        <v>256</v>
      </c>
      <c r="D45" s="28" t="n">
        <v>256</v>
      </c>
      <c r="E45" s="14" t="n">
        <v>0</v>
      </c>
      <c r="F45" s="14" t="n">
        <v>11489.47</v>
      </c>
      <c r="G45" s="14" t="n">
        <v>11489.47</v>
      </c>
      <c r="H45" s="14" t="n">
        <v>4864.3785</v>
      </c>
      <c r="I45" s="14" t="n">
        <v>6625.09</v>
      </c>
      <c r="J45" s="14" t="n">
        <v>3676.08</v>
      </c>
      <c r="K45" s="15" t="n">
        <v>0.5766</v>
      </c>
      <c r="L45" s="15" t="n">
        <v>0.32</v>
      </c>
      <c r="M45" s="29" t="n">
        <v>28.56</v>
      </c>
    </row>
    <row r="46" customFormat="false" ht="15" hidden="false" customHeight="false" outlineLevel="0" collapsed="false">
      <c r="A46" s="24" t="n">
        <v>10128</v>
      </c>
      <c r="B46" s="8" t="s">
        <v>256</v>
      </c>
      <c r="C46" s="25" t="n">
        <v>4</v>
      </c>
      <c r="D46" s="25" t="n">
        <v>4</v>
      </c>
      <c r="E46" s="10" t="n">
        <v>0</v>
      </c>
      <c r="F46" s="10" t="n">
        <v>224.4</v>
      </c>
      <c r="G46" s="10" t="n">
        <v>224.4</v>
      </c>
      <c r="H46" s="10" t="n">
        <v>88.98</v>
      </c>
      <c r="I46" s="10" t="n">
        <v>135.42</v>
      </c>
      <c r="J46" s="10" t="n">
        <v>73.77</v>
      </c>
      <c r="K46" s="11" t="n">
        <v>0.6035</v>
      </c>
      <c r="L46" s="11" t="n">
        <v>0.3287</v>
      </c>
      <c r="M46" s="26" t="n">
        <v>46</v>
      </c>
    </row>
    <row r="47" customFormat="false" ht="15" hidden="false" customHeight="false" outlineLevel="0" collapsed="false">
      <c r="A47" s="27" t="n">
        <v>10131</v>
      </c>
      <c r="B47" s="12" t="s">
        <v>363</v>
      </c>
      <c r="C47" s="28" t="n">
        <v>5</v>
      </c>
      <c r="D47" s="28" t="n">
        <v>5</v>
      </c>
      <c r="E47" s="14" t="n">
        <v>0</v>
      </c>
      <c r="F47" s="14" t="n">
        <v>244.4</v>
      </c>
      <c r="G47" s="14" t="n">
        <v>244.4</v>
      </c>
      <c r="H47" s="14" t="n">
        <v>73.55</v>
      </c>
      <c r="I47" s="14" t="n">
        <v>170.85</v>
      </c>
      <c r="J47" s="14" t="n">
        <v>103.7</v>
      </c>
      <c r="K47" s="15" t="n">
        <v>0.6991</v>
      </c>
      <c r="L47" s="15" t="n">
        <v>0.4243</v>
      </c>
      <c r="M47" s="29" t="n">
        <v>60</v>
      </c>
    </row>
    <row r="48" customFormat="false" ht="15" hidden="false" customHeight="false" outlineLevel="0" collapsed="false">
      <c r="A48" s="24" t="n">
        <v>10136</v>
      </c>
      <c r="B48" s="8" t="s">
        <v>69</v>
      </c>
      <c r="C48" s="25" t="n">
        <v>7</v>
      </c>
      <c r="D48" s="25" t="n">
        <v>7</v>
      </c>
      <c r="E48" s="10" t="n">
        <v>0</v>
      </c>
      <c r="F48" s="10" t="n">
        <v>1273.74</v>
      </c>
      <c r="G48" s="10" t="n">
        <v>1273.74</v>
      </c>
      <c r="H48" s="10" t="n">
        <v>756.64</v>
      </c>
      <c r="I48" s="10" t="n">
        <v>517.1</v>
      </c>
      <c r="J48" s="10" t="n">
        <v>167.19</v>
      </c>
      <c r="K48" s="11" t="n">
        <v>0.406</v>
      </c>
      <c r="L48" s="11" t="n">
        <v>0.1313</v>
      </c>
      <c r="M48" s="26" t="n">
        <v>50</v>
      </c>
    </row>
    <row r="49" customFormat="false" ht="15" hidden="false" customHeight="false" outlineLevel="0" collapsed="false">
      <c r="A49" s="27" t="n">
        <v>10139</v>
      </c>
      <c r="B49" s="12" t="s">
        <v>71</v>
      </c>
      <c r="C49" s="28" t="n">
        <v>40</v>
      </c>
      <c r="D49" s="28" t="n">
        <v>40</v>
      </c>
      <c r="E49" s="14" t="n">
        <v>0</v>
      </c>
      <c r="F49" s="14" t="n">
        <v>31506.4</v>
      </c>
      <c r="G49" s="14" t="n">
        <v>31506.4</v>
      </c>
      <c r="H49" s="14" t="n">
        <v>10171.86</v>
      </c>
      <c r="I49" s="14" t="n">
        <v>21334.54</v>
      </c>
      <c r="J49" s="14" t="n">
        <v>12679.11</v>
      </c>
      <c r="K49" s="15" t="n">
        <v>0.6771</v>
      </c>
      <c r="L49" s="15" t="n">
        <v>0.4024</v>
      </c>
      <c r="M49" s="29" t="n">
        <v>50</v>
      </c>
    </row>
    <row r="50" customFormat="false" ht="15" hidden="false" customHeight="false" outlineLevel="0" collapsed="false">
      <c r="A50" s="24" t="n">
        <v>10141</v>
      </c>
      <c r="B50" s="8" t="s">
        <v>72</v>
      </c>
      <c r="C50" s="25" t="n">
        <v>658</v>
      </c>
      <c r="D50" s="25" t="n">
        <v>658</v>
      </c>
      <c r="E50" s="10" t="n">
        <v>0</v>
      </c>
      <c r="F50" s="10" t="n">
        <v>35981.35</v>
      </c>
      <c r="G50" s="10" t="n">
        <v>35981.35</v>
      </c>
      <c r="H50" s="10" t="n">
        <v>13233.9645</v>
      </c>
      <c r="I50" s="10" t="n">
        <v>22747.39</v>
      </c>
      <c r="J50" s="10" t="n">
        <v>13375.89</v>
      </c>
      <c r="K50" s="11" t="n">
        <v>0.6322</v>
      </c>
      <c r="L50" s="11" t="n">
        <v>0.3717</v>
      </c>
      <c r="M50" s="26" t="n">
        <v>49.95</v>
      </c>
    </row>
    <row r="51" customFormat="false" ht="15" hidden="false" customHeight="false" outlineLevel="0" collapsed="false">
      <c r="A51" s="27" t="n">
        <v>10142</v>
      </c>
      <c r="B51" s="12" t="s">
        <v>73</v>
      </c>
      <c r="C51" s="28" t="n">
        <v>5</v>
      </c>
      <c r="D51" s="28" t="n">
        <v>5</v>
      </c>
      <c r="E51" s="14" t="n">
        <v>0</v>
      </c>
      <c r="F51" s="14" t="n">
        <v>874.01</v>
      </c>
      <c r="G51" s="14" t="n">
        <v>874.01</v>
      </c>
      <c r="H51" s="14" t="n">
        <v>415.2</v>
      </c>
      <c r="I51" s="14" t="n">
        <v>458.81</v>
      </c>
      <c r="J51" s="14" t="n">
        <v>226.43</v>
      </c>
      <c r="K51" s="15" t="n">
        <v>0.5249</v>
      </c>
      <c r="L51" s="15" t="n">
        <v>0.2591</v>
      </c>
      <c r="M51" s="29" t="n">
        <v>50.27</v>
      </c>
    </row>
    <row r="52" customFormat="false" ht="15" hidden="false" customHeight="false" outlineLevel="0" collapsed="false">
      <c r="A52" s="24" t="n">
        <v>10143</v>
      </c>
      <c r="B52" s="8" t="s">
        <v>74</v>
      </c>
      <c r="C52" s="25" t="n">
        <v>10</v>
      </c>
      <c r="D52" s="25" t="n">
        <v>10</v>
      </c>
      <c r="E52" s="10" t="n">
        <v>0</v>
      </c>
      <c r="F52" s="10" t="n">
        <v>1871.92</v>
      </c>
      <c r="G52" s="10" t="n">
        <v>1871.92</v>
      </c>
      <c r="H52" s="10" t="n">
        <v>922.5399</v>
      </c>
      <c r="I52" s="10" t="n">
        <v>949.38</v>
      </c>
      <c r="J52" s="10" t="n">
        <v>443.72</v>
      </c>
      <c r="K52" s="11" t="n">
        <v>0.5072</v>
      </c>
      <c r="L52" s="11" t="n">
        <v>0.237</v>
      </c>
      <c r="M52" s="26" t="n">
        <v>52.47</v>
      </c>
    </row>
    <row r="53" customFormat="false" ht="15" hidden="false" customHeight="false" outlineLevel="0" collapsed="false">
      <c r="A53" s="27" t="n">
        <v>10145</v>
      </c>
      <c r="B53" s="12" t="s">
        <v>63</v>
      </c>
      <c r="C53" s="28" t="n">
        <v>40</v>
      </c>
      <c r="D53" s="28" t="n">
        <v>40</v>
      </c>
      <c r="E53" s="14" t="n">
        <v>0</v>
      </c>
      <c r="F53" s="14" t="n">
        <v>2599.16</v>
      </c>
      <c r="G53" s="14" t="n">
        <v>2599.16</v>
      </c>
      <c r="H53" s="14" t="n">
        <v>1188.69</v>
      </c>
      <c r="I53" s="14" t="n">
        <v>1410.47</v>
      </c>
      <c r="J53" s="14" t="n">
        <v>696.45</v>
      </c>
      <c r="K53" s="15" t="n">
        <v>0.5427</v>
      </c>
      <c r="L53" s="15" t="n">
        <v>0.268</v>
      </c>
      <c r="M53" s="29" t="n">
        <v>44.57</v>
      </c>
    </row>
    <row r="54" customFormat="false" ht="15" hidden="false" customHeight="false" outlineLevel="0" collapsed="false">
      <c r="A54" s="24" t="n">
        <v>10147</v>
      </c>
      <c r="B54" s="8" t="s">
        <v>75</v>
      </c>
      <c r="C54" s="25" t="n">
        <v>35</v>
      </c>
      <c r="D54" s="25" t="n">
        <v>35</v>
      </c>
      <c r="E54" s="10" t="n">
        <v>0</v>
      </c>
      <c r="F54" s="10" t="n">
        <v>11606.35</v>
      </c>
      <c r="G54" s="10" t="n">
        <v>11606.35</v>
      </c>
      <c r="H54" s="10" t="n">
        <v>5722.1</v>
      </c>
      <c r="I54" s="10" t="n">
        <v>5884.25</v>
      </c>
      <c r="J54" s="10" t="n">
        <v>2695.75</v>
      </c>
      <c r="K54" s="11" t="n">
        <v>0.507</v>
      </c>
      <c r="L54" s="11" t="n">
        <v>0.2323</v>
      </c>
      <c r="M54" s="26" t="n">
        <v>50</v>
      </c>
    </row>
    <row r="55" customFormat="false" ht="15" hidden="false" customHeight="false" outlineLevel="0" collapsed="false">
      <c r="A55" s="27" t="n">
        <v>10148</v>
      </c>
      <c r="B55" s="12" t="s">
        <v>76</v>
      </c>
      <c r="C55" s="28" t="n">
        <v>60</v>
      </c>
      <c r="D55" s="28" t="n">
        <v>60</v>
      </c>
      <c r="E55" s="14" t="n">
        <v>0</v>
      </c>
      <c r="F55" s="14" t="n">
        <v>23299.8</v>
      </c>
      <c r="G55" s="14" t="n">
        <v>23299.8</v>
      </c>
      <c r="H55" s="14" t="n">
        <v>4603.56</v>
      </c>
      <c r="I55" s="14" t="n">
        <v>18696.24</v>
      </c>
      <c r="J55" s="14" t="n">
        <v>13043.7</v>
      </c>
      <c r="K55" s="15" t="n">
        <v>0.8024</v>
      </c>
      <c r="L55" s="15" t="n">
        <v>0.5598</v>
      </c>
      <c r="M55" s="29" t="n">
        <v>36.67</v>
      </c>
    </row>
    <row r="56" customFormat="false" ht="15" hidden="false" customHeight="false" outlineLevel="0" collapsed="false">
      <c r="A56" s="24" t="n">
        <v>10149</v>
      </c>
      <c r="B56" s="8" t="s">
        <v>77</v>
      </c>
      <c r="C56" s="25" t="n">
        <v>130</v>
      </c>
      <c r="D56" s="25" t="n">
        <v>130</v>
      </c>
      <c r="E56" s="10" t="n">
        <v>0</v>
      </c>
      <c r="F56" s="10" t="n">
        <v>6706.71</v>
      </c>
      <c r="G56" s="10" t="n">
        <v>6706.71</v>
      </c>
      <c r="H56" s="10" t="n">
        <v>3968.2588</v>
      </c>
      <c r="I56" s="10" t="n">
        <v>2738.45</v>
      </c>
      <c r="J56" s="10" t="n">
        <v>1156.6</v>
      </c>
      <c r="K56" s="11" t="n">
        <v>0.4083</v>
      </c>
      <c r="L56" s="11" t="n">
        <v>0.1725</v>
      </c>
      <c r="M56" s="26" t="n">
        <v>46.52</v>
      </c>
    </row>
    <row r="57" customFormat="false" ht="15" hidden="false" customHeight="false" outlineLevel="0" collapsed="false">
      <c r="A57" s="27" t="n">
        <v>10150</v>
      </c>
      <c r="B57" s="12" t="s">
        <v>78</v>
      </c>
      <c r="C57" s="28" t="n">
        <v>5</v>
      </c>
      <c r="D57" s="28" t="n">
        <v>5</v>
      </c>
      <c r="E57" s="14" t="n">
        <v>0</v>
      </c>
      <c r="F57" s="14" t="n">
        <v>385.52</v>
      </c>
      <c r="G57" s="14" t="n">
        <v>385.52</v>
      </c>
      <c r="H57" s="14" t="n">
        <v>134.15</v>
      </c>
      <c r="I57" s="14" t="n">
        <v>251.37</v>
      </c>
      <c r="J57" s="14" t="n">
        <v>145.45</v>
      </c>
      <c r="K57" s="15" t="n">
        <v>0.652</v>
      </c>
      <c r="L57" s="15" t="n">
        <v>0.3773</v>
      </c>
      <c r="M57" s="29" t="n">
        <v>41.02</v>
      </c>
    </row>
    <row r="58" customFormat="false" ht="15" hidden="false" customHeight="false" outlineLevel="0" collapsed="false">
      <c r="A58" s="24" t="n">
        <v>10151</v>
      </c>
      <c r="B58" s="8" t="s">
        <v>79</v>
      </c>
      <c r="C58" s="25" t="n">
        <v>7</v>
      </c>
      <c r="D58" s="25" t="n">
        <v>7</v>
      </c>
      <c r="E58" s="10" t="n">
        <v>0</v>
      </c>
      <c r="F58" s="10" t="n">
        <v>3107.78</v>
      </c>
      <c r="G58" s="10" t="n">
        <v>3107.78</v>
      </c>
      <c r="H58" s="10" t="n">
        <v>522.09</v>
      </c>
      <c r="I58" s="10" t="n">
        <v>2585.69</v>
      </c>
      <c r="J58" s="10" t="n">
        <v>1899.19</v>
      </c>
      <c r="K58" s="11" t="n">
        <v>0.832</v>
      </c>
      <c r="L58" s="11" t="n">
        <v>0.6111</v>
      </c>
      <c r="M58" s="26" t="n">
        <v>38.7</v>
      </c>
    </row>
    <row r="59" customFormat="false" ht="15" hidden="false" customHeight="false" outlineLevel="0" collapsed="false">
      <c r="A59" s="27" t="n">
        <v>10152</v>
      </c>
      <c r="B59" s="12" t="s">
        <v>80</v>
      </c>
      <c r="C59" s="28" t="n">
        <v>153</v>
      </c>
      <c r="D59" s="28" t="n">
        <v>153</v>
      </c>
      <c r="E59" s="14" t="n">
        <v>0</v>
      </c>
      <c r="F59" s="14" t="n">
        <v>11225.57</v>
      </c>
      <c r="G59" s="14" t="n">
        <v>11225.57</v>
      </c>
      <c r="H59" s="14" t="n">
        <v>4827.97</v>
      </c>
      <c r="I59" s="14" t="n">
        <v>6397.6</v>
      </c>
      <c r="J59" s="14" t="n">
        <v>3275.17</v>
      </c>
      <c r="K59" s="15" t="n">
        <v>0.5699</v>
      </c>
      <c r="L59" s="15" t="n">
        <v>0.2918</v>
      </c>
      <c r="M59" s="29" t="n">
        <v>47.49</v>
      </c>
    </row>
    <row r="60" customFormat="false" ht="15" hidden="false" customHeight="false" outlineLevel="0" collapsed="false">
      <c r="A60" s="24" t="n">
        <v>10154</v>
      </c>
      <c r="B60" s="8" t="s">
        <v>81</v>
      </c>
      <c r="C60" s="25" t="n">
        <v>24</v>
      </c>
      <c r="D60" s="25" t="n">
        <v>24</v>
      </c>
      <c r="E60" s="10" t="n">
        <v>0</v>
      </c>
      <c r="F60" s="10" t="n">
        <v>5022.43</v>
      </c>
      <c r="G60" s="10" t="n">
        <v>5022.43</v>
      </c>
      <c r="H60" s="10" t="n">
        <v>2508.24</v>
      </c>
      <c r="I60" s="10" t="n">
        <v>2514.19</v>
      </c>
      <c r="J60" s="10" t="n">
        <v>1232.4</v>
      </c>
      <c r="K60" s="11" t="n">
        <v>0.5006</v>
      </c>
      <c r="L60" s="11" t="n">
        <v>0.2454</v>
      </c>
      <c r="M60" s="26" t="n">
        <v>41.67</v>
      </c>
    </row>
    <row r="61" customFormat="false" ht="15" hidden="false" customHeight="false" outlineLevel="0" collapsed="false">
      <c r="A61" s="27" t="n">
        <v>10163</v>
      </c>
      <c r="B61" s="12" t="s">
        <v>40</v>
      </c>
      <c r="C61" s="28" t="n">
        <v>3</v>
      </c>
      <c r="D61" s="28" t="n">
        <v>3</v>
      </c>
      <c r="E61" s="14" t="n">
        <v>0</v>
      </c>
      <c r="F61" s="14" t="n">
        <v>642.15</v>
      </c>
      <c r="G61" s="14" t="n">
        <v>642.15</v>
      </c>
      <c r="H61" s="14" t="n">
        <v>208.17</v>
      </c>
      <c r="I61" s="14" t="n">
        <v>433.98</v>
      </c>
      <c r="J61" s="14" t="n">
        <v>257.58</v>
      </c>
      <c r="K61" s="15" t="n">
        <v>0.6758</v>
      </c>
      <c r="L61" s="15" t="n">
        <v>0.4011</v>
      </c>
      <c r="M61" s="29" t="n">
        <v>60.67</v>
      </c>
    </row>
    <row r="62" customFormat="false" ht="15" hidden="false" customHeight="false" outlineLevel="0" collapsed="false">
      <c r="A62" s="24" t="n">
        <v>10164</v>
      </c>
      <c r="B62" s="8" t="s">
        <v>83</v>
      </c>
      <c r="C62" s="25" t="n">
        <v>237</v>
      </c>
      <c r="D62" s="25" t="n">
        <v>237</v>
      </c>
      <c r="E62" s="10" t="n">
        <v>0</v>
      </c>
      <c r="F62" s="10" t="n">
        <v>71374.06</v>
      </c>
      <c r="G62" s="10" t="n">
        <v>71374.06</v>
      </c>
      <c r="H62" s="10" t="n">
        <v>20798.8303</v>
      </c>
      <c r="I62" s="10" t="n">
        <v>50575.23</v>
      </c>
      <c r="J62" s="10" t="n">
        <v>33381.16</v>
      </c>
      <c r="K62" s="11" t="n">
        <v>0.7086</v>
      </c>
      <c r="L62" s="11" t="n">
        <v>0.4677</v>
      </c>
      <c r="M62" s="26" t="n">
        <v>52.64</v>
      </c>
    </row>
    <row r="63" customFormat="false" ht="15" hidden="false" customHeight="false" outlineLevel="0" collapsed="false">
      <c r="A63" s="27" t="n">
        <v>10170</v>
      </c>
      <c r="B63" s="12" t="s">
        <v>84</v>
      </c>
      <c r="C63" s="28" t="n">
        <v>138</v>
      </c>
      <c r="D63" s="28" t="n">
        <v>138</v>
      </c>
      <c r="E63" s="14" t="n">
        <v>0</v>
      </c>
      <c r="F63" s="14" t="n">
        <v>2688.59</v>
      </c>
      <c r="G63" s="14" t="n">
        <v>2688.59</v>
      </c>
      <c r="H63" s="14" t="n">
        <v>1145.6902</v>
      </c>
      <c r="I63" s="14" t="n">
        <v>1542.9</v>
      </c>
      <c r="J63" s="14" t="n">
        <v>962.82</v>
      </c>
      <c r="K63" s="15" t="n">
        <v>0.5739</v>
      </c>
      <c r="L63" s="15" t="n">
        <v>0.3581</v>
      </c>
      <c r="M63" s="29" t="n">
        <v>53.88</v>
      </c>
    </row>
    <row r="64" customFormat="false" ht="15" hidden="false" customHeight="false" outlineLevel="0" collapsed="false">
      <c r="A64" s="24" t="n">
        <v>10176</v>
      </c>
      <c r="B64" s="8" t="s">
        <v>75</v>
      </c>
      <c r="C64" s="25" t="n">
        <v>364</v>
      </c>
      <c r="D64" s="25" t="n">
        <v>364</v>
      </c>
      <c r="E64" s="10" t="n">
        <v>0</v>
      </c>
      <c r="F64" s="10" t="n">
        <v>109166.06</v>
      </c>
      <c r="G64" s="10" t="n">
        <v>109166.06</v>
      </c>
      <c r="H64" s="10" t="n">
        <v>31930.2735</v>
      </c>
      <c r="I64" s="10" t="n">
        <v>77235.79</v>
      </c>
      <c r="J64" s="10" t="n">
        <v>55103.19</v>
      </c>
      <c r="K64" s="11" t="n">
        <v>0.7075</v>
      </c>
      <c r="L64" s="11" t="n">
        <v>0.5048</v>
      </c>
      <c r="M64" s="26" t="n">
        <v>53.58</v>
      </c>
    </row>
    <row r="65" customFormat="false" ht="15" hidden="false" customHeight="false" outlineLevel="0" collapsed="false">
      <c r="A65" s="27" t="n">
        <v>10178</v>
      </c>
      <c r="B65" s="12" t="s">
        <v>85</v>
      </c>
      <c r="C65" s="28" t="n">
        <v>185</v>
      </c>
      <c r="D65" s="28" t="n">
        <v>185</v>
      </c>
      <c r="E65" s="14" t="n">
        <v>0</v>
      </c>
      <c r="F65" s="14" t="n">
        <v>10275.82</v>
      </c>
      <c r="G65" s="14" t="n">
        <v>10275.82</v>
      </c>
      <c r="H65" s="14" t="n">
        <v>1614.1308</v>
      </c>
      <c r="I65" s="14" t="n">
        <v>8661.69</v>
      </c>
      <c r="J65" s="14" t="n">
        <v>6239.98</v>
      </c>
      <c r="K65" s="15" t="n">
        <v>0.8429</v>
      </c>
      <c r="L65" s="15" t="n">
        <v>0.6072</v>
      </c>
      <c r="M65" s="29" t="n">
        <v>51.47</v>
      </c>
    </row>
    <row r="66" customFormat="false" ht="15" hidden="false" customHeight="false" outlineLevel="0" collapsed="false">
      <c r="A66" s="24" t="n">
        <v>10180</v>
      </c>
      <c r="B66" s="8" t="s">
        <v>86</v>
      </c>
      <c r="C66" s="25" t="n">
        <v>131</v>
      </c>
      <c r="D66" s="25" t="n">
        <v>131</v>
      </c>
      <c r="E66" s="10" t="n">
        <v>0</v>
      </c>
      <c r="F66" s="10" t="n">
        <v>7787.68</v>
      </c>
      <c r="G66" s="10" t="n">
        <v>7787.68</v>
      </c>
      <c r="H66" s="10" t="n">
        <v>3273.74</v>
      </c>
      <c r="I66" s="10" t="n">
        <v>4513.94</v>
      </c>
      <c r="J66" s="10" t="n">
        <v>2905.88</v>
      </c>
      <c r="K66" s="11" t="n">
        <v>0.5796</v>
      </c>
      <c r="L66" s="11" t="n">
        <v>0.3731</v>
      </c>
      <c r="M66" s="26" t="n">
        <v>54.64</v>
      </c>
    </row>
    <row r="67" customFormat="false" ht="15" hidden="false" customHeight="false" outlineLevel="0" collapsed="false">
      <c r="A67" s="27" t="n">
        <v>10182</v>
      </c>
      <c r="B67" s="12" t="s">
        <v>87</v>
      </c>
      <c r="C67" s="28" t="n">
        <v>8</v>
      </c>
      <c r="D67" s="28" t="n">
        <v>8</v>
      </c>
      <c r="E67" s="14" t="n">
        <v>0</v>
      </c>
      <c r="F67" s="14" t="n">
        <v>1835</v>
      </c>
      <c r="G67" s="14" t="n">
        <v>1835</v>
      </c>
      <c r="H67" s="14" t="n">
        <v>537.0699</v>
      </c>
      <c r="I67" s="14" t="n">
        <v>1297.93</v>
      </c>
      <c r="J67" s="14" t="n">
        <v>790.92</v>
      </c>
      <c r="K67" s="15" t="n">
        <v>0.7073</v>
      </c>
      <c r="L67" s="15" t="n">
        <v>0.431</v>
      </c>
      <c r="M67" s="29" t="n">
        <v>33.12</v>
      </c>
    </row>
    <row r="68" customFormat="false" ht="15" hidden="false" customHeight="false" outlineLevel="0" collapsed="false">
      <c r="A68" s="24" t="n">
        <v>10188</v>
      </c>
      <c r="B68" s="8" t="s">
        <v>88</v>
      </c>
      <c r="C68" s="25" t="n">
        <v>120</v>
      </c>
      <c r="D68" s="25" t="n">
        <v>120</v>
      </c>
      <c r="E68" s="10" t="n">
        <v>0</v>
      </c>
      <c r="F68" s="10" t="n">
        <v>492</v>
      </c>
      <c r="G68" s="10" t="n">
        <v>492</v>
      </c>
      <c r="H68" s="10" t="n">
        <v>231.6</v>
      </c>
      <c r="I68" s="10" t="n">
        <v>260.4</v>
      </c>
      <c r="J68" s="10" t="n">
        <v>123.06</v>
      </c>
      <c r="K68" s="11" t="n">
        <v>0.5293</v>
      </c>
      <c r="L68" s="11" t="n">
        <v>0.2501</v>
      </c>
      <c r="M68" s="26" t="n">
        <v>45</v>
      </c>
    </row>
    <row r="69" customFormat="false" ht="15" hidden="false" customHeight="false" outlineLevel="0" collapsed="false">
      <c r="A69" s="27" t="n">
        <v>10189</v>
      </c>
      <c r="B69" s="12" t="s">
        <v>89</v>
      </c>
      <c r="C69" s="28" t="n">
        <v>108</v>
      </c>
      <c r="D69" s="28" t="n">
        <v>108</v>
      </c>
      <c r="E69" s="14" t="n">
        <v>0</v>
      </c>
      <c r="F69" s="14" t="n">
        <v>442.8</v>
      </c>
      <c r="G69" s="14" t="n">
        <v>442.8</v>
      </c>
      <c r="H69" s="14" t="n">
        <v>208.561</v>
      </c>
      <c r="I69" s="14" t="n">
        <v>234.24</v>
      </c>
      <c r="J69" s="14" t="n">
        <v>110.66</v>
      </c>
      <c r="K69" s="15" t="n">
        <v>0.529</v>
      </c>
      <c r="L69" s="15" t="n">
        <v>0.2499</v>
      </c>
      <c r="M69" s="29" t="n">
        <v>45</v>
      </c>
    </row>
    <row r="70" customFormat="false" ht="15" hidden="false" customHeight="false" outlineLevel="0" collapsed="false">
      <c r="A70" s="24" t="n">
        <v>10191</v>
      </c>
      <c r="B70" s="8" t="s">
        <v>90</v>
      </c>
      <c r="C70" s="25" t="n">
        <v>60</v>
      </c>
      <c r="D70" s="25" t="n">
        <v>60</v>
      </c>
      <c r="E70" s="10" t="n">
        <v>0</v>
      </c>
      <c r="F70" s="10" t="n">
        <v>1088.4</v>
      </c>
      <c r="G70" s="10" t="n">
        <v>1088.4</v>
      </c>
      <c r="H70" s="10" t="n">
        <v>262.86</v>
      </c>
      <c r="I70" s="10" t="n">
        <v>825.54</v>
      </c>
      <c r="J70" s="10" t="n">
        <v>521.76</v>
      </c>
      <c r="K70" s="11" t="n">
        <v>0.7585</v>
      </c>
      <c r="L70" s="11" t="n">
        <v>0.4794</v>
      </c>
      <c r="M70" s="26" t="n">
        <v>45</v>
      </c>
    </row>
    <row r="71" customFormat="false" ht="15" hidden="false" customHeight="false" outlineLevel="0" collapsed="false">
      <c r="A71" s="27" t="n">
        <v>10193</v>
      </c>
      <c r="B71" s="12" t="s">
        <v>91</v>
      </c>
      <c r="C71" s="28" t="n">
        <v>75</v>
      </c>
      <c r="D71" s="28" t="n">
        <v>75</v>
      </c>
      <c r="E71" s="14" t="n">
        <v>0</v>
      </c>
      <c r="F71" s="14" t="n">
        <v>6525</v>
      </c>
      <c r="G71" s="14" t="n">
        <v>6525</v>
      </c>
      <c r="H71" s="14" t="n">
        <v>2115.6</v>
      </c>
      <c r="I71" s="14" t="n">
        <v>4409.4</v>
      </c>
      <c r="J71" s="14" t="n">
        <v>2588.3</v>
      </c>
      <c r="K71" s="15" t="n">
        <v>0.6758</v>
      </c>
      <c r="L71" s="15" t="n">
        <v>0.3967</v>
      </c>
      <c r="M71" s="29" t="n">
        <v>45</v>
      </c>
    </row>
    <row r="72" customFormat="false" ht="15" hidden="false" customHeight="false" outlineLevel="0" collapsed="false">
      <c r="A72" s="24" t="n">
        <v>10199</v>
      </c>
      <c r="B72" s="8" t="s">
        <v>93</v>
      </c>
      <c r="C72" s="25" t="n">
        <v>3</v>
      </c>
      <c r="D72" s="25" t="n">
        <v>3</v>
      </c>
      <c r="E72" s="10" t="n">
        <v>0</v>
      </c>
      <c r="F72" s="10" t="n">
        <v>902.1</v>
      </c>
      <c r="G72" s="10" t="n">
        <v>902.1</v>
      </c>
      <c r="H72" s="10" t="n">
        <v>204.96</v>
      </c>
      <c r="I72" s="10" t="n">
        <v>697.14</v>
      </c>
      <c r="J72" s="10" t="n">
        <v>449.32</v>
      </c>
      <c r="K72" s="11" t="n">
        <v>0.7728</v>
      </c>
      <c r="L72" s="11" t="n">
        <v>0.4981</v>
      </c>
      <c r="M72" s="26" t="n">
        <v>56</v>
      </c>
    </row>
    <row r="73" customFormat="false" ht="15" hidden="false" customHeight="false" outlineLevel="0" collapsed="false">
      <c r="A73" s="27" t="n">
        <v>10200</v>
      </c>
      <c r="B73" s="12" t="s">
        <v>94</v>
      </c>
      <c r="C73" s="28" t="n">
        <v>210</v>
      </c>
      <c r="D73" s="28" t="n">
        <v>210</v>
      </c>
      <c r="E73" s="14" t="n">
        <v>0</v>
      </c>
      <c r="F73" s="14" t="n">
        <v>5190.86</v>
      </c>
      <c r="G73" s="14" t="n">
        <v>5190.86</v>
      </c>
      <c r="H73" s="14" t="n">
        <v>1559.1252</v>
      </c>
      <c r="I73" s="14" t="n">
        <v>3631.74</v>
      </c>
      <c r="J73" s="14" t="n">
        <v>2367.59</v>
      </c>
      <c r="K73" s="15" t="n">
        <v>0.6996</v>
      </c>
      <c r="L73" s="15" t="n">
        <v>0.4561</v>
      </c>
      <c r="M73" s="29" t="n">
        <v>40.83</v>
      </c>
    </row>
    <row r="74" customFormat="false" ht="15" hidden="false" customHeight="false" outlineLevel="0" collapsed="false">
      <c r="A74" s="24" t="n">
        <v>10201</v>
      </c>
      <c r="B74" s="8" t="s">
        <v>79</v>
      </c>
      <c r="C74" s="25" t="n">
        <v>10</v>
      </c>
      <c r="D74" s="25" t="n">
        <v>10</v>
      </c>
      <c r="E74" s="10" t="n">
        <v>0</v>
      </c>
      <c r="F74" s="10" t="n">
        <v>4121.66</v>
      </c>
      <c r="G74" s="10" t="n">
        <v>4121.66</v>
      </c>
      <c r="H74" s="10" t="n">
        <v>744.52</v>
      </c>
      <c r="I74" s="10" t="n">
        <v>3377.14</v>
      </c>
      <c r="J74" s="10" t="n">
        <v>2275.77</v>
      </c>
      <c r="K74" s="11" t="n">
        <v>0.8194</v>
      </c>
      <c r="L74" s="11" t="n">
        <v>0.5521</v>
      </c>
      <c r="M74" s="26" t="n">
        <v>35.17</v>
      </c>
    </row>
    <row r="75" customFormat="false" ht="15" hidden="false" customHeight="false" outlineLevel="0" collapsed="false">
      <c r="A75" s="27" t="n">
        <v>10202</v>
      </c>
      <c r="B75" s="12" t="s">
        <v>95</v>
      </c>
      <c r="C75" s="28" t="n">
        <v>844</v>
      </c>
      <c r="D75" s="28" t="n">
        <v>844</v>
      </c>
      <c r="E75" s="14" t="n">
        <v>0</v>
      </c>
      <c r="F75" s="14" t="n">
        <v>48416.77</v>
      </c>
      <c r="G75" s="14" t="n">
        <v>48416.77</v>
      </c>
      <c r="H75" s="14" t="n">
        <v>26566.9699</v>
      </c>
      <c r="I75" s="14" t="n">
        <v>21849.79</v>
      </c>
      <c r="J75" s="14" t="n">
        <v>8979.59</v>
      </c>
      <c r="K75" s="15" t="n">
        <v>0.4513</v>
      </c>
      <c r="L75" s="15" t="n">
        <v>0.1855</v>
      </c>
      <c r="M75" s="29" t="n">
        <v>50.51</v>
      </c>
    </row>
    <row r="76" customFormat="false" ht="15" hidden="false" customHeight="false" outlineLevel="0" collapsed="false">
      <c r="A76" s="24" t="n">
        <v>10204</v>
      </c>
      <c r="B76" s="8" t="s">
        <v>96</v>
      </c>
      <c r="C76" s="25" t="n">
        <v>40</v>
      </c>
      <c r="D76" s="25" t="n">
        <v>40</v>
      </c>
      <c r="E76" s="10" t="n">
        <v>0</v>
      </c>
      <c r="F76" s="10" t="n">
        <v>34891</v>
      </c>
      <c r="G76" s="10" t="n">
        <v>34891</v>
      </c>
      <c r="H76" s="10" t="n">
        <v>8410.1</v>
      </c>
      <c r="I76" s="10" t="n">
        <v>26480.9</v>
      </c>
      <c r="J76" s="10" t="n">
        <v>22203.26</v>
      </c>
      <c r="K76" s="11" t="n">
        <v>0.759</v>
      </c>
      <c r="L76" s="11" t="n">
        <v>0.6364</v>
      </c>
      <c r="M76" s="26" t="n">
        <v>30</v>
      </c>
    </row>
    <row r="77" customFormat="false" ht="15" hidden="false" customHeight="false" outlineLevel="0" collapsed="false">
      <c r="A77" s="27" t="n">
        <v>10206</v>
      </c>
      <c r="B77" s="12" t="s">
        <v>97</v>
      </c>
      <c r="C77" s="28" t="n">
        <v>31</v>
      </c>
      <c r="D77" s="28" t="n">
        <v>31</v>
      </c>
      <c r="E77" s="14" t="n">
        <v>0</v>
      </c>
      <c r="F77" s="14" t="n">
        <v>1256.8</v>
      </c>
      <c r="G77" s="14" t="n">
        <v>1256.8</v>
      </c>
      <c r="H77" s="14" t="n">
        <v>318.7398</v>
      </c>
      <c r="I77" s="14" t="n">
        <v>938.06</v>
      </c>
      <c r="J77" s="14" t="n">
        <v>592.77</v>
      </c>
      <c r="K77" s="15" t="n">
        <v>0.7464</v>
      </c>
      <c r="L77" s="15" t="n">
        <v>0.4717</v>
      </c>
      <c r="M77" s="29" t="n">
        <v>31.61</v>
      </c>
    </row>
    <row r="78" customFormat="false" ht="15" hidden="false" customHeight="false" outlineLevel="0" collapsed="false">
      <c r="A78" s="24" t="n">
        <v>10208</v>
      </c>
      <c r="B78" s="8" t="s">
        <v>40</v>
      </c>
      <c r="C78" s="25" t="n">
        <v>37</v>
      </c>
      <c r="D78" s="25" t="n">
        <v>37</v>
      </c>
      <c r="E78" s="10" t="n">
        <v>0</v>
      </c>
      <c r="F78" s="10" t="n">
        <v>11612.62</v>
      </c>
      <c r="G78" s="10" t="n">
        <v>11612.62</v>
      </c>
      <c r="H78" s="10" t="n">
        <v>2506.4798</v>
      </c>
      <c r="I78" s="10" t="n">
        <v>9106.14</v>
      </c>
      <c r="J78" s="10" t="n">
        <v>5990.09</v>
      </c>
      <c r="K78" s="11" t="n">
        <v>0.7842</v>
      </c>
      <c r="L78" s="11" t="n">
        <v>0.5158</v>
      </c>
      <c r="M78" s="26" t="n">
        <v>32.38</v>
      </c>
    </row>
    <row r="79" customFormat="false" ht="15" hidden="false" customHeight="false" outlineLevel="0" collapsed="false">
      <c r="A79" s="27" t="n">
        <v>10211</v>
      </c>
      <c r="B79" s="12" t="s">
        <v>258</v>
      </c>
      <c r="C79" s="28" t="n">
        <v>7</v>
      </c>
      <c r="D79" s="28" t="n">
        <v>7</v>
      </c>
      <c r="E79" s="14" t="n">
        <v>0</v>
      </c>
      <c r="F79" s="14" t="n">
        <v>337.33</v>
      </c>
      <c r="G79" s="14" t="n">
        <v>337.33</v>
      </c>
      <c r="H79" s="14" t="n">
        <v>95.2</v>
      </c>
      <c r="I79" s="14" t="n">
        <v>242.13</v>
      </c>
      <c r="J79" s="14" t="n">
        <v>149.45</v>
      </c>
      <c r="K79" s="15" t="n">
        <v>0.7178</v>
      </c>
      <c r="L79" s="15" t="n">
        <v>0.443</v>
      </c>
      <c r="M79" s="29" t="n">
        <v>35.29</v>
      </c>
    </row>
    <row r="80" customFormat="false" ht="15" hidden="false" customHeight="false" outlineLevel="0" collapsed="false">
      <c r="A80" s="24" t="n">
        <v>10212</v>
      </c>
      <c r="B80" s="8" t="s">
        <v>74</v>
      </c>
      <c r="C80" s="25" t="n">
        <v>70</v>
      </c>
      <c r="D80" s="25" t="n">
        <v>70</v>
      </c>
      <c r="E80" s="10" t="n">
        <v>0</v>
      </c>
      <c r="F80" s="10" t="n">
        <v>14223.3</v>
      </c>
      <c r="G80" s="10" t="n">
        <v>14223.3</v>
      </c>
      <c r="H80" s="10" t="n">
        <v>6738.83</v>
      </c>
      <c r="I80" s="10" t="n">
        <v>7484.47</v>
      </c>
      <c r="J80" s="10" t="n">
        <v>3577.05</v>
      </c>
      <c r="K80" s="11" t="n">
        <v>0.5262</v>
      </c>
      <c r="L80" s="11" t="n">
        <v>0.2515</v>
      </c>
      <c r="M80" s="26" t="n">
        <v>28</v>
      </c>
    </row>
    <row r="81" customFormat="false" ht="15" hidden="false" customHeight="false" outlineLevel="0" collapsed="false">
      <c r="A81" s="27" t="n">
        <v>10215</v>
      </c>
      <c r="B81" s="12" t="s">
        <v>87</v>
      </c>
      <c r="C81" s="28" t="n">
        <v>67</v>
      </c>
      <c r="D81" s="28" t="n">
        <v>67</v>
      </c>
      <c r="E81" s="14" t="n">
        <v>0</v>
      </c>
      <c r="F81" s="14" t="n">
        <v>16537.65</v>
      </c>
      <c r="G81" s="14" t="n">
        <v>16537.65</v>
      </c>
      <c r="H81" s="14" t="n">
        <v>3142.072</v>
      </c>
      <c r="I81" s="14" t="n">
        <v>13395.58</v>
      </c>
      <c r="J81" s="14" t="n">
        <v>11299.15</v>
      </c>
      <c r="K81" s="15" t="n">
        <v>0.81</v>
      </c>
      <c r="L81" s="15" t="n">
        <v>0.6832</v>
      </c>
      <c r="M81" s="29" t="n">
        <v>39</v>
      </c>
    </row>
    <row r="82" customFormat="false" ht="15" hidden="false" customHeight="false" outlineLevel="0" collapsed="false">
      <c r="A82" s="24" t="n">
        <v>10219</v>
      </c>
      <c r="B82" s="8" t="s">
        <v>364</v>
      </c>
      <c r="C82" s="25" t="n">
        <v>42</v>
      </c>
      <c r="D82" s="25" t="n">
        <v>42</v>
      </c>
      <c r="E82" s="10" t="n">
        <v>0</v>
      </c>
      <c r="F82" s="10" t="n">
        <v>626.22</v>
      </c>
      <c r="G82" s="10" t="n">
        <v>626.22</v>
      </c>
      <c r="H82" s="10" t="n">
        <v>598.3398</v>
      </c>
      <c r="I82" s="10" t="n">
        <v>27.88</v>
      </c>
      <c r="J82" s="10" t="n">
        <v>-146.88</v>
      </c>
      <c r="K82" s="11" t="n">
        <v>0.0445</v>
      </c>
      <c r="L82" s="11" t="n">
        <v>-0.2346</v>
      </c>
      <c r="M82" s="26" t="n">
        <v>50</v>
      </c>
    </row>
    <row r="83" customFormat="false" ht="15" hidden="false" customHeight="false" outlineLevel="0" collapsed="false">
      <c r="A83" s="27" t="n">
        <v>10223</v>
      </c>
      <c r="B83" s="12" t="s">
        <v>260</v>
      </c>
      <c r="C83" s="28" t="n">
        <v>290</v>
      </c>
      <c r="D83" s="28" t="n">
        <v>290</v>
      </c>
      <c r="E83" s="14" t="n">
        <v>0</v>
      </c>
      <c r="F83" s="14" t="n">
        <v>24664.5</v>
      </c>
      <c r="G83" s="14" t="n">
        <v>24664.5</v>
      </c>
      <c r="H83" s="14" t="n">
        <v>17125.136</v>
      </c>
      <c r="I83" s="14" t="n">
        <v>7539.36</v>
      </c>
      <c r="J83" s="14" t="n">
        <v>655.51</v>
      </c>
      <c r="K83" s="15" t="n">
        <v>0.3057</v>
      </c>
      <c r="L83" s="15" t="n">
        <v>0.0266</v>
      </c>
      <c r="M83" s="29" t="n">
        <v>50</v>
      </c>
    </row>
    <row r="84" customFormat="false" ht="15" hidden="false" customHeight="false" outlineLevel="0" collapsed="false">
      <c r="A84" s="24" t="n">
        <v>10229</v>
      </c>
      <c r="B84" s="8" t="s">
        <v>100</v>
      </c>
      <c r="C84" s="25" t="n">
        <v>70</v>
      </c>
      <c r="D84" s="25" t="n">
        <v>70</v>
      </c>
      <c r="E84" s="10" t="n">
        <v>0</v>
      </c>
      <c r="F84" s="10" t="n">
        <v>15208.5</v>
      </c>
      <c r="G84" s="10" t="n">
        <v>15208.5</v>
      </c>
      <c r="H84" s="10" t="n">
        <v>2151.66</v>
      </c>
      <c r="I84" s="10" t="n">
        <v>13056.84</v>
      </c>
      <c r="J84" s="10" t="n">
        <v>9124.59</v>
      </c>
      <c r="K84" s="11" t="n">
        <v>0.8585</v>
      </c>
      <c r="L84" s="11" t="n">
        <v>0.6</v>
      </c>
      <c r="M84" s="26" t="n">
        <v>32.2</v>
      </c>
    </row>
    <row r="85" customFormat="false" ht="15" hidden="false" customHeight="false" outlineLevel="0" collapsed="false">
      <c r="A85" s="27" t="n">
        <v>10230</v>
      </c>
      <c r="B85" s="12" t="s">
        <v>101</v>
      </c>
      <c r="C85" s="28" t="n">
        <v>12</v>
      </c>
      <c r="D85" s="28" t="n">
        <v>12</v>
      </c>
      <c r="E85" s="14" t="n">
        <v>0</v>
      </c>
      <c r="F85" s="14" t="n">
        <v>2813.57</v>
      </c>
      <c r="G85" s="14" t="n">
        <v>2813.57</v>
      </c>
      <c r="H85" s="14" t="n">
        <v>709.08</v>
      </c>
      <c r="I85" s="14" t="n">
        <v>2104.49</v>
      </c>
      <c r="J85" s="14" t="n">
        <v>1390.22</v>
      </c>
      <c r="K85" s="15" t="n">
        <v>0.748</v>
      </c>
      <c r="L85" s="15" t="n">
        <v>0.4941</v>
      </c>
      <c r="M85" s="29" t="n">
        <v>46.36</v>
      </c>
    </row>
    <row r="86" customFormat="false" ht="15" hidden="false" customHeight="false" outlineLevel="0" collapsed="false">
      <c r="A86" s="24" t="n">
        <v>10240</v>
      </c>
      <c r="B86" s="8" t="s">
        <v>102</v>
      </c>
      <c r="C86" s="25" t="n">
        <v>400</v>
      </c>
      <c r="D86" s="25" t="n">
        <v>400</v>
      </c>
      <c r="E86" s="10" t="n">
        <v>0</v>
      </c>
      <c r="F86" s="10" t="n">
        <v>18435.92</v>
      </c>
      <c r="G86" s="10" t="n">
        <v>18435.92</v>
      </c>
      <c r="H86" s="10" t="n">
        <v>3812.56</v>
      </c>
      <c r="I86" s="10" t="n">
        <v>14623.36</v>
      </c>
      <c r="J86" s="10" t="n">
        <v>9558.64</v>
      </c>
      <c r="K86" s="11" t="n">
        <v>0.7932</v>
      </c>
      <c r="L86" s="11" t="n">
        <v>0.5185</v>
      </c>
      <c r="M86" s="26" t="n">
        <v>34.4</v>
      </c>
    </row>
    <row r="87" customFormat="false" ht="15" hidden="false" customHeight="false" outlineLevel="0" collapsed="false">
      <c r="A87" s="27" t="n">
        <v>10244</v>
      </c>
      <c r="B87" s="12" t="s">
        <v>103</v>
      </c>
      <c r="C87" s="28" t="n">
        <v>41</v>
      </c>
      <c r="D87" s="28" t="n">
        <v>41</v>
      </c>
      <c r="E87" s="14" t="n">
        <v>0</v>
      </c>
      <c r="F87" s="14" t="n">
        <v>9042.88</v>
      </c>
      <c r="G87" s="14" t="n">
        <v>9042.88</v>
      </c>
      <c r="H87" s="14" t="n">
        <v>1260.81</v>
      </c>
      <c r="I87" s="14" t="n">
        <v>7782.07</v>
      </c>
      <c r="J87" s="14" t="n">
        <v>5259.23</v>
      </c>
      <c r="K87" s="15" t="n">
        <v>0.8606</v>
      </c>
      <c r="L87" s="15" t="n">
        <v>0.5816</v>
      </c>
      <c r="M87" s="29" t="n">
        <v>28.44</v>
      </c>
    </row>
    <row r="88" customFormat="false" ht="15" hidden="false" customHeight="false" outlineLevel="0" collapsed="false">
      <c r="A88" s="24" t="n">
        <v>10245</v>
      </c>
      <c r="B88" s="8" t="s">
        <v>261</v>
      </c>
      <c r="C88" s="25" t="n">
        <v>1</v>
      </c>
      <c r="D88" s="25" t="n">
        <v>1</v>
      </c>
      <c r="E88" s="10" t="n">
        <v>0</v>
      </c>
      <c r="F88" s="10" t="n">
        <v>210.9</v>
      </c>
      <c r="G88" s="10" t="n">
        <v>210.9</v>
      </c>
      <c r="H88" s="10" t="n">
        <v>81.65</v>
      </c>
      <c r="I88" s="10" t="n">
        <v>129.25</v>
      </c>
      <c r="J88" s="10" t="n">
        <v>71.31</v>
      </c>
      <c r="K88" s="11" t="n">
        <v>0.6128</v>
      </c>
      <c r="L88" s="11" t="n">
        <v>0.3381</v>
      </c>
      <c r="M88" s="26" t="n">
        <v>50</v>
      </c>
    </row>
    <row r="89" customFormat="false" ht="15" hidden="false" customHeight="false" outlineLevel="0" collapsed="false">
      <c r="A89" s="27" t="n">
        <v>10247</v>
      </c>
      <c r="B89" s="12" t="s">
        <v>104</v>
      </c>
      <c r="C89" s="28" t="n">
        <v>115</v>
      </c>
      <c r="D89" s="28" t="n">
        <v>115</v>
      </c>
      <c r="E89" s="14" t="n">
        <v>0</v>
      </c>
      <c r="F89" s="14" t="n">
        <v>21890.99</v>
      </c>
      <c r="G89" s="14" t="n">
        <v>21890.99</v>
      </c>
      <c r="H89" s="14" t="n">
        <v>7765.5507</v>
      </c>
      <c r="I89" s="14" t="n">
        <v>14125.44</v>
      </c>
      <c r="J89" s="14" t="n">
        <v>8208.88</v>
      </c>
      <c r="K89" s="15" t="n">
        <v>0.6453</v>
      </c>
      <c r="L89" s="15" t="n">
        <v>0.375</v>
      </c>
      <c r="M89" s="29" t="n">
        <v>46.44</v>
      </c>
    </row>
    <row r="90" customFormat="false" ht="15" hidden="false" customHeight="false" outlineLevel="0" collapsed="false">
      <c r="A90" s="24" t="n">
        <v>10250</v>
      </c>
      <c r="B90" s="8" t="s">
        <v>105</v>
      </c>
      <c r="C90" s="25" t="n">
        <v>62</v>
      </c>
      <c r="D90" s="25" t="n">
        <v>62</v>
      </c>
      <c r="E90" s="10" t="n">
        <v>0</v>
      </c>
      <c r="F90" s="10" t="n">
        <v>13557.82</v>
      </c>
      <c r="G90" s="10" t="n">
        <v>13557.82</v>
      </c>
      <c r="H90" s="10" t="n">
        <v>4001.6498</v>
      </c>
      <c r="I90" s="10" t="n">
        <v>9556.17</v>
      </c>
      <c r="J90" s="10" t="n">
        <v>6130.28</v>
      </c>
      <c r="K90" s="11" t="n">
        <v>0.7048</v>
      </c>
      <c r="L90" s="11" t="n">
        <v>0.4522</v>
      </c>
      <c r="M90" s="26" t="n">
        <v>40.35</v>
      </c>
    </row>
    <row r="91" customFormat="false" ht="15" hidden="false" customHeight="false" outlineLevel="0" collapsed="false">
      <c r="A91" s="27" t="n">
        <v>10254</v>
      </c>
      <c r="B91" s="12" t="s">
        <v>108</v>
      </c>
      <c r="C91" s="28" t="n">
        <v>94</v>
      </c>
      <c r="D91" s="28" t="n">
        <v>94</v>
      </c>
      <c r="E91" s="14" t="n">
        <v>0</v>
      </c>
      <c r="F91" s="14" t="n">
        <v>18221.78</v>
      </c>
      <c r="G91" s="14" t="n">
        <v>18221.78</v>
      </c>
      <c r="H91" s="14" t="n">
        <v>6862.94</v>
      </c>
      <c r="I91" s="14" t="n">
        <v>11358.84</v>
      </c>
      <c r="J91" s="14" t="n">
        <v>8180.26</v>
      </c>
      <c r="K91" s="15" t="n">
        <v>0.6234</v>
      </c>
      <c r="L91" s="15" t="n">
        <v>0.4489</v>
      </c>
      <c r="M91" s="29" t="n">
        <v>52.84</v>
      </c>
    </row>
    <row r="92" customFormat="false" ht="15" hidden="false" customHeight="false" outlineLevel="0" collapsed="false">
      <c r="A92" s="24" t="n">
        <v>10255</v>
      </c>
      <c r="B92" s="8" t="s">
        <v>109</v>
      </c>
      <c r="C92" s="25" t="n">
        <v>73</v>
      </c>
      <c r="D92" s="25" t="n">
        <v>73</v>
      </c>
      <c r="E92" s="10" t="n">
        <v>0</v>
      </c>
      <c r="F92" s="10" t="n">
        <v>12538.66</v>
      </c>
      <c r="G92" s="10" t="n">
        <v>12538.66</v>
      </c>
      <c r="H92" s="10" t="n">
        <v>5336.3</v>
      </c>
      <c r="I92" s="10" t="n">
        <v>7202.36</v>
      </c>
      <c r="J92" s="10" t="n">
        <v>4066.44</v>
      </c>
      <c r="K92" s="11" t="n">
        <v>0.5744</v>
      </c>
      <c r="L92" s="11" t="n">
        <v>0.3243</v>
      </c>
      <c r="M92" s="26" t="n">
        <v>55.17</v>
      </c>
    </row>
    <row r="93" customFormat="false" ht="15" hidden="false" customHeight="false" outlineLevel="0" collapsed="false">
      <c r="A93" s="27" t="n">
        <v>10256</v>
      </c>
      <c r="B93" s="12" t="s">
        <v>110</v>
      </c>
      <c r="C93" s="28" t="n">
        <v>83</v>
      </c>
      <c r="D93" s="28" t="n">
        <v>83</v>
      </c>
      <c r="E93" s="14" t="n">
        <v>0</v>
      </c>
      <c r="F93" s="14" t="n">
        <v>27925.4</v>
      </c>
      <c r="G93" s="14" t="n">
        <v>27925.4</v>
      </c>
      <c r="H93" s="14" t="n">
        <v>10260.4203</v>
      </c>
      <c r="I93" s="14" t="n">
        <v>17664.98</v>
      </c>
      <c r="J93" s="14" t="n">
        <v>9993.29</v>
      </c>
      <c r="K93" s="15" t="n">
        <v>0.6326</v>
      </c>
      <c r="L93" s="15" t="n">
        <v>0.3579</v>
      </c>
      <c r="M93" s="29" t="n">
        <v>50</v>
      </c>
    </row>
    <row r="94" customFormat="false" ht="15" hidden="false" customHeight="false" outlineLevel="0" collapsed="false">
      <c r="A94" s="24" t="n">
        <v>10257</v>
      </c>
      <c r="B94" s="8" t="s">
        <v>111</v>
      </c>
      <c r="C94" s="25" t="n">
        <v>37</v>
      </c>
      <c r="D94" s="25" t="n">
        <v>37</v>
      </c>
      <c r="E94" s="10" t="n">
        <v>0</v>
      </c>
      <c r="F94" s="10" t="n">
        <v>345421.57</v>
      </c>
      <c r="G94" s="10" t="n">
        <v>345421.57</v>
      </c>
      <c r="H94" s="10" t="n">
        <v>176724.16</v>
      </c>
      <c r="I94" s="10" t="n">
        <v>168697.41</v>
      </c>
      <c r="J94" s="10" t="n">
        <v>73803.17</v>
      </c>
      <c r="K94" s="11" t="n">
        <v>0.4884</v>
      </c>
      <c r="L94" s="11" t="n">
        <v>0.2137</v>
      </c>
      <c r="M94" s="26" t="n">
        <v>28</v>
      </c>
    </row>
    <row r="95" customFormat="false" ht="15" hidden="false" customHeight="false" outlineLevel="0" collapsed="false">
      <c r="A95" s="27" t="n">
        <v>10267</v>
      </c>
      <c r="B95" s="12" t="s">
        <v>112</v>
      </c>
      <c r="C95" s="28" t="n">
        <v>79</v>
      </c>
      <c r="D95" s="28" t="n">
        <v>79</v>
      </c>
      <c r="E95" s="14" t="n">
        <v>0</v>
      </c>
      <c r="F95" s="14" t="n">
        <v>8722.44</v>
      </c>
      <c r="G95" s="14" t="n">
        <v>8722.44</v>
      </c>
      <c r="H95" s="14" t="n">
        <v>2407.6624</v>
      </c>
      <c r="I95" s="14" t="n">
        <v>6314.78</v>
      </c>
      <c r="J95" s="14" t="n">
        <v>4544.29</v>
      </c>
      <c r="K95" s="15" t="n">
        <v>0.724</v>
      </c>
      <c r="L95" s="15" t="n">
        <v>0.521</v>
      </c>
      <c r="M95" s="29" t="n">
        <v>44.35</v>
      </c>
    </row>
    <row r="96" customFormat="false" ht="15" hidden="false" customHeight="false" outlineLevel="0" collapsed="false">
      <c r="A96" s="24" t="n">
        <v>10268</v>
      </c>
      <c r="B96" s="8" t="s">
        <v>63</v>
      </c>
      <c r="C96" s="25" t="n">
        <v>40</v>
      </c>
      <c r="D96" s="25" t="n">
        <v>40</v>
      </c>
      <c r="E96" s="10" t="n">
        <v>0</v>
      </c>
      <c r="F96" s="10" t="n">
        <v>2352.85</v>
      </c>
      <c r="G96" s="10" t="n">
        <v>2352.85</v>
      </c>
      <c r="H96" s="10" t="n">
        <v>1323.5905</v>
      </c>
      <c r="I96" s="10" t="n">
        <v>1029.26</v>
      </c>
      <c r="J96" s="10" t="n">
        <v>687.64</v>
      </c>
      <c r="K96" s="11" t="n">
        <v>0.4375</v>
      </c>
      <c r="L96" s="11" t="n">
        <v>0.2923</v>
      </c>
      <c r="M96" s="26" t="n">
        <v>28.3</v>
      </c>
    </row>
    <row r="97" customFormat="false" ht="15" hidden="false" customHeight="false" outlineLevel="0" collapsed="false">
      <c r="A97" s="27" t="n">
        <v>10270</v>
      </c>
      <c r="B97" s="12" t="s">
        <v>256</v>
      </c>
      <c r="C97" s="28" t="n">
        <v>33</v>
      </c>
      <c r="D97" s="28" t="n">
        <v>33</v>
      </c>
      <c r="E97" s="14" t="n">
        <v>0</v>
      </c>
      <c r="F97" s="14" t="n">
        <v>1701.48</v>
      </c>
      <c r="G97" s="14" t="n">
        <v>1701.48</v>
      </c>
      <c r="H97" s="14" t="n">
        <v>796.6491</v>
      </c>
      <c r="I97" s="14" t="n">
        <v>904.83</v>
      </c>
      <c r="J97" s="14" t="n">
        <v>470.47</v>
      </c>
      <c r="K97" s="15" t="n">
        <v>0.5318</v>
      </c>
      <c r="L97" s="15" t="n">
        <v>0.2765</v>
      </c>
      <c r="M97" s="29" t="n">
        <v>38.49</v>
      </c>
    </row>
    <row r="98" customFormat="false" ht="15" hidden="false" customHeight="false" outlineLevel="0" collapsed="false">
      <c r="A98" s="24" t="n">
        <v>10277</v>
      </c>
      <c r="B98" s="8" t="s">
        <v>113</v>
      </c>
      <c r="C98" s="25" t="n">
        <v>300</v>
      </c>
      <c r="D98" s="25" t="n">
        <v>300</v>
      </c>
      <c r="E98" s="10" t="n">
        <v>0</v>
      </c>
      <c r="F98" s="10" t="n">
        <v>4815</v>
      </c>
      <c r="G98" s="10" t="n">
        <v>4815</v>
      </c>
      <c r="H98" s="10" t="n">
        <v>2779.47</v>
      </c>
      <c r="I98" s="10" t="n">
        <v>2035.53</v>
      </c>
      <c r="J98" s="10" t="n">
        <v>712.75</v>
      </c>
      <c r="K98" s="11" t="n">
        <v>0.4227</v>
      </c>
      <c r="L98" s="11" t="n">
        <v>0.148</v>
      </c>
      <c r="M98" s="26" t="n">
        <v>50</v>
      </c>
    </row>
    <row r="99" customFormat="false" ht="15" hidden="false" customHeight="false" outlineLevel="0" collapsed="false">
      <c r="A99" s="27" t="n">
        <v>10279</v>
      </c>
      <c r="B99" s="12" t="s">
        <v>115</v>
      </c>
      <c r="C99" s="28" t="n">
        <v>50</v>
      </c>
      <c r="D99" s="28" t="n">
        <v>50</v>
      </c>
      <c r="E99" s="14" t="n">
        <v>0</v>
      </c>
      <c r="F99" s="14" t="n">
        <v>2384.5</v>
      </c>
      <c r="G99" s="14" t="n">
        <v>2384.5</v>
      </c>
      <c r="H99" s="14" t="n">
        <v>1256.21</v>
      </c>
      <c r="I99" s="14" t="n">
        <v>1128.29</v>
      </c>
      <c r="J99" s="14" t="n">
        <v>835.96</v>
      </c>
      <c r="K99" s="15" t="n">
        <v>0.4732</v>
      </c>
      <c r="L99" s="15" t="n">
        <v>0.3506</v>
      </c>
      <c r="M99" s="29" t="n">
        <v>28</v>
      </c>
    </row>
    <row r="100" customFormat="false" ht="15" hidden="false" customHeight="false" outlineLevel="0" collapsed="false">
      <c r="A100" s="24" t="n">
        <v>10282</v>
      </c>
      <c r="B100" s="8" t="s">
        <v>116</v>
      </c>
      <c r="C100" s="25" t="n">
        <v>3</v>
      </c>
      <c r="D100" s="25" t="n">
        <v>3</v>
      </c>
      <c r="E100" s="10" t="n">
        <v>0</v>
      </c>
      <c r="F100" s="10" t="n">
        <v>522.57</v>
      </c>
      <c r="G100" s="10" t="n">
        <v>522.57</v>
      </c>
      <c r="H100" s="10" t="n">
        <v>397.58</v>
      </c>
      <c r="I100" s="10" t="n">
        <v>124.99</v>
      </c>
      <c r="J100" s="10" t="n">
        <v>-18.57</v>
      </c>
      <c r="K100" s="11" t="n">
        <v>0.2392</v>
      </c>
      <c r="L100" s="11" t="n">
        <v>-0.0355</v>
      </c>
      <c r="M100" s="26" t="n">
        <v>55.23</v>
      </c>
    </row>
    <row r="101" customFormat="false" ht="15" hidden="false" customHeight="false" outlineLevel="0" collapsed="false">
      <c r="A101" s="27" t="n">
        <v>10283</v>
      </c>
      <c r="B101" s="12" t="s">
        <v>117</v>
      </c>
      <c r="C101" s="28" t="n">
        <v>3</v>
      </c>
      <c r="D101" s="28" t="n">
        <v>3</v>
      </c>
      <c r="E101" s="14" t="n">
        <v>0</v>
      </c>
      <c r="F101" s="14" t="n">
        <v>1100.25</v>
      </c>
      <c r="G101" s="14" t="n">
        <v>1100.25</v>
      </c>
      <c r="H101" s="14" t="n">
        <v>583.0299</v>
      </c>
      <c r="I101" s="14" t="n">
        <v>517.22</v>
      </c>
      <c r="J101" s="14" t="n">
        <v>214.96</v>
      </c>
      <c r="K101" s="15" t="n">
        <v>0.4701</v>
      </c>
      <c r="L101" s="15" t="n">
        <v>0.1954</v>
      </c>
      <c r="M101" s="29" t="n">
        <v>60</v>
      </c>
    </row>
    <row r="102" customFormat="false" ht="15" hidden="false" customHeight="false" outlineLevel="0" collapsed="false">
      <c r="A102" s="24" t="n">
        <v>10284</v>
      </c>
      <c r="B102" s="8" t="s">
        <v>118</v>
      </c>
      <c r="C102" s="25" t="n">
        <v>1</v>
      </c>
      <c r="D102" s="25" t="n">
        <v>1</v>
      </c>
      <c r="E102" s="10" t="n">
        <v>0</v>
      </c>
      <c r="F102" s="10" t="n">
        <v>112.69</v>
      </c>
      <c r="G102" s="10" t="n">
        <v>112.69</v>
      </c>
      <c r="H102" s="10" t="n">
        <v>26.08</v>
      </c>
      <c r="I102" s="10" t="n">
        <v>86.61</v>
      </c>
      <c r="J102" s="10" t="n">
        <v>55.65</v>
      </c>
      <c r="K102" s="11" t="n">
        <v>0.7686</v>
      </c>
      <c r="L102" s="11" t="n">
        <v>0.4938</v>
      </c>
      <c r="M102" s="26" t="n">
        <v>60</v>
      </c>
    </row>
    <row r="103" customFormat="false" ht="15" hidden="false" customHeight="false" outlineLevel="0" collapsed="false">
      <c r="A103" s="27" t="n">
        <v>10286</v>
      </c>
      <c r="B103" s="12" t="s">
        <v>119</v>
      </c>
      <c r="C103" s="28" t="n">
        <v>9</v>
      </c>
      <c r="D103" s="28" t="n">
        <v>9</v>
      </c>
      <c r="E103" s="14" t="n">
        <v>0</v>
      </c>
      <c r="F103" s="14" t="n">
        <v>1532.43</v>
      </c>
      <c r="G103" s="14" t="n">
        <v>1532.43</v>
      </c>
      <c r="H103" s="14" t="n">
        <v>522.72</v>
      </c>
      <c r="I103" s="14" t="n">
        <v>1009.71</v>
      </c>
      <c r="J103" s="14" t="n">
        <v>637.95</v>
      </c>
      <c r="K103" s="15" t="n">
        <v>0.6589</v>
      </c>
      <c r="L103" s="15" t="n">
        <v>0.4163</v>
      </c>
      <c r="M103" s="29" t="n">
        <v>37.89</v>
      </c>
    </row>
    <row r="104" customFormat="false" ht="15" hidden="false" customHeight="false" outlineLevel="0" collapsed="false">
      <c r="A104" s="24" t="n">
        <v>10287</v>
      </c>
      <c r="B104" s="8" t="s">
        <v>40</v>
      </c>
      <c r="C104" s="25" t="n">
        <v>25</v>
      </c>
      <c r="D104" s="25" t="n">
        <v>25</v>
      </c>
      <c r="E104" s="10" t="n">
        <v>0</v>
      </c>
      <c r="F104" s="10" t="n">
        <v>5033.04</v>
      </c>
      <c r="G104" s="10" t="n">
        <v>5033.04</v>
      </c>
      <c r="H104" s="10" t="n">
        <v>1670.8202</v>
      </c>
      <c r="I104" s="10" t="n">
        <v>3362.22</v>
      </c>
      <c r="J104" s="10" t="n">
        <v>2344.25</v>
      </c>
      <c r="K104" s="11" t="n">
        <v>0.668</v>
      </c>
      <c r="L104" s="11" t="n">
        <v>0.4658</v>
      </c>
      <c r="M104" s="26" t="n">
        <v>42.98</v>
      </c>
    </row>
    <row r="105" customFormat="false" ht="15" hidden="false" customHeight="false" outlineLevel="0" collapsed="false">
      <c r="A105" s="27" t="n">
        <v>10288</v>
      </c>
      <c r="B105" s="12" t="s">
        <v>120</v>
      </c>
      <c r="C105" s="28" t="n">
        <v>8</v>
      </c>
      <c r="D105" s="28" t="n">
        <v>8</v>
      </c>
      <c r="E105" s="14" t="n">
        <v>0</v>
      </c>
      <c r="F105" s="14" t="n">
        <v>2399.68</v>
      </c>
      <c r="G105" s="14" t="n">
        <v>2399.68</v>
      </c>
      <c r="H105" s="14" t="n">
        <v>929.9104</v>
      </c>
      <c r="I105" s="14" t="n">
        <v>1469.77</v>
      </c>
      <c r="J105" s="14" t="n">
        <v>810.53</v>
      </c>
      <c r="K105" s="15" t="n">
        <v>0.6125</v>
      </c>
      <c r="L105" s="15" t="n">
        <v>0.3378</v>
      </c>
      <c r="M105" s="29" t="n">
        <v>34</v>
      </c>
    </row>
    <row r="106" customFormat="false" ht="15" hidden="false" customHeight="false" outlineLevel="0" collapsed="false">
      <c r="A106" s="24" t="n">
        <v>10296</v>
      </c>
      <c r="B106" s="8" t="s">
        <v>121</v>
      </c>
      <c r="C106" s="25" t="n">
        <v>236</v>
      </c>
      <c r="D106" s="25" t="n">
        <v>236</v>
      </c>
      <c r="E106" s="10" t="n">
        <v>0</v>
      </c>
      <c r="F106" s="10" t="n">
        <v>27495.84</v>
      </c>
      <c r="G106" s="10" t="n">
        <v>27495.84</v>
      </c>
      <c r="H106" s="10" t="n">
        <v>18178.4502</v>
      </c>
      <c r="I106" s="10" t="n">
        <v>9317.39</v>
      </c>
      <c r="J106" s="10" t="n">
        <v>2131.67</v>
      </c>
      <c r="K106" s="11" t="n">
        <v>0.3389</v>
      </c>
      <c r="L106" s="11" t="n">
        <v>0.0775</v>
      </c>
      <c r="M106" s="26" t="n">
        <v>49.84</v>
      </c>
    </row>
    <row r="107" customFormat="false" ht="15" hidden="false" customHeight="false" outlineLevel="0" collapsed="false">
      <c r="A107" s="27" t="n">
        <v>10299</v>
      </c>
      <c r="B107" s="12" t="s">
        <v>122</v>
      </c>
      <c r="C107" s="28" t="n">
        <v>71</v>
      </c>
      <c r="D107" s="28" t="n">
        <v>71</v>
      </c>
      <c r="E107" s="14" t="n">
        <v>0</v>
      </c>
      <c r="F107" s="14" t="n">
        <v>11373.36</v>
      </c>
      <c r="G107" s="14" t="n">
        <v>11373.36</v>
      </c>
      <c r="H107" s="14" t="n">
        <v>7804.9117</v>
      </c>
      <c r="I107" s="14" t="n">
        <v>3568.45</v>
      </c>
      <c r="J107" s="14" t="n">
        <v>809.28</v>
      </c>
      <c r="K107" s="15" t="n">
        <v>0.3138</v>
      </c>
      <c r="L107" s="15" t="n">
        <v>0.0712</v>
      </c>
      <c r="M107" s="29" t="n">
        <v>34.43</v>
      </c>
    </row>
    <row r="108" customFormat="false" ht="15" hidden="false" customHeight="false" outlineLevel="0" collapsed="false">
      <c r="A108" s="24" t="n">
        <v>10300</v>
      </c>
      <c r="B108" s="8" t="s">
        <v>123</v>
      </c>
      <c r="C108" s="25" t="n">
        <v>55</v>
      </c>
      <c r="D108" s="25" t="n">
        <v>55</v>
      </c>
      <c r="E108" s="10" t="n">
        <v>0</v>
      </c>
      <c r="F108" s="10" t="n">
        <v>8763.75</v>
      </c>
      <c r="G108" s="10" t="n">
        <v>8763.75</v>
      </c>
      <c r="H108" s="10" t="n">
        <v>5814.9012</v>
      </c>
      <c r="I108" s="10" t="n">
        <v>2948.85</v>
      </c>
      <c r="J108" s="10" t="n">
        <v>822.77</v>
      </c>
      <c r="K108" s="11" t="n">
        <v>0.3365</v>
      </c>
      <c r="L108" s="11" t="n">
        <v>0.0939</v>
      </c>
      <c r="M108" s="26" t="n">
        <v>34.58</v>
      </c>
    </row>
    <row r="109" customFormat="false" ht="15" hidden="false" customHeight="false" outlineLevel="0" collapsed="false">
      <c r="A109" s="27" t="n">
        <v>10301</v>
      </c>
      <c r="B109" s="12" t="s">
        <v>124</v>
      </c>
      <c r="C109" s="28" t="n">
        <v>70</v>
      </c>
      <c r="D109" s="28" t="n">
        <v>70</v>
      </c>
      <c r="E109" s="14" t="n">
        <v>0</v>
      </c>
      <c r="F109" s="14" t="n">
        <v>8663.9</v>
      </c>
      <c r="G109" s="14" t="n">
        <v>8663.9</v>
      </c>
      <c r="H109" s="14" t="n">
        <v>5609.649</v>
      </c>
      <c r="I109" s="14" t="n">
        <v>3054.25</v>
      </c>
      <c r="J109" s="14" t="n">
        <v>952.38</v>
      </c>
      <c r="K109" s="15" t="n">
        <v>0.3525</v>
      </c>
      <c r="L109" s="15" t="n">
        <v>0.1099</v>
      </c>
      <c r="M109" s="29" t="n">
        <v>38</v>
      </c>
    </row>
    <row r="110" customFormat="false" ht="15" hidden="false" customHeight="false" outlineLevel="0" collapsed="false">
      <c r="A110" s="24" t="n">
        <v>10304</v>
      </c>
      <c r="B110" s="8" t="s">
        <v>125</v>
      </c>
      <c r="C110" s="25" t="n">
        <v>65</v>
      </c>
      <c r="D110" s="25" t="n">
        <v>65</v>
      </c>
      <c r="E110" s="10" t="n">
        <v>0</v>
      </c>
      <c r="F110" s="10" t="n">
        <v>8045.05</v>
      </c>
      <c r="G110" s="10" t="n">
        <v>8045.05</v>
      </c>
      <c r="H110" s="10" t="n">
        <v>5176.95</v>
      </c>
      <c r="I110" s="10" t="n">
        <v>2868.1</v>
      </c>
      <c r="J110" s="10" t="n">
        <v>916.37</v>
      </c>
      <c r="K110" s="11" t="n">
        <v>0.3565</v>
      </c>
      <c r="L110" s="11" t="n">
        <v>0.1139</v>
      </c>
      <c r="M110" s="26" t="n">
        <v>36.38</v>
      </c>
    </row>
    <row r="111" customFormat="false" ht="15" hidden="false" customHeight="false" outlineLevel="0" collapsed="false">
      <c r="A111" s="27" t="n">
        <v>10325</v>
      </c>
      <c r="B111" s="12" t="s">
        <v>126</v>
      </c>
      <c r="C111" s="28" t="n">
        <v>78</v>
      </c>
      <c r="D111" s="28" t="n">
        <v>78</v>
      </c>
      <c r="E111" s="14" t="n">
        <v>0</v>
      </c>
      <c r="F111" s="14" t="n">
        <v>16198.26</v>
      </c>
      <c r="G111" s="14" t="n">
        <v>16198.26</v>
      </c>
      <c r="H111" s="14" t="n">
        <v>6361.1206</v>
      </c>
      <c r="I111" s="14" t="n">
        <v>9837.14</v>
      </c>
      <c r="J111" s="14" t="n">
        <v>5387.17</v>
      </c>
      <c r="K111" s="15" t="n">
        <v>0.6073</v>
      </c>
      <c r="L111" s="15" t="n">
        <v>0.3326</v>
      </c>
      <c r="M111" s="29" t="n">
        <v>37.32</v>
      </c>
    </row>
    <row r="112" customFormat="false" ht="15" hidden="false" customHeight="false" outlineLevel="0" collapsed="false">
      <c r="A112" s="24" t="n">
        <v>10331</v>
      </c>
      <c r="B112" s="8" t="s">
        <v>127</v>
      </c>
      <c r="C112" s="25" t="n">
        <v>9</v>
      </c>
      <c r="D112" s="25" t="n">
        <v>9</v>
      </c>
      <c r="E112" s="10" t="n">
        <v>0</v>
      </c>
      <c r="F112" s="10" t="n">
        <v>302.56</v>
      </c>
      <c r="G112" s="10" t="n">
        <v>302.56</v>
      </c>
      <c r="H112" s="10" t="n">
        <v>147.15</v>
      </c>
      <c r="I112" s="10" t="n">
        <v>155.41</v>
      </c>
      <c r="J112" s="10" t="n">
        <v>72.3</v>
      </c>
      <c r="K112" s="11" t="n">
        <v>0.5137</v>
      </c>
      <c r="L112" s="11" t="n">
        <v>0.239</v>
      </c>
      <c r="M112" s="26" t="n">
        <v>45</v>
      </c>
    </row>
    <row r="113" customFormat="false" ht="15" hidden="false" customHeight="false" outlineLevel="0" collapsed="false">
      <c r="A113" s="27" t="n">
        <v>10337</v>
      </c>
      <c r="B113" s="12" t="s">
        <v>96</v>
      </c>
      <c r="C113" s="28" t="n">
        <v>9</v>
      </c>
      <c r="D113" s="28" t="n">
        <v>9</v>
      </c>
      <c r="E113" s="14" t="n">
        <v>0</v>
      </c>
      <c r="F113" s="14" t="n">
        <v>5330.62</v>
      </c>
      <c r="G113" s="14" t="n">
        <v>5330.62</v>
      </c>
      <c r="H113" s="14" t="n">
        <v>2164.5</v>
      </c>
      <c r="I113" s="14" t="n">
        <v>3166.12</v>
      </c>
      <c r="J113" s="14" t="n">
        <v>1678.37</v>
      </c>
      <c r="K113" s="15" t="n">
        <v>0.5939</v>
      </c>
      <c r="L113" s="15" t="n">
        <v>0.3149</v>
      </c>
      <c r="M113" s="29" t="n">
        <v>45</v>
      </c>
    </row>
    <row r="114" customFormat="false" ht="15" hidden="false" customHeight="false" outlineLevel="0" collapsed="false">
      <c r="A114" s="24" t="n">
        <v>10340</v>
      </c>
      <c r="B114" s="8" t="s">
        <v>128</v>
      </c>
      <c r="C114" s="25" t="n">
        <v>93</v>
      </c>
      <c r="D114" s="25" t="n">
        <v>93</v>
      </c>
      <c r="E114" s="10" t="n">
        <v>0</v>
      </c>
      <c r="F114" s="10" t="n">
        <v>818.58</v>
      </c>
      <c r="G114" s="10" t="n">
        <v>818.58</v>
      </c>
      <c r="H114" s="10" t="n">
        <v>446.9595</v>
      </c>
      <c r="I114" s="10" t="n">
        <v>371.62</v>
      </c>
      <c r="J114" s="10" t="n">
        <v>155.09</v>
      </c>
      <c r="K114" s="11" t="n">
        <v>0.454</v>
      </c>
      <c r="L114" s="11" t="n">
        <v>0.1895</v>
      </c>
      <c r="M114" s="26" t="n">
        <v>50</v>
      </c>
    </row>
    <row r="115" customFormat="false" ht="15" hidden="false" customHeight="false" outlineLevel="0" collapsed="false">
      <c r="A115" s="27" t="n">
        <v>10343</v>
      </c>
      <c r="B115" s="12" t="s">
        <v>129</v>
      </c>
      <c r="C115" s="28" t="n">
        <v>7</v>
      </c>
      <c r="D115" s="28" t="n">
        <v>7</v>
      </c>
      <c r="E115" s="14" t="n">
        <v>0</v>
      </c>
      <c r="F115" s="14" t="n">
        <v>1401.54</v>
      </c>
      <c r="G115" s="14" t="n">
        <v>1401.54</v>
      </c>
      <c r="H115" s="14" t="n">
        <v>649.0901</v>
      </c>
      <c r="I115" s="14" t="n">
        <v>752.45</v>
      </c>
      <c r="J115" s="14" t="n">
        <v>367.43</v>
      </c>
      <c r="K115" s="15" t="n">
        <v>0.5369</v>
      </c>
      <c r="L115" s="15" t="n">
        <v>0.2622</v>
      </c>
      <c r="M115" s="29" t="n">
        <v>32.29</v>
      </c>
    </row>
    <row r="116" customFormat="false" ht="15" hidden="false" customHeight="false" outlineLevel="0" collapsed="false">
      <c r="A116" s="24" t="n">
        <v>10346</v>
      </c>
      <c r="B116" s="8" t="s">
        <v>130</v>
      </c>
      <c r="C116" s="25" t="n">
        <v>78</v>
      </c>
      <c r="D116" s="25" t="n">
        <v>78</v>
      </c>
      <c r="E116" s="10" t="n">
        <v>0</v>
      </c>
      <c r="F116" s="10" t="n">
        <v>17175.6</v>
      </c>
      <c r="G116" s="10" t="n">
        <v>17175.6</v>
      </c>
      <c r="H116" s="10" t="n">
        <v>2617.6198</v>
      </c>
      <c r="I116" s="10" t="n">
        <v>14557.98</v>
      </c>
      <c r="J116" s="10" t="n">
        <v>9764.26</v>
      </c>
      <c r="K116" s="11" t="n">
        <v>0.8476</v>
      </c>
      <c r="L116" s="11" t="n">
        <v>0.5685</v>
      </c>
      <c r="M116" s="26" t="n">
        <v>28</v>
      </c>
    </row>
    <row r="117" customFormat="false" ht="15" hidden="false" customHeight="false" outlineLevel="0" collapsed="false">
      <c r="A117" s="27" t="n">
        <v>10347</v>
      </c>
      <c r="B117" s="12" t="s">
        <v>129</v>
      </c>
      <c r="C117" s="28" t="n">
        <v>20</v>
      </c>
      <c r="D117" s="28" t="n">
        <v>20</v>
      </c>
      <c r="E117" s="14" t="n">
        <v>0</v>
      </c>
      <c r="F117" s="14" t="n">
        <v>7982.6</v>
      </c>
      <c r="G117" s="14" t="n">
        <v>7982.6</v>
      </c>
      <c r="H117" s="14" t="n">
        <v>1966.61</v>
      </c>
      <c r="I117" s="14" t="n">
        <v>6015.99</v>
      </c>
      <c r="J117" s="14" t="n">
        <v>5037.33</v>
      </c>
      <c r="K117" s="15" t="n">
        <v>0.7536</v>
      </c>
      <c r="L117" s="15" t="n">
        <v>0.631</v>
      </c>
      <c r="M117" s="29" t="n">
        <v>30</v>
      </c>
    </row>
    <row r="118" customFormat="false" ht="15" hidden="false" customHeight="false" outlineLevel="0" collapsed="false">
      <c r="A118" s="24" t="n">
        <v>10361</v>
      </c>
      <c r="B118" s="8" t="s">
        <v>96</v>
      </c>
      <c r="C118" s="25" t="n">
        <v>29</v>
      </c>
      <c r="D118" s="25" t="n">
        <v>29</v>
      </c>
      <c r="E118" s="10" t="n">
        <v>0</v>
      </c>
      <c r="F118" s="10" t="n">
        <v>27004.82</v>
      </c>
      <c r="G118" s="10" t="n">
        <v>27004.82</v>
      </c>
      <c r="H118" s="10" t="n">
        <v>6553.71</v>
      </c>
      <c r="I118" s="10" t="n">
        <v>20451.11</v>
      </c>
      <c r="J118" s="10" t="n">
        <v>12917.29</v>
      </c>
      <c r="K118" s="11" t="n">
        <v>0.7573</v>
      </c>
      <c r="L118" s="11" t="n">
        <v>0.4783</v>
      </c>
      <c r="M118" s="26" t="n">
        <v>28.06</v>
      </c>
    </row>
    <row r="119" customFormat="false" ht="15" hidden="false" customHeight="false" outlineLevel="0" collapsed="false">
      <c r="A119" s="27" t="n">
        <v>10362</v>
      </c>
      <c r="B119" s="12" t="s">
        <v>131</v>
      </c>
      <c r="C119" s="28" t="n">
        <v>24</v>
      </c>
      <c r="D119" s="28" t="n">
        <v>24</v>
      </c>
      <c r="E119" s="14" t="n">
        <v>0</v>
      </c>
      <c r="F119" s="14" t="n">
        <v>1912.46</v>
      </c>
      <c r="G119" s="14" t="n">
        <v>1912.46</v>
      </c>
      <c r="H119" s="14" t="n">
        <v>752.5499</v>
      </c>
      <c r="I119" s="14" t="n">
        <v>1159.91</v>
      </c>
      <c r="J119" s="14" t="n">
        <v>634.51</v>
      </c>
      <c r="K119" s="15" t="n">
        <v>0.6065</v>
      </c>
      <c r="L119" s="15" t="n">
        <v>0.3318</v>
      </c>
      <c r="M119" s="29" t="n">
        <v>38.88</v>
      </c>
    </row>
    <row r="120" customFormat="false" ht="15" hidden="false" customHeight="false" outlineLevel="0" collapsed="false">
      <c r="A120" s="24" t="n">
        <v>10363</v>
      </c>
      <c r="B120" s="8" t="s">
        <v>132</v>
      </c>
      <c r="C120" s="25" t="n">
        <v>82</v>
      </c>
      <c r="D120" s="25" t="n">
        <v>82</v>
      </c>
      <c r="E120" s="10" t="n">
        <v>0</v>
      </c>
      <c r="F120" s="10" t="n">
        <v>5065.44</v>
      </c>
      <c r="G120" s="10" t="n">
        <v>5065.44</v>
      </c>
      <c r="H120" s="10" t="n">
        <v>3037.1388</v>
      </c>
      <c r="I120" s="10" t="n">
        <v>2028.3</v>
      </c>
      <c r="J120" s="10" t="n">
        <v>820.97</v>
      </c>
      <c r="K120" s="11" t="n">
        <v>0.4004</v>
      </c>
      <c r="L120" s="11" t="n">
        <v>0.1621</v>
      </c>
      <c r="M120" s="26" t="n">
        <v>52.88</v>
      </c>
    </row>
    <row r="121" customFormat="false" ht="15" hidden="false" customHeight="false" outlineLevel="0" collapsed="false">
      <c r="A121" s="27" t="n">
        <v>10373</v>
      </c>
      <c r="B121" s="12" t="s">
        <v>263</v>
      </c>
      <c r="C121" s="28" t="n">
        <v>12</v>
      </c>
      <c r="D121" s="28" t="n">
        <v>12</v>
      </c>
      <c r="E121" s="14" t="n">
        <v>0</v>
      </c>
      <c r="F121" s="14" t="n">
        <v>447.36</v>
      </c>
      <c r="G121" s="14" t="n">
        <v>447.36</v>
      </c>
      <c r="H121" s="14" t="n">
        <v>176.5704</v>
      </c>
      <c r="I121" s="14" t="n">
        <v>270.79</v>
      </c>
      <c r="J121" s="14" t="n">
        <v>147.9</v>
      </c>
      <c r="K121" s="15" t="n">
        <v>0.6053</v>
      </c>
      <c r="L121" s="15" t="n">
        <v>0.3306</v>
      </c>
      <c r="M121" s="29" t="n">
        <v>45.34</v>
      </c>
    </row>
    <row r="122" customFormat="false" ht="15" hidden="false" customHeight="false" outlineLevel="0" collapsed="false">
      <c r="A122" s="24" t="n">
        <v>10374</v>
      </c>
      <c r="B122" s="8" t="s">
        <v>319</v>
      </c>
      <c r="C122" s="25" t="n">
        <v>4</v>
      </c>
      <c r="D122" s="25" t="n">
        <v>4</v>
      </c>
      <c r="E122" s="10" t="n">
        <v>0</v>
      </c>
      <c r="F122" s="10" t="n">
        <v>192.68</v>
      </c>
      <c r="G122" s="10" t="n">
        <v>192.68</v>
      </c>
      <c r="H122" s="10" t="n">
        <v>82.24</v>
      </c>
      <c r="I122" s="10" t="n">
        <v>110.44</v>
      </c>
      <c r="J122" s="10" t="n">
        <v>57.51</v>
      </c>
      <c r="K122" s="11" t="n">
        <v>0.5732</v>
      </c>
      <c r="L122" s="11" t="n">
        <v>0.2985</v>
      </c>
      <c r="M122" s="26" t="n">
        <v>30</v>
      </c>
    </row>
    <row r="123" customFormat="false" ht="15" hidden="false" customHeight="false" outlineLevel="0" collapsed="false">
      <c r="A123" s="27" t="n">
        <v>10375</v>
      </c>
      <c r="B123" s="12" t="s">
        <v>133</v>
      </c>
      <c r="C123" s="28" t="n">
        <v>156</v>
      </c>
      <c r="D123" s="28" t="n">
        <v>156</v>
      </c>
      <c r="E123" s="14" t="n">
        <v>0</v>
      </c>
      <c r="F123" s="14" t="n">
        <v>5846.41</v>
      </c>
      <c r="G123" s="14" t="n">
        <v>5846.41</v>
      </c>
      <c r="H123" s="14" t="n">
        <v>2337.6725</v>
      </c>
      <c r="I123" s="14" t="n">
        <v>3508.74</v>
      </c>
      <c r="J123" s="14" t="n">
        <v>1902.61</v>
      </c>
      <c r="K123" s="15" t="n">
        <v>0.6002</v>
      </c>
      <c r="L123" s="15" t="n">
        <v>0.3254</v>
      </c>
      <c r="M123" s="29" t="n">
        <v>68.81</v>
      </c>
    </row>
    <row r="124" customFormat="false" ht="15" hidden="false" customHeight="false" outlineLevel="0" collapsed="false">
      <c r="A124" s="24" t="n">
        <v>10376</v>
      </c>
      <c r="B124" s="8" t="s">
        <v>264</v>
      </c>
      <c r="C124" s="25" t="n">
        <v>6</v>
      </c>
      <c r="D124" s="25" t="n">
        <v>6</v>
      </c>
      <c r="E124" s="10" t="n">
        <v>0</v>
      </c>
      <c r="F124" s="10" t="n">
        <v>332.58</v>
      </c>
      <c r="G124" s="10" t="n">
        <v>332.58</v>
      </c>
      <c r="H124" s="10" t="n">
        <v>144.48</v>
      </c>
      <c r="I124" s="10" t="n">
        <v>188.1</v>
      </c>
      <c r="J124" s="10" t="n">
        <v>96.73</v>
      </c>
      <c r="K124" s="11" t="n">
        <v>0.5656</v>
      </c>
      <c r="L124" s="11" t="n">
        <v>0.2908</v>
      </c>
      <c r="M124" s="26" t="n">
        <v>40</v>
      </c>
    </row>
    <row r="125" customFormat="false" ht="15" hidden="false" customHeight="false" outlineLevel="0" collapsed="false">
      <c r="A125" s="27" t="n">
        <v>10397</v>
      </c>
      <c r="B125" s="12" t="s">
        <v>134</v>
      </c>
      <c r="C125" s="28" t="n">
        <v>71</v>
      </c>
      <c r="D125" s="28" t="n">
        <v>71</v>
      </c>
      <c r="E125" s="14" t="n">
        <v>0</v>
      </c>
      <c r="F125" s="14" t="n">
        <v>10486.52</v>
      </c>
      <c r="G125" s="14" t="n">
        <v>10486.52</v>
      </c>
      <c r="H125" s="14" t="n">
        <v>2446.4497</v>
      </c>
      <c r="I125" s="14" t="n">
        <v>8040.07</v>
      </c>
      <c r="J125" s="14" t="n">
        <v>5159.21</v>
      </c>
      <c r="K125" s="15" t="n">
        <v>0.7667</v>
      </c>
      <c r="L125" s="15" t="n">
        <v>0.492</v>
      </c>
      <c r="M125" s="29" t="n">
        <v>43.02</v>
      </c>
    </row>
    <row r="126" customFormat="false" ht="15" hidden="false" customHeight="false" outlineLevel="0" collapsed="false">
      <c r="A126" s="24" t="n">
        <v>10404</v>
      </c>
      <c r="B126" s="8" t="s">
        <v>96</v>
      </c>
      <c r="C126" s="25" t="n">
        <v>58</v>
      </c>
      <c r="D126" s="25" t="n">
        <v>58</v>
      </c>
      <c r="E126" s="10" t="n">
        <v>0</v>
      </c>
      <c r="F126" s="10" t="n">
        <v>12637.62</v>
      </c>
      <c r="G126" s="10" t="n">
        <v>12637.62</v>
      </c>
      <c r="H126" s="10" t="n">
        <v>6448.8894</v>
      </c>
      <c r="I126" s="10" t="n">
        <v>6188.73</v>
      </c>
      <c r="J126" s="10" t="n">
        <v>2716.94</v>
      </c>
      <c r="K126" s="11" t="n">
        <v>0.4897</v>
      </c>
      <c r="L126" s="11" t="n">
        <v>0.215</v>
      </c>
      <c r="M126" s="26" t="n">
        <v>37.12</v>
      </c>
    </row>
    <row r="127" customFormat="false" ht="15" hidden="false" customHeight="false" outlineLevel="0" collapsed="false">
      <c r="A127" s="27" t="n">
        <v>10406</v>
      </c>
      <c r="B127" s="12" t="s">
        <v>135</v>
      </c>
      <c r="C127" s="28" t="n">
        <v>210</v>
      </c>
      <c r="D127" s="28" t="n">
        <v>210</v>
      </c>
      <c r="E127" s="14" t="n">
        <v>0</v>
      </c>
      <c r="F127" s="14" t="n">
        <v>33222</v>
      </c>
      <c r="G127" s="14" t="n">
        <v>33222</v>
      </c>
      <c r="H127" s="14" t="n">
        <v>14039.11</v>
      </c>
      <c r="I127" s="14" t="n">
        <v>19182.89</v>
      </c>
      <c r="J127" s="14" t="n">
        <v>15109.88</v>
      </c>
      <c r="K127" s="15" t="n">
        <v>0.5774</v>
      </c>
      <c r="L127" s="15" t="n">
        <v>0.4548</v>
      </c>
      <c r="M127" s="29" t="n">
        <v>42</v>
      </c>
    </row>
    <row r="128" customFormat="false" ht="15" hidden="false" customHeight="false" outlineLevel="0" collapsed="false">
      <c r="A128" s="24" t="n">
        <v>10407</v>
      </c>
      <c r="B128" s="8" t="s">
        <v>96</v>
      </c>
      <c r="C128" s="25" t="n">
        <v>1</v>
      </c>
      <c r="D128" s="25" t="n">
        <v>1</v>
      </c>
      <c r="E128" s="10" t="n">
        <v>0</v>
      </c>
      <c r="F128" s="10" t="n">
        <v>462.07</v>
      </c>
      <c r="G128" s="10" t="n">
        <v>462.07</v>
      </c>
      <c r="H128" s="10" t="n">
        <v>174.92</v>
      </c>
      <c r="I128" s="10" t="n">
        <v>287.15</v>
      </c>
      <c r="J128" s="10" t="n">
        <v>158.18</v>
      </c>
      <c r="K128" s="11" t="n">
        <v>0.6214</v>
      </c>
      <c r="L128" s="11" t="n">
        <v>0.3423</v>
      </c>
      <c r="M128" s="26" t="n">
        <v>28</v>
      </c>
    </row>
    <row r="129" customFormat="false" ht="15" hidden="false" customHeight="false" outlineLevel="0" collapsed="false">
      <c r="A129" s="27" t="n">
        <v>10408</v>
      </c>
      <c r="B129" s="12" t="s">
        <v>136</v>
      </c>
      <c r="C129" s="28" t="n">
        <v>345</v>
      </c>
      <c r="D129" s="28" t="n">
        <v>345</v>
      </c>
      <c r="E129" s="14" t="n">
        <v>0</v>
      </c>
      <c r="F129" s="14" t="n">
        <v>99292.41</v>
      </c>
      <c r="G129" s="14" t="n">
        <v>99292.41</v>
      </c>
      <c r="H129" s="14" t="n">
        <v>59511.2705</v>
      </c>
      <c r="I129" s="14" t="n">
        <v>39781.14</v>
      </c>
      <c r="J129" s="14" t="n">
        <v>12503.54</v>
      </c>
      <c r="K129" s="15" t="n">
        <v>0.4006</v>
      </c>
      <c r="L129" s="15" t="n">
        <v>0.1259</v>
      </c>
      <c r="M129" s="29" t="n">
        <v>50</v>
      </c>
    </row>
    <row r="130" customFormat="false" ht="15" hidden="false" customHeight="false" outlineLevel="0" collapsed="false">
      <c r="A130" s="24" t="n">
        <v>10410</v>
      </c>
      <c r="B130" s="8" t="s">
        <v>320</v>
      </c>
      <c r="C130" s="25" t="n">
        <v>1</v>
      </c>
      <c r="D130" s="25" t="n">
        <v>1</v>
      </c>
      <c r="E130" s="10" t="n">
        <v>0</v>
      </c>
      <c r="F130" s="10" t="n">
        <v>95.03</v>
      </c>
      <c r="G130" s="10" t="n">
        <v>95.03</v>
      </c>
      <c r="H130" s="10" t="n">
        <v>38.23</v>
      </c>
      <c r="I130" s="10" t="n">
        <v>56.8</v>
      </c>
      <c r="J130" s="10" t="n">
        <v>30.28</v>
      </c>
      <c r="K130" s="11" t="n">
        <v>0.5977</v>
      </c>
      <c r="L130" s="11" t="n">
        <v>0.3186</v>
      </c>
      <c r="M130" s="26" t="n">
        <v>28</v>
      </c>
    </row>
    <row r="131" customFormat="false" ht="15" hidden="false" customHeight="false" outlineLevel="0" collapsed="false">
      <c r="A131" s="27" t="n">
        <v>10412</v>
      </c>
      <c r="B131" s="12" t="s">
        <v>129</v>
      </c>
      <c r="C131" s="28" t="n">
        <v>63</v>
      </c>
      <c r="D131" s="28" t="n">
        <v>63</v>
      </c>
      <c r="E131" s="14" t="n">
        <v>0</v>
      </c>
      <c r="F131" s="14" t="n">
        <v>26644.55</v>
      </c>
      <c r="G131" s="14" t="n">
        <v>26644.55</v>
      </c>
      <c r="H131" s="14" t="n">
        <v>13118.3067</v>
      </c>
      <c r="I131" s="14" t="n">
        <v>13526.24</v>
      </c>
      <c r="J131" s="14" t="n">
        <v>6089.78</v>
      </c>
      <c r="K131" s="15" t="n">
        <v>0.5077</v>
      </c>
      <c r="L131" s="15" t="n">
        <v>0.2286</v>
      </c>
      <c r="M131" s="29" t="n">
        <v>27.94</v>
      </c>
    </row>
    <row r="132" customFormat="false" ht="15" hidden="false" customHeight="false" outlineLevel="0" collapsed="false">
      <c r="A132" s="24" t="n">
        <v>10419</v>
      </c>
      <c r="B132" s="8" t="s">
        <v>138</v>
      </c>
      <c r="C132" s="25" t="n">
        <v>10</v>
      </c>
      <c r="D132" s="25" t="n">
        <v>10</v>
      </c>
      <c r="E132" s="10" t="n">
        <v>0</v>
      </c>
      <c r="F132" s="10" t="n">
        <v>973.5</v>
      </c>
      <c r="G132" s="10" t="n">
        <v>973.5</v>
      </c>
      <c r="H132" s="10" t="n">
        <v>287.65</v>
      </c>
      <c r="I132" s="10" t="n">
        <v>685.85</v>
      </c>
      <c r="J132" s="10" t="n">
        <v>414.15</v>
      </c>
      <c r="K132" s="11" t="n">
        <v>0.7045</v>
      </c>
      <c r="L132" s="11" t="n">
        <v>0.4254</v>
      </c>
      <c r="M132" s="26" t="n">
        <v>28</v>
      </c>
    </row>
    <row r="133" customFormat="false" ht="15" hidden="false" customHeight="false" outlineLevel="0" collapsed="false">
      <c r="A133" s="27" t="n">
        <v>10422</v>
      </c>
      <c r="B133" s="12" t="s">
        <v>139</v>
      </c>
      <c r="C133" s="28" t="n">
        <v>26</v>
      </c>
      <c r="D133" s="28" t="n">
        <v>26</v>
      </c>
      <c r="E133" s="14" t="n">
        <v>0</v>
      </c>
      <c r="F133" s="14" t="n">
        <v>22966.04</v>
      </c>
      <c r="G133" s="14" t="n">
        <v>22966.04</v>
      </c>
      <c r="H133" s="14" t="n">
        <v>7035.93</v>
      </c>
      <c r="I133" s="14" t="n">
        <v>15930.11</v>
      </c>
      <c r="J133" s="14" t="n">
        <v>9620.89</v>
      </c>
      <c r="K133" s="15" t="n">
        <v>0.6936</v>
      </c>
      <c r="L133" s="15" t="n">
        <v>0.4189</v>
      </c>
      <c r="M133" s="29" t="n">
        <v>28</v>
      </c>
    </row>
    <row r="134" customFormat="false" ht="15" hidden="false" customHeight="false" outlineLevel="0" collapsed="false">
      <c r="A134" s="24" t="n">
        <v>10423</v>
      </c>
      <c r="B134" s="8" t="s">
        <v>408</v>
      </c>
      <c r="C134" s="25" t="n">
        <v>1</v>
      </c>
      <c r="D134" s="25" t="n">
        <v>1</v>
      </c>
      <c r="E134" s="10" t="n">
        <v>0</v>
      </c>
      <c r="F134" s="10" t="n">
        <v>251.5</v>
      </c>
      <c r="G134" s="10" t="n">
        <v>251.5</v>
      </c>
      <c r="H134" s="10" t="n">
        <v>64.5</v>
      </c>
      <c r="I134" s="10" t="n">
        <v>187</v>
      </c>
      <c r="J134" s="10" t="n">
        <v>117.91</v>
      </c>
      <c r="K134" s="11" t="n">
        <v>0.7435</v>
      </c>
      <c r="L134" s="11" t="n">
        <v>0.4688</v>
      </c>
      <c r="M134" s="26" t="n">
        <v>60</v>
      </c>
    </row>
    <row r="135" customFormat="false" ht="15" hidden="false" customHeight="false" outlineLevel="0" collapsed="false">
      <c r="A135" s="27" t="n">
        <v>10427</v>
      </c>
      <c r="B135" s="12" t="s">
        <v>140</v>
      </c>
      <c r="C135" s="28" t="n">
        <v>2</v>
      </c>
      <c r="D135" s="28" t="n">
        <v>2</v>
      </c>
      <c r="E135" s="14" t="n">
        <v>0</v>
      </c>
      <c r="F135" s="14" t="n">
        <v>450.93</v>
      </c>
      <c r="G135" s="14" t="n">
        <v>450.93</v>
      </c>
      <c r="H135" s="14" t="n">
        <v>182.73</v>
      </c>
      <c r="I135" s="14" t="n">
        <v>268.2</v>
      </c>
      <c r="J135" s="14" t="n">
        <v>157.47</v>
      </c>
      <c r="K135" s="15" t="n">
        <v>0.5948</v>
      </c>
      <c r="L135" s="15" t="n">
        <v>0.3492</v>
      </c>
      <c r="M135" s="29" t="n">
        <v>26.18</v>
      </c>
    </row>
    <row r="136" customFormat="false" ht="15" hidden="false" customHeight="false" outlineLevel="0" collapsed="false">
      <c r="A136" s="24" t="n">
        <v>10428</v>
      </c>
      <c r="B136" s="8" t="s">
        <v>141</v>
      </c>
      <c r="C136" s="25" t="n">
        <v>4</v>
      </c>
      <c r="D136" s="25" t="n">
        <v>4</v>
      </c>
      <c r="E136" s="10" t="n">
        <v>0</v>
      </c>
      <c r="F136" s="10" t="n">
        <v>4685.72</v>
      </c>
      <c r="G136" s="10" t="n">
        <v>4685.72</v>
      </c>
      <c r="H136" s="10" t="n">
        <v>2513.36</v>
      </c>
      <c r="I136" s="10" t="n">
        <v>2172.36</v>
      </c>
      <c r="J136" s="10" t="n">
        <v>864.56</v>
      </c>
      <c r="K136" s="11" t="n">
        <v>0.4636</v>
      </c>
      <c r="L136" s="11" t="n">
        <v>0.1845</v>
      </c>
      <c r="M136" s="26" t="n">
        <v>28</v>
      </c>
    </row>
    <row r="137" customFormat="false" ht="15" hidden="false" customHeight="false" outlineLevel="0" collapsed="false">
      <c r="A137" s="27" t="n">
        <v>10433</v>
      </c>
      <c r="B137" s="12" t="s">
        <v>409</v>
      </c>
      <c r="C137" s="28" t="n">
        <v>1</v>
      </c>
      <c r="D137" s="28" t="n">
        <v>1</v>
      </c>
      <c r="E137" s="14" t="n">
        <v>0</v>
      </c>
      <c r="F137" s="14" t="n">
        <v>319.68</v>
      </c>
      <c r="G137" s="14" t="n">
        <v>319.68</v>
      </c>
      <c r="H137" s="14" t="n">
        <v>102.87</v>
      </c>
      <c r="I137" s="14" t="n">
        <v>216.81</v>
      </c>
      <c r="J137" s="14" t="n">
        <v>127.59</v>
      </c>
      <c r="K137" s="15" t="n">
        <v>0.6782</v>
      </c>
      <c r="L137" s="15" t="n">
        <v>0.3991</v>
      </c>
      <c r="M137" s="29" t="n">
        <v>28</v>
      </c>
    </row>
    <row r="138" customFormat="false" ht="15" hidden="false" customHeight="false" outlineLevel="0" collapsed="false">
      <c r="A138" s="24" t="n">
        <v>10436</v>
      </c>
      <c r="B138" s="8" t="s">
        <v>220</v>
      </c>
      <c r="C138" s="25" t="n">
        <v>1</v>
      </c>
      <c r="D138" s="25" t="n">
        <v>1</v>
      </c>
      <c r="E138" s="10" t="n">
        <v>0</v>
      </c>
      <c r="F138" s="10" t="n">
        <v>859.93</v>
      </c>
      <c r="G138" s="10" t="n">
        <v>859.93</v>
      </c>
      <c r="H138" s="10" t="n">
        <v>159.56</v>
      </c>
      <c r="I138" s="10" t="n">
        <v>700.37</v>
      </c>
      <c r="J138" s="10" t="n">
        <v>460.36</v>
      </c>
      <c r="K138" s="11" t="n">
        <v>0.8145</v>
      </c>
      <c r="L138" s="11" t="n">
        <v>0.5353</v>
      </c>
      <c r="M138" s="26" t="n">
        <v>28</v>
      </c>
    </row>
    <row r="139" customFormat="false" ht="15" hidden="false" customHeight="false" outlineLevel="0" collapsed="false">
      <c r="A139" s="27" t="n">
        <v>10439</v>
      </c>
      <c r="B139" s="12" t="s">
        <v>141</v>
      </c>
      <c r="C139" s="28" t="n">
        <v>34</v>
      </c>
      <c r="D139" s="28" t="n">
        <v>34</v>
      </c>
      <c r="E139" s="14" t="n">
        <v>0</v>
      </c>
      <c r="F139" s="14" t="n">
        <v>46070.82</v>
      </c>
      <c r="G139" s="14" t="n">
        <v>46070.82</v>
      </c>
      <c r="H139" s="14" t="n">
        <v>17231.4399</v>
      </c>
      <c r="I139" s="14" t="n">
        <v>28839.38</v>
      </c>
      <c r="J139" s="14" t="n">
        <v>15981.08</v>
      </c>
      <c r="K139" s="15" t="n">
        <v>0.626</v>
      </c>
      <c r="L139" s="15" t="n">
        <v>0.3469</v>
      </c>
      <c r="M139" s="29" t="n">
        <v>28</v>
      </c>
    </row>
    <row r="140" customFormat="false" ht="15" hidden="false" customHeight="false" outlineLevel="0" collapsed="false">
      <c r="A140" s="24" t="n">
        <v>10444</v>
      </c>
      <c r="B140" s="8" t="s">
        <v>143</v>
      </c>
      <c r="C140" s="25" t="n">
        <v>11</v>
      </c>
      <c r="D140" s="25" t="n">
        <v>11</v>
      </c>
      <c r="E140" s="10" t="n">
        <v>0</v>
      </c>
      <c r="F140" s="10" t="n">
        <v>4382.17</v>
      </c>
      <c r="G140" s="10" t="n">
        <v>4382.17</v>
      </c>
      <c r="H140" s="10" t="n">
        <v>2132.86</v>
      </c>
      <c r="I140" s="10" t="n">
        <v>2249.31</v>
      </c>
      <c r="J140" s="10" t="n">
        <v>1026.26</v>
      </c>
      <c r="K140" s="11" t="n">
        <v>0.5133</v>
      </c>
      <c r="L140" s="11" t="n">
        <v>0.2342</v>
      </c>
      <c r="M140" s="26" t="n">
        <v>28</v>
      </c>
    </row>
    <row r="141" customFormat="false" ht="15" hidden="false" customHeight="false" outlineLevel="0" collapsed="false">
      <c r="A141" s="27" t="n">
        <v>10445</v>
      </c>
      <c r="B141" s="12" t="s">
        <v>144</v>
      </c>
      <c r="C141" s="28" t="n">
        <v>54</v>
      </c>
      <c r="D141" s="28" t="n">
        <v>54</v>
      </c>
      <c r="E141" s="14" t="n">
        <v>0</v>
      </c>
      <c r="F141" s="14" t="n">
        <v>7168.09</v>
      </c>
      <c r="G141" s="14" t="n">
        <v>7168.09</v>
      </c>
      <c r="H141" s="14" t="n">
        <v>2921.0901</v>
      </c>
      <c r="I141" s="14" t="n">
        <v>4247</v>
      </c>
      <c r="J141" s="14" t="n">
        <v>2246.4</v>
      </c>
      <c r="K141" s="15" t="n">
        <v>0.5925</v>
      </c>
      <c r="L141" s="15" t="n">
        <v>0.3134</v>
      </c>
      <c r="M141" s="29" t="n">
        <v>28</v>
      </c>
    </row>
    <row r="142" customFormat="false" ht="15" hidden="false" customHeight="false" outlineLevel="0" collapsed="false">
      <c r="A142" s="24" t="n">
        <v>10446</v>
      </c>
      <c r="B142" s="8" t="s">
        <v>145</v>
      </c>
      <c r="C142" s="25" t="n">
        <v>140</v>
      </c>
      <c r="D142" s="25" t="n">
        <v>140</v>
      </c>
      <c r="E142" s="10" t="n">
        <v>0</v>
      </c>
      <c r="F142" s="10" t="n">
        <v>7536.2</v>
      </c>
      <c r="G142" s="10" t="n">
        <v>7536.2</v>
      </c>
      <c r="H142" s="10" t="n">
        <v>2231.78</v>
      </c>
      <c r="I142" s="10" t="n">
        <v>5304.42</v>
      </c>
      <c r="J142" s="10" t="n">
        <v>3201.06</v>
      </c>
      <c r="K142" s="11" t="n">
        <v>0.7039</v>
      </c>
      <c r="L142" s="11" t="n">
        <v>0.4248</v>
      </c>
      <c r="M142" s="26" t="n">
        <v>28</v>
      </c>
    </row>
    <row r="143" customFormat="false" ht="15" hidden="false" customHeight="false" outlineLevel="0" collapsed="false">
      <c r="A143" s="27" t="n">
        <v>10447</v>
      </c>
      <c r="B143" s="12" t="s">
        <v>146</v>
      </c>
      <c r="C143" s="28" t="n">
        <v>164</v>
      </c>
      <c r="D143" s="28" t="n">
        <v>164</v>
      </c>
      <c r="E143" s="14" t="n">
        <v>0</v>
      </c>
      <c r="F143" s="14" t="n">
        <v>1795.8</v>
      </c>
      <c r="G143" s="14" t="n">
        <v>1795.8</v>
      </c>
      <c r="H143" s="14" t="n">
        <v>399.9984</v>
      </c>
      <c r="I143" s="14" t="n">
        <v>1395.8</v>
      </c>
      <c r="J143" s="14" t="n">
        <v>894.6</v>
      </c>
      <c r="K143" s="15" t="n">
        <v>0.7773</v>
      </c>
      <c r="L143" s="15" t="n">
        <v>0.4982</v>
      </c>
      <c r="M143" s="29" t="n">
        <v>28</v>
      </c>
    </row>
    <row r="144" customFormat="false" ht="15" hidden="false" customHeight="false" outlineLevel="0" collapsed="false">
      <c r="A144" s="24" t="n">
        <v>10448</v>
      </c>
      <c r="B144" s="8" t="s">
        <v>147</v>
      </c>
      <c r="C144" s="25" t="n">
        <v>304</v>
      </c>
      <c r="D144" s="25" t="n">
        <v>304</v>
      </c>
      <c r="E144" s="10" t="n">
        <v>0</v>
      </c>
      <c r="F144" s="10" t="n">
        <v>6757.92</v>
      </c>
      <c r="G144" s="10" t="n">
        <v>6757.92</v>
      </c>
      <c r="H144" s="10" t="n">
        <v>2004.5152</v>
      </c>
      <c r="I144" s="10" t="n">
        <v>4753.4</v>
      </c>
      <c r="J144" s="10" t="n">
        <v>3113.93</v>
      </c>
      <c r="K144" s="11" t="n">
        <v>0.7034</v>
      </c>
      <c r="L144" s="11" t="n">
        <v>0.4608</v>
      </c>
      <c r="M144" s="26" t="n">
        <v>33.61</v>
      </c>
    </row>
    <row r="145" customFormat="false" ht="15" hidden="false" customHeight="false" outlineLevel="0" collapsed="false">
      <c r="A145" s="27" t="n">
        <v>10475</v>
      </c>
      <c r="B145" s="12" t="s">
        <v>150</v>
      </c>
      <c r="C145" s="28" t="n">
        <v>47</v>
      </c>
      <c r="D145" s="28" t="n">
        <v>47</v>
      </c>
      <c r="E145" s="14" t="n">
        <v>0</v>
      </c>
      <c r="F145" s="14" t="n">
        <v>6127.39</v>
      </c>
      <c r="G145" s="14" t="n">
        <v>6127.39</v>
      </c>
      <c r="H145" s="14" t="n">
        <v>4498.37</v>
      </c>
      <c r="I145" s="14" t="n">
        <v>1629.02</v>
      </c>
      <c r="J145" s="14" t="n">
        <v>-54.29</v>
      </c>
      <c r="K145" s="15" t="n">
        <v>0.2659</v>
      </c>
      <c r="L145" s="15" t="n">
        <v>-0.0089</v>
      </c>
      <c r="M145" s="29" t="n">
        <v>50</v>
      </c>
    </row>
    <row r="146" customFormat="false" ht="15" hidden="false" customHeight="false" outlineLevel="0" collapsed="false">
      <c r="A146" s="24" t="n">
        <v>10476</v>
      </c>
      <c r="B146" s="8" t="s">
        <v>151</v>
      </c>
      <c r="C146" s="25" t="n">
        <v>101</v>
      </c>
      <c r="D146" s="25" t="n">
        <v>101</v>
      </c>
      <c r="E146" s="10" t="n">
        <v>0</v>
      </c>
      <c r="F146" s="10" t="n">
        <v>15320.69</v>
      </c>
      <c r="G146" s="10" t="n">
        <v>15320.69</v>
      </c>
      <c r="H146" s="10" t="n">
        <v>8648.14</v>
      </c>
      <c r="I146" s="10" t="n">
        <v>6672.55</v>
      </c>
      <c r="J146" s="10" t="n">
        <v>2463.64</v>
      </c>
      <c r="K146" s="11" t="n">
        <v>0.4355</v>
      </c>
      <c r="L146" s="11" t="n">
        <v>0.1608</v>
      </c>
      <c r="M146" s="26" t="n">
        <v>50</v>
      </c>
    </row>
    <row r="147" customFormat="false" ht="15" hidden="false" customHeight="false" outlineLevel="0" collapsed="false">
      <c r="A147" s="27" t="n">
        <v>10477</v>
      </c>
      <c r="B147" s="12" t="s">
        <v>152</v>
      </c>
      <c r="C147" s="28" t="n">
        <v>131</v>
      </c>
      <c r="D147" s="28" t="n">
        <v>131</v>
      </c>
      <c r="E147" s="14" t="n">
        <v>0</v>
      </c>
      <c r="F147" s="14" t="n">
        <v>17251.39</v>
      </c>
      <c r="G147" s="14" t="n">
        <v>17251.39</v>
      </c>
      <c r="H147" s="14" t="n">
        <v>10529.71</v>
      </c>
      <c r="I147" s="14" t="n">
        <v>6721.68</v>
      </c>
      <c r="J147" s="14" t="n">
        <v>1982.38</v>
      </c>
      <c r="K147" s="15" t="n">
        <v>0.3896</v>
      </c>
      <c r="L147" s="15" t="n">
        <v>0.1149</v>
      </c>
      <c r="M147" s="29" t="n">
        <v>50</v>
      </c>
    </row>
    <row r="148" customFormat="false" ht="15" hidden="false" customHeight="false" outlineLevel="0" collapsed="false">
      <c r="A148" s="24" t="n">
        <v>10481</v>
      </c>
      <c r="B148" s="8" t="s">
        <v>74</v>
      </c>
      <c r="C148" s="25" t="n">
        <v>35</v>
      </c>
      <c r="D148" s="25" t="n">
        <v>35</v>
      </c>
      <c r="E148" s="10" t="n">
        <v>0</v>
      </c>
      <c r="F148" s="10" t="n">
        <v>8245.57</v>
      </c>
      <c r="G148" s="10" t="n">
        <v>8245.57</v>
      </c>
      <c r="H148" s="10" t="n">
        <v>3750.6798</v>
      </c>
      <c r="I148" s="10" t="n">
        <v>4494.89</v>
      </c>
      <c r="J148" s="10" t="n">
        <v>2229.66</v>
      </c>
      <c r="K148" s="11" t="n">
        <v>0.5451</v>
      </c>
      <c r="L148" s="11" t="n">
        <v>0.2704</v>
      </c>
      <c r="M148" s="26" t="n">
        <v>28.48</v>
      </c>
    </row>
    <row r="149" customFormat="false" ht="15" hidden="false" customHeight="false" outlineLevel="0" collapsed="false">
      <c r="A149" s="27" t="n">
        <v>10485</v>
      </c>
      <c r="B149" s="12" t="s">
        <v>40</v>
      </c>
      <c r="C149" s="28" t="n">
        <v>203</v>
      </c>
      <c r="D149" s="28" t="n">
        <v>203</v>
      </c>
      <c r="E149" s="14" t="n">
        <v>0</v>
      </c>
      <c r="F149" s="14" t="n">
        <v>29965.42</v>
      </c>
      <c r="G149" s="14" t="n">
        <v>29965.42</v>
      </c>
      <c r="H149" s="14" t="n">
        <v>13292.492</v>
      </c>
      <c r="I149" s="14" t="n">
        <v>16672.93</v>
      </c>
      <c r="J149" s="14" t="n">
        <v>8440.84</v>
      </c>
      <c r="K149" s="15" t="n">
        <v>0.5564</v>
      </c>
      <c r="L149" s="15" t="n">
        <v>0.2817</v>
      </c>
      <c r="M149" s="29" t="n">
        <v>50</v>
      </c>
    </row>
    <row r="150" customFormat="false" ht="15" hidden="false" customHeight="false" outlineLevel="0" collapsed="false">
      <c r="A150" s="24" t="n">
        <v>10488</v>
      </c>
      <c r="B150" s="8" t="s">
        <v>154</v>
      </c>
      <c r="C150" s="25" t="n">
        <v>38</v>
      </c>
      <c r="D150" s="25" t="n">
        <v>38</v>
      </c>
      <c r="E150" s="10" t="n">
        <v>0</v>
      </c>
      <c r="F150" s="10" t="n">
        <v>17076.15</v>
      </c>
      <c r="G150" s="10" t="n">
        <v>17076.15</v>
      </c>
      <c r="H150" s="10" t="n">
        <v>6612.7699</v>
      </c>
      <c r="I150" s="10" t="n">
        <v>10463.38</v>
      </c>
      <c r="J150" s="10" t="n">
        <v>6112.43</v>
      </c>
      <c r="K150" s="11" t="n">
        <v>0.6127</v>
      </c>
      <c r="L150" s="11" t="n">
        <v>0.358</v>
      </c>
      <c r="M150" s="26" t="n">
        <v>43.67</v>
      </c>
    </row>
    <row r="151" customFormat="false" ht="15" hidden="false" customHeight="false" outlineLevel="0" collapsed="false">
      <c r="A151" s="27" t="n">
        <v>10493</v>
      </c>
      <c r="B151" s="12" t="s">
        <v>155</v>
      </c>
      <c r="C151" s="28" t="n">
        <v>63</v>
      </c>
      <c r="D151" s="28" t="n">
        <v>63</v>
      </c>
      <c r="E151" s="14" t="n">
        <v>0</v>
      </c>
      <c r="F151" s="14" t="n">
        <v>29982.96</v>
      </c>
      <c r="G151" s="14" t="n">
        <v>29982.96</v>
      </c>
      <c r="H151" s="14" t="n">
        <v>17945.8798</v>
      </c>
      <c r="I151" s="14" t="n">
        <v>12037.08</v>
      </c>
      <c r="J151" s="14" t="n">
        <v>3800.16</v>
      </c>
      <c r="K151" s="15" t="n">
        <v>0.4015</v>
      </c>
      <c r="L151" s="15" t="n">
        <v>0.1267</v>
      </c>
      <c r="M151" s="29" t="n">
        <v>37.16</v>
      </c>
    </row>
    <row r="152" customFormat="false" ht="15" hidden="false" customHeight="false" outlineLevel="0" collapsed="false">
      <c r="A152" s="24" t="n">
        <v>10498</v>
      </c>
      <c r="B152" s="8" t="s">
        <v>156</v>
      </c>
      <c r="C152" s="25" t="n">
        <v>8</v>
      </c>
      <c r="D152" s="25" t="n">
        <v>8</v>
      </c>
      <c r="E152" s="10" t="n">
        <v>0</v>
      </c>
      <c r="F152" s="10" t="n">
        <v>2420.88</v>
      </c>
      <c r="G152" s="10" t="n">
        <v>2420.88</v>
      </c>
      <c r="H152" s="10" t="n">
        <v>770.88</v>
      </c>
      <c r="I152" s="10" t="n">
        <v>1650</v>
      </c>
      <c r="J152" s="10" t="n">
        <v>1257.61</v>
      </c>
      <c r="K152" s="11" t="n">
        <v>0.6816</v>
      </c>
      <c r="L152" s="11" t="n">
        <v>0.5195</v>
      </c>
      <c r="M152" s="26" t="n">
        <v>37.95</v>
      </c>
    </row>
    <row r="153" customFormat="false" ht="15" hidden="false" customHeight="false" outlineLevel="0" collapsed="false">
      <c r="A153" s="27" t="n">
        <v>10500</v>
      </c>
      <c r="B153" s="12" t="s">
        <v>265</v>
      </c>
      <c r="C153" s="28" t="n">
        <v>3</v>
      </c>
      <c r="D153" s="28" t="n">
        <v>3</v>
      </c>
      <c r="E153" s="14" t="n">
        <v>0</v>
      </c>
      <c r="F153" s="14" t="n">
        <v>1122</v>
      </c>
      <c r="G153" s="14" t="n">
        <v>1122</v>
      </c>
      <c r="H153" s="14" t="n">
        <v>467.3799</v>
      </c>
      <c r="I153" s="14" t="n">
        <v>654.62</v>
      </c>
      <c r="J153" s="14" t="n">
        <v>346.38</v>
      </c>
      <c r="K153" s="15" t="n">
        <v>0.5834</v>
      </c>
      <c r="L153" s="15" t="n">
        <v>0.3087</v>
      </c>
      <c r="M153" s="29" t="n">
        <v>30</v>
      </c>
    </row>
    <row r="154" customFormat="false" ht="15" hidden="false" customHeight="false" outlineLevel="0" collapsed="false">
      <c r="A154" s="24" t="n">
        <v>10501</v>
      </c>
      <c r="B154" s="8" t="s">
        <v>410</v>
      </c>
      <c r="C154" s="25" t="n">
        <v>2</v>
      </c>
      <c r="D154" s="25" t="n">
        <v>2</v>
      </c>
      <c r="E154" s="10" t="n">
        <v>0</v>
      </c>
      <c r="F154" s="10" t="n">
        <v>126.42</v>
      </c>
      <c r="G154" s="10" t="n">
        <v>126.42</v>
      </c>
      <c r="H154" s="10" t="n">
        <v>37.85</v>
      </c>
      <c r="I154" s="10" t="n">
        <v>88.57</v>
      </c>
      <c r="J154" s="10" t="n">
        <v>44.7</v>
      </c>
      <c r="K154" s="11" t="n">
        <v>0.7006</v>
      </c>
      <c r="L154" s="11" t="n">
        <v>0.3536</v>
      </c>
      <c r="M154" s="26" t="n">
        <v>42</v>
      </c>
    </row>
    <row r="155" customFormat="false" ht="15" hidden="false" customHeight="false" outlineLevel="0" collapsed="false">
      <c r="A155" s="27" t="n">
        <v>10504</v>
      </c>
      <c r="B155" s="12" t="s">
        <v>157</v>
      </c>
      <c r="C155" s="28" t="n">
        <v>6</v>
      </c>
      <c r="D155" s="28" t="n">
        <v>6</v>
      </c>
      <c r="E155" s="14" t="n">
        <v>0</v>
      </c>
      <c r="F155" s="14" t="n">
        <v>28865.4</v>
      </c>
      <c r="G155" s="14" t="n">
        <v>28865.4</v>
      </c>
      <c r="H155" s="14" t="n">
        <v>16236.28</v>
      </c>
      <c r="I155" s="14" t="n">
        <v>12629.12</v>
      </c>
      <c r="J155" s="14" t="n">
        <v>4699.21</v>
      </c>
      <c r="K155" s="15" t="n">
        <v>0.4375</v>
      </c>
      <c r="L155" s="15" t="n">
        <v>0.1628</v>
      </c>
      <c r="M155" s="29" t="n">
        <v>40.83</v>
      </c>
    </row>
    <row r="156" customFormat="false" ht="15" hidden="false" customHeight="false" outlineLevel="0" collapsed="false">
      <c r="A156" s="24" t="n">
        <v>10509</v>
      </c>
      <c r="B156" s="8" t="s">
        <v>266</v>
      </c>
      <c r="C156" s="25" t="n">
        <v>2</v>
      </c>
      <c r="D156" s="25" t="n">
        <v>2</v>
      </c>
      <c r="E156" s="10" t="n">
        <v>0</v>
      </c>
      <c r="F156" s="10" t="n">
        <v>157.92</v>
      </c>
      <c r="G156" s="10" t="n">
        <v>157.92</v>
      </c>
      <c r="H156" s="10" t="n">
        <v>36.19</v>
      </c>
      <c r="I156" s="10" t="n">
        <v>121.73</v>
      </c>
      <c r="J156" s="10" t="n">
        <v>66.93</v>
      </c>
      <c r="K156" s="11" t="n">
        <v>0.7708</v>
      </c>
      <c r="L156" s="11" t="n">
        <v>0.4238</v>
      </c>
      <c r="M156" s="26" t="n">
        <v>42</v>
      </c>
    </row>
    <row r="157" customFormat="false" ht="15" hidden="false" customHeight="false" outlineLevel="0" collapsed="false">
      <c r="A157" s="27" t="n">
        <v>10510</v>
      </c>
      <c r="B157" s="12" t="s">
        <v>158</v>
      </c>
      <c r="C157" s="28" t="n">
        <v>40</v>
      </c>
      <c r="D157" s="28" t="n">
        <v>40</v>
      </c>
      <c r="E157" s="14" t="n">
        <v>0</v>
      </c>
      <c r="F157" s="14" t="n">
        <v>5428</v>
      </c>
      <c r="G157" s="14" t="n">
        <v>5428</v>
      </c>
      <c r="H157" s="14" t="n">
        <v>3526.492</v>
      </c>
      <c r="I157" s="14" t="n">
        <v>1901.51</v>
      </c>
      <c r="J157" s="14" t="n">
        <v>410.33</v>
      </c>
      <c r="K157" s="15" t="n">
        <v>0.3503</v>
      </c>
      <c r="L157" s="15" t="n">
        <v>0.0756</v>
      </c>
      <c r="M157" s="29" t="n">
        <v>46</v>
      </c>
    </row>
    <row r="158" customFormat="false" ht="15" hidden="false" customHeight="false" outlineLevel="0" collapsed="false">
      <c r="A158" s="24" t="n">
        <v>10539</v>
      </c>
      <c r="B158" s="8" t="s">
        <v>159</v>
      </c>
      <c r="C158" s="25" t="n">
        <v>3</v>
      </c>
      <c r="D158" s="25" t="n">
        <v>3</v>
      </c>
      <c r="E158" s="10" t="n">
        <v>0</v>
      </c>
      <c r="F158" s="10" t="n">
        <v>1434.82</v>
      </c>
      <c r="G158" s="10" t="n">
        <v>1434.82</v>
      </c>
      <c r="H158" s="10" t="n">
        <v>1677.57</v>
      </c>
      <c r="I158" s="10" t="n">
        <v>-242.75</v>
      </c>
      <c r="J158" s="10" t="n">
        <v>-643.2</v>
      </c>
      <c r="K158" s="11" t="n">
        <v>-0.1692</v>
      </c>
      <c r="L158" s="11" t="n">
        <v>-0.4483</v>
      </c>
      <c r="M158" s="26" t="n">
        <v>28</v>
      </c>
    </row>
    <row r="159" customFormat="false" ht="15" hidden="false" customHeight="false" outlineLevel="0" collapsed="false">
      <c r="A159" s="27" t="n">
        <v>10544</v>
      </c>
      <c r="B159" s="12" t="s">
        <v>160</v>
      </c>
      <c r="C159" s="28" t="n">
        <v>20</v>
      </c>
      <c r="D159" s="28" t="n">
        <v>20</v>
      </c>
      <c r="E159" s="14" t="n">
        <v>0</v>
      </c>
      <c r="F159" s="14" t="n">
        <v>10008.4</v>
      </c>
      <c r="G159" s="14" t="n">
        <v>10008.4</v>
      </c>
      <c r="H159" s="14" t="n">
        <v>6770.66</v>
      </c>
      <c r="I159" s="14" t="n">
        <v>3237.74</v>
      </c>
      <c r="J159" s="14" t="n">
        <v>444.4</v>
      </c>
      <c r="K159" s="15" t="n">
        <v>0.3235</v>
      </c>
      <c r="L159" s="15" t="n">
        <v>0.0444</v>
      </c>
      <c r="M159" s="29" t="n">
        <v>28</v>
      </c>
    </row>
    <row r="160" customFormat="false" ht="15" hidden="false" customHeight="false" outlineLevel="0" collapsed="false">
      <c r="A160" s="24" t="n">
        <v>10554</v>
      </c>
      <c r="B160" s="8" t="s">
        <v>161</v>
      </c>
      <c r="C160" s="25" t="n">
        <v>24</v>
      </c>
      <c r="D160" s="25" t="n">
        <v>24</v>
      </c>
      <c r="E160" s="10" t="n">
        <v>0</v>
      </c>
      <c r="F160" s="10" t="n">
        <v>2463.36</v>
      </c>
      <c r="G160" s="10" t="n">
        <v>2463.36</v>
      </c>
      <c r="H160" s="10" t="n">
        <v>390.5002</v>
      </c>
      <c r="I160" s="10" t="n">
        <v>2072.86</v>
      </c>
      <c r="J160" s="10" t="n">
        <v>1396.12</v>
      </c>
      <c r="K160" s="11" t="n">
        <v>0.8415</v>
      </c>
      <c r="L160" s="11" t="n">
        <v>0.5668</v>
      </c>
      <c r="M160" s="26" t="n">
        <v>50</v>
      </c>
    </row>
    <row r="161" customFormat="false" ht="15" hidden="false" customHeight="false" outlineLevel="0" collapsed="false">
      <c r="A161" s="27" t="n">
        <v>10555</v>
      </c>
      <c r="B161" s="12" t="s">
        <v>162</v>
      </c>
      <c r="C161" s="28" t="n">
        <v>4</v>
      </c>
      <c r="D161" s="28" t="n">
        <v>4</v>
      </c>
      <c r="E161" s="14" t="n">
        <v>0</v>
      </c>
      <c r="F161" s="14" t="n">
        <v>1716.97</v>
      </c>
      <c r="G161" s="14" t="n">
        <v>1716.97</v>
      </c>
      <c r="H161" s="14" t="n">
        <v>680.8099</v>
      </c>
      <c r="I161" s="14" t="n">
        <v>1036.16</v>
      </c>
      <c r="J161" s="14" t="n">
        <v>627.56</v>
      </c>
      <c r="K161" s="15" t="n">
        <v>0.6035</v>
      </c>
      <c r="L161" s="15" t="n">
        <v>0.3655</v>
      </c>
      <c r="M161" s="29" t="n">
        <v>48.19</v>
      </c>
    </row>
    <row r="162" customFormat="false" ht="15" hidden="false" customHeight="false" outlineLevel="0" collapsed="false">
      <c r="A162" s="24" t="n">
        <v>10558</v>
      </c>
      <c r="B162" s="8" t="s">
        <v>268</v>
      </c>
      <c r="C162" s="25" t="n">
        <v>10</v>
      </c>
      <c r="D162" s="25" t="n">
        <v>10</v>
      </c>
      <c r="E162" s="10" t="n">
        <v>0</v>
      </c>
      <c r="F162" s="10" t="n">
        <v>2776.5</v>
      </c>
      <c r="G162" s="10" t="n">
        <v>2776.5</v>
      </c>
      <c r="H162" s="10" t="n">
        <v>469.86</v>
      </c>
      <c r="I162" s="10" t="n">
        <v>2306.64</v>
      </c>
      <c r="J162" s="10" t="n">
        <v>1966.24</v>
      </c>
      <c r="K162" s="11" t="n">
        <v>0.8308</v>
      </c>
      <c r="L162" s="11" t="n">
        <v>0.7082</v>
      </c>
      <c r="M162" s="26" t="n">
        <v>30</v>
      </c>
    </row>
    <row r="163" customFormat="false" ht="15" hidden="false" customHeight="false" outlineLevel="0" collapsed="false">
      <c r="A163" s="27" t="n">
        <v>10560</v>
      </c>
      <c r="B163" s="12" t="s">
        <v>158</v>
      </c>
      <c r="C163" s="28" t="n">
        <v>94</v>
      </c>
      <c r="D163" s="28" t="n">
        <v>94</v>
      </c>
      <c r="E163" s="14" t="n">
        <v>0</v>
      </c>
      <c r="F163" s="14" t="n">
        <v>19360.87</v>
      </c>
      <c r="G163" s="14" t="n">
        <v>19360.87</v>
      </c>
      <c r="H163" s="14" t="n">
        <v>9628.2698</v>
      </c>
      <c r="I163" s="14" t="n">
        <v>9732.6</v>
      </c>
      <c r="J163" s="14" t="n">
        <v>4413.76</v>
      </c>
      <c r="K163" s="15" t="n">
        <v>0.5027</v>
      </c>
      <c r="L163" s="15" t="n">
        <v>0.228</v>
      </c>
      <c r="M163" s="29" t="n">
        <v>49.14</v>
      </c>
    </row>
    <row r="164" customFormat="false" ht="15" hidden="false" customHeight="false" outlineLevel="0" collapsed="false">
      <c r="A164" s="24" t="n">
        <v>10563</v>
      </c>
      <c r="B164" s="8" t="s">
        <v>269</v>
      </c>
      <c r="C164" s="25" t="n">
        <v>10</v>
      </c>
      <c r="D164" s="25" t="n">
        <v>10</v>
      </c>
      <c r="E164" s="10" t="n">
        <v>0</v>
      </c>
      <c r="F164" s="10" t="n">
        <v>2333.55</v>
      </c>
      <c r="G164" s="10" t="n">
        <v>2333.55</v>
      </c>
      <c r="H164" s="10" t="n">
        <v>1036.68</v>
      </c>
      <c r="I164" s="10" t="n">
        <v>1296.87</v>
      </c>
      <c r="J164" s="10" t="n">
        <v>655.8</v>
      </c>
      <c r="K164" s="11" t="n">
        <v>0.5557</v>
      </c>
      <c r="L164" s="11" t="n">
        <v>0.281</v>
      </c>
      <c r="M164" s="26" t="n">
        <v>60</v>
      </c>
    </row>
    <row r="165" customFormat="false" ht="15" hidden="false" customHeight="false" outlineLevel="0" collapsed="false">
      <c r="A165" s="27" t="n">
        <v>10564</v>
      </c>
      <c r="B165" s="12" t="s">
        <v>163</v>
      </c>
      <c r="C165" s="28" t="n">
        <v>10</v>
      </c>
      <c r="D165" s="28" t="n">
        <v>10</v>
      </c>
      <c r="E165" s="14" t="n">
        <v>0</v>
      </c>
      <c r="F165" s="14" t="n">
        <v>1064.5</v>
      </c>
      <c r="G165" s="14" t="n">
        <v>1064.5</v>
      </c>
      <c r="H165" s="14" t="n">
        <v>921.98</v>
      </c>
      <c r="I165" s="14" t="n">
        <v>142.52</v>
      </c>
      <c r="J165" s="14" t="n">
        <v>-98.64</v>
      </c>
      <c r="K165" s="15" t="n">
        <v>0.1339</v>
      </c>
      <c r="L165" s="15" t="n">
        <v>-0.0927</v>
      </c>
      <c r="M165" s="29" t="n">
        <v>50</v>
      </c>
    </row>
    <row r="166" customFormat="false" ht="15" hidden="false" customHeight="false" outlineLevel="0" collapsed="false">
      <c r="A166" s="24" t="n">
        <v>10567</v>
      </c>
      <c r="B166" s="8" t="s">
        <v>164</v>
      </c>
      <c r="C166" s="25" t="n">
        <v>4</v>
      </c>
      <c r="D166" s="25" t="n">
        <v>4</v>
      </c>
      <c r="E166" s="10" t="n">
        <v>0</v>
      </c>
      <c r="F166" s="10" t="n">
        <v>156.54</v>
      </c>
      <c r="G166" s="10" t="n">
        <v>156.54</v>
      </c>
      <c r="H166" s="10" t="n">
        <v>77.24</v>
      </c>
      <c r="I166" s="10" t="n">
        <v>79.3</v>
      </c>
      <c r="J166" s="10" t="n">
        <v>35.61</v>
      </c>
      <c r="K166" s="11" t="n">
        <v>0.5066</v>
      </c>
      <c r="L166" s="11" t="n">
        <v>0.2275</v>
      </c>
      <c r="M166" s="26" t="n">
        <v>28</v>
      </c>
    </row>
    <row r="167" customFormat="false" ht="15" hidden="false" customHeight="false" outlineLevel="0" collapsed="false">
      <c r="A167" s="27" t="n">
        <v>10570</v>
      </c>
      <c r="B167" s="12" t="s">
        <v>323</v>
      </c>
      <c r="C167" s="28" t="n">
        <v>200</v>
      </c>
      <c r="D167" s="28" t="n">
        <v>200</v>
      </c>
      <c r="E167" s="14" t="n">
        <v>0</v>
      </c>
      <c r="F167" s="14" t="n">
        <v>6160</v>
      </c>
      <c r="G167" s="14" t="n">
        <v>6160</v>
      </c>
      <c r="H167" s="14" t="n">
        <v>2913.76</v>
      </c>
      <c r="I167" s="14" t="n">
        <v>3246.24</v>
      </c>
      <c r="J167" s="14" t="n">
        <v>1553.96</v>
      </c>
      <c r="K167" s="15" t="n">
        <v>0.527</v>
      </c>
      <c r="L167" s="15" t="n">
        <v>0.2523</v>
      </c>
      <c r="M167" s="29" t="n">
        <v>60</v>
      </c>
    </row>
    <row r="168" customFormat="false" ht="15" hidden="false" customHeight="false" outlineLevel="0" collapsed="false">
      <c r="A168" s="24" t="n">
        <v>10571</v>
      </c>
      <c r="B168" s="8" t="s">
        <v>270</v>
      </c>
      <c r="C168" s="25" t="n">
        <v>6</v>
      </c>
      <c r="D168" s="25" t="n">
        <v>6</v>
      </c>
      <c r="E168" s="10" t="n">
        <v>0</v>
      </c>
      <c r="F168" s="10" t="n">
        <v>2745.12</v>
      </c>
      <c r="G168" s="10" t="n">
        <v>2745.12</v>
      </c>
      <c r="H168" s="10" t="n">
        <v>797.1702</v>
      </c>
      <c r="I168" s="10" t="n">
        <v>1947.95</v>
      </c>
      <c r="J168" s="10" t="n">
        <v>1611.4</v>
      </c>
      <c r="K168" s="11" t="n">
        <v>0.7096</v>
      </c>
      <c r="L168" s="11" t="n">
        <v>0.587</v>
      </c>
      <c r="M168" s="26" t="n">
        <v>60</v>
      </c>
    </row>
    <row r="169" customFormat="false" ht="15" hidden="false" customHeight="false" outlineLevel="0" collapsed="false">
      <c r="A169" s="27" t="n">
        <v>10576</v>
      </c>
      <c r="B169" s="12" t="s">
        <v>165</v>
      </c>
      <c r="C169" s="28" t="n">
        <v>40</v>
      </c>
      <c r="D169" s="28" t="n">
        <v>40</v>
      </c>
      <c r="E169" s="14" t="n">
        <v>0</v>
      </c>
      <c r="F169" s="14" t="n">
        <v>820</v>
      </c>
      <c r="G169" s="14" t="n">
        <v>820</v>
      </c>
      <c r="H169" s="14" t="n">
        <v>517.99</v>
      </c>
      <c r="I169" s="14" t="n">
        <v>302.01</v>
      </c>
      <c r="J169" s="14" t="n">
        <v>73.15</v>
      </c>
      <c r="K169" s="15" t="n">
        <v>0.3683</v>
      </c>
      <c r="L169" s="15" t="n">
        <v>0.0892</v>
      </c>
      <c r="M169" s="29" t="n">
        <v>45</v>
      </c>
    </row>
    <row r="170" customFormat="false" ht="15" hidden="false" customHeight="false" outlineLevel="0" collapsed="false">
      <c r="A170" s="24" t="n">
        <v>10585</v>
      </c>
      <c r="B170" s="8" t="s">
        <v>166</v>
      </c>
      <c r="C170" s="25" t="n">
        <v>10</v>
      </c>
      <c r="D170" s="25" t="n">
        <v>10</v>
      </c>
      <c r="E170" s="10" t="n">
        <v>0</v>
      </c>
      <c r="F170" s="10" t="n">
        <v>4622</v>
      </c>
      <c r="G170" s="10" t="n">
        <v>4622</v>
      </c>
      <c r="H170" s="10" t="n">
        <v>1593.6099</v>
      </c>
      <c r="I170" s="10" t="n">
        <v>3028.39</v>
      </c>
      <c r="J170" s="10" t="n">
        <v>1747.98</v>
      </c>
      <c r="K170" s="11" t="n">
        <v>0.6552</v>
      </c>
      <c r="L170" s="11" t="n">
        <v>0.3782</v>
      </c>
      <c r="M170" s="26" t="n">
        <v>34.51</v>
      </c>
    </row>
    <row r="171" customFormat="false" ht="15" hidden="false" customHeight="false" outlineLevel="0" collapsed="false">
      <c r="A171" s="27" t="n">
        <v>10588</v>
      </c>
      <c r="B171" s="12" t="s">
        <v>271</v>
      </c>
      <c r="C171" s="28" t="n">
        <v>11</v>
      </c>
      <c r="D171" s="28" t="n">
        <v>11</v>
      </c>
      <c r="E171" s="14" t="n">
        <v>0</v>
      </c>
      <c r="F171" s="14" t="n">
        <v>239.8</v>
      </c>
      <c r="G171" s="14" t="n">
        <v>239.8</v>
      </c>
      <c r="H171" s="14" t="n">
        <v>27.16</v>
      </c>
      <c r="I171" s="14" t="n">
        <v>212.64</v>
      </c>
      <c r="J171" s="14" t="n">
        <v>145.73</v>
      </c>
      <c r="K171" s="15" t="n">
        <v>0.8867</v>
      </c>
      <c r="L171" s="15" t="n">
        <v>0.6077</v>
      </c>
      <c r="M171" s="29" t="n">
        <v>50</v>
      </c>
    </row>
    <row r="172" customFormat="false" ht="15" hidden="false" customHeight="false" outlineLevel="0" collapsed="false">
      <c r="A172" s="24" t="n">
        <v>10589</v>
      </c>
      <c r="B172" s="8" t="s">
        <v>391</v>
      </c>
      <c r="C172" s="25" t="n">
        <v>432</v>
      </c>
      <c r="D172" s="25" t="n">
        <v>432</v>
      </c>
      <c r="E172" s="10" t="n">
        <v>0</v>
      </c>
      <c r="F172" s="10" t="n">
        <v>6445.44</v>
      </c>
      <c r="G172" s="10" t="n">
        <v>6445.44</v>
      </c>
      <c r="H172" s="10" t="n">
        <v>3679.5492</v>
      </c>
      <c r="I172" s="10" t="n">
        <v>2765.89</v>
      </c>
      <c r="J172" s="10" t="n">
        <v>995.2</v>
      </c>
      <c r="K172" s="11" t="n">
        <v>0.4291</v>
      </c>
      <c r="L172" s="11" t="n">
        <v>0.1544</v>
      </c>
      <c r="M172" s="26" t="n">
        <v>60</v>
      </c>
    </row>
    <row r="173" customFormat="false" ht="15" hidden="false" customHeight="false" outlineLevel="0" collapsed="false">
      <c r="A173" s="27" t="n">
        <v>10590</v>
      </c>
      <c r="B173" s="12" t="s">
        <v>392</v>
      </c>
      <c r="C173" s="28" t="n">
        <v>330</v>
      </c>
      <c r="D173" s="28" t="n">
        <v>330</v>
      </c>
      <c r="E173" s="14" t="n">
        <v>0</v>
      </c>
      <c r="F173" s="14" t="n">
        <v>6897</v>
      </c>
      <c r="G173" s="14" t="n">
        <v>6897</v>
      </c>
      <c r="H173" s="14" t="n">
        <v>3543.624</v>
      </c>
      <c r="I173" s="14" t="n">
        <v>3353.38</v>
      </c>
      <c r="J173" s="14" t="n">
        <v>1458.63</v>
      </c>
      <c r="K173" s="15" t="n">
        <v>0.4862</v>
      </c>
      <c r="L173" s="15" t="n">
        <v>0.2115</v>
      </c>
      <c r="M173" s="29" t="n">
        <v>60</v>
      </c>
    </row>
    <row r="174" customFormat="false" ht="15" hidden="false" customHeight="false" outlineLevel="0" collapsed="false">
      <c r="A174" s="24" t="n">
        <v>10592</v>
      </c>
      <c r="B174" s="8" t="s">
        <v>167</v>
      </c>
      <c r="C174" s="25" t="n">
        <v>20</v>
      </c>
      <c r="D174" s="25" t="n">
        <v>20</v>
      </c>
      <c r="E174" s="10" t="n">
        <v>0</v>
      </c>
      <c r="F174" s="10" t="n">
        <v>17314.71</v>
      </c>
      <c r="G174" s="10" t="n">
        <v>17314.71</v>
      </c>
      <c r="H174" s="10" t="n">
        <v>5392.39</v>
      </c>
      <c r="I174" s="10" t="n">
        <v>11922.32</v>
      </c>
      <c r="J174" s="10" t="n">
        <v>8303.14</v>
      </c>
      <c r="K174" s="11" t="n">
        <v>0.6886</v>
      </c>
      <c r="L174" s="11" t="n">
        <v>0.4795</v>
      </c>
      <c r="M174" s="26" t="n">
        <v>41.36</v>
      </c>
    </row>
    <row r="175" customFormat="false" ht="15" hidden="false" customHeight="false" outlineLevel="0" collapsed="false">
      <c r="A175" s="27" t="n">
        <v>10595</v>
      </c>
      <c r="B175" s="12" t="s">
        <v>168</v>
      </c>
      <c r="C175" s="28" t="n">
        <v>10</v>
      </c>
      <c r="D175" s="28" t="n">
        <v>10</v>
      </c>
      <c r="E175" s="14" t="n">
        <v>0</v>
      </c>
      <c r="F175" s="14" t="n">
        <v>2639.8</v>
      </c>
      <c r="G175" s="14" t="n">
        <v>2639.8</v>
      </c>
      <c r="H175" s="14" t="n">
        <v>770.36</v>
      </c>
      <c r="I175" s="14" t="n">
        <v>1869.44</v>
      </c>
      <c r="J175" s="14" t="n">
        <v>1132.68</v>
      </c>
      <c r="K175" s="15" t="n">
        <v>0.7082</v>
      </c>
      <c r="L175" s="15" t="n">
        <v>0.4291</v>
      </c>
      <c r="M175" s="29" t="n">
        <v>50</v>
      </c>
    </row>
    <row r="176" customFormat="false" ht="15" hidden="false" customHeight="false" outlineLevel="0" collapsed="false">
      <c r="A176" s="24" t="n">
        <v>10597</v>
      </c>
      <c r="B176" s="8" t="s">
        <v>87</v>
      </c>
      <c r="C176" s="25" t="n">
        <v>10</v>
      </c>
      <c r="D176" s="25" t="n">
        <v>10</v>
      </c>
      <c r="E176" s="10" t="n">
        <v>0</v>
      </c>
      <c r="F176" s="10" t="n">
        <v>1305.7</v>
      </c>
      <c r="G176" s="10" t="n">
        <v>1305.7</v>
      </c>
      <c r="H176" s="10" t="n">
        <v>716.74</v>
      </c>
      <c r="I176" s="10" t="n">
        <v>588.96</v>
      </c>
      <c r="J176" s="10" t="n">
        <v>230.26</v>
      </c>
      <c r="K176" s="11" t="n">
        <v>0.4511</v>
      </c>
      <c r="L176" s="11" t="n">
        <v>0.1763</v>
      </c>
      <c r="M176" s="26" t="n">
        <v>31</v>
      </c>
    </row>
    <row r="177" customFormat="false" ht="15" hidden="false" customHeight="false" outlineLevel="0" collapsed="false">
      <c r="A177" s="27" t="n">
        <v>10601</v>
      </c>
      <c r="B177" s="12" t="s">
        <v>169</v>
      </c>
      <c r="C177" s="28" t="n">
        <v>22</v>
      </c>
      <c r="D177" s="28" t="n">
        <v>22</v>
      </c>
      <c r="E177" s="14" t="n">
        <v>0</v>
      </c>
      <c r="F177" s="14" t="n">
        <v>1716.28</v>
      </c>
      <c r="G177" s="14" t="n">
        <v>1716.28</v>
      </c>
      <c r="H177" s="14" t="n">
        <v>474.1698</v>
      </c>
      <c r="I177" s="14" t="n">
        <v>1242.11</v>
      </c>
      <c r="J177" s="14" t="n">
        <v>834.16</v>
      </c>
      <c r="K177" s="15" t="n">
        <v>0.7237</v>
      </c>
      <c r="L177" s="15" t="n">
        <v>0.486</v>
      </c>
      <c r="M177" s="29" t="n">
        <v>37.6</v>
      </c>
    </row>
    <row r="178" customFormat="false" ht="15" hidden="false" customHeight="false" outlineLevel="0" collapsed="false">
      <c r="A178" s="24" t="n">
        <v>10602</v>
      </c>
      <c r="B178" s="8" t="s">
        <v>369</v>
      </c>
      <c r="C178" s="25" t="n">
        <v>20</v>
      </c>
      <c r="D178" s="25" t="n">
        <v>20</v>
      </c>
      <c r="E178" s="10" t="n">
        <v>0</v>
      </c>
      <c r="F178" s="10" t="n">
        <v>470</v>
      </c>
      <c r="G178" s="10" t="n">
        <v>470</v>
      </c>
      <c r="H178" s="10" t="n">
        <v>217.42</v>
      </c>
      <c r="I178" s="10" t="n">
        <v>252.58</v>
      </c>
      <c r="J178" s="10" t="n">
        <v>121.4</v>
      </c>
      <c r="K178" s="11" t="n">
        <v>0.5374</v>
      </c>
      <c r="L178" s="11" t="n">
        <v>0.2583</v>
      </c>
      <c r="M178" s="26" t="n">
        <v>45</v>
      </c>
    </row>
    <row r="179" customFormat="false" ht="15" hidden="false" customHeight="false" outlineLevel="0" collapsed="false">
      <c r="A179" s="27" t="n">
        <v>10603</v>
      </c>
      <c r="B179" s="12" t="s">
        <v>272</v>
      </c>
      <c r="C179" s="28" t="n">
        <v>10</v>
      </c>
      <c r="D179" s="28" t="n">
        <v>10</v>
      </c>
      <c r="E179" s="14" t="n">
        <v>0</v>
      </c>
      <c r="F179" s="14" t="n">
        <v>1877</v>
      </c>
      <c r="G179" s="14" t="n">
        <v>1877</v>
      </c>
      <c r="H179" s="14" t="n">
        <v>1122.49</v>
      </c>
      <c r="I179" s="14" t="n">
        <v>754.51</v>
      </c>
      <c r="J179" s="14" t="n">
        <v>238.87</v>
      </c>
      <c r="K179" s="15" t="n">
        <v>0.402</v>
      </c>
      <c r="L179" s="15" t="n">
        <v>0.1273</v>
      </c>
      <c r="M179" s="29" t="n">
        <v>45</v>
      </c>
    </row>
    <row r="180" customFormat="false" ht="15" hidden="false" customHeight="false" outlineLevel="0" collapsed="false">
      <c r="A180" s="24" t="n">
        <v>10604</v>
      </c>
      <c r="B180" s="8" t="s">
        <v>158</v>
      </c>
      <c r="C180" s="25" t="n">
        <v>20</v>
      </c>
      <c r="D180" s="25" t="n">
        <v>20</v>
      </c>
      <c r="E180" s="10" t="n">
        <v>0</v>
      </c>
      <c r="F180" s="10" t="n">
        <v>4024</v>
      </c>
      <c r="G180" s="10" t="n">
        <v>4024</v>
      </c>
      <c r="H180" s="10" t="n">
        <v>2415.65</v>
      </c>
      <c r="I180" s="10" t="n">
        <v>1608.35</v>
      </c>
      <c r="J180" s="10" t="n">
        <v>1115.01</v>
      </c>
      <c r="K180" s="11" t="n">
        <v>0.3997</v>
      </c>
      <c r="L180" s="11" t="n">
        <v>0.2771</v>
      </c>
      <c r="M180" s="26" t="n">
        <v>30</v>
      </c>
    </row>
    <row r="181" customFormat="false" ht="15" hidden="false" customHeight="false" outlineLevel="0" collapsed="false">
      <c r="A181" s="27" t="n">
        <v>10611</v>
      </c>
      <c r="B181" s="12" t="s">
        <v>370</v>
      </c>
      <c r="C181" s="28" t="n">
        <v>8000</v>
      </c>
      <c r="D181" s="28" t="n">
        <v>8000</v>
      </c>
      <c r="E181" s="14" t="n">
        <v>0</v>
      </c>
      <c r="F181" s="14" t="n">
        <v>2240</v>
      </c>
      <c r="G181" s="14" t="n">
        <v>2240</v>
      </c>
      <c r="H181" s="14" t="n">
        <v>428.8</v>
      </c>
      <c r="I181" s="14" t="n">
        <v>1811.2</v>
      </c>
      <c r="J181" s="14" t="n">
        <v>1195.82</v>
      </c>
      <c r="K181" s="15" t="n">
        <v>0.8086</v>
      </c>
      <c r="L181" s="15" t="n">
        <v>0.5338</v>
      </c>
      <c r="M181" s="29" t="n">
        <v>60</v>
      </c>
    </row>
    <row r="182" customFormat="false" ht="15" hidden="false" customHeight="false" outlineLevel="0" collapsed="false">
      <c r="A182" s="24" t="n">
        <v>10615</v>
      </c>
      <c r="B182" s="8" t="s">
        <v>171</v>
      </c>
      <c r="C182" s="25" t="n">
        <v>92</v>
      </c>
      <c r="D182" s="25" t="n">
        <v>92</v>
      </c>
      <c r="E182" s="10" t="n">
        <v>0</v>
      </c>
      <c r="F182" s="10" t="n">
        <v>14985.6</v>
      </c>
      <c r="G182" s="10" t="n">
        <v>14985.6</v>
      </c>
      <c r="H182" s="10" t="n">
        <v>8995.5999</v>
      </c>
      <c r="I182" s="10" t="n">
        <v>5990</v>
      </c>
      <c r="J182" s="10" t="n">
        <v>2491.7</v>
      </c>
      <c r="K182" s="11" t="n">
        <v>0.3997</v>
      </c>
      <c r="L182" s="11" t="n">
        <v>0.1663</v>
      </c>
      <c r="M182" s="26" t="n">
        <v>44.57</v>
      </c>
    </row>
    <row r="183" customFormat="false" ht="15" hidden="false" customHeight="false" outlineLevel="0" collapsed="false">
      <c r="A183" s="27" t="n">
        <v>10616</v>
      </c>
      <c r="B183" s="12" t="s">
        <v>172</v>
      </c>
      <c r="C183" s="28" t="n">
        <v>313</v>
      </c>
      <c r="D183" s="28" t="n">
        <v>313</v>
      </c>
      <c r="E183" s="14" t="n">
        <v>0</v>
      </c>
      <c r="F183" s="14" t="n">
        <v>68608.61</v>
      </c>
      <c r="G183" s="14" t="n">
        <v>68608.61</v>
      </c>
      <c r="H183" s="14" t="n">
        <v>30340.8123</v>
      </c>
      <c r="I183" s="14" t="n">
        <v>38267.8</v>
      </c>
      <c r="J183" s="14" t="n">
        <v>19566.21</v>
      </c>
      <c r="K183" s="15" t="n">
        <v>0.5578</v>
      </c>
      <c r="L183" s="15" t="n">
        <v>0.2852</v>
      </c>
      <c r="M183" s="29" t="n">
        <v>50</v>
      </c>
    </row>
    <row r="184" customFormat="false" ht="15" hidden="false" customHeight="false" outlineLevel="0" collapsed="false">
      <c r="A184" s="24" t="n">
        <v>10617</v>
      </c>
      <c r="B184" s="8" t="s">
        <v>173</v>
      </c>
      <c r="C184" s="25" t="n">
        <v>271</v>
      </c>
      <c r="D184" s="25" t="n">
        <v>271</v>
      </c>
      <c r="E184" s="10" t="n">
        <v>0</v>
      </c>
      <c r="F184" s="10" t="n">
        <v>29040.36</v>
      </c>
      <c r="G184" s="10" t="n">
        <v>29040.36</v>
      </c>
      <c r="H184" s="10" t="n">
        <v>9096.4925</v>
      </c>
      <c r="I184" s="10" t="n">
        <v>19943.87</v>
      </c>
      <c r="J184" s="10" t="n">
        <v>11839.2</v>
      </c>
      <c r="K184" s="11" t="n">
        <v>0.6868</v>
      </c>
      <c r="L184" s="11" t="n">
        <v>0.4077</v>
      </c>
      <c r="M184" s="26" t="n">
        <v>50</v>
      </c>
    </row>
    <row r="185" customFormat="false" ht="15" hidden="false" customHeight="false" outlineLevel="0" collapsed="false">
      <c r="A185" s="27" t="n">
        <v>10620</v>
      </c>
      <c r="B185" s="12" t="s">
        <v>174</v>
      </c>
      <c r="C185" s="28" t="n">
        <v>120</v>
      </c>
      <c r="D185" s="28" t="n">
        <v>120</v>
      </c>
      <c r="E185" s="14" t="n">
        <v>0</v>
      </c>
      <c r="F185" s="14" t="n">
        <v>9546</v>
      </c>
      <c r="G185" s="14" t="n">
        <v>9546</v>
      </c>
      <c r="H185" s="14" t="n">
        <v>4466.9685</v>
      </c>
      <c r="I185" s="14" t="n">
        <v>5079.03</v>
      </c>
      <c r="J185" s="14" t="n">
        <v>2456.56</v>
      </c>
      <c r="K185" s="15" t="n">
        <v>0.5321</v>
      </c>
      <c r="L185" s="15" t="n">
        <v>0.2573</v>
      </c>
      <c r="M185" s="29" t="n">
        <v>50</v>
      </c>
    </row>
    <row r="186" customFormat="false" ht="15" hidden="false" customHeight="false" outlineLevel="0" collapsed="false">
      <c r="A186" s="24" t="n">
        <v>10621</v>
      </c>
      <c r="B186" s="8" t="s">
        <v>175</v>
      </c>
      <c r="C186" s="25" t="n">
        <v>10</v>
      </c>
      <c r="D186" s="25" t="n">
        <v>10</v>
      </c>
      <c r="E186" s="10" t="n">
        <v>0</v>
      </c>
      <c r="F186" s="10" t="n">
        <v>5440.2</v>
      </c>
      <c r="G186" s="10" t="n">
        <v>5440.2</v>
      </c>
      <c r="H186" s="10" t="n">
        <v>580.83</v>
      </c>
      <c r="I186" s="10" t="n">
        <v>4859.37</v>
      </c>
      <c r="J186" s="10" t="n">
        <v>4192.4</v>
      </c>
      <c r="K186" s="11" t="n">
        <v>0.8932</v>
      </c>
      <c r="L186" s="11" t="n">
        <v>0.7706</v>
      </c>
      <c r="M186" s="26" t="n">
        <v>30</v>
      </c>
    </row>
    <row r="187" customFormat="false" ht="15" hidden="false" customHeight="false" outlineLevel="0" collapsed="false">
      <c r="A187" s="27" t="n">
        <v>10624</v>
      </c>
      <c r="B187" s="12" t="s">
        <v>176</v>
      </c>
      <c r="C187" s="28" t="n">
        <v>13</v>
      </c>
      <c r="D187" s="28" t="n">
        <v>13</v>
      </c>
      <c r="E187" s="14" t="n">
        <v>0</v>
      </c>
      <c r="F187" s="14" t="n">
        <v>155486.32</v>
      </c>
      <c r="G187" s="14" t="n">
        <v>155486.32</v>
      </c>
      <c r="H187" s="14" t="n">
        <v>92552.82</v>
      </c>
      <c r="I187" s="14" t="n">
        <v>62933.5</v>
      </c>
      <c r="J187" s="14" t="n">
        <v>20218.3</v>
      </c>
      <c r="K187" s="15" t="n">
        <v>0.4048</v>
      </c>
      <c r="L187" s="15" t="n">
        <v>0.13</v>
      </c>
      <c r="M187" s="29" t="n">
        <v>45</v>
      </c>
    </row>
    <row r="188" customFormat="false" ht="15" hidden="false" customHeight="false" outlineLevel="0" collapsed="false">
      <c r="A188" s="24" t="n">
        <v>10627</v>
      </c>
      <c r="B188" s="8" t="s">
        <v>178</v>
      </c>
      <c r="C188" s="25" t="n">
        <v>130</v>
      </c>
      <c r="D188" s="25" t="n">
        <v>130</v>
      </c>
      <c r="E188" s="10" t="n">
        <v>0</v>
      </c>
      <c r="F188" s="10" t="n">
        <v>3676.4</v>
      </c>
      <c r="G188" s="10" t="n">
        <v>3676.4</v>
      </c>
      <c r="H188" s="10" t="n">
        <v>976.311</v>
      </c>
      <c r="I188" s="10" t="n">
        <v>2700.09</v>
      </c>
      <c r="J188" s="10" t="n">
        <v>1690.09</v>
      </c>
      <c r="K188" s="11" t="n">
        <v>0.7344</v>
      </c>
      <c r="L188" s="11" t="n">
        <v>0.4597</v>
      </c>
      <c r="M188" s="26" t="n">
        <v>50</v>
      </c>
    </row>
    <row r="189" customFormat="false" ht="15" hidden="false" customHeight="false" outlineLevel="0" collapsed="false">
      <c r="A189" s="27" t="n">
        <v>10628</v>
      </c>
      <c r="B189" s="12" t="s">
        <v>179</v>
      </c>
      <c r="C189" s="28" t="n">
        <v>28</v>
      </c>
      <c r="D189" s="28" t="n">
        <v>28</v>
      </c>
      <c r="E189" s="14" t="n">
        <v>0</v>
      </c>
      <c r="F189" s="14" t="n">
        <v>2563.68</v>
      </c>
      <c r="G189" s="14" t="n">
        <v>2563.68</v>
      </c>
      <c r="H189" s="14" t="n">
        <v>1112.67</v>
      </c>
      <c r="I189" s="14" t="n">
        <v>1451.01</v>
      </c>
      <c r="J189" s="14" t="n">
        <v>746.73</v>
      </c>
      <c r="K189" s="15" t="n">
        <v>0.566</v>
      </c>
      <c r="L189" s="15" t="n">
        <v>0.2913</v>
      </c>
      <c r="M189" s="29" t="n">
        <v>50</v>
      </c>
    </row>
    <row r="190" customFormat="false" ht="15" hidden="false" customHeight="false" outlineLevel="0" collapsed="false">
      <c r="A190" s="24" t="n">
        <v>10636</v>
      </c>
      <c r="B190" s="8" t="s">
        <v>273</v>
      </c>
      <c r="C190" s="25" t="n">
        <v>51</v>
      </c>
      <c r="D190" s="25" t="n">
        <v>51</v>
      </c>
      <c r="E190" s="10" t="n">
        <v>0</v>
      </c>
      <c r="F190" s="10" t="n">
        <v>2108.85</v>
      </c>
      <c r="G190" s="10" t="n">
        <v>2108.85</v>
      </c>
      <c r="H190" s="10" t="n">
        <v>511.55</v>
      </c>
      <c r="I190" s="10" t="n">
        <v>1597.3</v>
      </c>
      <c r="J190" s="10" t="n">
        <v>1008.72</v>
      </c>
      <c r="K190" s="11" t="n">
        <v>0.7574</v>
      </c>
      <c r="L190" s="11" t="n">
        <v>0.4783</v>
      </c>
      <c r="M190" s="26" t="n">
        <v>50</v>
      </c>
    </row>
    <row r="191" customFormat="false" ht="15" hidden="false" customHeight="false" outlineLevel="0" collapsed="false">
      <c r="A191" s="27" t="n">
        <v>10637</v>
      </c>
      <c r="B191" s="12" t="s">
        <v>180</v>
      </c>
      <c r="C191" s="28" t="n">
        <v>101</v>
      </c>
      <c r="D191" s="28" t="n">
        <v>101</v>
      </c>
      <c r="E191" s="14" t="n">
        <v>0</v>
      </c>
      <c r="F191" s="14" t="n">
        <v>95648.2</v>
      </c>
      <c r="G191" s="14" t="n">
        <v>95648.2</v>
      </c>
      <c r="H191" s="14" t="n">
        <v>30196.3428</v>
      </c>
      <c r="I191" s="14" t="n">
        <v>65451.86</v>
      </c>
      <c r="J191" s="14" t="n">
        <v>38756.44</v>
      </c>
      <c r="K191" s="15" t="n">
        <v>0.6843</v>
      </c>
      <c r="L191" s="15" t="n">
        <v>0.4052</v>
      </c>
      <c r="M191" s="29" t="n">
        <v>45</v>
      </c>
    </row>
    <row r="192" customFormat="false" ht="15" hidden="false" customHeight="false" outlineLevel="0" collapsed="false">
      <c r="A192" s="24" t="n">
        <v>10645</v>
      </c>
      <c r="B192" s="8" t="s">
        <v>327</v>
      </c>
      <c r="C192" s="25" t="n">
        <v>10</v>
      </c>
      <c r="D192" s="25" t="n">
        <v>10</v>
      </c>
      <c r="E192" s="10" t="n">
        <v>0</v>
      </c>
      <c r="F192" s="10" t="n">
        <v>1535.6</v>
      </c>
      <c r="G192" s="10" t="n">
        <v>1535.6</v>
      </c>
      <c r="H192" s="10" t="n">
        <v>972.23</v>
      </c>
      <c r="I192" s="10" t="n">
        <v>563.37</v>
      </c>
      <c r="J192" s="10" t="n">
        <v>30.54</v>
      </c>
      <c r="K192" s="11" t="n">
        <v>0.3669</v>
      </c>
      <c r="L192" s="11" t="n">
        <v>0.0199</v>
      </c>
      <c r="M192" s="26" t="n">
        <v>60</v>
      </c>
    </row>
    <row r="193" customFormat="false" ht="15" hidden="false" customHeight="false" outlineLevel="0" collapsed="false">
      <c r="A193" s="27" t="n">
        <v>10665</v>
      </c>
      <c r="B193" s="12" t="s">
        <v>274</v>
      </c>
      <c r="C193" s="28" t="n">
        <v>40</v>
      </c>
      <c r="D193" s="28" t="n">
        <v>40</v>
      </c>
      <c r="E193" s="14" t="n">
        <v>0</v>
      </c>
      <c r="F193" s="14" t="n">
        <v>5919.8</v>
      </c>
      <c r="G193" s="14" t="n">
        <v>5919.8</v>
      </c>
      <c r="H193" s="14" t="n">
        <v>3820.5</v>
      </c>
      <c r="I193" s="14" t="n">
        <v>2099.3</v>
      </c>
      <c r="J193" s="14" t="n">
        <v>473.01</v>
      </c>
      <c r="K193" s="15" t="n">
        <v>0.3546</v>
      </c>
      <c r="L193" s="15" t="n">
        <v>0.0799</v>
      </c>
      <c r="M193" s="29" t="n">
        <v>50</v>
      </c>
    </row>
    <row r="194" customFormat="false" ht="15" hidden="false" customHeight="false" outlineLevel="0" collapsed="false">
      <c r="A194" s="24" t="n">
        <v>10674</v>
      </c>
      <c r="B194" s="8" t="s">
        <v>184</v>
      </c>
      <c r="C194" s="25" t="n">
        <v>171</v>
      </c>
      <c r="D194" s="25" t="n">
        <v>171</v>
      </c>
      <c r="E194" s="10" t="n">
        <v>0</v>
      </c>
      <c r="F194" s="10" t="n">
        <v>21462.45</v>
      </c>
      <c r="G194" s="10" t="n">
        <v>21462.45</v>
      </c>
      <c r="H194" s="10" t="n">
        <v>16205.09</v>
      </c>
      <c r="I194" s="10" t="n">
        <v>5257.36</v>
      </c>
      <c r="J194" s="10" t="n">
        <v>-638.8</v>
      </c>
      <c r="K194" s="11" t="n">
        <v>0.245</v>
      </c>
      <c r="L194" s="11" t="n">
        <v>-0.0298</v>
      </c>
      <c r="M194" s="26" t="n">
        <v>50</v>
      </c>
    </row>
    <row r="195" customFormat="false" ht="15" hidden="false" customHeight="false" outlineLevel="0" collapsed="false">
      <c r="A195" s="27" t="n">
        <v>10676</v>
      </c>
      <c r="B195" s="12" t="s">
        <v>411</v>
      </c>
      <c r="C195" s="28" t="n">
        <v>3</v>
      </c>
      <c r="D195" s="28" t="n">
        <v>3</v>
      </c>
      <c r="E195" s="14" t="n">
        <v>0</v>
      </c>
      <c r="F195" s="14" t="n">
        <v>2178.77</v>
      </c>
      <c r="G195" s="14" t="n">
        <v>2178.77</v>
      </c>
      <c r="H195" s="14" t="n">
        <v>932.01</v>
      </c>
      <c r="I195" s="14" t="n">
        <v>1246.76</v>
      </c>
      <c r="J195" s="14" t="n">
        <v>630.19</v>
      </c>
      <c r="K195" s="15" t="n">
        <v>0.5722</v>
      </c>
      <c r="L195" s="15" t="n">
        <v>0.2892</v>
      </c>
      <c r="M195" s="29" t="n">
        <v>49.18</v>
      </c>
    </row>
    <row r="196" customFormat="false" ht="15" hidden="false" customHeight="false" outlineLevel="0" collapsed="false">
      <c r="A196" s="24" t="n">
        <v>10677</v>
      </c>
      <c r="B196" s="8" t="s">
        <v>371</v>
      </c>
      <c r="C196" s="25" t="n">
        <v>25</v>
      </c>
      <c r="D196" s="25" t="n">
        <v>25</v>
      </c>
      <c r="E196" s="10" t="n">
        <v>0</v>
      </c>
      <c r="F196" s="10" t="n">
        <v>1880.65</v>
      </c>
      <c r="G196" s="10" t="n">
        <v>1880.65</v>
      </c>
      <c r="H196" s="10" t="n">
        <v>873.15</v>
      </c>
      <c r="I196" s="10" t="n">
        <v>1007.5</v>
      </c>
      <c r="J196" s="10" t="n">
        <v>484.44</v>
      </c>
      <c r="K196" s="11" t="n">
        <v>0.5357</v>
      </c>
      <c r="L196" s="11" t="n">
        <v>0.2576</v>
      </c>
      <c r="M196" s="26" t="n">
        <v>32.01</v>
      </c>
    </row>
    <row r="197" customFormat="false" ht="15" hidden="false" customHeight="false" outlineLevel="0" collapsed="false">
      <c r="A197" s="27" t="n">
        <v>10678</v>
      </c>
      <c r="B197" s="12" t="s">
        <v>185</v>
      </c>
      <c r="C197" s="28" t="n">
        <v>785</v>
      </c>
      <c r="D197" s="28" t="n">
        <v>785</v>
      </c>
      <c r="E197" s="14" t="n">
        <v>0</v>
      </c>
      <c r="F197" s="14" t="n">
        <v>69934.5</v>
      </c>
      <c r="G197" s="14" t="n">
        <v>69934.5</v>
      </c>
      <c r="H197" s="14" t="n">
        <v>34504.294</v>
      </c>
      <c r="I197" s="14" t="n">
        <v>35430.21</v>
      </c>
      <c r="J197" s="14" t="n">
        <v>18893.95</v>
      </c>
      <c r="K197" s="15" t="n">
        <v>0.5066</v>
      </c>
      <c r="L197" s="15" t="n">
        <v>0.2702</v>
      </c>
      <c r="M197" s="29" t="n">
        <v>50</v>
      </c>
    </row>
    <row r="198" customFormat="false" ht="15" hidden="false" customHeight="false" outlineLevel="0" collapsed="false">
      <c r="A198" s="24" t="n">
        <v>10679</v>
      </c>
      <c r="B198" s="8" t="s">
        <v>158</v>
      </c>
      <c r="C198" s="25" t="n">
        <v>45</v>
      </c>
      <c r="D198" s="25" t="n">
        <v>45</v>
      </c>
      <c r="E198" s="10" t="n">
        <v>0</v>
      </c>
      <c r="F198" s="10" t="n">
        <v>4854.25</v>
      </c>
      <c r="G198" s="10" t="n">
        <v>4854.25</v>
      </c>
      <c r="H198" s="10" t="n">
        <v>4175.59</v>
      </c>
      <c r="I198" s="10" t="n">
        <v>678.66</v>
      </c>
      <c r="J198" s="10" t="n">
        <v>-534.8</v>
      </c>
      <c r="K198" s="11" t="n">
        <v>0.1398</v>
      </c>
      <c r="L198" s="11" t="n">
        <v>-0.1102</v>
      </c>
      <c r="M198" s="26" t="n">
        <v>50</v>
      </c>
    </row>
    <row r="199" customFormat="false" ht="15" hidden="false" customHeight="false" outlineLevel="0" collapsed="false">
      <c r="A199" s="27" t="n">
        <v>10697</v>
      </c>
      <c r="B199" s="12" t="s">
        <v>186</v>
      </c>
      <c r="C199" s="28" t="n">
        <v>6</v>
      </c>
      <c r="D199" s="28" t="n">
        <v>6</v>
      </c>
      <c r="E199" s="14" t="n">
        <v>0</v>
      </c>
      <c r="F199" s="14" t="n">
        <v>1595.28</v>
      </c>
      <c r="G199" s="14" t="n">
        <v>1595.28</v>
      </c>
      <c r="H199" s="14" t="n">
        <v>465.77</v>
      </c>
      <c r="I199" s="14" t="n">
        <v>1129.51</v>
      </c>
      <c r="J199" s="14" t="n">
        <v>691.26</v>
      </c>
      <c r="K199" s="15" t="n">
        <v>0.708</v>
      </c>
      <c r="L199" s="15" t="n">
        <v>0.4333</v>
      </c>
      <c r="M199" s="29" t="n">
        <v>50</v>
      </c>
    </row>
    <row r="200" customFormat="false" ht="15" hidden="false" customHeight="false" outlineLevel="0" collapsed="false">
      <c r="A200" s="24" t="n">
        <v>10707</v>
      </c>
      <c r="B200" s="8" t="s">
        <v>188</v>
      </c>
      <c r="C200" s="25" t="n">
        <v>3</v>
      </c>
      <c r="D200" s="25" t="n">
        <v>3</v>
      </c>
      <c r="E200" s="10" t="n">
        <v>0</v>
      </c>
      <c r="F200" s="10" t="n">
        <v>45212.94</v>
      </c>
      <c r="G200" s="10" t="n">
        <v>45212.94</v>
      </c>
      <c r="H200" s="10" t="n">
        <v>14389.08</v>
      </c>
      <c r="I200" s="10" t="n">
        <v>30823.86</v>
      </c>
      <c r="J200" s="10" t="n">
        <v>25280.75</v>
      </c>
      <c r="K200" s="11" t="n">
        <v>0.6817</v>
      </c>
      <c r="L200" s="11" t="n">
        <v>0.5591</v>
      </c>
      <c r="M200" s="26" t="n">
        <v>30</v>
      </c>
    </row>
    <row r="201" customFormat="false" ht="15" hidden="false" customHeight="false" outlineLevel="0" collapsed="false">
      <c r="A201" s="27" t="n">
        <v>10711</v>
      </c>
      <c r="B201" s="12" t="s">
        <v>276</v>
      </c>
      <c r="C201" s="28" t="n">
        <v>48</v>
      </c>
      <c r="D201" s="28" t="n">
        <v>48</v>
      </c>
      <c r="E201" s="14" t="n">
        <v>0</v>
      </c>
      <c r="F201" s="14" t="n">
        <v>9767</v>
      </c>
      <c r="G201" s="14" t="n">
        <v>9767</v>
      </c>
      <c r="H201" s="14" t="n">
        <v>5331.9199</v>
      </c>
      <c r="I201" s="14" t="n">
        <v>4435.08</v>
      </c>
      <c r="J201" s="14" t="n">
        <v>1751.89</v>
      </c>
      <c r="K201" s="15" t="n">
        <v>0.4541</v>
      </c>
      <c r="L201" s="15" t="n">
        <v>0.1794</v>
      </c>
      <c r="M201" s="29" t="n">
        <v>50</v>
      </c>
    </row>
    <row r="202" customFormat="false" ht="15" hidden="false" customHeight="false" outlineLevel="0" collapsed="false">
      <c r="A202" s="24" t="n">
        <v>10712</v>
      </c>
      <c r="B202" s="8" t="s">
        <v>189</v>
      </c>
      <c r="C202" s="25" t="n">
        <v>2853</v>
      </c>
      <c r="D202" s="25" t="n">
        <v>2853</v>
      </c>
      <c r="E202" s="10" t="n">
        <v>0</v>
      </c>
      <c r="F202" s="10" t="n">
        <v>10698.75</v>
      </c>
      <c r="G202" s="10" t="n">
        <v>10698.75</v>
      </c>
      <c r="H202" s="10" t="n">
        <v>6446.0682</v>
      </c>
      <c r="I202" s="10" t="n">
        <v>4252.68</v>
      </c>
      <c r="J202" s="10" t="n">
        <v>1266.65</v>
      </c>
      <c r="K202" s="11" t="n">
        <v>0.3975</v>
      </c>
      <c r="L202" s="11" t="n">
        <v>0.1184</v>
      </c>
      <c r="M202" s="26" t="n">
        <v>45</v>
      </c>
    </row>
    <row r="203" customFormat="false" ht="15" hidden="false" customHeight="false" outlineLevel="0" collapsed="false">
      <c r="A203" s="27" t="n">
        <v>10721</v>
      </c>
      <c r="B203" s="12" t="s">
        <v>190</v>
      </c>
      <c r="C203" s="28" t="n">
        <v>28</v>
      </c>
      <c r="D203" s="28" t="n">
        <v>28</v>
      </c>
      <c r="E203" s="14" t="n">
        <v>0</v>
      </c>
      <c r="F203" s="14" t="n">
        <v>341375.97</v>
      </c>
      <c r="G203" s="14" t="n">
        <v>341375.97</v>
      </c>
      <c r="H203" s="14" t="n">
        <v>194053.9096</v>
      </c>
      <c r="I203" s="14" t="n">
        <v>147322.06</v>
      </c>
      <c r="J203" s="14" t="n">
        <v>64504.24</v>
      </c>
      <c r="K203" s="15" t="n">
        <v>0.4316</v>
      </c>
      <c r="L203" s="15" t="n">
        <v>0.189</v>
      </c>
      <c r="M203" s="29" t="n">
        <v>38.67</v>
      </c>
    </row>
    <row r="204" customFormat="false" ht="15" hidden="false" customHeight="false" outlineLevel="0" collapsed="false">
      <c r="A204" s="24" t="n">
        <v>10722</v>
      </c>
      <c r="B204" s="8" t="s">
        <v>191</v>
      </c>
      <c r="C204" s="25" t="n">
        <v>34</v>
      </c>
      <c r="D204" s="25" t="n">
        <v>34</v>
      </c>
      <c r="E204" s="10" t="n">
        <v>0</v>
      </c>
      <c r="F204" s="10" t="n">
        <v>369107.06</v>
      </c>
      <c r="G204" s="10" t="n">
        <v>369107.06</v>
      </c>
      <c r="H204" s="10" t="n">
        <v>205987.5697</v>
      </c>
      <c r="I204" s="10" t="n">
        <v>163119.49</v>
      </c>
      <c r="J204" s="10" t="n">
        <v>73574.12</v>
      </c>
      <c r="K204" s="11" t="n">
        <v>0.4419</v>
      </c>
      <c r="L204" s="11" t="n">
        <v>0.1993</v>
      </c>
      <c r="M204" s="26" t="n">
        <v>36.53</v>
      </c>
    </row>
    <row r="205" customFormat="false" ht="15" hidden="false" customHeight="false" outlineLevel="0" collapsed="false">
      <c r="A205" s="27" t="n">
        <v>10723</v>
      </c>
      <c r="B205" s="12" t="s">
        <v>192</v>
      </c>
      <c r="C205" s="28" t="n">
        <v>30</v>
      </c>
      <c r="D205" s="28" t="n">
        <v>30</v>
      </c>
      <c r="E205" s="14" t="n">
        <v>0</v>
      </c>
      <c r="F205" s="14" t="n">
        <v>33000</v>
      </c>
      <c r="G205" s="14" t="n">
        <v>33000</v>
      </c>
      <c r="H205" s="14" t="n">
        <v>15826.4</v>
      </c>
      <c r="I205" s="14" t="n">
        <v>17173.6</v>
      </c>
      <c r="J205" s="14" t="n">
        <v>8107.85</v>
      </c>
      <c r="K205" s="15" t="n">
        <v>0.5204</v>
      </c>
      <c r="L205" s="15" t="n">
        <v>0.2457</v>
      </c>
      <c r="M205" s="29" t="n">
        <v>50</v>
      </c>
    </row>
    <row r="206" customFormat="false" ht="15" hidden="false" customHeight="false" outlineLevel="0" collapsed="false">
      <c r="A206" s="24" t="n">
        <v>10730</v>
      </c>
      <c r="B206" s="8" t="s">
        <v>193</v>
      </c>
      <c r="C206" s="25" t="n">
        <v>10</v>
      </c>
      <c r="D206" s="25" t="n">
        <v>10</v>
      </c>
      <c r="E206" s="10" t="n">
        <v>0</v>
      </c>
      <c r="F206" s="10" t="n">
        <v>145</v>
      </c>
      <c r="G206" s="10" t="n">
        <v>145</v>
      </c>
      <c r="H206" s="10" t="n">
        <v>56.12</v>
      </c>
      <c r="I206" s="10" t="n">
        <v>88.88</v>
      </c>
      <c r="J206" s="10" t="n">
        <v>49.05</v>
      </c>
      <c r="K206" s="11" t="n">
        <v>0.613</v>
      </c>
      <c r="L206" s="11" t="n">
        <v>0.3383</v>
      </c>
      <c r="M206" s="26" t="n">
        <v>28</v>
      </c>
    </row>
    <row r="207" customFormat="false" ht="15" hidden="false" customHeight="false" outlineLevel="0" collapsed="false">
      <c r="A207" s="27" t="n">
        <v>10731</v>
      </c>
      <c r="B207" s="12" t="s">
        <v>396</v>
      </c>
      <c r="C207" s="28" t="n">
        <v>408</v>
      </c>
      <c r="D207" s="28" t="n">
        <v>408</v>
      </c>
      <c r="E207" s="14" t="n">
        <v>0</v>
      </c>
      <c r="F207" s="14" t="n">
        <v>14350.82</v>
      </c>
      <c r="G207" s="14" t="n">
        <v>14350.82</v>
      </c>
      <c r="H207" s="14" t="n">
        <v>3602.6992</v>
      </c>
      <c r="I207" s="14" t="n">
        <v>10748.12</v>
      </c>
      <c r="J207" s="14" t="n">
        <v>6805.7</v>
      </c>
      <c r="K207" s="15" t="n">
        <v>0.749</v>
      </c>
      <c r="L207" s="15" t="n">
        <v>0.4742</v>
      </c>
      <c r="M207" s="29" t="n">
        <v>48.74</v>
      </c>
    </row>
    <row r="208" customFormat="false" ht="15" hidden="false" customHeight="false" outlineLevel="0" collapsed="false">
      <c r="A208" s="24" t="n">
        <v>10732</v>
      </c>
      <c r="B208" s="8" t="s">
        <v>277</v>
      </c>
      <c r="C208" s="25" t="n">
        <v>6</v>
      </c>
      <c r="D208" s="25" t="n">
        <v>6</v>
      </c>
      <c r="E208" s="10" t="n">
        <v>0</v>
      </c>
      <c r="F208" s="10" t="n">
        <v>6378.12</v>
      </c>
      <c r="G208" s="10" t="n">
        <v>6378.12</v>
      </c>
      <c r="H208" s="10" t="n">
        <v>2274.32</v>
      </c>
      <c r="I208" s="10" t="n">
        <v>4103.8</v>
      </c>
      <c r="J208" s="10" t="n">
        <v>2323.66</v>
      </c>
      <c r="K208" s="11" t="n">
        <v>0.6434</v>
      </c>
      <c r="L208" s="11" t="n">
        <v>0.3643</v>
      </c>
      <c r="M208" s="26" t="n">
        <v>28</v>
      </c>
    </row>
    <row r="209" customFormat="false" ht="15" hidden="false" customHeight="false" outlineLevel="0" collapsed="false">
      <c r="A209" s="27" t="n">
        <v>10736</v>
      </c>
      <c r="B209" s="12" t="s">
        <v>194</v>
      </c>
      <c r="C209" s="28" t="n">
        <v>20</v>
      </c>
      <c r="D209" s="28" t="n">
        <v>20</v>
      </c>
      <c r="E209" s="14" t="n">
        <v>0</v>
      </c>
      <c r="F209" s="14" t="n">
        <v>12752.4</v>
      </c>
      <c r="G209" s="14" t="n">
        <v>12752.4</v>
      </c>
      <c r="H209" s="14" t="n">
        <v>4647.0001</v>
      </c>
      <c r="I209" s="14" t="n">
        <v>8105.4</v>
      </c>
      <c r="J209" s="14" t="n">
        <v>4546.2</v>
      </c>
      <c r="K209" s="15" t="n">
        <v>0.6356</v>
      </c>
      <c r="L209" s="15" t="n">
        <v>0.3565</v>
      </c>
      <c r="M209" s="29" t="n">
        <v>50</v>
      </c>
    </row>
    <row r="210" customFormat="false" ht="15" hidden="false" customHeight="false" outlineLevel="0" collapsed="false">
      <c r="A210" s="24" t="n">
        <v>10737</v>
      </c>
      <c r="B210" s="8" t="s">
        <v>331</v>
      </c>
      <c r="C210" s="25" t="n">
        <v>3</v>
      </c>
      <c r="D210" s="25" t="n">
        <v>3</v>
      </c>
      <c r="E210" s="10" t="n">
        <v>0</v>
      </c>
      <c r="F210" s="10" t="n">
        <v>1844.79</v>
      </c>
      <c r="G210" s="10" t="n">
        <v>1844.79</v>
      </c>
      <c r="H210" s="10" t="n">
        <v>885.9099</v>
      </c>
      <c r="I210" s="10" t="n">
        <v>958.88</v>
      </c>
      <c r="J210" s="10" t="n">
        <v>443.99</v>
      </c>
      <c r="K210" s="11" t="n">
        <v>0.5198</v>
      </c>
      <c r="L210" s="11" t="n">
        <v>0.2407</v>
      </c>
      <c r="M210" s="26" t="n">
        <v>50</v>
      </c>
    </row>
    <row r="211" customFormat="false" ht="15" hidden="false" customHeight="false" outlineLevel="0" collapsed="false">
      <c r="A211" s="27" t="n">
        <v>40004</v>
      </c>
      <c r="B211" s="12" t="s">
        <v>278</v>
      </c>
      <c r="C211" s="28" t="n">
        <v>2</v>
      </c>
      <c r="D211" s="28" t="n">
        <v>2</v>
      </c>
      <c r="E211" s="14" t="n">
        <v>0</v>
      </c>
      <c r="F211" s="14" t="n">
        <v>459.84</v>
      </c>
      <c r="G211" s="14" t="n">
        <v>459.84</v>
      </c>
      <c r="H211" s="14" t="n">
        <v>37.61</v>
      </c>
      <c r="I211" s="14" t="n">
        <v>422.23</v>
      </c>
      <c r="J211" s="14" t="n">
        <v>295.9</v>
      </c>
      <c r="K211" s="15" t="n">
        <v>0.9182</v>
      </c>
      <c r="L211" s="15" t="n">
        <v>0.6435</v>
      </c>
      <c r="M211" s="29" t="n">
        <v>28</v>
      </c>
    </row>
    <row r="212" customFormat="false" ht="15" hidden="false" customHeight="false" outlineLevel="0" collapsed="false">
      <c r="A212" s="24" t="n">
        <v>40005</v>
      </c>
      <c r="B212" s="8" t="s">
        <v>195</v>
      </c>
      <c r="C212" s="25" t="n">
        <v>124</v>
      </c>
      <c r="D212" s="25" t="n">
        <v>124</v>
      </c>
      <c r="E212" s="10" t="n">
        <v>0</v>
      </c>
      <c r="F212" s="10" t="n">
        <v>50563.08</v>
      </c>
      <c r="G212" s="10" t="n">
        <v>50563.08</v>
      </c>
      <c r="H212" s="10" t="n">
        <v>20956.87</v>
      </c>
      <c r="I212" s="10" t="n">
        <v>29606.21</v>
      </c>
      <c r="J212" s="10" t="n">
        <v>22306.07</v>
      </c>
      <c r="K212" s="11" t="n">
        <v>0.5855</v>
      </c>
      <c r="L212" s="11" t="n">
        <v>0.4412</v>
      </c>
      <c r="M212" s="26" t="n">
        <v>55.16</v>
      </c>
    </row>
    <row r="213" customFormat="false" ht="15" hidden="false" customHeight="false" outlineLevel="0" collapsed="false">
      <c r="A213" s="27" t="n">
        <v>50028</v>
      </c>
      <c r="B213" s="12" t="s">
        <v>372</v>
      </c>
      <c r="C213" s="28" t="n">
        <v>4</v>
      </c>
      <c r="D213" s="28" t="n">
        <v>4</v>
      </c>
      <c r="E213" s="14" t="n">
        <v>0</v>
      </c>
      <c r="F213" s="14" t="n">
        <v>113</v>
      </c>
      <c r="G213" s="14" t="n">
        <v>113</v>
      </c>
      <c r="H213" s="14" t="n">
        <v>3.59</v>
      </c>
      <c r="I213" s="14" t="n">
        <v>109.41</v>
      </c>
      <c r="J213" s="14" t="n">
        <v>78.37</v>
      </c>
      <c r="K213" s="15" t="n">
        <v>0.9682</v>
      </c>
      <c r="L213" s="15" t="n">
        <v>0.6935</v>
      </c>
      <c r="M213" s="29" t="n">
        <v>60</v>
      </c>
    </row>
    <row r="214" customFormat="false" ht="15" hidden="false" customHeight="false" outlineLevel="0" collapsed="false">
      <c r="A214" s="24" t="n">
        <v>50999</v>
      </c>
      <c r="B214" s="8" t="s">
        <v>197</v>
      </c>
      <c r="C214" s="25" t="n">
        <v>15</v>
      </c>
      <c r="D214" s="25" t="n">
        <v>15</v>
      </c>
      <c r="E214" s="10" t="n">
        <v>0</v>
      </c>
      <c r="F214" s="10" t="n">
        <v>1986.39</v>
      </c>
      <c r="G214" s="10" t="n">
        <v>1986.39</v>
      </c>
      <c r="H214" s="10" t="n">
        <v>269.34</v>
      </c>
      <c r="I214" s="10" t="n">
        <v>1717.05</v>
      </c>
      <c r="J214" s="10" t="n">
        <v>1367.17</v>
      </c>
      <c r="K214" s="11" t="n">
        <v>0.8644</v>
      </c>
      <c r="L214" s="11" t="n">
        <v>0.6883</v>
      </c>
      <c r="M214" s="26" t="n">
        <v>43.1</v>
      </c>
    </row>
    <row r="215" customFormat="false" ht="15" hidden="false" customHeight="false" outlineLevel="0" collapsed="false">
      <c r="A215" s="27" t="n">
        <v>51053</v>
      </c>
      <c r="B215" s="12" t="s">
        <v>198</v>
      </c>
      <c r="C215" s="28" t="n">
        <v>1</v>
      </c>
      <c r="D215" s="28" t="n">
        <v>1</v>
      </c>
      <c r="E215" s="14" t="n">
        <v>0</v>
      </c>
      <c r="F215" s="14" t="n">
        <v>37.67</v>
      </c>
      <c r="G215" s="14" t="n">
        <v>37.67</v>
      </c>
      <c r="H215" s="14" t="n">
        <v>81.23</v>
      </c>
      <c r="I215" s="14" t="n">
        <v>-43.56</v>
      </c>
      <c r="J215" s="14" t="n">
        <v>-53.91</v>
      </c>
      <c r="K215" s="15" t="n">
        <v>-1.1564</v>
      </c>
      <c r="L215" s="15" t="n">
        <v>-1.4311</v>
      </c>
      <c r="M215" s="29" t="n">
        <v>50</v>
      </c>
    </row>
    <row r="216" customFormat="false" ht="15" hidden="false" customHeight="false" outlineLevel="0" collapsed="false">
      <c r="A216" s="24" t="n">
        <v>51191</v>
      </c>
      <c r="B216" s="8" t="s">
        <v>412</v>
      </c>
      <c r="C216" s="25" t="n">
        <v>3</v>
      </c>
      <c r="D216" s="25" t="n">
        <v>3</v>
      </c>
      <c r="E216" s="10" t="n">
        <v>0</v>
      </c>
      <c r="F216" s="10" t="n">
        <v>36.6</v>
      </c>
      <c r="G216" s="10" t="n">
        <v>36.6</v>
      </c>
      <c r="H216" s="10" t="n">
        <v>21.8901</v>
      </c>
      <c r="I216" s="10" t="n">
        <v>14.71</v>
      </c>
      <c r="J216" s="10" t="n">
        <v>4.66</v>
      </c>
      <c r="K216" s="11" t="n">
        <v>0.4019</v>
      </c>
      <c r="L216" s="11" t="n">
        <v>0.1273</v>
      </c>
      <c r="M216" s="26" t="n">
        <v>50</v>
      </c>
    </row>
    <row r="217" customFormat="false" ht="15" hidden="false" customHeight="false" outlineLevel="0" collapsed="false">
      <c r="A217" s="27" t="n">
        <v>51294</v>
      </c>
      <c r="B217" s="12" t="s">
        <v>413</v>
      </c>
      <c r="C217" s="28" t="n">
        <v>10</v>
      </c>
      <c r="D217" s="28" t="n">
        <v>10</v>
      </c>
      <c r="E217" s="14" t="n">
        <v>0</v>
      </c>
      <c r="F217" s="14" t="n">
        <v>125.6</v>
      </c>
      <c r="G217" s="14" t="n">
        <v>125.6</v>
      </c>
      <c r="H217" s="14" t="n">
        <v>12.36</v>
      </c>
      <c r="I217" s="14" t="n">
        <v>113.24</v>
      </c>
      <c r="J217" s="14" t="n">
        <v>68.1</v>
      </c>
      <c r="K217" s="15" t="n">
        <v>0.9016</v>
      </c>
      <c r="L217" s="15" t="n">
        <v>0.5422</v>
      </c>
      <c r="M217" s="29" t="n">
        <v>42</v>
      </c>
    </row>
    <row r="218" customFormat="false" ht="15" hidden="false" customHeight="false" outlineLevel="0" collapsed="false">
      <c r="A218" s="24" t="n">
        <v>51378</v>
      </c>
      <c r="B218" s="8" t="s">
        <v>200</v>
      </c>
      <c r="C218" s="25" t="n">
        <v>7</v>
      </c>
      <c r="D218" s="25" t="n">
        <v>7</v>
      </c>
      <c r="E218" s="10" t="n">
        <v>0</v>
      </c>
      <c r="F218" s="10" t="n">
        <v>1354.77</v>
      </c>
      <c r="G218" s="10" t="n">
        <v>1354.77</v>
      </c>
      <c r="H218" s="10" t="n">
        <v>390.95</v>
      </c>
      <c r="I218" s="10" t="n">
        <v>963.82</v>
      </c>
      <c r="J218" s="10" t="n">
        <v>591.63</v>
      </c>
      <c r="K218" s="11" t="n">
        <v>0.7114</v>
      </c>
      <c r="L218" s="11" t="n">
        <v>0.4367</v>
      </c>
      <c r="M218" s="26" t="n">
        <v>51.39</v>
      </c>
    </row>
    <row r="219" customFormat="false" ht="15" hidden="false" customHeight="false" outlineLevel="0" collapsed="false">
      <c r="A219" s="27" t="n">
        <v>51404</v>
      </c>
      <c r="B219" s="12" t="s">
        <v>335</v>
      </c>
      <c r="C219" s="28" t="n">
        <v>10</v>
      </c>
      <c r="D219" s="28" t="n">
        <v>10</v>
      </c>
      <c r="E219" s="14" t="n">
        <v>0</v>
      </c>
      <c r="F219" s="14" t="n">
        <v>83</v>
      </c>
      <c r="G219" s="14" t="n">
        <v>83</v>
      </c>
      <c r="H219" s="14" t="n">
        <v>12.36</v>
      </c>
      <c r="I219" s="14" t="n">
        <v>70.64</v>
      </c>
      <c r="J219" s="14" t="n">
        <v>41.84</v>
      </c>
      <c r="K219" s="15" t="n">
        <v>0.8511</v>
      </c>
      <c r="L219" s="15" t="n">
        <v>0.5041</v>
      </c>
      <c r="M219" s="29" t="n">
        <v>42</v>
      </c>
    </row>
    <row r="220" customFormat="false" ht="15" hidden="false" customHeight="false" outlineLevel="0" collapsed="false">
      <c r="A220" s="24" t="n">
        <v>51630</v>
      </c>
      <c r="B220" s="8" t="s">
        <v>202</v>
      </c>
      <c r="C220" s="25" t="n">
        <v>11</v>
      </c>
      <c r="D220" s="25" t="n">
        <v>11</v>
      </c>
      <c r="E220" s="10" t="n">
        <v>0</v>
      </c>
      <c r="F220" s="10" t="n">
        <v>384.02</v>
      </c>
      <c r="G220" s="10" t="n">
        <v>384.02</v>
      </c>
      <c r="H220" s="10" t="n">
        <v>57.39</v>
      </c>
      <c r="I220" s="10" t="n">
        <v>326.63</v>
      </c>
      <c r="J220" s="10" t="n">
        <v>221.16</v>
      </c>
      <c r="K220" s="11" t="n">
        <v>0.8506</v>
      </c>
      <c r="L220" s="11" t="n">
        <v>0.5759</v>
      </c>
      <c r="M220" s="26" t="n">
        <v>47.43</v>
      </c>
    </row>
    <row r="221" customFormat="false" ht="15" hidden="false" customHeight="false" outlineLevel="0" collapsed="false">
      <c r="A221" s="27" t="n">
        <v>52425</v>
      </c>
      <c r="B221" s="12" t="s">
        <v>374</v>
      </c>
      <c r="C221" s="28" t="n">
        <v>11</v>
      </c>
      <c r="D221" s="28" t="n">
        <v>11</v>
      </c>
      <c r="E221" s="14" t="n">
        <v>0</v>
      </c>
      <c r="F221" s="14" t="n">
        <v>440</v>
      </c>
      <c r="G221" s="14" t="n">
        <v>440</v>
      </c>
      <c r="H221" s="14" t="n">
        <v>149.7705</v>
      </c>
      <c r="I221" s="14" t="n">
        <v>290.23</v>
      </c>
      <c r="J221" s="14" t="n">
        <v>137.56</v>
      </c>
      <c r="K221" s="15" t="n">
        <v>0.6596</v>
      </c>
      <c r="L221" s="15" t="n">
        <v>0.3126</v>
      </c>
      <c r="M221" s="29" t="n">
        <v>60</v>
      </c>
    </row>
    <row r="222" customFormat="false" ht="15" hidden="false" customHeight="false" outlineLevel="0" collapsed="false">
      <c r="A222" s="24" t="n">
        <v>52566</v>
      </c>
      <c r="B222" s="8" t="s">
        <v>205</v>
      </c>
      <c r="C222" s="25" t="n">
        <v>4</v>
      </c>
      <c r="D222" s="25" t="n">
        <v>4</v>
      </c>
      <c r="E222" s="10" t="n">
        <v>0</v>
      </c>
      <c r="F222" s="10" t="n">
        <v>790.08</v>
      </c>
      <c r="G222" s="10" t="n">
        <v>790.08</v>
      </c>
      <c r="H222" s="10" t="n">
        <v>326.33</v>
      </c>
      <c r="I222" s="10" t="n">
        <v>463.75</v>
      </c>
      <c r="J222" s="10" t="n">
        <v>246.7</v>
      </c>
      <c r="K222" s="11" t="n">
        <v>0.587</v>
      </c>
      <c r="L222" s="11" t="n">
        <v>0.3122</v>
      </c>
      <c r="M222" s="26" t="n">
        <v>46</v>
      </c>
    </row>
    <row r="223" customFormat="false" ht="15" hidden="false" customHeight="false" outlineLevel="0" collapsed="false">
      <c r="A223" s="27" t="n">
        <v>52585</v>
      </c>
      <c r="B223" s="12" t="s">
        <v>284</v>
      </c>
      <c r="C223" s="28" t="n">
        <v>20</v>
      </c>
      <c r="D223" s="28" t="n">
        <v>20</v>
      </c>
      <c r="E223" s="14" t="n">
        <v>0</v>
      </c>
      <c r="F223" s="14" t="n">
        <v>1808.6</v>
      </c>
      <c r="G223" s="14" t="n">
        <v>1808.6</v>
      </c>
      <c r="H223" s="14" t="n">
        <v>274</v>
      </c>
      <c r="I223" s="14" t="n">
        <v>1534.6</v>
      </c>
      <c r="J223" s="14" t="n">
        <v>1037.74</v>
      </c>
      <c r="K223" s="15" t="n">
        <v>0.8485</v>
      </c>
      <c r="L223" s="15" t="n">
        <v>0.5738</v>
      </c>
      <c r="M223" s="29" t="n">
        <v>28</v>
      </c>
    </row>
    <row r="224" customFormat="false" ht="15" hidden="false" customHeight="false" outlineLevel="0" collapsed="false">
      <c r="A224" s="24" t="n">
        <v>52673</v>
      </c>
      <c r="B224" s="8" t="s">
        <v>206</v>
      </c>
      <c r="C224" s="25" t="n">
        <v>280</v>
      </c>
      <c r="D224" s="25" t="n">
        <v>280</v>
      </c>
      <c r="E224" s="10" t="n">
        <v>784</v>
      </c>
      <c r="F224" s="10" t="n">
        <v>0</v>
      </c>
      <c r="G224" s="10" t="n">
        <v>784</v>
      </c>
      <c r="H224" s="10" t="n">
        <v>280</v>
      </c>
      <c r="I224" s="10" t="n">
        <v>504</v>
      </c>
      <c r="J224" s="10" t="n">
        <v>255</v>
      </c>
      <c r="K224" s="11" t="n">
        <v>0.6429</v>
      </c>
      <c r="L224" s="11" t="n">
        <v>0.3253</v>
      </c>
      <c r="M224" s="26" t="n">
        <v>5</v>
      </c>
    </row>
    <row r="225" customFormat="false" ht="15" hidden="false" customHeight="false" outlineLevel="0" collapsed="false">
      <c r="A225" s="27" t="n">
        <v>52675</v>
      </c>
      <c r="B225" s="12" t="s">
        <v>337</v>
      </c>
      <c r="C225" s="28" t="n">
        <v>92</v>
      </c>
      <c r="D225" s="28" t="n">
        <v>92</v>
      </c>
      <c r="E225" s="14" t="n">
        <v>598</v>
      </c>
      <c r="F225" s="14" t="n">
        <v>0</v>
      </c>
      <c r="G225" s="14" t="n">
        <v>598</v>
      </c>
      <c r="H225" s="14" t="n">
        <v>349.6</v>
      </c>
      <c r="I225" s="14" t="n">
        <v>248.4</v>
      </c>
      <c r="J225" s="14" t="n">
        <v>58.48</v>
      </c>
      <c r="K225" s="15" t="n">
        <v>0.4154</v>
      </c>
      <c r="L225" s="15" t="n">
        <v>0.0978</v>
      </c>
      <c r="M225" s="29" t="n">
        <v>5</v>
      </c>
    </row>
    <row r="226" customFormat="false" ht="15" hidden="false" customHeight="false" outlineLevel="0" collapsed="false">
      <c r="A226" s="24" t="n">
        <v>52676</v>
      </c>
      <c r="B226" s="8" t="s">
        <v>208</v>
      </c>
      <c r="C226" s="25" t="n">
        <v>1728</v>
      </c>
      <c r="D226" s="25" t="n">
        <v>1728</v>
      </c>
      <c r="E226" s="10" t="n">
        <v>2292</v>
      </c>
      <c r="F226" s="10" t="n">
        <v>0</v>
      </c>
      <c r="G226" s="10" t="n">
        <v>2292</v>
      </c>
      <c r="H226" s="10" t="n">
        <v>191.4</v>
      </c>
      <c r="I226" s="10" t="n">
        <v>2100.6</v>
      </c>
      <c r="J226" s="10" t="n">
        <v>1372.66</v>
      </c>
      <c r="K226" s="11" t="n">
        <v>0.9165</v>
      </c>
      <c r="L226" s="11" t="n">
        <v>0.5989</v>
      </c>
      <c r="M226" s="26" t="n">
        <v>5</v>
      </c>
    </row>
    <row r="227" customFormat="false" ht="15" hidden="false" customHeight="false" outlineLevel="0" collapsed="false">
      <c r="A227" s="27" t="n">
        <v>52883</v>
      </c>
      <c r="B227" s="12" t="s">
        <v>209</v>
      </c>
      <c r="C227" s="28" t="n">
        <v>3</v>
      </c>
      <c r="D227" s="28" t="n">
        <v>3</v>
      </c>
      <c r="E227" s="14" t="n">
        <v>0</v>
      </c>
      <c r="F227" s="14" t="n">
        <v>190.65</v>
      </c>
      <c r="G227" s="14" t="n">
        <v>190.65</v>
      </c>
      <c r="H227" s="14" t="n">
        <v>42.03</v>
      </c>
      <c r="I227" s="14" t="n">
        <v>148.62</v>
      </c>
      <c r="J227" s="14" t="n">
        <v>96.25</v>
      </c>
      <c r="K227" s="15" t="n">
        <v>0.7795</v>
      </c>
      <c r="L227" s="15" t="n">
        <v>0.5049</v>
      </c>
      <c r="M227" s="29" t="n">
        <v>60</v>
      </c>
    </row>
    <row r="228" customFormat="false" ht="15" hidden="false" customHeight="false" outlineLevel="0" collapsed="false">
      <c r="A228" s="24" t="n">
        <v>53018</v>
      </c>
      <c r="B228" s="8" t="s">
        <v>339</v>
      </c>
      <c r="C228" s="25" t="n">
        <v>6</v>
      </c>
      <c r="D228" s="25" t="n">
        <v>6</v>
      </c>
      <c r="E228" s="10" t="n">
        <v>0</v>
      </c>
      <c r="F228" s="10" t="n">
        <v>412.5</v>
      </c>
      <c r="G228" s="10" t="n">
        <v>412.5</v>
      </c>
      <c r="H228" s="10" t="n">
        <v>214.0998</v>
      </c>
      <c r="I228" s="10" t="n">
        <v>198.4</v>
      </c>
      <c r="J228" s="10" t="n">
        <v>147.83</v>
      </c>
      <c r="K228" s="11" t="n">
        <v>0.481</v>
      </c>
      <c r="L228" s="11" t="n">
        <v>0.3584</v>
      </c>
      <c r="M228" s="26" t="n">
        <v>60</v>
      </c>
    </row>
    <row r="229" customFormat="false" ht="15" hidden="false" customHeight="false" outlineLevel="0" collapsed="false">
      <c r="A229" s="27" t="n">
        <v>53119</v>
      </c>
      <c r="B229" s="12" t="s">
        <v>210</v>
      </c>
      <c r="C229" s="28" t="n">
        <v>11</v>
      </c>
      <c r="D229" s="28" t="n">
        <v>11</v>
      </c>
      <c r="E229" s="14" t="n">
        <v>0</v>
      </c>
      <c r="F229" s="14" t="n">
        <v>2204</v>
      </c>
      <c r="G229" s="14" t="n">
        <v>2204</v>
      </c>
      <c r="H229" s="14" t="n">
        <v>1090.91</v>
      </c>
      <c r="I229" s="14" t="n">
        <v>1113.09</v>
      </c>
      <c r="J229" s="14" t="n">
        <v>807.59</v>
      </c>
      <c r="K229" s="15" t="n">
        <v>0.505</v>
      </c>
      <c r="L229" s="15" t="n">
        <v>0.3664</v>
      </c>
      <c r="M229" s="29" t="n">
        <v>59.58</v>
      </c>
    </row>
    <row r="230" customFormat="false" ht="15" hidden="false" customHeight="false" outlineLevel="0" collapsed="false">
      <c r="A230" s="24" t="n">
        <v>53826</v>
      </c>
      <c r="B230" s="8" t="s">
        <v>376</v>
      </c>
      <c r="C230" s="25" t="n">
        <v>60</v>
      </c>
      <c r="D230" s="25" t="n">
        <v>60</v>
      </c>
      <c r="E230" s="10" t="n">
        <v>0</v>
      </c>
      <c r="F230" s="10" t="n">
        <v>1898.86</v>
      </c>
      <c r="G230" s="10" t="n">
        <v>1898.86</v>
      </c>
      <c r="H230" s="10" t="n">
        <v>813.81</v>
      </c>
      <c r="I230" s="10" t="n">
        <v>1085.05</v>
      </c>
      <c r="J230" s="10" t="n">
        <v>687.96</v>
      </c>
      <c r="K230" s="11" t="n">
        <v>0.5714</v>
      </c>
      <c r="L230" s="11" t="n">
        <v>0.3623</v>
      </c>
      <c r="M230" s="26" t="n">
        <v>54.31</v>
      </c>
    </row>
    <row r="231" customFormat="false" ht="15" hidden="false" customHeight="false" outlineLevel="0" collapsed="false">
      <c r="A231" s="27" t="n">
        <v>54188</v>
      </c>
      <c r="B231" s="12" t="s">
        <v>398</v>
      </c>
      <c r="C231" s="28" t="n">
        <v>1</v>
      </c>
      <c r="D231" s="28" t="n">
        <v>1</v>
      </c>
      <c r="E231" s="14" t="n">
        <v>0</v>
      </c>
      <c r="F231" s="14" t="n">
        <v>165</v>
      </c>
      <c r="G231" s="14" t="n">
        <v>165</v>
      </c>
      <c r="H231" s="14" t="n">
        <v>1</v>
      </c>
      <c r="I231" s="14" t="n">
        <v>164</v>
      </c>
      <c r="J231" s="14" t="n">
        <v>118.67</v>
      </c>
      <c r="K231" s="15" t="n">
        <v>0.9939</v>
      </c>
      <c r="L231" s="15" t="n">
        <v>0.7192</v>
      </c>
      <c r="M231" s="29" t="n">
        <v>13</v>
      </c>
    </row>
    <row r="232" customFormat="false" ht="15" hidden="false" customHeight="false" outlineLevel="0" collapsed="false">
      <c r="A232" s="24" t="n">
        <v>54801</v>
      </c>
      <c r="B232" s="8" t="s">
        <v>213</v>
      </c>
      <c r="C232" s="25" t="n">
        <v>27</v>
      </c>
      <c r="D232" s="25" t="n">
        <v>27</v>
      </c>
      <c r="E232" s="10" t="n">
        <v>0</v>
      </c>
      <c r="F232" s="10" t="n">
        <v>10574.55</v>
      </c>
      <c r="G232" s="10" t="n">
        <v>10574.55</v>
      </c>
      <c r="H232" s="10" t="n">
        <v>4643.1401</v>
      </c>
      <c r="I232" s="10" t="n">
        <v>5931.41</v>
      </c>
      <c r="J232" s="10" t="n">
        <v>3026.43</v>
      </c>
      <c r="K232" s="11" t="n">
        <v>0.5609</v>
      </c>
      <c r="L232" s="11" t="n">
        <v>0.2862</v>
      </c>
      <c r="M232" s="26" t="n">
        <v>28</v>
      </c>
    </row>
    <row r="233" customFormat="false" ht="15" hidden="false" customHeight="false" outlineLevel="0" collapsed="false">
      <c r="A233" s="27" t="n">
        <v>54909</v>
      </c>
      <c r="B233" s="12" t="s">
        <v>214</v>
      </c>
      <c r="C233" s="28" t="n">
        <v>40</v>
      </c>
      <c r="D233" s="28" t="n">
        <v>40</v>
      </c>
      <c r="E233" s="14" t="n">
        <v>0</v>
      </c>
      <c r="F233" s="14" t="n">
        <v>621.9</v>
      </c>
      <c r="G233" s="14" t="n">
        <v>621.9</v>
      </c>
      <c r="H233" s="14" t="n">
        <v>201</v>
      </c>
      <c r="I233" s="14" t="n">
        <v>420.9</v>
      </c>
      <c r="J233" s="14" t="n">
        <v>259.53</v>
      </c>
      <c r="K233" s="15" t="n">
        <v>0.6768</v>
      </c>
      <c r="L233" s="15" t="n">
        <v>0.4173</v>
      </c>
      <c r="M233" s="29" t="n">
        <v>42.41</v>
      </c>
    </row>
    <row r="234" customFormat="false" ht="15" hidden="false" customHeight="false" outlineLevel="0" collapsed="false">
      <c r="A234" s="24" t="n">
        <v>54945</v>
      </c>
      <c r="B234" s="8" t="s">
        <v>215</v>
      </c>
      <c r="C234" s="25" t="n">
        <v>5</v>
      </c>
      <c r="D234" s="25" t="n">
        <v>5</v>
      </c>
      <c r="E234" s="10" t="n">
        <v>0</v>
      </c>
      <c r="F234" s="10" t="n">
        <v>1408.75</v>
      </c>
      <c r="G234" s="10" t="n">
        <v>1408.75</v>
      </c>
      <c r="H234" s="10" t="n">
        <v>358</v>
      </c>
      <c r="I234" s="10" t="n">
        <v>1050.75</v>
      </c>
      <c r="J234" s="10" t="n">
        <v>663.73</v>
      </c>
      <c r="K234" s="11" t="n">
        <v>0.7459</v>
      </c>
      <c r="L234" s="11" t="n">
        <v>0.4711</v>
      </c>
      <c r="M234" s="26" t="n">
        <v>60</v>
      </c>
    </row>
    <row r="235" customFormat="false" ht="15" hidden="false" customHeight="false" outlineLevel="0" collapsed="false">
      <c r="A235" s="27" t="n">
        <v>55105</v>
      </c>
      <c r="B235" s="12" t="s">
        <v>287</v>
      </c>
      <c r="C235" s="28" t="n">
        <v>10</v>
      </c>
      <c r="D235" s="28" t="n">
        <v>10</v>
      </c>
      <c r="E235" s="14" t="n">
        <v>0</v>
      </c>
      <c r="F235" s="14" t="n">
        <v>28.7</v>
      </c>
      <c r="G235" s="14" t="n">
        <v>28.7</v>
      </c>
      <c r="H235" s="14" t="n">
        <v>13.25</v>
      </c>
      <c r="I235" s="14" t="n">
        <v>15.45</v>
      </c>
      <c r="J235" s="14" t="n">
        <v>8.49</v>
      </c>
      <c r="K235" s="15" t="n">
        <v>0.5383</v>
      </c>
      <c r="L235" s="15" t="n">
        <v>0.2958</v>
      </c>
      <c r="M235" s="29" t="n">
        <v>34</v>
      </c>
    </row>
    <row r="236" customFormat="false" ht="15" hidden="false" customHeight="false" outlineLevel="0" collapsed="false">
      <c r="A236" s="24" t="n">
        <v>55437</v>
      </c>
      <c r="B236" s="8" t="s">
        <v>414</v>
      </c>
      <c r="C236" s="25" t="n">
        <v>5</v>
      </c>
      <c r="D236" s="25" t="n">
        <v>5</v>
      </c>
      <c r="E236" s="10" t="n">
        <v>0</v>
      </c>
      <c r="F236" s="10" t="n">
        <v>625</v>
      </c>
      <c r="G236" s="10" t="n">
        <v>625</v>
      </c>
      <c r="H236" s="10" t="n">
        <v>279.03</v>
      </c>
      <c r="I236" s="10" t="n">
        <v>345.97</v>
      </c>
      <c r="J236" s="10" t="n">
        <v>113.35</v>
      </c>
      <c r="K236" s="11" t="n">
        <v>0.5536</v>
      </c>
      <c r="L236" s="11" t="n">
        <v>0.1814</v>
      </c>
      <c r="M236" s="26" t="n">
        <v>60</v>
      </c>
    </row>
    <row r="237" customFormat="false" ht="15" hidden="false" customHeight="false" outlineLevel="0" collapsed="false">
      <c r="A237" s="27" t="n">
        <v>55635</v>
      </c>
      <c r="B237" s="12" t="s">
        <v>401</v>
      </c>
      <c r="C237" s="28" t="n">
        <v>30</v>
      </c>
      <c r="D237" s="28" t="n">
        <v>30</v>
      </c>
      <c r="E237" s="14" t="n">
        <v>0</v>
      </c>
      <c r="F237" s="14" t="n">
        <v>1000.2</v>
      </c>
      <c r="G237" s="14" t="n">
        <v>1000.2</v>
      </c>
      <c r="H237" s="14" t="n">
        <v>323.1612</v>
      </c>
      <c r="I237" s="14" t="n">
        <v>677.04</v>
      </c>
      <c r="J237" s="14" t="n">
        <v>402.27</v>
      </c>
      <c r="K237" s="15" t="n">
        <v>0.6769</v>
      </c>
      <c r="L237" s="15" t="n">
        <v>0.4022</v>
      </c>
      <c r="M237" s="29" t="n">
        <v>28</v>
      </c>
    </row>
    <row r="238" customFormat="false" ht="15" hidden="false" customHeight="false" outlineLevel="0" collapsed="false">
      <c r="A238" s="24" t="n">
        <v>56302</v>
      </c>
      <c r="B238" s="8" t="s">
        <v>415</v>
      </c>
      <c r="C238" s="25" t="n">
        <v>3</v>
      </c>
      <c r="D238" s="25" t="n">
        <v>3</v>
      </c>
      <c r="E238" s="10" t="n">
        <v>0</v>
      </c>
      <c r="F238" s="10" t="n">
        <v>99.9</v>
      </c>
      <c r="G238" s="10" t="n">
        <v>99.9</v>
      </c>
      <c r="H238" s="10" t="n">
        <v>18.87</v>
      </c>
      <c r="I238" s="10" t="n">
        <v>81.03</v>
      </c>
      <c r="J238" s="10" t="n">
        <v>53.15</v>
      </c>
      <c r="K238" s="11" t="n">
        <v>0.8111</v>
      </c>
      <c r="L238" s="11" t="n">
        <v>0.532</v>
      </c>
      <c r="M238" s="26" t="n">
        <v>45</v>
      </c>
    </row>
    <row r="239" customFormat="false" ht="15" hidden="false" customHeight="false" outlineLevel="0" collapsed="false">
      <c r="A239" s="27" t="n">
        <v>56390</v>
      </c>
      <c r="B239" s="12" t="s">
        <v>219</v>
      </c>
      <c r="C239" s="28" t="n">
        <v>42</v>
      </c>
      <c r="D239" s="28" t="n">
        <v>42</v>
      </c>
      <c r="E239" s="14" t="n">
        <v>0</v>
      </c>
      <c r="F239" s="14" t="n">
        <v>37093.56</v>
      </c>
      <c r="G239" s="14" t="n">
        <v>37093.56</v>
      </c>
      <c r="H239" s="14" t="n">
        <v>24541.1306</v>
      </c>
      <c r="I239" s="14" t="n">
        <v>12552.43</v>
      </c>
      <c r="J239" s="14" t="n">
        <v>2362.09</v>
      </c>
      <c r="K239" s="15" t="n">
        <v>0.3384</v>
      </c>
      <c r="L239" s="15" t="n">
        <v>0.0637</v>
      </c>
      <c r="M239" s="29" t="n">
        <v>38.48</v>
      </c>
    </row>
    <row r="240" customFormat="false" ht="15" hidden="false" customHeight="false" outlineLevel="0" collapsed="false">
      <c r="A240" s="24" t="n">
        <v>56391</v>
      </c>
      <c r="B240" s="8" t="s">
        <v>220</v>
      </c>
      <c r="C240" s="25" t="n">
        <v>21</v>
      </c>
      <c r="D240" s="25" t="n">
        <v>21</v>
      </c>
      <c r="E240" s="10" t="n">
        <v>0</v>
      </c>
      <c r="F240" s="10" t="n">
        <v>16118.13</v>
      </c>
      <c r="G240" s="10" t="n">
        <v>16118.13</v>
      </c>
      <c r="H240" s="10" t="n">
        <v>10862.3204</v>
      </c>
      <c r="I240" s="10" t="n">
        <v>5255.81</v>
      </c>
      <c r="J240" s="10" t="n">
        <v>827.83</v>
      </c>
      <c r="K240" s="11" t="n">
        <v>0.3261</v>
      </c>
      <c r="L240" s="11" t="n">
        <v>0.0514</v>
      </c>
      <c r="M240" s="26" t="n">
        <v>38.48</v>
      </c>
    </row>
    <row r="241" customFormat="false" ht="15" hidden="false" customHeight="false" outlineLevel="0" collapsed="false">
      <c r="A241" s="27" t="n">
        <v>56482</v>
      </c>
      <c r="B241" s="12" t="s">
        <v>221</v>
      </c>
      <c r="C241" s="28" t="n">
        <v>58</v>
      </c>
      <c r="D241" s="28" t="n">
        <v>58</v>
      </c>
      <c r="E241" s="14" t="n">
        <v>0</v>
      </c>
      <c r="F241" s="14" t="n">
        <v>3599.33</v>
      </c>
      <c r="G241" s="14" t="n">
        <v>3599.33</v>
      </c>
      <c r="H241" s="14" t="n">
        <v>790.9217</v>
      </c>
      <c r="I241" s="14" t="n">
        <v>2808.41</v>
      </c>
      <c r="J241" s="14" t="n">
        <v>1876.57</v>
      </c>
      <c r="K241" s="15" t="n">
        <v>0.7803</v>
      </c>
      <c r="L241" s="15" t="n">
        <v>0.5214</v>
      </c>
      <c r="M241" s="29" t="n">
        <v>59.94</v>
      </c>
    </row>
    <row r="242" customFormat="false" ht="15" hidden="false" customHeight="false" outlineLevel="0" collapsed="false">
      <c r="A242" s="24" t="n">
        <v>56512</v>
      </c>
      <c r="B242" s="8" t="s">
        <v>222</v>
      </c>
      <c r="C242" s="25" t="n">
        <v>56</v>
      </c>
      <c r="D242" s="25" t="n">
        <v>56</v>
      </c>
      <c r="E242" s="10" t="n">
        <v>0</v>
      </c>
      <c r="F242" s="10" t="n">
        <v>79947.28</v>
      </c>
      <c r="G242" s="10" t="n">
        <v>79947.28</v>
      </c>
      <c r="H242" s="10" t="n">
        <v>36655.6702</v>
      </c>
      <c r="I242" s="10" t="n">
        <v>43291.61</v>
      </c>
      <c r="J242" s="10" t="n">
        <v>20978.3</v>
      </c>
      <c r="K242" s="11" t="n">
        <v>0.5415</v>
      </c>
      <c r="L242" s="11" t="n">
        <v>0.2624</v>
      </c>
      <c r="M242" s="26" t="n">
        <v>28</v>
      </c>
    </row>
    <row r="243" customFormat="false" ht="15" hidden="false" customHeight="false" outlineLevel="0" collapsed="false">
      <c r="A243" s="27" t="n">
        <v>56526</v>
      </c>
      <c r="B243" s="12" t="s">
        <v>416</v>
      </c>
      <c r="C243" s="28" t="n">
        <v>20</v>
      </c>
      <c r="D243" s="28" t="n">
        <v>20</v>
      </c>
      <c r="E243" s="14" t="n">
        <v>0</v>
      </c>
      <c r="F243" s="14" t="n">
        <v>470</v>
      </c>
      <c r="G243" s="14" t="n">
        <v>470</v>
      </c>
      <c r="H243" s="14" t="n">
        <v>326.77</v>
      </c>
      <c r="I243" s="14" t="n">
        <v>143.23</v>
      </c>
      <c r="J243" s="14" t="n">
        <v>12.06</v>
      </c>
      <c r="K243" s="15" t="n">
        <v>0.3047</v>
      </c>
      <c r="L243" s="15" t="n">
        <v>0.0257</v>
      </c>
      <c r="M243" s="29" t="n">
        <v>45</v>
      </c>
    </row>
    <row r="244" customFormat="false" ht="15" hidden="false" customHeight="false" outlineLevel="0" collapsed="false">
      <c r="A244" s="24" t="n">
        <v>56529</v>
      </c>
      <c r="B244" s="8" t="s">
        <v>223</v>
      </c>
      <c r="C244" s="25" t="n">
        <v>160</v>
      </c>
      <c r="D244" s="25" t="n">
        <v>160</v>
      </c>
      <c r="E244" s="10" t="n">
        <v>0</v>
      </c>
      <c r="F244" s="10" t="n">
        <v>2308</v>
      </c>
      <c r="G244" s="10" t="n">
        <v>2308</v>
      </c>
      <c r="H244" s="10" t="n">
        <v>1609.6</v>
      </c>
      <c r="I244" s="10" t="n">
        <v>698.4</v>
      </c>
      <c r="J244" s="10" t="n">
        <v>54.26</v>
      </c>
      <c r="K244" s="11" t="n">
        <v>0.3026</v>
      </c>
      <c r="L244" s="11" t="n">
        <v>0.0235</v>
      </c>
      <c r="M244" s="26" t="n">
        <v>45.25</v>
      </c>
    </row>
    <row r="245" customFormat="false" ht="15" hidden="false" customHeight="false" outlineLevel="0" collapsed="false">
      <c r="A245" s="27" t="n">
        <v>56530</v>
      </c>
      <c r="B245" s="12" t="s">
        <v>291</v>
      </c>
      <c r="C245" s="28" t="n">
        <v>100</v>
      </c>
      <c r="D245" s="28" t="n">
        <v>100</v>
      </c>
      <c r="E245" s="14" t="n">
        <v>0</v>
      </c>
      <c r="F245" s="14" t="n">
        <v>3100</v>
      </c>
      <c r="G245" s="14" t="n">
        <v>3100</v>
      </c>
      <c r="H245" s="14" t="n">
        <v>235.08</v>
      </c>
      <c r="I245" s="14" t="n">
        <v>2864.92</v>
      </c>
      <c r="J245" s="14" t="n">
        <v>2013.3</v>
      </c>
      <c r="K245" s="15" t="n">
        <v>0.9242</v>
      </c>
      <c r="L245" s="15" t="n">
        <v>0.6495</v>
      </c>
      <c r="M245" s="29" t="n">
        <v>45</v>
      </c>
    </row>
    <row r="246" customFormat="false" ht="15" hidden="false" customHeight="false" outlineLevel="0" collapsed="false">
      <c r="A246" s="24" t="n">
        <v>56549</v>
      </c>
      <c r="B246" s="8" t="s">
        <v>417</v>
      </c>
      <c r="C246" s="25" t="n">
        <v>30</v>
      </c>
      <c r="D246" s="25" t="n">
        <v>30</v>
      </c>
      <c r="E246" s="10" t="n">
        <v>0</v>
      </c>
      <c r="F246" s="10" t="n">
        <v>3379.5</v>
      </c>
      <c r="G246" s="10" t="n">
        <v>3379.5</v>
      </c>
      <c r="H246" s="10" t="n">
        <v>1494</v>
      </c>
      <c r="I246" s="10" t="n">
        <v>1885.5</v>
      </c>
      <c r="J246" s="10" t="n">
        <v>957.08</v>
      </c>
      <c r="K246" s="11" t="n">
        <v>0.5579</v>
      </c>
      <c r="L246" s="11" t="n">
        <v>0.2832</v>
      </c>
      <c r="M246" s="26" t="n">
        <v>46</v>
      </c>
    </row>
    <row r="247" customFormat="false" ht="15" hidden="false" customHeight="false" outlineLevel="0" collapsed="false">
      <c r="A247" s="27" t="n">
        <v>56575</v>
      </c>
      <c r="B247" s="12" t="s">
        <v>224</v>
      </c>
      <c r="C247" s="28" t="n">
        <v>40</v>
      </c>
      <c r="D247" s="28" t="n">
        <v>40</v>
      </c>
      <c r="E247" s="14" t="n">
        <v>0</v>
      </c>
      <c r="F247" s="14" t="n">
        <v>950</v>
      </c>
      <c r="G247" s="14" t="n">
        <v>950</v>
      </c>
      <c r="H247" s="14" t="n">
        <v>544.49</v>
      </c>
      <c r="I247" s="14" t="n">
        <v>405.51</v>
      </c>
      <c r="J247" s="14" t="n">
        <v>140.37</v>
      </c>
      <c r="K247" s="15" t="n">
        <v>0.4269</v>
      </c>
      <c r="L247" s="15" t="n">
        <v>0.1478</v>
      </c>
      <c r="M247" s="29" t="n">
        <v>45</v>
      </c>
    </row>
    <row r="248" customFormat="false" ht="15" hidden="false" customHeight="false" outlineLevel="0" collapsed="false">
      <c r="A248" s="24" t="n">
        <v>56595</v>
      </c>
      <c r="B248" s="8" t="s">
        <v>418</v>
      </c>
      <c r="C248" s="25" t="n">
        <v>15</v>
      </c>
      <c r="D248" s="25" t="n">
        <v>15</v>
      </c>
      <c r="E248" s="10" t="n">
        <v>0</v>
      </c>
      <c r="F248" s="10" t="n">
        <v>22308.8</v>
      </c>
      <c r="G248" s="10" t="n">
        <v>22308.8</v>
      </c>
      <c r="H248" s="10" t="n">
        <v>8194.07</v>
      </c>
      <c r="I248" s="10" t="n">
        <v>14114.73</v>
      </c>
      <c r="J248" s="10" t="n">
        <v>9741.68</v>
      </c>
      <c r="K248" s="11" t="n">
        <v>0.6327</v>
      </c>
      <c r="L248" s="11" t="n">
        <v>0.4367</v>
      </c>
      <c r="M248" s="26" t="n">
        <v>39.82</v>
      </c>
    </row>
    <row r="249" customFormat="false" ht="15" hidden="false" customHeight="false" outlineLevel="0" collapsed="false">
      <c r="A249" s="27" t="n">
        <v>56627</v>
      </c>
      <c r="B249" s="12" t="s">
        <v>419</v>
      </c>
      <c r="C249" s="28" t="n">
        <v>15</v>
      </c>
      <c r="D249" s="28" t="n">
        <v>15</v>
      </c>
      <c r="E249" s="14" t="n">
        <v>0</v>
      </c>
      <c r="F249" s="14" t="n">
        <v>1925.02</v>
      </c>
      <c r="G249" s="14" t="n">
        <v>1925.02</v>
      </c>
      <c r="H249" s="14" t="n">
        <v>511.5004</v>
      </c>
      <c r="I249" s="14" t="n">
        <v>1413.52</v>
      </c>
      <c r="J249" s="14" t="n">
        <v>884.69</v>
      </c>
      <c r="K249" s="15" t="n">
        <v>0.7343</v>
      </c>
      <c r="L249" s="15" t="n">
        <v>0.4596</v>
      </c>
      <c r="M249" s="29" t="n">
        <v>32.58</v>
      </c>
    </row>
    <row r="250" customFormat="false" ht="15" hidden="false" customHeight="false" outlineLevel="0" collapsed="false">
      <c r="A250" s="24" t="n">
        <v>56744</v>
      </c>
      <c r="B250" s="8" t="s">
        <v>378</v>
      </c>
      <c r="C250" s="25" t="n">
        <v>12</v>
      </c>
      <c r="D250" s="25" t="n">
        <v>12</v>
      </c>
      <c r="E250" s="10" t="n">
        <v>0</v>
      </c>
      <c r="F250" s="10" t="n">
        <v>1542.84</v>
      </c>
      <c r="G250" s="10" t="n">
        <v>1542.84</v>
      </c>
      <c r="H250" s="10" t="n">
        <v>553.12</v>
      </c>
      <c r="I250" s="10" t="n">
        <v>989.72</v>
      </c>
      <c r="J250" s="10" t="n">
        <v>565.87</v>
      </c>
      <c r="K250" s="11" t="n">
        <v>0.6415</v>
      </c>
      <c r="L250" s="11" t="n">
        <v>0.3668</v>
      </c>
      <c r="M250" s="26" t="n">
        <v>50</v>
      </c>
    </row>
    <row r="251" customFormat="false" ht="15" hidden="false" customHeight="false" outlineLevel="0" collapsed="false">
      <c r="A251" s="27" t="n">
        <v>56764</v>
      </c>
      <c r="B251" s="12" t="s">
        <v>294</v>
      </c>
      <c r="C251" s="28" t="n">
        <v>42</v>
      </c>
      <c r="D251" s="28" t="n">
        <v>42</v>
      </c>
      <c r="E251" s="14" t="n">
        <v>0</v>
      </c>
      <c r="F251" s="14" t="n">
        <v>19190</v>
      </c>
      <c r="G251" s="14" t="n">
        <v>19190</v>
      </c>
      <c r="H251" s="14" t="n">
        <v>12594.9</v>
      </c>
      <c r="I251" s="14" t="n">
        <v>6595.1</v>
      </c>
      <c r="J251" s="14" t="n">
        <v>599.88</v>
      </c>
      <c r="K251" s="15" t="n">
        <v>0.3437</v>
      </c>
      <c r="L251" s="15" t="n">
        <v>0.0313</v>
      </c>
      <c r="M251" s="29" t="n">
        <v>30</v>
      </c>
    </row>
    <row r="252" customFormat="false" ht="15" hidden="false" customHeight="false" outlineLevel="0" collapsed="false">
      <c r="A252" s="24" t="n">
        <v>56772</v>
      </c>
      <c r="B252" s="8" t="s">
        <v>228</v>
      </c>
      <c r="C252" s="25" t="n">
        <v>10</v>
      </c>
      <c r="D252" s="25" t="n">
        <v>10</v>
      </c>
      <c r="E252" s="10" t="n">
        <v>0</v>
      </c>
      <c r="F252" s="10" t="n">
        <v>112.8</v>
      </c>
      <c r="G252" s="10" t="n">
        <v>112.8</v>
      </c>
      <c r="H252" s="10" t="n">
        <v>39</v>
      </c>
      <c r="I252" s="10" t="n">
        <v>73.8</v>
      </c>
      <c r="J252" s="10" t="n">
        <v>42.32</v>
      </c>
      <c r="K252" s="11" t="n">
        <v>0.6543</v>
      </c>
      <c r="L252" s="11" t="n">
        <v>0.3752</v>
      </c>
      <c r="M252" s="26" t="n">
        <v>45</v>
      </c>
    </row>
    <row r="253" customFormat="false" ht="15" hidden="false" customHeight="false" outlineLevel="0" collapsed="false">
      <c r="A253" s="27" t="n">
        <v>57108</v>
      </c>
      <c r="B253" s="12" t="s">
        <v>230</v>
      </c>
      <c r="C253" s="28" t="n">
        <v>30</v>
      </c>
      <c r="D253" s="28" t="n">
        <v>30</v>
      </c>
      <c r="E253" s="14" t="n">
        <v>0</v>
      </c>
      <c r="F253" s="14" t="n">
        <v>2775</v>
      </c>
      <c r="G253" s="14" t="n">
        <v>2775</v>
      </c>
      <c r="H253" s="14" t="n">
        <v>343.4007</v>
      </c>
      <c r="I253" s="14" t="n">
        <v>2431.6</v>
      </c>
      <c r="J253" s="14" t="n">
        <v>1657.1</v>
      </c>
      <c r="K253" s="15" t="n">
        <v>0.8763</v>
      </c>
      <c r="L253" s="15" t="n">
        <v>0.5972</v>
      </c>
      <c r="M253" s="29" t="n">
        <v>28</v>
      </c>
    </row>
    <row r="254" customFormat="false" ht="15" hidden="false" customHeight="false" outlineLevel="0" collapsed="false">
      <c r="A254" s="24" t="n">
        <v>57161</v>
      </c>
      <c r="B254" s="8" t="s">
        <v>231</v>
      </c>
      <c r="C254" s="25" t="n">
        <v>45</v>
      </c>
      <c r="D254" s="25" t="n">
        <v>45</v>
      </c>
      <c r="E254" s="10" t="n">
        <v>0</v>
      </c>
      <c r="F254" s="10" t="n">
        <v>527.4</v>
      </c>
      <c r="G254" s="10" t="n">
        <v>527.4</v>
      </c>
      <c r="H254" s="10" t="n">
        <v>0</v>
      </c>
      <c r="I254" s="10" t="n">
        <v>527.4</v>
      </c>
      <c r="J254" s="10" t="n">
        <v>527.4</v>
      </c>
      <c r="K254" s="11" t="n">
        <v>1</v>
      </c>
      <c r="L254" s="11" t="n">
        <v>1</v>
      </c>
      <c r="M254" s="26" t="n">
        <v>33.11</v>
      </c>
    </row>
    <row r="255" customFormat="false" ht="15" hidden="false" customHeight="false" outlineLevel="0" collapsed="false">
      <c r="A255" s="27" t="n">
        <v>57240</v>
      </c>
      <c r="B255" s="12" t="s">
        <v>232</v>
      </c>
      <c r="C255" s="28" t="n">
        <v>64</v>
      </c>
      <c r="D255" s="28" t="n">
        <v>64</v>
      </c>
      <c r="E255" s="14" t="n">
        <v>0</v>
      </c>
      <c r="F255" s="14" t="n">
        <v>1170.56</v>
      </c>
      <c r="G255" s="14" t="n">
        <v>1170.56</v>
      </c>
      <c r="H255" s="14" t="n">
        <v>188.512</v>
      </c>
      <c r="I255" s="14" t="n">
        <v>982.05</v>
      </c>
      <c r="J255" s="14" t="n">
        <v>698.09</v>
      </c>
      <c r="K255" s="15" t="n">
        <v>0.839</v>
      </c>
      <c r="L255" s="15" t="n">
        <v>0.5964</v>
      </c>
      <c r="M255" s="29" t="n">
        <v>36.78</v>
      </c>
    </row>
    <row r="256" customFormat="false" ht="15" hidden="false" customHeight="false" outlineLevel="0" collapsed="false">
      <c r="A256" s="24" t="n">
        <v>57242</v>
      </c>
      <c r="B256" s="8" t="s">
        <v>420</v>
      </c>
      <c r="C256" s="25" t="n">
        <v>181</v>
      </c>
      <c r="D256" s="25" t="n">
        <v>181</v>
      </c>
      <c r="E256" s="10" t="n">
        <v>0</v>
      </c>
      <c r="F256" s="10" t="n">
        <v>7142.26</v>
      </c>
      <c r="G256" s="10" t="n">
        <v>7142.26</v>
      </c>
      <c r="H256" s="10" t="n">
        <v>1702.0697</v>
      </c>
      <c r="I256" s="10" t="n">
        <v>5440.19</v>
      </c>
      <c r="J256" s="10" t="n">
        <v>2961.95</v>
      </c>
      <c r="K256" s="11" t="n">
        <v>0.7617</v>
      </c>
      <c r="L256" s="11" t="n">
        <v>0.4147</v>
      </c>
      <c r="M256" s="26" t="n">
        <v>60</v>
      </c>
    </row>
    <row r="257" customFormat="false" ht="15" hidden="false" customHeight="false" outlineLevel="0" collapsed="false">
      <c r="A257" s="27" t="n">
        <v>57404</v>
      </c>
      <c r="B257" s="12" t="s">
        <v>233</v>
      </c>
      <c r="C257" s="28" t="n">
        <v>39</v>
      </c>
      <c r="D257" s="28" t="n">
        <v>39</v>
      </c>
      <c r="E257" s="14" t="n">
        <v>0</v>
      </c>
      <c r="F257" s="14" t="n">
        <v>18280.08</v>
      </c>
      <c r="G257" s="14" t="n">
        <v>18280.08</v>
      </c>
      <c r="H257" s="14" t="n">
        <v>4023.4299</v>
      </c>
      <c r="I257" s="14" t="n">
        <v>14256.65</v>
      </c>
      <c r="J257" s="14" t="n">
        <v>9154.67</v>
      </c>
      <c r="K257" s="15" t="n">
        <v>0.7799</v>
      </c>
      <c r="L257" s="15" t="n">
        <v>0.5008</v>
      </c>
      <c r="M257" s="29" t="n">
        <v>28</v>
      </c>
    </row>
    <row r="258" customFormat="false" ht="15" hidden="false" customHeight="false" outlineLevel="0" collapsed="false">
      <c r="A258" s="24" t="n">
        <v>57708</v>
      </c>
      <c r="B258" s="8" t="s">
        <v>421</v>
      </c>
      <c r="C258" s="25" t="n">
        <v>5</v>
      </c>
      <c r="D258" s="25" t="n">
        <v>5</v>
      </c>
      <c r="E258" s="10" t="n">
        <v>0</v>
      </c>
      <c r="F258" s="10" t="n">
        <v>1625</v>
      </c>
      <c r="G258" s="10" t="n">
        <v>1625</v>
      </c>
      <c r="H258" s="10" t="n">
        <v>589.55</v>
      </c>
      <c r="I258" s="10" t="n">
        <v>1035.45</v>
      </c>
      <c r="J258" s="10" t="n">
        <v>471.61</v>
      </c>
      <c r="K258" s="11" t="n">
        <v>0.6372</v>
      </c>
      <c r="L258" s="11" t="n">
        <v>0.2902</v>
      </c>
      <c r="M258" s="26" t="n">
        <v>60</v>
      </c>
    </row>
    <row r="259" customFormat="false" ht="15" hidden="false" customHeight="false" outlineLevel="0" collapsed="false">
      <c r="A259" s="27" t="n">
        <v>90325</v>
      </c>
      <c r="B259" s="12" t="s">
        <v>236</v>
      </c>
      <c r="C259" s="28" t="n">
        <v>6200</v>
      </c>
      <c r="D259" s="28" t="n">
        <v>6200</v>
      </c>
      <c r="E259" s="14" t="n">
        <v>0</v>
      </c>
      <c r="F259" s="14" t="n">
        <v>7211</v>
      </c>
      <c r="G259" s="14" t="n">
        <v>7211</v>
      </c>
      <c r="H259" s="14" t="n">
        <v>3225.54</v>
      </c>
      <c r="I259" s="14" t="n">
        <v>3985.46</v>
      </c>
      <c r="J259" s="14" t="n">
        <v>2004.44</v>
      </c>
      <c r="K259" s="15" t="n">
        <v>0.5527</v>
      </c>
      <c r="L259" s="15" t="n">
        <v>0.278</v>
      </c>
      <c r="M259" s="29" t="n">
        <v>60</v>
      </c>
    </row>
    <row r="260" customFormat="false" ht="15" hidden="false" customHeight="false" outlineLevel="0" collapsed="false">
      <c r="A260" s="24" t="n">
        <v>90328</v>
      </c>
      <c r="B260" s="8" t="s">
        <v>237</v>
      </c>
      <c r="C260" s="25" t="n">
        <v>2400</v>
      </c>
      <c r="D260" s="25" t="n">
        <v>2400</v>
      </c>
      <c r="E260" s="10" t="n">
        <v>0</v>
      </c>
      <c r="F260" s="10" t="n">
        <v>18864</v>
      </c>
      <c r="G260" s="10" t="n">
        <v>18864</v>
      </c>
      <c r="H260" s="10" t="n">
        <v>8562.324</v>
      </c>
      <c r="I260" s="10" t="n">
        <v>10301.69</v>
      </c>
      <c r="J260" s="10" t="n">
        <v>5119.35</v>
      </c>
      <c r="K260" s="11" t="n">
        <v>0.5461</v>
      </c>
      <c r="L260" s="11" t="n">
        <v>0.2714</v>
      </c>
      <c r="M260" s="26" t="n">
        <v>60</v>
      </c>
    </row>
    <row r="261" customFormat="false" ht="15" hidden="false" customHeight="false" outlineLevel="0" collapsed="false">
      <c r="A261" s="27" t="n">
        <v>90354</v>
      </c>
      <c r="B261" s="12" t="s">
        <v>238</v>
      </c>
      <c r="C261" s="28" t="n">
        <v>4040</v>
      </c>
      <c r="D261" s="28" t="n">
        <v>4040</v>
      </c>
      <c r="E261" s="14" t="n">
        <v>0</v>
      </c>
      <c r="F261" s="14" t="n">
        <v>25758.8</v>
      </c>
      <c r="G261" s="14" t="n">
        <v>25758.8</v>
      </c>
      <c r="H261" s="14" t="n">
        <v>9308.086</v>
      </c>
      <c r="I261" s="14" t="n">
        <v>16450.72</v>
      </c>
      <c r="J261" s="14" t="n">
        <v>9374.26</v>
      </c>
      <c r="K261" s="15" t="n">
        <v>0.6386</v>
      </c>
      <c r="L261" s="15" t="n">
        <v>0.3639</v>
      </c>
      <c r="M261" s="29" t="n">
        <v>53.91</v>
      </c>
    </row>
    <row r="262" customFormat="false" ht="15" hidden="false" customHeight="false" outlineLevel="0" collapsed="false">
      <c r="A262" s="24" t="n">
        <v>90366</v>
      </c>
      <c r="B262" s="8" t="s">
        <v>239</v>
      </c>
      <c r="C262" s="25" t="n">
        <v>1250</v>
      </c>
      <c r="D262" s="25" t="n">
        <v>1250</v>
      </c>
      <c r="E262" s="10" t="n">
        <v>0</v>
      </c>
      <c r="F262" s="10" t="n">
        <v>50635.5</v>
      </c>
      <c r="G262" s="10" t="n">
        <v>50635.5</v>
      </c>
      <c r="H262" s="10" t="n">
        <v>16644.605</v>
      </c>
      <c r="I262" s="10" t="n">
        <v>33990.9</v>
      </c>
      <c r="J262" s="10" t="n">
        <v>20080.31</v>
      </c>
      <c r="K262" s="11" t="n">
        <v>0.6713</v>
      </c>
      <c r="L262" s="11" t="n">
        <v>0.3966</v>
      </c>
      <c r="M262" s="26" t="n">
        <v>110</v>
      </c>
    </row>
    <row r="263" customFormat="false" ht="15" hidden="false" customHeight="false" outlineLevel="0" collapsed="false">
      <c r="A263" s="27" t="n">
        <v>90372</v>
      </c>
      <c r="B263" s="12" t="s">
        <v>240</v>
      </c>
      <c r="C263" s="28" t="n">
        <v>200</v>
      </c>
      <c r="D263" s="28" t="n">
        <v>200</v>
      </c>
      <c r="E263" s="14" t="n">
        <v>0</v>
      </c>
      <c r="F263" s="14" t="n">
        <v>3248</v>
      </c>
      <c r="G263" s="14" t="n">
        <v>3248</v>
      </c>
      <c r="H263" s="14" t="n">
        <v>1009.02</v>
      </c>
      <c r="I263" s="14" t="n">
        <v>2238.98</v>
      </c>
      <c r="J263" s="14" t="n">
        <v>1346.69</v>
      </c>
      <c r="K263" s="15" t="n">
        <v>0.6893</v>
      </c>
      <c r="L263" s="15" t="n">
        <v>0.4146</v>
      </c>
      <c r="M263" s="29" t="n">
        <v>110</v>
      </c>
    </row>
    <row r="264" customFormat="false" ht="15" hidden="false" customHeight="false" outlineLevel="0" collapsed="false">
      <c r="A264" s="24" t="n">
        <v>90375</v>
      </c>
      <c r="B264" s="8" t="s">
        <v>241</v>
      </c>
      <c r="C264" s="25" t="n">
        <v>800</v>
      </c>
      <c r="D264" s="25" t="n">
        <v>800</v>
      </c>
      <c r="E264" s="10" t="n">
        <v>0</v>
      </c>
      <c r="F264" s="10" t="n">
        <v>980</v>
      </c>
      <c r="G264" s="10" t="n">
        <v>980</v>
      </c>
      <c r="H264" s="10" t="n">
        <v>461.96</v>
      </c>
      <c r="I264" s="10" t="n">
        <v>518.04</v>
      </c>
      <c r="J264" s="10" t="n">
        <v>248.82</v>
      </c>
      <c r="K264" s="11" t="n">
        <v>0.5286</v>
      </c>
      <c r="L264" s="11" t="n">
        <v>0.2539</v>
      </c>
      <c r="M264" s="26" t="n">
        <v>110</v>
      </c>
    </row>
    <row r="265" customFormat="false" ht="15" hidden="false" customHeight="false" outlineLevel="0" collapsed="false">
      <c r="A265" s="27" t="n">
        <v>90394</v>
      </c>
      <c r="B265" s="12" t="s">
        <v>406</v>
      </c>
      <c r="C265" s="28" t="n">
        <v>7600</v>
      </c>
      <c r="D265" s="28" t="n">
        <v>7600</v>
      </c>
      <c r="E265" s="14" t="n">
        <v>0</v>
      </c>
      <c r="F265" s="14" t="n">
        <v>22116</v>
      </c>
      <c r="G265" s="14" t="n">
        <v>22116</v>
      </c>
      <c r="H265" s="14" t="n">
        <v>5254.12</v>
      </c>
      <c r="I265" s="14" t="n">
        <v>16861.88</v>
      </c>
      <c r="J265" s="14" t="n">
        <v>10786.18</v>
      </c>
      <c r="K265" s="15" t="n">
        <v>0.7624</v>
      </c>
      <c r="L265" s="15" t="n">
        <v>0.4877</v>
      </c>
      <c r="M265" s="29" t="n">
        <v>29</v>
      </c>
    </row>
    <row r="266" customFormat="false" ht="15" hidden="false" customHeight="false" outlineLevel="0" collapsed="false">
      <c r="A266" s="24" t="n">
        <v>90419</v>
      </c>
      <c r="B266" s="8" t="s">
        <v>298</v>
      </c>
      <c r="C266" s="25" t="n">
        <v>30</v>
      </c>
      <c r="D266" s="25" t="n">
        <v>30</v>
      </c>
      <c r="E266" s="10" t="n">
        <v>0</v>
      </c>
      <c r="F266" s="10" t="n">
        <v>6453.6</v>
      </c>
      <c r="G266" s="10" t="n">
        <v>6453.6</v>
      </c>
      <c r="H266" s="10" t="n">
        <v>4119.729</v>
      </c>
      <c r="I266" s="10" t="n">
        <v>2333.87</v>
      </c>
      <c r="J266" s="10" t="n">
        <v>560.94</v>
      </c>
      <c r="K266" s="11" t="n">
        <v>0.3616</v>
      </c>
      <c r="L266" s="11" t="n">
        <v>0.0869</v>
      </c>
      <c r="M266" s="26" t="n">
        <v>60</v>
      </c>
    </row>
    <row r="267" customFormat="false" ht="15" hidden="false" customHeight="false" outlineLevel="0" collapsed="false">
      <c r="A267" s="27" t="n">
        <v>90435</v>
      </c>
      <c r="B267" s="12" t="s">
        <v>244</v>
      </c>
      <c r="C267" s="28" t="n">
        <v>720</v>
      </c>
      <c r="D267" s="28" t="n">
        <v>720</v>
      </c>
      <c r="E267" s="14" t="n">
        <v>0</v>
      </c>
      <c r="F267" s="14" t="n">
        <v>18628.8</v>
      </c>
      <c r="G267" s="14" t="n">
        <v>18628.8</v>
      </c>
      <c r="H267" s="14" t="n">
        <v>3026.208</v>
      </c>
      <c r="I267" s="14" t="n">
        <v>15602.59</v>
      </c>
      <c r="J267" s="14" t="n">
        <v>10484.89</v>
      </c>
      <c r="K267" s="15" t="n">
        <v>0.8376</v>
      </c>
      <c r="L267" s="15" t="n">
        <v>0.5628</v>
      </c>
      <c r="M267" s="29" t="n">
        <v>110</v>
      </c>
    </row>
    <row r="268" customFormat="false" ht="15" hidden="false" customHeight="false" outlineLevel="0" collapsed="false">
      <c r="A268" s="24" t="n">
        <v>90530</v>
      </c>
      <c r="B268" s="8" t="s">
        <v>358</v>
      </c>
      <c r="C268" s="25" t="n">
        <v>45</v>
      </c>
      <c r="D268" s="25" t="n">
        <v>45</v>
      </c>
      <c r="E268" s="10" t="n">
        <v>0</v>
      </c>
      <c r="F268" s="10" t="n">
        <v>12541.95</v>
      </c>
      <c r="G268" s="10" t="n">
        <v>12541.95</v>
      </c>
      <c r="H268" s="10" t="n">
        <v>3583.0485</v>
      </c>
      <c r="I268" s="10" t="n">
        <v>8958.9</v>
      </c>
      <c r="J268" s="10" t="n">
        <v>5513.37</v>
      </c>
      <c r="K268" s="11" t="n">
        <v>0.7143</v>
      </c>
      <c r="L268" s="11" t="n">
        <v>0.4396</v>
      </c>
      <c r="M268" s="26" t="n">
        <v>60</v>
      </c>
    </row>
    <row r="269" customFormat="false" ht="15" hidden="false" customHeight="false" outlineLevel="0" collapsed="false">
      <c r="A269" s="27" t="n">
        <v>90540</v>
      </c>
      <c r="B269" s="12" t="s">
        <v>245</v>
      </c>
      <c r="C269" s="28" t="n">
        <v>2</v>
      </c>
      <c r="D269" s="28" t="n">
        <v>2</v>
      </c>
      <c r="E269" s="14" t="n">
        <v>0</v>
      </c>
      <c r="F269" s="14" t="n">
        <v>570.32</v>
      </c>
      <c r="G269" s="14" t="n">
        <v>570.32</v>
      </c>
      <c r="H269" s="14" t="n">
        <v>282.76</v>
      </c>
      <c r="I269" s="14" t="n">
        <v>287.56</v>
      </c>
      <c r="J269" s="14" t="n">
        <v>130.88</v>
      </c>
      <c r="K269" s="15" t="n">
        <v>0.5042</v>
      </c>
      <c r="L269" s="15" t="n">
        <v>0.2295</v>
      </c>
      <c r="M269" s="29" t="n">
        <v>32</v>
      </c>
    </row>
    <row r="270" customFormat="false" ht="15" hidden="false" customHeight="false" outlineLevel="0" collapsed="false">
      <c r="A270" s="24" t="n">
        <v>90544</v>
      </c>
      <c r="B270" s="8" t="s">
        <v>246</v>
      </c>
      <c r="C270" s="25" t="n">
        <v>170</v>
      </c>
      <c r="D270" s="25" t="n">
        <v>170</v>
      </c>
      <c r="E270" s="10" t="n">
        <v>0</v>
      </c>
      <c r="F270" s="10" t="n">
        <v>54651.6</v>
      </c>
      <c r="G270" s="10" t="n">
        <v>54651.6</v>
      </c>
      <c r="H270" s="10" t="n">
        <v>26476.14</v>
      </c>
      <c r="I270" s="10" t="n">
        <v>28175.46</v>
      </c>
      <c r="J270" s="10" t="n">
        <v>13161.57</v>
      </c>
      <c r="K270" s="11" t="n">
        <v>0.5155</v>
      </c>
      <c r="L270" s="11" t="n">
        <v>0.2408</v>
      </c>
      <c r="M270" s="26" t="n">
        <v>60</v>
      </c>
    </row>
    <row r="271" customFormat="false" ht="15" hidden="false" customHeight="false" outlineLevel="0" collapsed="false">
      <c r="A271" s="27" t="n">
        <v>90555</v>
      </c>
      <c r="B271" s="12" t="s">
        <v>245</v>
      </c>
      <c r="C271" s="28" t="n">
        <v>14</v>
      </c>
      <c r="D271" s="28" t="n">
        <v>14</v>
      </c>
      <c r="E271" s="14" t="n">
        <v>0</v>
      </c>
      <c r="F271" s="14" t="n">
        <v>4621.75</v>
      </c>
      <c r="G271" s="14" t="n">
        <v>4621.75</v>
      </c>
      <c r="H271" s="14" t="n">
        <v>2110.6295</v>
      </c>
      <c r="I271" s="14" t="n">
        <v>2511.12</v>
      </c>
      <c r="J271" s="14" t="n">
        <v>1241.43</v>
      </c>
      <c r="K271" s="15" t="n">
        <v>0.5433</v>
      </c>
      <c r="L271" s="15" t="n">
        <v>0.2686</v>
      </c>
      <c r="M271" s="29" t="n">
        <v>60</v>
      </c>
    </row>
    <row r="272" customFormat="false" ht="15" hidden="false" customHeight="false" outlineLevel="0" collapsed="false">
      <c r="A272" s="24" t="n">
        <v>90564</v>
      </c>
      <c r="B272" s="8" t="s">
        <v>301</v>
      </c>
      <c r="C272" s="25" t="n">
        <v>2158</v>
      </c>
      <c r="D272" s="25" t="n">
        <v>2158</v>
      </c>
      <c r="E272" s="10" t="n">
        <v>0</v>
      </c>
      <c r="F272" s="10" t="n">
        <v>202852</v>
      </c>
      <c r="G272" s="10" t="n">
        <v>202852</v>
      </c>
      <c r="H272" s="10" t="n">
        <v>75941.1817</v>
      </c>
      <c r="I272" s="10" t="n">
        <v>126910.82</v>
      </c>
      <c r="J272" s="10" t="n">
        <v>59114.5</v>
      </c>
      <c r="K272" s="11" t="n">
        <v>0.6256</v>
      </c>
      <c r="L272" s="11" t="n">
        <v>0.2914</v>
      </c>
      <c r="M272" s="26" t="n">
        <v>35.61</v>
      </c>
    </row>
    <row r="273" customFormat="false" ht="15" hidden="false" customHeight="false" outlineLevel="0" collapsed="false">
      <c r="A273" s="27" t="n">
        <v>90596</v>
      </c>
      <c r="B273" s="12" t="s">
        <v>422</v>
      </c>
      <c r="C273" s="28" t="n">
        <v>5</v>
      </c>
      <c r="D273" s="28" t="n">
        <v>5</v>
      </c>
      <c r="E273" s="14" t="n">
        <v>0</v>
      </c>
      <c r="F273" s="14" t="n">
        <v>1550</v>
      </c>
      <c r="G273" s="14" t="n">
        <v>1550</v>
      </c>
      <c r="H273" s="14" t="n">
        <v>511.09</v>
      </c>
      <c r="I273" s="14" t="n">
        <v>1038.91</v>
      </c>
      <c r="J273" s="14" t="n">
        <v>613.09</v>
      </c>
      <c r="K273" s="15" t="n">
        <v>0.6703</v>
      </c>
      <c r="L273" s="15" t="n">
        <v>0.3955</v>
      </c>
      <c r="M273" s="29" t="n">
        <v>30</v>
      </c>
    </row>
    <row r="274" customFormat="false" ht="15" hidden="false" customHeight="false" outlineLevel="0" collapsed="false">
      <c r="A274" s="24" t="n">
        <v>90624</v>
      </c>
      <c r="B274" s="8" t="s">
        <v>360</v>
      </c>
      <c r="C274" s="25" t="n">
        <v>52</v>
      </c>
      <c r="D274" s="25" t="n">
        <v>52</v>
      </c>
      <c r="E274" s="10" t="n">
        <v>0</v>
      </c>
      <c r="F274" s="10" t="n">
        <v>6636.26</v>
      </c>
      <c r="G274" s="10" t="n">
        <v>6636.26</v>
      </c>
      <c r="H274" s="10" t="n">
        <v>2941.51</v>
      </c>
      <c r="I274" s="10" t="n">
        <v>3694.75</v>
      </c>
      <c r="J274" s="10" t="n">
        <v>1871.64</v>
      </c>
      <c r="K274" s="11" t="n">
        <v>0.5568</v>
      </c>
      <c r="L274" s="11" t="n">
        <v>0.282</v>
      </c>
      <c r="M274" s="26" t="n">
        <v>59.11</v>
      </c>
    </row>
    <row r="275" customFormat="false" ht="15" hidden="false" customHeight="false" outlineLevel="0" collapsed="false">
      <c r="A275" s="27" t="n">
        <v>90639</v>
      </c>
      <c r="B275" s="12" t="s">
        <v>423</v>
      </c>
      <c r="C275" s="28" t="n">
        <v>10</v>
      </c>
      <c r="D275" s="28" t="n">
        <v>10</v>
      </c>
      <c r="E275" s="14" t="n">
        <v>0</v>
      </c>
      <c r="F275" s="14" t="n">
        <v>2839.4</v>
      </c>
      <c r="G275" s="14" t="n">
        <v>2839.4</v>
      </c>
      <c r="H275" s="14" t="n">
        <v>1341.42</v>
      </c>
      <c r="I275" s="14" t="n">
        <v>1497.98</v>
      </c>
      <c r="J275" s="14" t="n">
        <v>854.72</v>
      </c>
      <c r="K275" s="15" t="n">
        <v>0.5276</v>
      </c>
      <c r="L275" s="15" t="n">
        <v>0.301</v>
      </c>
      <c r="M275" s="29" t="n">
        <v>46</v>
      </c>
    </row>
    <row r="276" customFormat="false" ht="15" hidden="false" customHeight="false" outlineLevel="0" collapsed="false">
      <c r="A276" s="24" t="n">
        <v>90663</v>
      </c>
      <c r="B276" s="8" t="s">
        <v>303</v>
      </c>
      <c r="C276" s="25" t="n">
        <v>26</v>
      </c>
      <c r="D276" s="25" t="n">
        <v>26</v>
      </c>
      <c r="E276" s="10" t="n">
        <v>0</v>
      </c>
      <c r="F276" s="10" t="n">
        <v>748000</v>
      </c>
      <c r="G276" s="10" t="n">
        <v>748000</v>
      </c>
      <c r="H276" s="10" t="n">
        <v>257446.85</v>
      </c>
      <c r="I276" s="10" t="n">
        <v>490553.15</v>
      </c>
      <c r="J276" s="10" t="n">
        <v>231010.24</v>
      </c>
      <c r="K276" s="11" t="n">
        <v>0.6558</v>
      </c>
      <c r="L276" s="11" t="n">
        <v>0.3088</v>
      </c>
      <c r="M276" s="26" t="n">
        <v>162.08</v>
      </c>
    </row>
    <row r="277" customFormat="false" ht="15" hidden="false" customHeight="false" outlineLevel="0" collapsed="false">
      <c r="A277" s="27" t="n">
        <v>90671</v>
      </c>
      <c r="B277" s="12" t="s">
        <v>424</v>
      </c>
      <c r="C277" s="28" t="n">
        <v>4</v>
      </c>
      <c r="D277" s="28" t="n">
        <v>4</v>
      </c>
      <c r="E277" s="14" t="n">
        <v>0</v>
      </c>
      <c r="F277" s="14" t="n">
        <v>863.4</v>
      </c>
      <c r="G277" s="14" t="n">
        <v>863.4</v>
      </c>
      <c r="H277" s="14" t="n">
        <v>0</v>
      </c>
      <c r="I277" s="14" t="n">
        <v>863.4</v>
      </c>
      <c r="J277" s="14" t="n">
        <v>863.4</v>
      </c>
      <c r="K277" s="15" t="n">
        <v>1</v>
      </c>
      <c r="L277" s="15" t="n">
        <v>1</v>
      </c>
      <c r="M277" s="29" t="n">
        <v>30</v>
      </c>
    </row>
    <row r="278" customFormat="false" ht="15" hidden="false" customHeight="false" outlineLevel="0" collapsed="false">
      <c r="A278" s="24" t="n">
        <v>90691</v>
      </c>
      <c r="B278" s="8" t="s">
        <v>305</v>
      </c>
      <c r="C278" s="25" t="n">
        <v>11</v>
      </c>
      <c r="D278" s="25" t="n">
        <v>11</v>
      </c>
      <c r="E278" s="10" t="n">
        <v>0</v>
      </c>
      <c r="F278" s="10" t="n">
        <v>13327.2</v>
      </c>
      <c r="G278" s="10" t="n">
        <v>13327.2</v>
      </c>
      <c r="H278" s="10" t="n">
        <v>0</v>
      </c>
      <c r="I278" s="10" t="n">
        <v>13327.2</v>
      </c>
      <c r="J278" s="10" t="n">
        <v>13327.2</v>
      </c>
      <c r="K278" s="11" t="n">
        <v>1</v>
      </c>
      <c r="L278" s="11" t="n">
        <v>1</v>
      </c>
      <c r="M278" s="26" t="n">
        <v>44.2</v>
      </c>
    </row>
    <row r="279" customFormat="false" ht="15" hidden="false" customHeight="false" outlineLevel="0" collapsed="false">
      <c r="A279" s="16" t="s">
        <v>249</v>
      </c>
      <c r="B279" s="16" t="str">
        <f aca="false">COUNTA(A6:A278)&amp;" produtos"</f>
        <v>273 produtos</v>
      </c>
      <c r="C279" s="30" t="n">
        <f aca="false">SUM(C6:C278)</f>
        <v>66919</v>
      </c>
      <c r="D279" s="30" t="n">
        <f aca="false">SUM(D6:D278)</f>
        <v>66919</v>
      </c>
      <c r="E279" s="18" t="n">
        <f aca="false">SUM(E6:E278)</f>
        <v>5276.89</v>
      </c>
      <c r="F279" s="18" t="n">
        <f aca="false">SUM(F6:F278)</f>
        <v>5429773.83</v>
      </c>
      <c r="G279" s="18" t="n">
        <f aca="false">SUM(G6:G278)</f>
        <v>5435050.72</v>
      </c>
      <c r="H279" s="18" t="n">
        <f aca="false">SUM(H6:H278)</f>
        <v>2281439.7774</v>
      </c>
      <c r="I279" s="18" t="n">
        <f aca="false">SUM(I6:I278)</f>
        <v>3153610.98</v>
      </c>
      <c r="J279" s="18" t="n">
        <f aca="false">SUM(J6:J278)</f>
        <v>1697471.36</v>
      </c>
      <c r="K279" s="19" t="n">
        <f aca="false">IFERROR(I279/G279,0)</f>
        <v>0.580235795849206</v>
      </c>
      <c r="L279" s="19" t="n">
        <f aca="false">IFERROR(J279/G279,0)</f>
        <v>0.312319322753257</v>
      </c>
      <c r="M279" s="31" t="n">
        <f aca="false">IFERROR(SUMPRODUCT(M6:M278,G6:G278)/G279,0)</f>
        <v>59.8514160541449</v>
      </c>
    </row>
  </sheetData>
  <autoFilter ref="A5:M278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425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1310</v>
      </c>
      <c r="D6" s="25" t="n">
        <v>1310</v>
      </c>
      <c r="E6" s="10" t="n">
        <v>1925</v>
      </c>
      <c r="F6" s="10" t="n">
        <v>38474.14</v>
      </c>
      <c r="G6" s="10" t="n">
        <v>40399.14</v>
      </c>
      <c r="H6" s="10" t="n">
        <v>17846.4899</v>
      </c>
      <c r="I6" s="10" t="n">
        <v>22552.65</v>
      </c>
      <c r="J6" s="10" t="n">
        <v>11451.79</v>
      </c>
      <c r="K6" s="11" t="n">
        <v>0.5582</v>
      </c>
      <c r="L6" s="11" t="n">
        <v>0.2835</v>
      </c>
      <c r="M6" s="26" t="n">
        <v>40.26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250</v>
      </c>
      <c r="D7" s="28" t="n">
        <v>250</v>
      </c>
      <c r="E7" s="14" t="n">
        <v>1956.13</v>
      </c>
      <c r="F7" s="14" t="n">
        <v>79203.85</v>
      </c>
      <c r="G7" s="14" t="n">
        <v>81159.98</v>
      </c>
      <c r="H7" s="14" t="n">
        <v>21253.5496</v>
      </c>
      <c r="I7" s="14" t="n">
        <v>59906.43</v>
      </c>
      <c r="J7" s="14" t="n">
        <v>38372.42</v>
      </c>
      <c r="K7" s="15" t="n">
        <v>0.7381</v>
      </c>
      <c r="L7" s="15" t="n">
        <v>0.4728</v>
      </c>
      <c r="M7" s="29" t="n">
        <v>45.49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8</v>
      </c>
      <c r="D8" s="25" t="n">
        <v>8</v>
      </c>
      <c r="E8" s="10" t="n">
        <v>0</v>
      </c>
      <c r="F8" s="10" t="n">
        <v>765.28</v>
      </c>
      <c r="G8" s="10" t="n">
        <v>765.28</v>
      </c>
      <c r="H8" s="10" t="n">
        <v>385.84</v>
      </c>
      <c r="I8" s="10" t="n">
        <v>379.44</v>
      </c>
      <c r="J8" s="10" t="n">
        <v>169.22</v>
      </c>
      <c r="K8" s="11" t="n">
        <v>0.4958</v>
      </c>
      <c r="L8" s="11" t="n">
        <v>0.2211</v>
      </c>
      <c r="M8" s="26" t="n">
        <v>44.19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676</v>
      </c>
      <c r="D9" s="28" t="n">
        <v>676</v>
      </c>
      <c r="E9" s="14" t="n">
        <v>129.25</v>
      </c>
      <c r="F9" s="14" t="n">
        <v>65422.73</v>
      </c>
      <c r="G9" s="14" t="n">
        <v>65551.98</v>
      </c>
      <c r="H9" s="14" t="n">
        <v>17509.3478</v>
      </c>
      <c r="I9" s="14" t="n">
        <v>48042.63</v>
      </c>
      <c r="J9" s="14" t="n">
        <v>31429.9</v>
      </c>
      <c r="K9" s="15" t="n">
        <v>0.7329</v>
      </c>
      <c r="L9" s="15" t="n">
        <v>0.4795</v>
      </c>
      <c r="M9" s="29" t="n">
        <v>40.73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36</v>
      </c>
      <c r="D10" s="25" t="n">
        <v>36</v>
      </c>
      <c r="E10" s="10" t="n">
        <v>190.84</v>
      </c>
      <c r="F10" s="10" t="n">
        <v>2150.88</v>
      </c>
      <c r="G10" s="10" t="n">
        <v>2341.72</v>
      </c>
      <c r="H10" s="10" t="n">
        <v>355.37</v>
      </c>
      <c r="I10" s="10" t="n">
        <v>1986.35</v>
      </c>
      <c r="J10" s="10" t="n">
        <v>1343.05</v>
      </c>
      <c r="K10" s="11" t="n">
        <v>0.8482</v>
      </c>
      <c r="L10" s="11" t="n">
        <v>0.5735</v>
      </c>
      <c r="M10" s="26" t="n">
        <v>45.96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343</v>
      </c>
      <c r="D11" s="28" t="n">
        <v>343</v>
      </c>
      <c r="E11" s="14" t="n">
        <v>0</v>
      </c>
      <c r="F11" s="14" t="n">
        <v>105985.38</v>
      </c>
      <c r="G11" s="14" t="n">
        <v>105985.38</v>
      </c>
      <c r="H11" s="14" t="n">
        <v>29514.2445</v>
      </c>
      <c r="I11" s="14" t="n">
        <v>76471.14</v>
      </c>
      <c r="J11" s="14" t="n">
        <v>49008.67</v>
      </c>
      <c r="K11" s="15" t="n">
        <v>0.7215</v>
      </c>
      <c r="L11" s="15" t="n">
        <v>0.4624</v>
      </c>
      <c r="M11" s="29" t="n">
        <v>45.61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1946</v>
      </c>
      <c r="D12" s="25" t="n">
        <v>1946</v>
      </c>
      <c r="E12" s="10" t="n">
        <v>8898.96</v>
      </c>
      <c r="F12" s="10" t="n">
        <v>305207.82</v>
      </c>
      <c r="G12" s="10" t="n">
        <v>314106.78</v>
      </c>
      <c r="H12" s="10" t="n">
        <v>131721.2073</v>
      </c>
      <c r="I12" s="10" t="n">
        <v>182385.58</v>
      </c>
      <c r="J12" s="10" t="n">
        <v>101478.87</v>
      </c>
      <c r="K12" s="11" t="n">
        <v>0.5806</v>
      </c>
      <c r="L12" s="11" t="n">
        <v>0.3231</v>
      </c>
      <c r="M12" s="26" t="n">
        <v>44.96</v>
      </c>
    </row>
    <row r="13" customFormat="false" ht="15" hidden="false" customHeight="false" outlineLevel="0" collapsed="false">
      <c r="A13" s="27" t="n">
        <v>10012</v>
      </c>
      <c r="B13" s="12" t="s">
        <v>362</v>
      </c>
      <c r="C13" s="28" t="n">
        <v>1</v>
      </c>
      <c r="D13" s="28" t="n">
        <v>1</v>
      </c>
      <c r="E13" s="14" t="n">
        <v>0</v>
      </c>
      <c r="F13" s="14" t="n">
        <v>55.8</v>
      </c>
      <c r="G13" s="14" t="n">
        <v>55.8</v>
      </c>
      <c r="H13" s="14" t="n">
        <v>10.27</v>
      </c>
      <c r="I13" s="14" t="n">
        <v>45.53</v>
      </c>
      <c r="J13" s="14" t="n">
        <v>30.2</v>
      </c>
      <c r="K13" s="15" t="n">
        <v>0.8159</v>
      </c>
      <c r="L13" s="15" t="n">
        <v>0.5412</v>
      </c>
      <c r="M13" s="29" t="n">
        <v>50</v>
      </c>
    </row>
    <row r="14" customFormat="false" ht="15" hidden="false" customHeight="false" outlineLevel="0" collapsed="false">
      <c r="A14" s="24" t="n">
        <v>10018</v>
      </c>
      <c r="B14" s="8" t="s">
        <v>38</v>
      </c>
      <c r="C14" s="25" t="n">
        <v>16</v>
      </c>
      <c r="D14" s="25" t="n">
        <v>16</v>
      </c>
      <c r="E14" s="10" t="n">
        <v>0</v>
      </c>
      <c r="F14" s="10" t="n">
        <v>1332.4</v>
      </c>
      <c r="G14" s="10" t="n">
        <v>1332.4</v>
      </c>
      <c r="H14" s="10" t="n">
        <v>551.71</v>
      </c>
      <c r="I14" s="10" t="n">
        <v>780.69</v>
      </c>
      <c r="J14" s="10" t="n">
        <v>430.05</v>
      </c>
      <c r="K14" s="11" t="n">
        <v>0.5859</v>
      </c>
      <c r="L14" s="11" t="n">
        <v>0.3228</v>
      </c>
      <c r="M14" s="26" t="n">
        <v>50</v>
      </c>
    </row>
    <row r="15" customFormat="false" ht="15" hidden="false" customHeight="false" outlineLevel="0" collapsed="false">
      <c r="A15" s="27" t="n">
        <v>10021</v>
      </c>
      <c r="B15" s="12" t="s">
        <v>41</v>
      </c>
      <c r="C15" s="28" t="n">
        <v>7</v>
      </c>
      <c r="D15" s="28" t="n">
        <v>7</v>
      </c>
      <c r="E15" s="14" t="n">
        <v>0</v>
      </c>
      <c r="F15" s="14" t="n">
        <v>2920.89</v>
      </c>
      <c r="G15" s="14" t="n">
        <v>2920.89</v>
      </c>
      <c r="H15" s="14" t="n">
        <v>527.38</v>
      </c>
      <c r="I15" s="14" t="n">
        <v>2393.51</v>
      </c>
      <c r="J15" s="14" t="n">
        <v>1591.08</v>
      </c>
      <c r="K15" s="15" t="n">
        <v>0.8194</v>
      </c>
      <c r="L15" s="15" t="n">
        <v>0.5447</v>
      </c>
      <c r="M15" s="29" t="n">
        <v>45</v>
      </c>
    </row>
    <row r="16" customFormat="false" ht="15" hidden="false" customHeight="false" outlineLevel="0" collapsed="false">
      <c r="A16" s="24" t="n">
        <v>10022</v>
      </c>
      <c r="B16" s="8" t="s">
        <v>42</v>
      </c>
      <c r="C16" s="25" t="n">
        <v>1</v>
      </c>
      <c r="D16" s="25" t="n">
        <v>1</v>
      </c>
      <c r="E16" s="10" t="n">
        <v>0</v>
      </c>
      <c r="F16" s="10" t="n">
        <v>356.28</v>
      </c>
      <c r="G16" s="10" t="n">
        <v>356.28</v>
      </c>
      <c r="H16" s="10" t="n">
        <v>80.79</v>
      </c>
      <c r="I16" s="10" t="n">
        <v>275.49</v>
      </c>
      <c r="J16" s="10" t="n">
        <v>177.61</v>
      </c>
      <c r="K16" s="11" t="n">
        <v>0.7732</v>
      </c>
      <c r="L16" s="11" t="n">
        <v>0.4985</v>
      </c>
      <c r="M16" s="26" t="n">
        <v>60</v>
      </c>
    </row>
    <row r="17" customFormat="false" ht="15" hidden="false" customHeight="false" outlineLevel="0" collapsed="false">
      <c r="A17" s="27" t="n">
        <v>10024</v>
      </c>
      <c r="B17" s="12" t="s">
        <v>43</v>
      </c>
      <c r="C17" s="28" t="n">
        <v>247</v>
      </c>
      <c r="D17" s="28" t="n">
        <v>247</v>
      </c>
      <c r="E17" s="14" t="n">
        <v>0</v>
      </c>
      <c r="F17" s="14" t="n">
        <v>11920.22</v>
      </c>
      <c r="G17" s="14" t="n">
        <v>11920.22</v>
      </c>
      <c r="H17" s="14" t="n">
        <v>1827.966</v>
      </c>
      <c r="I17" s="14" t="n">
        <v>10092.25</v>
      </c>
      <c r="J17" s="14" t="n">
        <v>6817.53</v>
      </c>
      <c r="K17" s="15" t="n">
        <v>0.8466</v>
      </c>
      <c r="L17" s="15" t="n">
        <v>0.5719</v>
      </c>
      <c r="M17" s="29" t="n">
        <v>50</v>
      </c>
    </row>
    <row r="18" customFormat="false" ht="15" hidden="false" customHeight="false" outlineLevel="0" collapsed="false">
      <c r="A18" s="24" t="n">
        <v>10025</v>
      </c>
      <c r="B18" s="8" t="s">
        <v>44</v>
      </c>
      <c r="C18" s="25" t="n">
        <v>97</v>
      </c>
      <c r="D18" s="25" t="n">
        <v>97</v>
      </c>
      <c r="E18" s="10" t="n">
        <v>0</v>
      </c>
      <c r="F18" s="10" t="n">
        <v>6870.23</v>
      </c>
      <c r="G18" s="10" t="n">
        <v>6870.23</v>
      </c>
      <c r="H18" s="10" t="n">
        <v>699.2014</v>
      </c>
      <c r="I18" s="10" t="n">
        <v>6171.03</v>
      </c>
      <c r="J18" s="10" t="n">
        <v>4321.24</v>
      </c>
      <c r="K18" s="11" t="n">
        <v>0.8982</v>
      </c>
      <c r="L18" s="11" t="n">
        <v>0.629</v>
      </c>
      <c r="M18" s="26" t="n">
        <v>47.74</v>
      </c>
    </row>
    <row r="19" customFormat="false" ht="15" hidden="false" customHeight="false" outlineLevel="0" collapsed="false">
      <c r="A19" s="27" t="n">
        <v>10027</v>
      </c>
      <c r="B19" s="12" t="s">
        <v>45</v>
      </c>
      <c r="C19" s="28" t="n">
        <v>71</v>
      </c>
      <c r="D19" s="28" t="n">
        <v>71</v>
      </c>
      <c r="E19" s="14" t="n">
        <v>0</v>
      </c>
      <c r="F19" s="14" t="n">
        <v>56488.96</v>
      </c>
      <c r="G19" s="14" t="n">
        <v>56488.96</v>
      </c>
      <c r="H19" s="14" t="n">
        <v>25708.7502</v>
      </c>
      <c r="I19" s="14" t="n">
        <v>30780.21</v>
      </c>
      <c r="J19" s="14" t="n">
        <v>18951.63</v>
      </c>
      <c r="K19" s="15" t="n">
        <v>0.5449</v>
      </c>
      <c r="L19" s="15" t="n">
        <v>0.3355</v>
      </c>
      <c r="M19" s="29" t="n">
        <v>35.4</v>
      </c>
    </row>
    <row r="20" customFormat="false" ht="15" hidden="false" customHeight="false" outlineLevel="0" collapsed="false">
      <c r="A20" s="24" t="n">
        <v>10031</v>
      </c>
      <c r="B20" s="8" t="s">
        <v>46</v>
      </c>
      <c r="C20" s="25" t="n">
        <v>20</v>
      </c>
      <c r="D20" s="25" t="n">
        <v>20</v>
      </c>
      <c r="E20" s="10" t="n">
        <v>0</v>
      </c>
      <c r="F20" s="10" t="n">
        <v>614</v>
      </c>
      <c r="G20" s="10" t="n">
        <v>614</v>
      </c>
      <c r="H20" s="10" t="n">
        <v>118.09</v>
      </c>
      <c r="I20" s="10" t="n">
        <v>495.91</v>
      </c>
      <c r="J20" s="10" t="n">
        <v>327.22</v>
      </c>
      <c r="K20" s="11" t="n">
        <v>0.8077</v>
      </c>
      <c r="L20" s="11" t="n">
        <v>0.5329</v>
      </c>
      <c r="M20" s="26" t="n">
        <v>51.8</v>
      </c>
    </row>
    <row r="21" customFormat="false" ht="15" hidden="false" customHeight="false" outlineLevel="0" collapsed="false">
      <c r="A21" s="27" t="n">
        <v>10035</v>
      </c>
      <c r="B21" s="12" t="s">
        <v>47</v>
      </c>
      <c r="C21" s="28" t="n">
        <v>2</v>
      </c>
      <c r="D21" s="28" t="n">
        <v>2</v>
      </c>
      <c r="E21" s="14" t="n">
        <v>0</v>
      </c>
      <c r="F21" s="14" t="n">
        <v>670.5</v>
      </c>
      <c r="G21" s="14" t="n">
        <v>670.5</v>
      </c>
      <c r="H21" s="14" t="n">
        <v>221.3</v>
      </c>
      <c r="I21" s="14" t="n">
        <v>449.2</v>
      </c>
      <c r="J21" s="14" t="n">
        <v>297.31</v>
      </c>
      <c r="K21" s="15" t="n">
        <v>0.6699</v>
      </c>
      <c r="L21" s="15" t="n">
        <v>0.4434</v>
      </c>
      <c r="M21" s="29" t="n">
        <v>7</v>
      </c>
    </row>
    <row r="22" customFormat="false" ht="15" hidden="false" customHeight="false" outlineLevel="0" collapsed="false">
      <c r="A22" s="24" t="n">
        <v>10038</v>
      </c>
      <c r="B22" s="8" t="s">
        <v>47</v>
      </c>
      <c r="C22" s="25" t="n">
        <v>15</v>
      </c>
      <c r="D22" s="25" t="n">
        <v>15</v>
      </c>
      <c r="E22" s="10" t="n">
        <v>0</v>
      </c>
      <c r="F22" s="10" t="n">
        <v>4084.35</v>
      </c>
      <c r="G22" s="10" t="n">
        <v>4084.35</v>
      </c>
      <c r="H22" s="10" t="n">
        <v>1290.59</v>
      </c>
      <c r="I22" s="10" t="n">
        <v>2793.76</v>
      </c>
      <c r="J22" s="10" t="n">
        <v>1671.71</v>
      </c>
      <c r="K22" s="11" t="n">
        <v>0.684</v>
      </c>
      <c r="L22" s="11" t="n">
        <v>0.4093</v>
      </c>
      <c r="M22" s="26" t="n">
        <v>50</v>
      </c>
    </row>
    <row r="23" customFormat="false" ht="15" hidden="false" customHeight="false" outlineLevel="0" collapsed="false">
      <c r="A23" s="27" t="n">
        <v>10044</v>
      </c>
      <c r="B23" s="12" t="s">
        <v>48</v>
      </c>
      <c r="C23" s="28" t="n">
        <v>129</v>
      </c>
      <c r="D23" s="28" t="n">
        <v>129</v>
      </c>
      <c r="E23" s="14" t="n">
        <v>569.52</v>
      </c>
      <c r="F23" s="14" t="n">
        <v>7029.06</v>
      </c>
      <c r="G23" s="14" t="n">
        <v>7598.58</v>
      </c>
      <c r="H23" s="14" t="n">
        <v>922.9808</v>
      </c>
      <c r="I23" s="14" t="n">
        <v>6675.6</v>
      </c>
      <c r="J23" s="14" t="n">
        <v>4665.83</v>
      </c>
      <c r="K23" s="15" t="n">
        <v>0.8785</v>
      </c>
      <c r="L23" s="15" t="n">
        <v>0.614</v>
      </c>
      <c r="M23" s="29" t="n">
        <v>45.9</v>
      </c>
    </row>
    <row r="24" customFormat="false" ht="15" hidden="false" customHeight="false" outlineLevel="0" collapsed="false">
      <c r="A24" s="24" t="n">
        <v>10047</v>
      </c>
      <c r="B24" s="8" t="s">
        <v>251</v>
      </c>
      <c r="C24" s="25" t="n">
        <v>10</v>
      </c>
      <c r="D24" s="25" t="n">
        <v>10</v>
      </c>
      <c r="E24" s="10" t="n">
        <v>0</v>
      </c>
      <c r="F24" s="10" t="n">
        <v>3726.6</v>
      </c>
      <c r="G24" s="10" t="n">
        <v>3726.6</v>
      </c>
      <c r="H24" s="10" t="n">
        <v>944.11</v>
      </c>
      <c r="I24" s="10" t="n">
        <v>2782.49</v>
      </c>
      <c r="J24" s="10" t="n">
        <v>1758.72</v>
      </c>
      <c r="K24" s="11" t="n">
        <v>0.7467</v>
      </c>
      <c r="L24" s="11" t="n">
        <v>0.4719</v>
      </c>
      <c r="M24" s="26" t="n">
        <v>45</v>
      </c>
    </row>
    <row r="25" customFormat="false" ht="15" hidden="false" customHeight="false" outlineLevel="0" collapsed="false">
      <c r="A25" s="27" t="n">
        <v>10052</v>
      </c>
      <c r="B25" s="12" t="s">
        <v>49</v>
      </c>
      <c r="C25" s="28" t="n">
        <v>166</v>
      </c>
      <c r="D25" s="28" t="n">
        <v>166</v>
      </c>
      <c r="E25" s="14" t="n">
        <v>0</v>
      </c>
      <c r="F25" s="14" t="n">
        <v>16912.88</v>
      </c>
      <c r="G25" s="14" t="n">
        <v>16912.88</v>
      </c>
      <c r="H25" s="14" t="n">
        <v>1718.5916</v>
      </c>
      <c r="I25" s="14" t="n">
        <v>15194.29</v>
      </c>
      <c r="J25" s="14" t="n">
        <v>11638.93</v>
      </c>
      <c r="K25" s="15" t="n">
        <v>0.8984</v>
      </c>
      <c r="L25" s="15" t="n">
        <v>0.6882</v>
      </c>
      <c r="M25" s="29" t="n">
        <v>30.41</v>
      </c>
    </row>
    <row r="26" customFormat="false" ht="15" hidden="false" customHeight="false" outlineLevel="0" collapsed="false">
      <c r="A26" s="24" t="n">
        <v>10064</v>
      </c>
      <c r="B26" s="8" t="s">
        <v>50</v>
      </c>
      <c r="C26" s="25" t="n">
        <v>1134</v>
      </c>
      <c r="D26" s="25" t="n">
        <v>1134</v>
      </c>
      <c r="E26" s="10" t="n">
        <v>123.02</v>
      </c>
      <c r="F26" s="10" t="n">
        <v>15430.7</v>
      </c>
      <c r="G26" s="10" t="n">
        <v>15553.72</v>
      </c>
      <c r="H26" s="10" t="n">
        <v>7126.0318</v>
      </c>
      <c r="I26" s="10" t="n">
        <v>8427.69</v>
      </c>
      <c r="J26" s="10" t="n">
        <v>4217.35</v>
      </c>
      <c r="K26" s="11" t="n">
        <v>0.5418</v>
      </c>
      <c r="L26" s="11" t="n">
        <v>0.2711</v>
      </c>
      <c r="M26" s="26" t="n">
        <v>48.16</v>
      </c>
    </row>
    <row r="27" customFormat="false" ht="15" hidden="false" customHeight="false" outlineLevel="0" collapsed="false">
      <c r="A27" s="27" t="n">
        <v>10068</v>
      </c>
      <c r="B27" s="12" t="s">
        <v>51</v>
      </c>
      <c r="C27" s="28" t="n">
        <v>3</v>
      </c>
      <c r="D27" s="28" t="n">
        <v>3</v>
      </c>
      <c r="E27" s="14" t="n">
        <v>0</v>
      </c>
      <c r="F27" s="14" t="n">
        <v>1144.71</v>
      </c>
      <c r="G27" s="14" t="n">
        <v>1144.71</v>
      </c>
      <c r="H27" s="14" t="n">
        <v>283.6401</v>
      </c>
      <c r="I27" s="14" t="n">
        <v>861.07</v>
      </c>
      <c r="J27" s="14" t="n">
        <v>546.59</v>
      </c>
      <c r="K27" s="15" t="n">
        <v>0.7522</v>
      </c>
      <c r="L27" s="15" t="n">
        <v>0.4775</v>
      </c>
      <c r="M27" s="29" t="n">
        <v>47</v>
      </c>
    </row>
    <row r="28" customFormat="false" ht="15" hidden="false" customHeight="false" outlineLevel="0" collapsed="false">
      <c r="A28" s="24" t="n">
        <v>10075</v>
      </c>
      <c r="B28" s="8" t="s">
        <v>52</v>
      </c>
      <c r="C28" s="25" t="n">
        <v>4</v>
      </c>
      <c r="D28" s="25" t="n">
        <v>4</v>
      </c>
      <c r="E28" s="10" t="n">
        <v>76.78</v>
      </c>
      <c r="F28" s="10" t="n">
        <v>24.25</v>
      </c>
      <c r="G28" s="10" t="n">
        <v>101.03</v>
      </c>
      <c r="H28" s="10" t="n">
        <v>9.2301</v>
      </c>
      <c r="I28" s="10" t="n">
        <v>91.8</v>
      </c>
      <c r="J28" s="10" t="n">
        <v>64.04</v>
      </c>
      <c r="K28" s="11" t="n">
        <v>0.9086</v>
      </c>
      <c r="L28" s="11" t="n">
        <v>0.6339</v>
      </c>
      <c r="M28" s="26" t="n">
        <v>5.48</v>
      </c>
    </row>
    <row r="29" customFormat="false" ht="15" hidden="false" customHeight="false" outlineLevel="0" collapsed="false">
      <c r="A29" s="27" t="n">
        <v>10081</v>
      </c>
      <c r="B29" s="12" t="s">
        <v>318</v>
      </c>
      <c r="C29" s="28" t="n">
        <v>3</v>
      </c>
      <c r="D29" s="28" t="n">
        <v>3</v>
      </c>
      <c r="E29" s="14" t="n">
        <v>0</v>
      </c>
      <c r="F29" s="14" t="n">
        <v>834.75</v>
      </c>
      <c r="G29" s="14" t="n">
        <v>834.75</v>
      </c>
      <c r="H29" s="14" t="n">
        <v>99.1899</v>
      </c>
      <c r="I29" s="14" t="n">
        <v>735.56</v>
      </c>
      <c r="J29" s="14" t="n">
        <v>506.24</v>
      </c>
      <c r="K29" s="15" t="n">
        <v>0.8812</v>
      </c>
      <c r="L29" s="15" t="n">
        <v>0.6065</v>
      </c>
      <c r="M29" s="29" t="n">
        <v>50</v>
      </c>
    </row>
    <row r="30" customFormat="false" ht="15" hidden="false" customHeight="false" outlineLevel="0" collapsed="false">
      <c r="A30" s="24" t="n">
        <v>10084</v>
      </c>
      <c r="B30" s="8" t="s">
        <v>53</v>
      </c>
      <c r="C30" s="25" t="n">
        <v>681</v>
      </c>
      <c r="D30" s="25" t="n">
        <v>681</v>
      </c>
      <c r="E30" s="10" t="n">
        <v>0</v>
      </c>
      <c r="F30" s="10" t="n">
        <v>9292.21</v>
      </c>
      <c r="G30" s="10" t="n">
        <v>9292.21</v>
      </c>
      <c r="H30" s="10" t="n">
        <v>2954.3497</v>
      </c>
      <c r="I30" s="10" t="n">
        <v>6337.88</v>
      </c>
      <c r="J30" s="10" t="n">
        <v>3834.69</v>
      </c>
      <c r="K30" s="11" t="n">
        <v>0.6821</v>
      </c>
      <c r="L30" s="11" t="n">
        <v>0.4127</v>
      </c>
      <c r="M30" s="26" t="n">
        <v>45</v>
      </c>
    </row>
    <row r="31" customFormat="false" ht="15" hidden="false" customHeight="false" outlineLevel="0" collapsed="false">
      <c r="A31" s="27" t="n">
        <v>10087</v>
      </c>
      <c r="B31" s="12" t="s">
        <v>54</v>
      </c>
      <c r="C31" s="28" t="n">
        <v>77</v>
      </c>
      <c r="D31" s="28" t="n">
        <v>77</v>
      </c>
      <c r="E31" s="14" t="n">
        <v>18.5</v>
      </c>
      <c r="F31" s="14" t="n">
        <v>1270.2</v>
      </c>
      <c r="G31" s="14" t="n">
        <v>1288.7</v>
      </c>
      <c r="H31" s="14" t="n">
        <v>425.9398</v>
      </c>
      <c r="I31" s="14" t="n">
        <v>862.76</v>
      </c>
      <c r="J31" s="14" t="n">
        <v>510.36</v>
      </c>
      <c r="K31" s="15" t="n">
        <v>0.6695</v>
      </c>
      <c r="L31" s="15" t="n">
        <v>0.396</v>
      </c>
      <c r="M31" s="29" t="n">
        <v>50.06</v>
      </c>
    </row>
    <row r="32" customFormat="false" ht="15" hidden="false" customHeight="false" outlineLevel="0" collapsed="false">
      <c r="A32" s="24" t="n">
        <v>10088</v>
      </c>
      <c r="B32" s="8" t="s">
        <v>55</v>
      </c>
      <c r="C32" s="25" t="n">
        <v>98</v>
      </c>
      <c r="D32" s="25" t="n">
        <v>98</v>
      </c>
      <c r="E32" s="10" t="n">
        <v>0</v>
      </c>
      <c r="F32" s="10" t="n">
        <v>5380.2</v>
      </c>
      <c r="G32" s="10" t="n">
        <v>5380.2</v>
      </c>
      <c r="H32" s="10" t="n">
        <v>1218.4046</v>
      </c>
      <c r="I32" s="10" t="n">
        <v>4161.8</v>
      </c>
      <c r="J32" s="10" t="n">
        <v>2683.75</v>
      </c>
      <c r="K32" s="11" t="n">
        <v>0.7735</v>
      </c>
      <c r="L32" s="11" t="n">
        <v>0.4988</v>
      </c>
      <c r="M32" s="26" t="n">
        <v>5</v>
      </c>
    </row>
    <row r="33" customFormat="false" ht="15" hidden="false" customHeight="false" outlineLevel="0" collapsed="false">
      <c r="A33" s="27" t="n">
        <v>10089</v>
      </c>
      <c r="B33" s="12" t="s">
        <v>313</v>
      </c>
      <c r="C33" s="28" t="n">
        <v>1</v>
      </c>
      <c r="D33" s="28" t="n">
        <v>1</v>
      </c>
      <c r="E33" s="14" t="n">
        <v>0</v>
      </c>
      <c r="F33" s="14" t="n">
        <v>351</v>
      </c>
      <c r="G33" s="14" t="n">
        <v>351</v>
      </c>
      <c r="H33" s="14" t="n">
        <v>84.72</v>
      </c>
      <c r="I33" s="14" t="n">
        <v>266.28</v>
      </c>
      <c r="J33" s="14" t="n">
        <v>169.85</v>
      </c>
      <c r="K33" s="15" t="n">
        <v>0.7586</v>
      </c>
      <c r="L33" s="15" t="n">
        <v>0.4839</v>
      </c>
      <c r="M33" s="29" t="n">
        <v>47</v>
      </c>
    </row>
    <row r="34" customFormat="false" ht="15" hidden="false" customHeight="false" outlineLevel="0" collapsed="false">
      <c r="A34" s="24" t="n">
        <v>10090</v>
      </c>
      <c r="B34" s="8" t="s">
        <v>56</v>
      </c>
      <c r="C34" s="25" t="n">
        <v>30</v>
      </c>
      <c r="D34" s="25" t="n">
        <v>30</v>
      </c>
      <c r="E34" s="10" t="n">
        <v>0</v>
      </c>
      <c r="F34" s="10" t="n">
        <v>7083</v>
      </c>
      <c r="G34" s="10" t="n">
        <v>7083</v>
      </c>
      <c r="H34" s="10" t="n">
        <v>1895.93</v>
      </c>
      <c r="I34" s="10" t="n">
        <v>5187.07</v>
      </c>
      <c r="J34" s="10" t="n">
        <v>3241.24</v>
      </c>
      <c r="K34" s="11" t="n">
        <v>0.7323</v>
      </c>
      <c r="L34" s="11" t="n">
        <v>0.4576</v>
      </c>
      <c r="M34" s="26" t="n">
        <v>28</v>
      </c>
    </row>
    <row r="35" customFormat="false" ht="15" hidden="false" customHeight="false" outlineLevel="0" collapsed="false">
      <c r="A35" s="27" t="n">
        <v>10091</v>
      </c>
      <c r="B35" s="12" t="s">
        <v>57</v>
      </c>
      <c r="C35" s="28" t="n">
        <v>6</v>
      </c>
      <c r="D35" s="28" t="n">
        <v>6</v>
      </c>
      <c r="E35" s="14" t="n">
        <v>0</v>
      </c>
      <c r="F35" s="14" t="n">
        <v>340.56</v>
      </c>
      <c r="G35" s="14" t="n">
        <v>340.56</v>
      </c>
      <c r="H35" s="14" t="n">
        <v>131.13</v>
      </c>
      <c r="I35" s="14" t="n">
        <v>209.43</v>
      </c>
      <c r="J35" s="14" t="n">
        <v>115.88</v>
      </c>
      <c r="K35" s="15" t="n">
        <v>0.615</v>
      </c>
      <c r="L35" s="15" t="n">
        <v>0.3403</v>
      </c>
      <c r="M35" s="29" t="n">
        <v>51</v>
      </c>
    </row>
    <row r="36" customFormat="false" ht="15" hidden="false" customHeight="false" outlineLevel="0" collapsed="false">
      <c r="A36" s="24" t="n">
        <v>10097</v>
      </c>
      <c r="B36" s="8" t="s">
        <v>58</v>
      </c>
      <c r="C36" s="25" t="n">
        <v>3310</v>
      </c>
      <c r="D36" s="25" t="n">
        <v>3310</v>
      </c>
      <c r="E36" s="10" t="n">
        <v>0</v>
      </c>
      <c r="F36" s="10" t="n">
        <v>12574</v>
      </c>
      <c r="G36" s="10" t="n">
        <v>12574</v>
      </c>
      <c r="H36" s="10" t="n">
        <v>3206.222</v>
      </c>
      <c r="I36" s="10" t="n">
        <v>9367.78</v>
      </c>
      <c r="J36" s="10" t="n">
        <v>5913.46</v>
      </c>
      <c r="K36" s="11" t="n">
        <v>0.745</v>
      </c>
      <c r="L36" s="11" t="n">
        <v>0.4703</v>
      </c>
      <c r="M36" s="26" t="n">
        <v>57.91</v>
      </c>
    </row>
    <row r="37" customFormat="false" ht="15" hidden="false" customHeight="false" outlineLevel="0" collapsed="false">
      <c r="A37" s="27" t="n">
        <v>10098</v>
      </c>
      <c r="B37" s="12" t="s">
        <v>59</v>
      </c>
      <c r="C37" s="28" t="n">
        <v>70</v>
      </c>
      <c r="D37" s="28" t="n">
        <v>70</v>
      </c>
      <c r="E37" s="14" t="n">
        <v>203.68</v>
      </c>
      <c r="F37" s="14" t="n">
        <v>12399.22</v>
      </c>
      <c r="G37" s="14" t="n">
        <v>12602.9</v>
      </c>
      <c r="H37" s="14" t="n">
        <v>4033.9996</v>
      </c>
      <c r="I37" s="14" t="n">
        <v>8568.9</v>
      </c>
      <c r="J37" s="14" t="n">
        <v>5296.11</v>
      </c>
      <c r="K37" s="15" t="n">
        <v>0.6799</v>
      </c>
      <c r="L37" s="15" t="n">
        <v>0.4202</v>
      </c>
      <c r="M37" s="29" t="n">
        <v>42.33</v>
      </c>
    </row>
    <row r="38" customFormat="false" ht="15" hidden="false" customHeight="false" outlineLevel="0" collapsed="false">
      <c r="A38" s="24" t="n">
        <v>10100</v>
      </c>
      <c r="B38" s="8" t="s">
        <v>252</v>
      </c>
      <c r="C38" s="25" t="n">
        <v>7</v>
      </c>
      <c r="D38" s="25" t="n">
        <v>7</v>
      </c>
      <c r="E38" s="10" t="n">
        <v>0</v>
      </c>
      <c r="F38" s="10" t="n">
        <v>126.83</v>
      </c>
      <c r="G38" s="10" t="n">
        <v>126.83</v>
      </c>
      <c r="H38" s="10" t="n">
        <v>65.4302</v>
      </c>
      <c r="I38" s="10" t="n">
        <v>61.4</v>
      </c>
      <c r="J38" s="10" t="n">
        <v>30.99</v>
      </c>
      <c r="K38" s="11" t="n">
        <v>0.4841</v>
      </c>
      <c r="L38" s="11" t="n">
        <v>0.2443</v>
      </c>
      <c r="M38" s="26" t="n">
        <v>51.64</v>
      </c>
    </row>
    <row r="39" customFormat="false" ht="15" hidden="false" customHeight="false" outlineLevel="0" collapsed="false">
      <c r="A39" s="27" t="n">
        <v>10102</v>
      </c>
      <c r="B39" s="12" t="s">
        <v>253</v>
      </c>
      <c r="C39" s="28" t="n">
        <v>1</v>
      </c>
      <c r="D39" s="28" t="n">
        <v>1</v>
      </c>
      <c r="E39" s="14" t="n">
        <v>193.36</v>
      </c>
      <c r="F39" s="14" t="n">
        <v>0</v>
      </c>
      <c r="G39" s="14" t="n">
        <v>193.36</v>
      </c>
      <c r="H39" s="14" t="n">
        <v>61.81</v>
      </c>
      <c r="I39" s="14" t="n">
        <v>131.55</v>
      </c>
      <c r="J39" s="14" t="n">
        <v>78.43</v>
      </c>
      <c r="K39" s="15" t="n">
        <v>0.6803</v>
      </c>
      <c r="L39" s="15" t="n">
        <v>0.4056</v>
      </c>
      <c r="M39" s="29" t="n">
        <v>5</v>
      </c>
    </row>
    <row r="40" customFormat="false" ht="15" hidden="false" customHeight="false" outlineLevel="0" collapsed="false">
      <c r="A40" s="24" t="n">
        <v>10106</v>
      </c>
      <c r="B40" s="8" t="s">
        <v>254</v>
      </c>
      <c r="C40" s="25" t="n">
        <v>70</v>
      </c>
      <c r="D40" s="25" t="n">
        <v>70</v>
      </c>
      <c r="E40" s="10" t="n">
        <v>0</v>
      </c>
      <c r="F40" s="10" t="n">
        <v>707</v>
      </c>
      <c r="G40" s="10" t="n">
        <v>707</v>
      </c>
      <c r="H40" s="10" t="n">
        <v>317.6199</v>
      </c>
      <c r="I40" s="10" t="n">
        <v>389.38</v>
      </c>
      <c r="J40" s="10" t="n">
        <v>192.08</v>
      </c>
      <c r="K40" s="11" t="n">
        <v>0.5507</v>
      </c>
      <c r="L40" s="11" t="n">
        <v>0.2717</v>
      </c>
      <c r="M40" s="26" t="n">
        <v>50</v>
      </c>
    </row>
    <row r="41" customFormat="false" ht="15" hidden="false" customHeight="false" outlineLevel="0" collapsed="false">
      <c r="A41" s="27" t="n">
        <v>10107</v>
      </c>
      <c r="B41" s="12" t="s">
        <v>40</v>
      </c>
      <c r="C41" s="28" t="n">
        <v>171</v>
      </c>
      <c r="D41" s="28" t="n">
        <v>171</v>
      </c>
      <c r="E41" s="14" t="n">
        <v>0</v>
      </c>
      <c r="F41" s="14" t="n">
        <v>25851.31</v>
      </c>
      <c r="G41" s="14" t="n">
        <v>25851.31</v>
      </c>
      <c r="H41" s="14" t="n">
        <v>10992.4695</v>
      </c>
      <c r="I41" s="14" t="n">
        <v>14858.84</v>
      </c>
      <c r="J41" s="14" t="n">
        <v>7800.89</v>
      </c>
      <c r="K41" s="15" t="n">
        <v>0.5748</v>
      </c>
      <c r="L41" s="15" t="n">
        <v>0.3018</v>
      </c>
      <c r="M41" s="29" t="n">
        <v>49.3</v>
      </c>
    </row>
    <row r="42" customFormat="false" ht="15" hidden="false" customHeight="false" outlineLevel="0" collapsed="false">
      <c r="A42" s="24" t="n">
        <v>10108</v>
      </c>
      <c r="B42" s="8" t="s">
        <v>60</v>
      </c>
      <c r="C42" s="25" t="n">
        <v>46</v>
      </c>
      <c r="D42" s="25" t="n">
        <v>46</v>
      </c>
      <c r="E42" s="10" t="n">
        <v>0</v>
      </c>
      <c r="F42" s="10" t="n">
        <v>7863.95</v>
      </c>
      <c r="G42" s="10" t="n">
        <v>7863.95</v>
      </c>
      <c r="H42" s="10" t="n">
        <v>2914.7903</v>
      </c>
      <c r="I42" s="10" t="n">
        <v>4949.16</v>
      </c>
      <c r="J42" s="10" t="n">
        <v>2806.33</v>
      </c>
      <c r="K42" s="11" t="n">
        <v>0.6293</v>
      </c>
      <c r="L42" s="11" t="n">
        <v>0.3569</v>
      </c>
      <c r="M42" s="26" t="n">
        <v>47.22</v>
      </c>
    </row>
    <row r="43" customFormat="false" ht="15" hidden="false" customHeight="false" outlineLevel="0" collapsed="false">
      <c r="A43" s="27" t="n">
        <v>10109</v>
      </c>
      <c r="B43" s="12" t="s">
        <v>61</v>
      </c>
      <c r="C43" s="28" t="n">
        <v>264</v>
      </c>
      <c r="D43" s="28" t="n">
        <v>264</v>
      </c>
      <c r="E43" s="14" t="n">
        <v>1244.5</v>
      </c>
      <c r="F43" s="14" t="n">
        <v>36688.17</v>
      </c>
      <c r="G43" s="14" t="n">
        <v>37932.67</v>
      </c>
      <c r="H43" s="14" t="n">
        <v>16684.7619</v>
      </c>
      <c r="I43" s="14" t="n">
        <v>21247.91</v>
      </c>
      <c r="J43" s="14" t="n">
        <v>11165.41</v>
      </c>
      <c r="K43" s="15" t="n">
        <v>0.5601</v>
      </c>
      <c r="L43" s="15" t="n">
        <v>0.2943</v>
      </c>
      <c r="M43" s="29" t="n">
        <v>32.75</v>
      </c>
    </row>
    <row r="44" customFormat="false" ht="15" hidden="false" customHeight="false" outlineLevel="0" collapsed="false">
      <c r="A44" s="24" t="n">
        <v>10110</v>
      </c>
      <c r="B44" s="8" t="s">
        <v>62</v>
      </c>
      <c r="C44" s="25" t="n">
        <v>97</v>
      </c>
      <c r="D44" s="25" t="n">
        <v>97</v>
      </c>
      <c r="E44" s="10" t="n">
        <v>246.24</v>
      </c>
      <c r="F44" s="10" t="n">
        <v>12581.45</v>
      </c>
      <c r="G44" s="10" t="n">
        <v>12827.69</v>
      </c>
      <c r="H44" s="10" t="n">
        <v>5435.62</v>
      </c>
      <c r="I44" s="10" t="n">
        <v>7392.07</v>
      </c>
      <c r="J44" s="10" t="n">
        <v>3919.88</v>
      </c>
      <c r="K44" s="11" t="n">
        <v>0.5763</v>
      </c>
      <c r="L44" s="11" t="n">
        <v>0.3056</v>
      </c>
      <c r="M44" s="26" t="n">
        <v>37.08</v>
      </c>
    </row>
    <row r="45" customFormat="false" ht="15" hidden="false" customHeight="false" outlineLevel="0" collapsed="false">
      <c r="A45" s="27" t="n">
        <v>10114</v>
      </c>
      <c r="B45" s="12" t="s">
        <v>63</v>
      </c>
      <c r="C45" s="28" t="n">
        <v>141</v>
      </c>
      <c r="D45" s="28" t="n">
        <v>141</v>
      </c>
      <c r="E45" s="14" t="n">
        <v>57.91</v>
      </c>
      <c r="F45" s="14" t="n">
        <v>6702.2</v>
      </c>
      <c r="G45" s="14" t="n">
        <v>6760.11</v>
      </c>
      <c r="H45" s="14" t="n">
        <v>3497.092</v>
      </c>
      <c r="I45" s="14" t="n">
        <v>3263.02</v>
      </c>
      <c r="J45" s="14" t="n">
        <v>2305.02</v>
      </c>
      <c r="K45" s="15" t="n">
        <v>0.4827</v>
      </c>
      <c r="L45" s="15" t="n">
        <v>0.341</v>
      </c>
      <c r="M45" s="29" t="n">
        <v>31.84</v>
      </c>
    </row>
    <row r="46" customFormat="false" ht="15" hidden="false" customHeight="false" outlineLevel="0" collapsed="false">
      <c r="A46" s="24" t="n">
        <v>10120</v>
      </c>
      <c r="B46" s="8" t="s">
        <v>255</v>
      </c>
      <c r="C46" s="25" t="n">
        <v>2</v>
      </c>
      <c r="D46" s="25" t="n">
        <v>2</v>
      </c>
      <c r="E46" s="10" t="n">
        <v>0</v>
      </c>
      <c r="F46" s="10" t="n">
        <v>443.96</v>
      </c>
      <c r="G46" s="10" t="n">
        <v>443.96</v>
      </c>
      <c r="H46" s="10" t="n">
        <v>198.92</v>
      </c>
      <c r="I46" s="10" t="n">
        <v>245.04</v>
      </c>
      <c r="J46" s="10" t="n">
        <v>123.08</v>
      </c>
      <c r="K46" s="11" t="n">
        <v>0.5519</v>
      </c>
      <c r="L46" s="11" t="n">
        <v>0.2772</v>
      </c>
      <c r="M46" s="26" t="n">
        <v>58</v>
      </c>
    </row>
    <row r="47" customFormat="false" ht="15" hidden="false" customHeight="false" outlineLevel="0" collapsed="false">
      <c r="A47" s="27" t="n">
        <v>10121</v>
      </c>
      <c r="B47" s="12" t="s">
        <v>64</v>
      </c>
      <c r="C47" s="28" t="n">
        <v>418</v>
      </c>
      <c r="D47" s="28" t="n">
        <v>418</v>
      </c>
      <c r="E47" s="14" t="n">
        <v>0</v>
      </c>
      <c r="F47" s="14" t="n">
        <v>15039.44</v>
      </c>
      <c r="G47" s="14" t="n">
        <v>15039.44</v>
      </c>
      <c r="H47" s="14" t="n">
        <v>7696.2843</v>
      </c>
      <c r="I47" s="14" t="n">
        <v>7343.16</v>
      </c>
      <c r="J47" s="14" t="n">
        <v>3248.85</v>
      </c>
      <c r="K47" s="15" t="n">
        <v>0.4883</v>
      </c>
      <c r="L47" s="15" t="n">
        <v>0.216</v>
      </c>
      <c r="M47" s="29" t="n">
        <v>41.82</v>
      </c>
    </row>
    <row r="48" customFormat="false" ht="15" hidden="false" customHeight="false" outlineLevel="0" collapsed="false">
      <c r="A48" s="24" t="n">
        <v>10124</v>
      </c>
      <c r="B48" s="8" t="s">
        <v>66</v>
      </c>
      <c r="C48" s="25" t="n">
        <v>5</v>
      </c>
      <c r="D48" s="25" t="n">
        <v>5</v>
      </c>
      <c r="E48" s="10" t="n">
        <v>0</v>
      </c>
      <c r="F48" s="10" t="n">
        <v>435.25</v>
      </c>
      <c r="G48" s="10" t="n">
        <v>435.25</v>
      </c>
      <c r="H48" s="10" t="n">
        <v>214.66</v>
      </c>
      <c r="I48" s="10" t="n">
        <v>220.59</v>
      </c>
      <c r="J48" s="10" t="n">
        <v>115</v>
      </c>
      <c r="K48" s="11" t="n">
        <v>0.5068</v>
      </c>
      <c r="L48" s="11" t="n">
        <v>0.2642</v>
      </c>
      <c r="M48" s="26" t="n">
        <v>30</v>
      </c>
    </row>
    <row r="49" customFormat="false" ht="15" hidden="false" customHeight="false" outlineLevel="0" collapsed="false">
      <c r="A49" s="27" t="n">
        <v>10126</v>
      </c>
      <c r="B49" s="12" t="s">
        <v>67</v>
      </c>
      <c r="C49" s="28" t="n">
        <v>24</v>
      </c>
      <c r="D49" s="28" t="n">
        <v>24</v>
      </c>
      <c r="E49" s="14" t="n">
        <v>0</v>
      </c>
      <c r="F49" s="14" t="n">
        <v>1411.78</v>
      </c>
      <c r="G49" s="14" t="n">
        <v>1411.78</v>
      </c>
      <c r="H49" s="14" t="n">
        <v>552.0598</v>
      </c>
      <c r="I49" s="14" t="n">
        <v>859.72</v>
      </c>
      <c r="J49" s="14" t="n">
        <v>494.55</v>
      </c>
      <c r="K49" s="15" t="n">
        <v>0.609</v>
      </c>
      <c r="L49" s="15" t="n">
        <v>0.3503</v>
      </c>
      <c r="M49" s="29" t="n">
        <v>42.75</v>
      </c>
    </row>
    <row r="50" customFormat="false" ht="15" hidden="false" customHeight="false" outlineLevel="0" collapsed="false">
      <c r="A50" s="24" t="n">
        <v>10127</v>
      </c>
      <c r="B50" s="8" t="s">
        <v>68</v>
      </c>
      <c r="C50" s="25" t="n">
        <v>185</v>
      </c>
      <c r="D50" s="25" t="n">
        <v>185</v>
      </c>
      <c r="E50" s="10" t="n">
        <v>0</v>
      </c>
      <c r="F50" s="10" t="n">
        <v>8534.95</v>
      </c>
      <c r="G50" s="10" t="n">
        <v>8534.95</v>
      </c>
      <c r="H50" s="10" t="n">
        <v>3464.68</v>
      </c>
      <c r="I50" s="10" t="n">
        <v>5070.27</v>
      </c>
      <c r="J50" s="10" t="n">
        <v>2725.55</v>
      </c>
      <c r="K50" s="11" t="n">
        <v>0.5941</v>
      </c>
      <c r="L50" s="11" t="n">
        <v>0.3193</v>
      </c>
      <c r="M50" s="26" t="n">
        <v>27.56</v>
      </c>
    </row>
    <row r="51" customFormat="false" ht="15" hidden="false" customHeight="false" outlineLevel="0" collapsed="false">
      <c r="A51" s="27" t="n">
        <v>10136</v>
      </c>
      <c r="B51" s="12" t="s">
        <v>69</v>
      </c>
      <c r="C51" s="28" t="n">
        <v>25</v>
      </c>
      <c r="D51" s="28" t="n">
        <v>25</v>
      </c>
      <c r="E51" s="14" t="n">
        <v>0</v>
      </c>
      <c r="F51" s="14" t="n">
        <v>4243.1</v>
      </c>
      <c r="G51" s="14" t="n">
        <v>4243.1</v>
      </c>
      <c r="H51" s="14" t="n">
        <v>2493.9599</v>
      </c>
      <c r="I51" s="14" t="n">
        <v>1749.14</v>
      </c>
      <c r="J51" s="14" t="n">
        <v>601.68</v>
      </c>
      <c r="K51" s="15" t="n">
        <v>0.4122</v>
      </c>
      <c r="L51" s="15" t="n">
        <v>0.1418</v>
      </c>
      <c r="M51" s="29" t="n">
        <v>46.18</v>
      </c>
    </row>
    <row r="52" customFormat="false" ht="15" hidden="false" customHeight="false" outlineLevel="0" collapsed="false">
      <c r="A52" s="24" t="n">
        <v>10137</v>
      </c>
      <c r="B52" s="8" t="s">
        <v>70</v>
      </c>
      <c r="C52" s="25" t="n">
        <v>20</v>
      </c>
      <c r="D52" s="25" t="n">
        <v>20</v>
      </c>
      <c r="E52" s="10" t="n">
        <v>0</v>
      </c>
      <c r="F52" s="10" t="n">
        <v>3344.88</v>
      </c>
      <c r="G52" s="10" t="n">
        <v>3344.88</v>
      </c>
      <c r="H52" s="10" t="n">
        <v>1925.4801</v>
      </c>
      <c r="I52" s="10" t="n">
        <v>1419.4</v>
      </c>
      <c r="J52" s="10" t="n">
        <v>536.76</v>
      </c>
      <c r="K52" s="11" t="n">
        <v>0.4244</v>
      </c>
      <c r="L52" s="11" t="n">
        <v>0.1605</v>
      </c>
      <c r="M52" s="26" t="n">
        <v>40.32</v>
      </c>
    </row>
    <row r="53" customFormat="false" ht="15" hidden="false" customHeight="false" outlineLevel="0" collapsed="false">
      <c r="A53" s="27" t="n">
        <v>10139</v>
      </c>
      <c r="B53" s="12" t="s">
        <v>71</v>
      </c>
      <c r="C53" s="28" t="n">
        <v>40</v>
      </c>
      <c r="D53" s="28" t="n">
        <v>40</v>
      </c>
      <c r="E53" s="14" t="n">
        <v>0</v>
      </c>
      <c r="F53" s="14" t="n">
        <v>31506.4</v>
      </c>
      <c r="G53" s="14" t="n">
        <v>31506.4</v>
      </c>
      <c r="H53" s="14" t="n">
        <v>10227.9205</v>
      </c>
      <c r="I53" s="14" t="n">
        <v>21278.48</v>
      </c>
      <c r="J53" s="14" t="n">
        <v>12623.04</v>
      </c>
      <c r="K53" s="15" t="n">
        <v>0.6754</v>
      </c>
      <c r="L53" s="15" t="n">
        <v>0.4007</v>
      </c>
      <c r="M53" s="29" t="n">
        <v>50</v>
      </c>
    </row>
    <row r="54" customFormat="false" ht="15" hidden="false" customHeight="false" outlineLevel="0" collapsed="false">
      <c r="A54" s="24" t="n">
        <v>10141</v>
      </c>
      <c r="B54" s="8" t="s">
        <v>72</v>
      </c>
      <c r="C54" s="25" t="n">
        <v>710</v>
      </c>
      <c r="D54" s="25" t="n">
        <v>710</v>
      </c>
      <c r="E54" s="10" t="n">
        <v>0</v>
      </c>
      <c r="F54" s="10" t="n">
        <v>40869.85</v>
      </c>
      <c r="G54" s="10" t="n">
        <v>40869.85</v>
      </c>
      <c r="H54" s="10" t="n">
        <v>14568.5923</v>
      </c>
      <c r="I54" s="10" t="n">
        <v>26301.27</v>
      </c>
      <c r="J54" s="10" t="n">
        <v>15307.08</v>
      </c>
      <c r="K54" s="11" t="n">
        <v>0.6435</v>
      </c>
      <c r="L54" s="11" t="n">
        <v>0.3745</v>
      </c>
      <c r="M54" s="26" t="n">
        <v>45.8</v>
      </c>
    </row>
    <row r="55" customFormat="false" ht="15" hidden="false" customHeight="false" outlineLevel="0" collapsed="false">
      <c r="A55" s="27" t="n">
        <v>10142</v>
      </c>
      <c r="B55" s="12" t="s">
        <v>73</v>
      </c>
      <c r="C55" s="28" t="n">
        <v>37</v>
      </c>
      <c r="D55" s="28" t="n">
        <v>37</v>
      </c>
      <c r="E55" s="14" t="n">
        <v>0</v>
      </c>
      <c r="F55" s="14" t="n">
        <v>5461.57</v>
      </c>
      <c r="G55" s="14" t="n">
        <v>5461.57</v>
      </c>
      <c r="H55" s="14" t="n">
        <v>3047.1683</v>
      </c>
      <c r="I55" s="14" t="n">
        <v>2414.4</v>
      </c>
      <c r="J55" s="14" t="n">
        <v>1744.81</v>
      </c>
      <c r="K55" s="15" t="n">
        <v>0.4421</v>
      </c>
      <c r="L55" s="15" t="n">
        <v>0.3195</v>
      </c>
      <c r="M55" s="29" t="n">
        <v>30</v>
      </c>
    </row>
    <row r="56" customFormat="false" ht="15" hidden="false" customHeight="false" outlineLevel="0" collapsed="false">
      <c r="A56" s="24" t="n">
        <v>10143</v>
      </c>
      <c r="B56" s="8" t="s">
        <v>74</v>
      </c>
      <c r="C56" s="25" t="n">
        <v>36</v>
      </c>
      <c r="D56" s="25" t="n">
        <v>36</v>
      </c>
      <c r="E56" s="10" t="n">
        <v>0</v>
      </c>
      <c r="F56" s="10" t="n">
        <v>5701.09</v>
      </c>
      <c r="G56" s="10" t="n">
        <v>5701.09</v>
      </c>
      <c r="H56" s="10" t="n">
        <v>3295.4715</v>
      </c>
      <c r="I56" s="10" t="n">
        <v>2405.62</v>
      </c>
      <c r="J56" s="10" t="n">
        <v>1688.12</v>
      </c>
      <c r="K56" s="11" t="n">
        <v>0.422</v>
      </c>
      <c r="L56" s="11" t="n">
        <v>0.2961</v>
      </c>
      <c r="M56" s="26" t="n">
        <v>29.28</v>
      </c>
    </row>
    <row r="57" customFormat="false" ht="15" hidden="false" customHeight="false" outlineLevel="0" collapsed="false">
      <c r="A57" s="27" t="n">
        <v>10145</v>
      </c>
      <c r="B57" s="12" t="s">
        <v>63</v>
      </c>
      <c r="C57" s="28" t="n">
        <v>58</v>
      </c>
      <c r="D57" s="28" t="n">
        <v>58</v>
      </c>
      <c r="E57" s="14" t="n">
        <v>0</v>
      </c>
      <c r="F57" s="14" t="n">
        <v>3757.82</v>
      </c>
      <c r="G57" s="14" t="n">
        <v>3757.82</v>
      </c>
      <c r="H57" s="14" t="n">
        <v>1758.0508</v>
      </c>
      <c r="I57" s="14" t="n">
        <v>1999.77</v>
      </c>
      <c r="J57" s="14" t="n">
        <v>967.43</v>
      </c>
      <c r="K57" s="15" t="n">
        <v>0.5322</v>
      </c>
      <c r="L57" s="15" t="n">
        <v>0.2574</v>
      </c>
      <c r="M57" s="29" t="n">
        <v>50.02</v>
      </c>
    </row>
    <row r="58" customFormat="false" ht="15" hidden="false" customHeight="false" outlineLevel="0" collapsed="false">
      <c r="A58" s="24" t="n">
        <v>10147</v>
      </c>
      <c r="B58" s="8" t="s">
        <v>75</v>
      </c>
      <c r="C58" s="25" t="n">
        <v>20</v>
      </c>
      <c r="D58" s="25" t="n">
        <v>20</v>
      </c>
      <c r="E58" s="10" t="n">
        <v>0</v>
      </c>
      <c r="F58" s="10" t="n">
        <v>6632.2</v>
      </c>
      <c r="G58" s="10" t="n">
        <v>6632.2</v>
      </c>
      <c r="H58" s="10" t="n">
        <v>3255.06</v>
      </c>
      <c r="I58" s="10" t="n">
        <v>3377.14</v>
      </c>
      <c r="J58" s="10" t="n">
        <v>1555.15</v>
      </c>
      <c r="K58" s="11" t="n">
        <v>0.5092</v>
      </c>
      <c r="L58" s="11" t="n">
        <v>0.2345</v>
      </c>
      <c r="M58" s="26" t="n">
        <v>50</v>
      </c>
    </row>
    <row r="59" customFormat="false" ht="15" hidden="false" customHeight="false" outlineLevel="0" collapsed="false">
      <c r="A59" s="27" t="n">
        <v>10148</v>
      </c>
      <c r="B59" s="12" t="s">
        <v>76</v>
      </c>
      <c r="C59" s="28" t="n">
        <v>53</v>
      </c>
      <c r="D59" s="28" t="n">
        <v>53</v>
      </c>
      <c r="E59" s="14" t="n">
        <v>0</v>
      </c>
      <c r="F59" s="14" t="n">
        <v>20581.49</v>
      </c>
      <c r="G59" s="14" t="n">
        <v>20581.49</v>
      </c>
      <c r="H59" s="14" t="n">
        <v>3967.1404</v>
      </c>
      <c r="I59" s="14" t="n">
        <v>16614.35</v>
      </c>
      <c r="J59" s="14" t="n">
        <v>11621.27</v>
      </c>
      <c r="K59" s="15" t="n">
        <v>0.8072</v>
      </c>
      <c r="L59" s="15" t="n">
        <v>0.5646</v>
      </c>
      <c r="M59" s="29" t="n">
        <v>38.98</v>
      </c>
    </row>
    <row r="60" customFormat="false" ht="15" hidden="false" customHeight="false" outlineLevel="0" collapsed="false">
      <c r="A60" s="24" t="n">
        <v>10149</v>
      </c>
      <c r="B60" s="8" t="s">
        <v>77</v>
      </c>
      <c r="C60" s="25" t="n">
        <v>98</v>
      </c>
      <c r="D60" s="25" t="n">
        <v>98</v>
      </c>
      <c r="E60" s="10" t="n">
        <v>0</v>
      </c>
      <c r="F60" s="10" t="n">
        <v>4859.41</v>
      </c>
      <c r="G60" s="10" t="n">
        <v>4859.41</v>
      </c>
      <c r="H60" s="10" t="n">
        <v>2982.8926</v>
      </c>
      <c r="I60" s="10" t="n">
        <v>1876.52</v>
      </c>
      <c r="J60" s="10" t="n">
        <v>714.72</v>
      </c>
      <c r="K60" s="11" t="n">
        <v>0.3862</v>
      </c>
      <c r="L60" s="11" t="n">
        <v>0.1471</v>
      </c>
      <c r="M60" s="26" t="n">
        <v>39.71</v>
      </c>
    </row>
    <row r="61" customFormat="false" ht="15" hidden="false" customHeight="false" outlineLevel="0" collapsed="false">
      <c r="A61" s="27" t="n">
        <v>10150</v>
      </c>
      <c r="B61" s="12" t="s">
        <v>78</v>
      </c>
      <c r="C61" s="28" t="n">
        <v>24</v>
      </c>
      <c r="D61" s="28" t="n">
        <v>24</v>
      </c>
      <c r="E61" s="14" t="n">
        <v>0</v>
      </c>
      <c r="F61" s="14" t="n">
        <v>1730.98</v>
      </c>
      <c r="G61" s="14" t="n">
        <v>1730.98</v>
      </c>
      <c r="H61" s="14" t="n">
        <v>651.95</v>
      </c>
      <c r="I61" s="14" t="n">
        <v>1079.03</v>
      </c>
      <c r="J61" s="14" t="n">
        <v>603.48</v>
      </c>
      <c r="K61" s="15" t="n">
        <v>0.6234</v>
      </c>
      <c r="L61" s="15" t="n">
        <v>0.3486</v>
      </c>
      <c r="M61" s="29" t="n">
        <v>31.59</v>
      </c>
    </row>
    <row r="62" customFormat="false" ht="15" hidden="false" customHeight="false" outlineLevel="0" collapsed="false">
      <c r="A62" s="24" t="n">
        <v>10152</v>
      </c>
      <c r="B62" s="8" t="s">
        <v>80</v>
      </c>
      <c r="C62" s="25" t="n">
        <v>154</v>
      </c>
      <c r="D62" s="25" t="n">
        <v>154</v>
      </c>
      <c r="E62" s="10" t="n">
        <v>0</v>
      </c>
      <c r="F62" s="10" t="n">
        <v>11376.42</v>
      </c>
      <c r="G62" s="10" t="n">
        <v>11376.42</v>
      </c>
      <c r="H62" s="10" t="n">
        <v>4891.7696</v>
      </c>
      <c r="I62" s="10" t="n">
        <v>6484.65</v>
      </c>
      <c r="J62" s="10" t="n">
        <v>3314.9</v>
      </c>
      <c r="K62" s="11" t="n">
        <v>0.57</v>
      </c>
      <c r="L62" s="11" t="n">
        <v>0.2914</v>
      </c>
      <c r="M62" s="26" t="n">
        <v>51</v>
      </c>
    </row>
    <row r="63" customFormat="false" ht="15" hidden="false" customHeight="false" outlineLevel="0" collapsed="false">
      <c r="A63" s="27" t="n">
        <v>10154</v>
      </c>
      <c r="B63" s="12" t="s">
        <v>81</v>
      </c>
      <c r="C63" s="28" t="n">
        <v>79</v>
      </c>
      <c r="D63" s="28" t="n">
        <v>79</v>
      </c>
      <c r="E63" s="14" t="n">
        <v>412.77</v>
      </c>
      <c r="F63" s="14" t="n">
        <v>14527.54</v>
      </c>
      <c r="G63" s="14" t="n">
        <v>14940.31</v>
      </c>
      <c r="H63" s="14" t="n">
        <v>8256.4609</v>
      </c>
      <c r="I63" s="14" t="n">
        <v>6683.85</v>
      </c>
      <c r="J63" s="14" t="n">
        <v>2624.86</v>
      </c>
      <c r="K63" s="15" t="n">
        <v>0.4474</v>
      </c>
      <c r="L63" s="15" t="n">
        <v>0.1757</v>
      </c>
      <c r="M63" s="29" t="n">
        <v>43.31</v>
      </c>
    </row>
    <row r="64" customFormat="false" ht="15" hidden="false" customHeight="false" outlineLevel="0" collapsed="false">
      <c r="A64" s="24" t="n">
        <v>10164</v>
      </c>
      <c r="B64" s="8" t="s">
        <v>83</v>
      </c>
      <c r="C64" s="25" t="n">
        <v>225</v>
      </c>
      <c r="D64" s="25" t="n">
        <v>225</v>
      </c>
      <c r="E64" s="10" t="n">
        <v>0</v>
      </c>
      <c r="F64" s="10" t="n">
        <v>70500.69</v>
      </c>
      <c r="G64" s="10" t="n">
        <v>70500.69</v>
      </c>
      <c r="H64" s="10" t="n">
        <v>20352.2707</v>
      </c>
      <c r="I64" s="10" t="n">
        <v>50148.42</v>
      </c>
      <c r="J64" s="10" t="n">
        <v>30999.55</v>
      </c>
      <c r="K64" s="11" t="n">
        <v>0.7113</v>
      </c>
      <c r="L64" s="11" t="n">
        <v>0.4397</v>
      </c>
      <c r="M64" s="26" t="n">
        <v>48.85</v>
      </c>
    </row>
    <row r="65" customFormat="false" ht="15" hidden="false" customHeight="false" outlineLevel="0" collapsed="false">
      <c r="A65" s="27" t="n">
        <v>10165</v>
      </c>
      <c r="B65" s="12" t="s">
        <v>257</v>
      </c>
      <c r="C65" s="28" t="n">
        <v>7</v>
      </c>
      <c r="D65" s="28" t="n">
        <v>7</v>
      </c>
      <c r="E65" s="14" t="n">
        <v>0</v>
      </c>
      <c r="F65" s="14" t="n">
        <v>1730.05</v>
      </c>
      <c r="G65" s="14" t="n">
        <v>1730.05</v>
      </c>
      <c r="H65" s="14" t="n">
        <v>668.3502</v>
      </c>
      <c r="I65" s="14" t="n">
        <v>1061.7</v>
      </c>
      <c r="J65" s="14" t="n">
        <v>586.42</v>
      </c>
      <c r="K65" s="15" t="n">
        <v>0.6137</v>
      </c>
      <c r="L65" s="15" t="n">
        <v>0.339</v>
      </c>
      <c r="M65" s="29" t="n">
        <v>58</v>
      </c>
    </row>
    <row r="66" customFormat="false" ht="15" hidden="false" customHeight="false" outlineLevel="0" collapsed="false">
      <c r="A66" s="24" t="n">
        <v>10170</v>
      </c>
      <c r="B66" s="8" t="s">
        <v>84</v>
      </c>
      <c r="C66" s="25" t="n">
        <v>192</v>
      </c>
      <c r="D66" s="25" t="n">
        <v>192</v>
      </c>
      <c r="E66" s="10" t="n">
        <v>0</v>
      </c>
      <c r="F66" s="10" t="n">
        <v>3225.6</v>
      </c>
      <c r="G66" s="10" t="n">
        <v>3225.6</v>
      </c>
      <c r="H66" s="10" t="n">
        <v>1514.6112</v>
      </c>
      <c r="I66" s="10" t="n">
        <v>1710.99</v>
      </c>
      <c r="J66" s="10" t="n">
        <v>824.86</v>
      </c>
      <c r="K66" s="11" t="n">
        <v>0.5304</v>
      </c>
      <c r="L66" s="11" t="n">
        <v>0.2557</v>
      </c>
      <c r="M66" s="26" t="n">
        <v>50</v>
      </c>
    </row>
    <row r="67" customFormat="false" ht="15" hidden="false" customHeight="false" outlineLevel="0" collapsed="false">
      <c r="A67" s="27" t="n">
        <v>10176</v>
      </c>
      <c r="B67" s="12" t="s">
        <v>75</v>
      </c>
      <c r="C67" s="28" t="n">
        <v>170</v>
      </c>
      <c r="D67" s="28" t="n">
        <v>170</v>
      </c>
      <c r="E67" s="14" t="n">
        <v>0</v>
      </c>
      <c r="F67" s="14" t="n">
        <v>54299.37</v>
      </c>
      <c r="G67" s="14" t="n">
        <v>54299.37</v>
      </c>
      <c r="H67" s="14" t="n">
        <v>15608.1597</v>
      </c>
      <c r="I67" s="14" t="n">
        <v>38691.21</v>
      </c>
      <c r="J67" s="14" t="n">
        <v>24664.73</v>
      </c>
      <c r="K67" s="15" t="n">
        <v>0.7126</v>
      </c>
      <c r="L67" s="15" t="n">
        <v>0.4542</v>
      </c>
      <c r="M67" s="29" t="n">
        <v>48.78</v>
      </c>
    </row>
    <row r="68" customFormat="false" ht="15" hidden="false" customHeight="false" outlineLevel="0" collapsed="false">
      <c r="A68" s="24" t="n">
        <v>10178</v>
      </c>
      <c r="B68" s="8" t="s">
        <v>85</v>
      </c>
      <c r="C68" s="25" t="n">
        <v>303</v>
      </c>
      <c r="D68" s="25" t="n">
        <v>303</v>
      </c>
      <c r="E68" s="10" t="n">
        <v>441.86</v>
      </c>
      <c r="F68" s="10" t="n">
        <v>16222.89</v>
      </c>
      <c r="G68" s="10" t="n">
        <v>16664.75</v>
      </c>
      <c r="H68" s="10" t="n">
        <v>2617.7615</v>
      </c>
      <c r="I68" s="10" t="n">
        <v>14046.99</v>
      </c>
      <c r="J68" s="10" t="n">
        <v>9493.63</v>
      </c>
      <c r="K68" s="11" t="n">
        <v>0.8429</v>
      </c>
      <c r="L68" s="11" t="n">
        <v>0.5697</v>
      </c>
      <c r="M68" s="26" t="n">
        <v>47.71</v>
      </c>
    </row>
    <row r="69" customFormat="false" ht="15" hidden="false" customHeight="false" outlineLevel="0" collapsed="false">
      <c r="A69" s="27" t="n">
        <v>10180</v>
      </c>
      <c r="B69" s="12" t="s">
        <v>86</v>
      </c>
      <c r="C69" s="28" t="n">
        <v>121</v>
      </c>
      <c r="D69" s="28" t="n">
        <v>121</v>
      </c>
      <c r="E69" s="14" t="n">
        <v>0</v>
      </c>
      <c r="F69" s="14" t="n">
        <v>6281.19</v>
      </c>
      <c r="G69" s="14" t="n">
        <v>6281.19</v>
      </c>
      <c r="H69" s="14" t="n">
        <v>2053.3345</v>
      </c>
      <c r="I69" s="14" t="n">
        <v>4227.86</v>
      </c>
      <c r="J69" s="14" t="n">
        <v>2479.46</v>
      </c>
      <c r="K69" s="15" t="n">
        <v>0.6731</v>
      </c>
      <c r="L69" s="15" t="n">
        <v>0.3947</v>
      </c>
      <c r="M69" s="29" t="n">
        <v>49.39</v>
      </c>
    </row>
    <row r="70" customFormat="false" ht="15" hidden="false" customHeight="false" outlineLevel="0" collapsed="false">
      <c r="A70" s="24" t="n">
        <v>10182</v>
      </c>
      <c r="B70" s="8" t="s">
        <v>87</v>
      </c>
      <c r="C70" s="25" t="n">
        <v>12</v>
      </c>
      <c r="D70" s="25" t="n">
        <v>12</v>
      </c>
      <c r="E70" s="10" t="n">
        <v>0</v>
      </c>
      <c r="F70" s="10" t="n">
        <v>2642.41</v>
      </c>
      <c r="G70" s="10" t="n">
        <v>2642.41</v>
      </c>
      <c r="H70" s="10" t="n">
        <v>815.2798</v>
      </c>
      <c r="I70" s="10" t="n">
        <v>1827.13</v>
      </c>
      <c r="J70" s="10" t="n">
        <v>1253.07</v>
      </c>
      <c r="K70" s="11" t="n">
        <v>0.6915</v>
      </c>
      <c r="L70" s="11" t="n">
        <v>0.4742</v>
      </c>
      <c r="M70" s="26" t="n">
        <v>38.4</v>
      </c>
    </row>
    <row r="71" customFormat="false" ht="15" hidden="false" customHeight="false" outlineLevel="0" collapsed="false">
      <c r="A71" s="27" t="n">
        <v>10188</v>
      </c>
      <c r="B71" s="12" t="s">
        <v>88</v>
      </c>
      <c r="C71" s="28" t="n">
        <v>40</v>
      </c>
      <c r="D71" s="28" t="n">
        <v>40</v>
      </c>
      <c r="E71" s="14" t="n">
        <v>0</v>
      </c>
      <c r="F71" s="14" t="n">
        <v>178</v>
      </c>
      <c r="G71" s="14" t="n">
        <v>178</v>
      </c>
      <c r="H71" s="14" t="n">
        <v>77.2</v>
      </c>
      <c r="I71" s="14" t="n">
        <v>100.8</v>
      </c>
      <c r="J71" s="14" t="n">
        <v>51.11</v>
      </c>
      <c r="K71" s="15" t="n">
        <v>0.5663</v>
      </c>
      <c r="L71" s="15" t="n">
        <v>0.2871</v>
      </c>
      <c r="M71" s="29" t="n">
        <v>45</v>
      </c>
    </row>
    <row r="72" customFormat="false" ht="15" hidden="false" customHeight="false" outlineLevel="0" collapsed="false">
      <c r="A72" s="24" t="n">
        <v>10189</v>
      </c>
      <c r="B72" s="8" t="s">
        <v>89</v>
      </c>
      <c r="C72" s="25" t="n">
        <v>39</v>
      </c>
      <c r="D72" s="25" t="n">
        <v>39</v>
      </c>
      <c r="E72" s="10" t="n">
        <v>0</v>
      </c>
      <c r="F72" s="10" t="n">
        <v>168.3</v>
      </c>
      <c r="G72" s="10" t="n">
        <v>168.3</v>
      </c>
      <c r="H72" s="10" t="n">
        <v>75.2902</v>
      </c>
      <c r="I72" s="10" t="n">
        <v>93.01</v>
      </c>
      <c r="J72" s="10" t="n">
        <v>46.03</v>
      </c>
      <c r="K72" s="11" t="n">
        <v>0.5526</v>
      </c>
      <c r="L72" s="11" t="n">
        <v>0.2735</v>
      </c>
      <c r="M72" s="26" t="n">
        <v>45</v>
      </c>
    </row>
    <row r="73" customFormat="false" ht="15" hidden="false" customHeight="false" outlineLevel="0" collapsed="false">
      <c r="A73" s="27" t="n">
        <v>10191</v>
      </c>
      <c r="B73" s="12" t="s">
        <v>90</v>
      </c>
      <c r="C73" s="28" t="n">
        <v>10</v>
      </c>
      <c r="D73" s="28" t="n">
        <v>10</v>
      </c>
      <c r="E73" s="14" t="n">
        <v>0</v>
      </c>
      <c r="F73" s="14" t="n">
        <v>181.4</v>
      </c>
      <c r="G73" s="14" t="n">
        <v>181.4</v>
      </c>
      <c r="H73" s="14" t="n">
        <v>43.81</v>
      </c>
      <c r="I73" s="14" t="n">
        <v>137.59</v>
      </c>
      <c r="J73" s="14" t="n">
        <v>86.96</v>
      </c>
      <c r="K73" s="15" t="n">
        <v>0.7585</v>
      </c>
      <c r="L73" s="15" t="n">
        <v>0.4794</v>
      </c>
      <c r="M73" s="29" t="n">
        <v>45</v>
      </c>
    </row>
    <row r="74" customFormat="false" ht="15" hidden="false" customHeight="false" outlineLevel="0" collapsed="false">
      <c r="A74" s="24" t="n">
        <v>10193</v>
      </c>
      <c r="B74" s="8" t="s">
        <v>91</v>
      </c>
      <c r="C74" s="25" t="n">
        <v>15</v>
      </c>
      <c r="D74" s="25" t="n">
        <v>15</v>
      </c>
      <c r="E74" s="10" t="n">
        <v>0</v>
      </c>
      <c r="F74" s="10" t="n">
        <v>1305</v>
      </c>
      <c r="G74" s="10" t="n">
        <v>1305</v>
      </c>
      <c r="H74" s="10" t="n">
        <v>420.9795</v>
      </c>
      <c r="I74" s="10" t="n">
        <v>884.02</v>
      </c>
      <c r="J74" s="10" t="n">
        <v>519.79</v>
      </c>
      <c r="K74" s="11" t="n">
        <v>0.6774</v>
      </c>
      <c r="L74" s="11" t="n">
        <v>0.3983</v>
      </c>
      <c r="M74" s="26" t="n">
        <v>45</v>
      </c>
    </row>
    <row r="75" customFormat="false" ht="15" hidden="false" customHeight="false" outlineLevel="0" collapsed="false">
      <c r="A75" s="27" t="n">
        <v>10196</v>
      </c>
      <c r="B75" s="12" t="s">
        <v>63</v>
      </c>
      <c r="C75" s="28" t="n">
        <v>10</v>
      </c>
      <c r="D75" s="28" t="n">
        <v>10</v>
      </c>
      <c r="E75" s="14" t="n">
        <v>0</v>
      </c>
      <c r="F75" s="14" t="n">
        <v>605</v>
      </c>
      <c r="G75" s="14" t="n">
        <v>605</v>
      </c>
      <c r="H75" s="14" t="n">
        <v>328.32</v>
      </c>
      <c r="I75" s="14" t="n">
        <v>276.68</v>
      </c>
      <c r="J75" s="14" t="n">
        <v>202.51</v>
      </c>
      <c r="K75" s="15" t="n">
        <v>0.4573</v>
      </c>
      <c r="L75" s="15" t="n">
        <v>0.3347</v>
      </c>
      <c r="M75" s="29" t="n">
        <v>45</v>
      </c>
    </row>
    <row r="76" customFormat="false" ht="15" hidden="false" customHeight="false" outlineLevel="0" collapsed="false">
      <c r="A76" s="24" t="n">
        <v>10199</v>
      </c>
      <c r="B76" s="8" t="s">
        <v>93</v>
      </c>
      <c r="C76" s="25" t="n">
        <v>87</v>
      </c>
      <c r="D76" s="25" t="n">
        <v>87</v>
      </c>
      <c r="E76" s="10" t="n">
        <v>351</v>
      </c>
      <c r="F76" s="10" t="n">
        <v>40417.3</v>
      </c>
      <c r="G76" s="10" t="n">
        <v>40768.3</v>
      </c>
      <c r="H76" s="10" t="n">
        <v>5779.0239</v>
      </c>
      <c r="I76" s="10" t="n">
        <v>34989.28</v>
      </c>
      <c r="J76" s="10" t="n">
        <v>29658.99</v>
      </c>
      <c r="K76" s="11" t="n">
        <v>0.8582</v>
      </c>
      <c r="L76" s="11" t="n">
        <v>0.7275</v>
      </c>
      <c r="M76" s="26" t="n">
        <v>29.86</v>
      </c>
    </row>
    <row r="77" customFormat="false" ht="15" hidden="false" customHeight="false" outlineLevel="0" collapsed="false">
      <c r="A77" s="27" t="n">
        <v>10200</v>
      </c>
      <c r="B77" s="12" t="s">
        <v>94</v>
      </c>
      <c r="C77" s="28" t="n">
        <v>77</v>
      </c>
      <c r="D77" s="28" t="n">
        <v>77</v>
      </c>
      <c r="E77" s="14" t="n">
        <v>0</v>
      </c>
      <c r="F77" s="14" t="n">
        <v>1845.08</v>
      </c>
      <c r="G77" s="14" t="n">
        <v>1845.08</v>
      </c>
      <c r="H77" s="14" t="n">
        <v>542.8708</v>
      </c>
      <c r="I77" s="14" t="n">
        <v>1302.21</v>
      </c>
      <c r="J77" s="14" t="n">
        <v>795.32</v>
      </c>
      <c r="K77" s="15" t="n">
        <v>0.7058</v>
      </c>
      <c r="L77" s="15" t="n">
        <v>0.431</v>
      </c>
      <c r="M77" s="29" t="n">
        <v>41.07</v>
      </c>
    </row>
    <row r="78" customFormat="false" ht="15" hidden="false" customHeight="false" outlineLevel="0" collapsed="false">
      <c r="A78" s="24" t="n">
        <v>10201</v>
      </c>
      <c r="B78" s="8" t="s">
        <v>79</v>
      </c>
      <c r="C78" s="25" t="n">
        <v>104</v>
      </c>
      <c r="D78" s="25" t="n">
        <v>104</v>
      </c>
      <c r="E78" s="10" t="n">
        <v>0</v>
      </c>
      <c r="F78" s="10" t="n">
        <v>48640.15</v>
      </c>
      <c r="G78" s="10" t="n">
        <v>48640.15</v>
      </c>
      <c r="H78" s="10" t="n">
        <v>7762.522</v>
      </c>
      <c r="I78" s="10" t="n">
        <v>40877.63</v>
      </c>
      <c r="J78" s="10" t="n">
        <v>33446.68</v>
      </c>
      <c r="K78" s="11" t="n">
        <v>0.8404</v>
      </c>
      <c r="L78" s="11" t="n">
        <v>0.6876</v>
      </c>
      <c r="M78" s="26" t="n">
        <v>30.24</v>
      </c>
    </row>
    <row r="79" customFormat="false" ht="15" hidden="false" customHeight="false" outlineLevel="0" collapsed="false">
      <c r="A79" s="27" t="n">
        <v>10202</v>
      </c>
      <c r="B79" s="12" t="s">
        <v>95</v>
      </c>
      <c r="C79" s="28" t="n">
        <v>1217</v>
      </c>
      <c r="D79" s="28" t="n">
        <v>1217</v>
      </c>
      <c r="E79" s="14" t="n">
        <v>0</v>
      </c>
      <c r="F79" s="14" t="n">
        <v>82610.78</v>
      </c>
      <c r="G79" s="14" t="n">
        <v>82610.78</v>
      </c>
      <c r="H79" s="14" t="n">
        <v>38273.4845</v>
      </c>
      <c r="I79" s="14" t="n">
        <v>44337.3</v>
      </c>
      <c r="J79" s="14" t="n">
        <v>26146.98</v>
      </c>
      <c r="K79" s="15" t="n">
        <v>0.5367</v>
      </c>
      <c r="L79" s="15" t="n">
        <v>0.3165</v>
      </c>
      <c r="M79" s="29" t="n">
        <v>42.85</v>
      </c>
    </row>
    <row r="80" customFormat="false" ht="15" hidden="false" customHeight="false" outlineLevel="0" collapsed="false">
      <c r="A80" s="24" t="n">
        <v>10203</v>
      </c>
      <c r="B80" s="8" t="s">
        <v>129</v>
      </c>
      <c r="C80" s="25" t="n">
        <v>1</v>
      </c>
      <c r="D80" s="25" t="n">
        <v>1</v>
      </c>
      <c r="E80" s="10" t="n">
        <v>401.26</v>
      </c>
      <c r="F80" s="10" t="n">
        <v>0</v>
      </c>
      <c r="G80" s="10" t="n">
        <v>401.26</v>
      </c>
      <c r="H80" s="10" t="n">
        <v>32.32</v>
      </c>
      <c r="I80" s="10" t="n">
        <v>368.94</v>
      </c>
      <c r="J80" s="10" t="n">
        <v>258.71</v>
      </c>
      <c r="K80" s="11" t="n">
        <v>0.9195</v>
      </c>
      <c r="L80" s="11" t="n">
        <v>0.6447</v>
      </c>
      <c r="M80" s="26" t="n">
        <v>5</v>
      </c>
    </row>
    <row r="81" customFormat="false" ht="15" hidden="false" customHeight="false" outlineLevel="0" collapsed="false">
      <c r="A81" s="27" t="n">
        <v>10204</v>
      </c>
      <c r="B81" s="12" t="s">
        <v>96</v>
      </c>
      <c r="C81" s="28" t="n">
        <v>84</v>
      </c>
      <c r="D81" s="28" t="n">
        <v>84</v>
      </c>
      <c r="E81" s="14" t="n">
        <v>392.9</v>
      </c>
      <c r="F81" s="14" t="n">
        <v>23833.87</v>
      </c>
      <c r="G81" s="14" t="n">
        <v>24226.77</v>
      </c>
      <c r="H81" s="14" t="n">
        <v>14478.368</v>
      </c>
      <c r="I81" s="14" t="n">
        <v>9748.4</v>
      </c>
      <c r="J81" s="14" t="n">
        <v>6718.43</v>
      </c>
      <c r="K81" s="15" t="n">
        <v>0.4024</v>
      </c>
      <c r="L81" s="15" t="n">
        <v>0.2773</v>
      </c>
      <c r="M81" s="29" t="n">
        <v>29.59</v>
      </c>
    </row>
    <row r="82" customFormat="false" ht="15" hidden="false" customHeight="false" outlineLevel="0" collapsed="false">
      <c r="A82" s="24" t="n">
        <v>10206</v>
      </c>
      <c r="B82" s="8" t="s">
        <v>97</v>
      </c>
      <c r="C82" s="25" t="n">
        <v>95</v>
      </c>
      <c r="D82" s="25" t="n">
        <v>95</v>
      </c>
      <c r="E82" s="10" t="n">
        <v>0</v>
      </c>
      <c r="F82" s="10" t="n">
        <v>3782.9</v>
      </c>
      <c r="G82" s="10" t="n">
        <v>3782.9</v>
      </c>
      <c r="H82" s="10" t="n">
        <v>976.8592</v>
      </c>
      <c r="I82" s="10" t="n">
        <v>2806.04</v>
      </c>
      <c r="J82" s="10" t="n">
        <v>1766.74</v>
      </c>
      <c r="K82" s="11" t="n">
        <v>0.7418</v>
      </c>
      <c r="L82" s="11" t="n">
        <v>0.467</v>
      </c>
      <c r="M82" s="26" t="n">
        <v>28</v>
      </c>
    </row>
    <row r="83" customFormat="false" ht="15" hidden="false" customHeight="false" outlineLevel="0" collapsed="false">
      <c r="A83" s="27" t="n">
        <v>10208</v>
      </c>
      <c r="B83" s="12" t="s">
        <v>40</v>
      </c>
      <c r="C83" s="28" t="n">
        <v>172</v>
      </c>
      <c r="D83" s="28" t="n">
        <v>172</v>
      </c>
      <c r="E83" s="14" t="n">
        <v>505.67</v>
      </c>
      <c r="F83" s="14" t="n">
        <v>44809.15</v>
      </c>
      <c r="G83" s="14" t="n">
        <v>45314.82</v>
      </c>
      <c r="H83" s="14" t="n">
        <v>11591.5979</v>
      </c>
      <c r="I83" s="14" t="n">
        <v>33723.22</v>
      </c>
      <c r="J83" s="14" t="n">
        <v>25256.37</v>
      </c>
      <c r="K83" s="15" t="n">
        <v>0.7442</v>
      </c>
      <c r="L83" s="15" t="n">
        <v>0.5574</v>
      </c>
      <c r="M83" s="29" t="n">
        <v>32.41</v>
      </c>
    </row>
    <row r="84" customFormat="false" ht="15" hidden="false" customHeight="false" outlineLevel="0" collapsed="false">
      <c r="A84" s="24" t="n">
        <v>10211</v>
      </c>
      <c r="B84" s="8" t="s">
        <v>258</v>
      </c>
      <c r="C84" s="25" t="n">
        <v>2</v>
      </c>
      <c r="D84" s="25" t="n">
        <v>2</v>
      </c>
      <c r="E84" s="10" t="n">
        <v>0</v>
      </c>
      <c r="F84" s="10" t="n">
        <v>96.38</v>
      </c>
      <c r="G84" s="10" t="n">
        <v>96.38</v>
      </c>
      <c r="H84" s="10" t="n">
        <v>27.25</v>
      </c>
      <c r="I84" s="10" t="n">
        <v>69.13</v>
      </c>
      <c r="J84" s="10" t="n">
        <v>42.66</v>
      </c>
      <c r="K84" s="11" t="n">
        <v>0.7173</v>
      </c>
      <c r="L84" s="11" t="n">
        <v>0.4426</v>
      </c>
      <c r="M84" s="26" t="n">
        <v>7</v>
      </c>
    </row>
    <row r="85" customFormat="false" ht="15" hidden="false" customHeight="false" outlineLevel="0" collapsed="false">
      <c r="A85" s="27" t="n">
        <v>10212</v>
      </c>
      <c r="B85" s="12" t="s">
        <v>74</v>
      </c>
      <c r="C85" s="28" t="n">
        <v>117</v>
      </c>
      <c r="D85" s="28" t="n">
        <v>117</v>
      </c>
      <c r="E85" s="14" t="n">
        <v>0</v>
      </c>
      <c r="F85" s="14" t="n">
        <v>23773.23</v>
      </c>
      <c r="G85" s="14" t="n">
        <v>23773.23</v>
      </c>
      <c r="H85" s="14" t="n">
        <v>11248.7395</v>
      </c>
      <c r="I85" s="14" t="n">
        <v>12524.49</v>
      </c>
      <c r="J85" s="14" t="n">
        <v>5993.45</v>
      </c>
      <c r="K85" s="15" t="n">
        <v>0.5268</v>
      </c>
      <c r="L85" s="15" t="n">
        <v>0.2521</v>
      </c>
      <c r="M85" s="29" t="n">
        <v>28</v>
      </c>
    </row>
    <row r="86" customFormat="false" ht="15" hidden="false" customHeight="false" outlineLevel="0" collapsed="false">
      <c r="A86" s="24" t="n">
        <v>10215</v>
      </c>
      <c r="B86" s="8" t="s">
        <v>87</v>
      </c>
      <c r="C86" s="25" t="n">
        <v>1</v>
      </c>
      <c r="D86" s="25" t="n">
        <v>1</v>
      </c>
      <c r="E86" s="10" t="n">
        <v>0</v>
      </c>
      <c r="F86" s="10" t="n">
        <v>277.19</v>
      </c>
      <c r="G86" s="10" t="n">
        <v>277.19</v>
      </c>
      <c r="H86" s="10" t="n">
        <v>45.32</v>
      </c>
      <c r="I86" s="10" t="n">
        <v>231.87</v>
      </c>
      <c r="J86" s="10" t="n">
        <v>154.5</v>
      </c>
      <c r="K86" s="11" t="n">
        <v>0.8365</v>
      </c>
      <c r="L86" s="11" t="n">
        <v>0.5574</v>
      </c>
      <c r="M86" s="26" t="n">
        <v>28</v>
      </c>
    </row>
    <row r="87" customFormat="false" ht="15" hidden="false" customHeight="false" outlineLevel="0" collapsed="false">
      <c r="A87" s="27" t="n">
        <v>10216</v>
      </c>
      <c r="B87" s="12" t="s">
        <v>98</v>
      </c>
      <c r="C87" s="28" t="n">
        <v>257</v>
      </c>
      <c r="D87" s="28" t="n">
        <v>257</v>
      </c>
      <c r="E87" s="14" t="n">
        <v>0</v>
      </c>
      <c r="F87" s="14" t="n">
        <v>53078.19</v>
      </c>
      <c r="G87" s="14" t="n">
        <v>53078.19</v>
      </c>
      <c r="H87" s="14" t="n">
        <v>24932.5798</v>
      </c>
      <c r="I87" s="14" t="n">
        <v>28145.61</v>
      </c>
      <c r="J87" s="14" t="n">
        <v>19742.49</v>
      </c>
      <c r="K87" s="15" t="n">
        <v>0.5303</v>
      </c>
      <c r="L87" s="15" t="n">
        <v>0.372</v>
      </c>
      <c r="M87" s="29" t="n">
        <v>36.04</v>
      </c>
    </row>
    <row r="88" customFormat="false" ht="15" hidden="false" customHeight="false" outlineLevel="0" collapsed="false">
      <c r="A88" s="24" t="n">
        <v>10219</v>
      </c>
      <c r="B88" s="8" t="s">
        <v>364</v>
      </c>
      <c r="C88" s="25" t="n">
        <v>89</v>
      </c>
      <c r="D88" s="25" t="n">
        <v>89</v>
      </c>
      <c r="E88" s="10" t="n">
        <v>0</v>
      </c>
      <c r="F88" s="10" t="n">
        <v>1341.91</v>
      </c>
      <c r="G88" s="10" t="n">
        <v>1341.91</v>
      </c>
      <c r="H88" s="10" t="n">
        <v>1267.8898</v>
      </c>
      <c r="I88" s="10" t="n">
        <v>74.02</v>
      </c>
      <c r="J88" s="10" t="n">
        <v>-300.5</v>
      </c>
      <c r="K88" s="11" t="n">
        <v>0.0552</v>
      </c>
      <c r="L88" s="11" t="n">
        <v>-0.2239</v>
      </c>
      <c r="M88" s="26" t="n">
        <v>50</v>
      </c>
    </row>
    <row r="89" customFormat="false" ht="15" hidden="false" customHeight="false" outlineLevel="0" collapsed="false">
      <c r="A89" s="27" t="n">
        <v>10220</v>
      </c>
      <c r="B89" s="12" t="s">
        <v>99</v>
      </c>
      <c r="C89" s="28" t="n">
        <v>20</v>
      </c>
      <c r="D89" s="28" t="n">
        <v>20</v>
      </c>
      <c r="E89" s="14" t="n">
        <v>0</v>
      </c>
      <c r="F89" s="14" t="n">
        <v>2820.6</v>
      </c>
      <c r="G89" s="14" t="n">
        <v>2820.6</v>
      </c>
      <c r="H89" s="14" t="n">
        <v>1808.08</v>
      </c>
      <c r="I89" s="14" t="n">
        <v>1012.52</v>
      </c>
      <c r="J89" s="14" t="n">
        <v>237.64</v>
      </c>
      <c r="K89" s="15" t="n">
        <v>0.359</v>
      </c>
      <c r="L89" s="15" t="n">
        <v>0.0843</v>
      </c>
      <c r="M89" s="29" t="n">
        <v>50</v>
      </c>
    </row>
    <row r="90" customFormat="false" ht="15" hidden="false" customHeight="false" outlineLevel="0" collapsed="false">
      <c r="A90" s="24" t="n">
        <v>10221</v>
      </c>
      <c r="B90" s="8" t="s">
        <v>70</v>
      </c>
      <c r="C90" s="25" t="n">
        <v>23</v>
      </c>
      <c r="D90" s="25" t="n">
        <v>23</v>
      </c>
      <c r="E90" s="10" t="n">
        <v>0</v>
      </c>
      <c r="F90" s="10" t="n">
        <v>3247</v>
      </c>
      <c r="G90" s="10" t="n">
        <v>3247</v>
      </c>
      <c r="H90" s="10" t="n">
        <v>1888.7299</v>
      </c>
      <c r="I90" s="10" t="n">
        <v>1358.27</v>
      </c>
      <c r="J90" s="10" t="n">
        <v>497.77</v>
      </c>
      <c r="K90" s="11" t="n">
        <v>0.4183</v>
      </c>
      <c r="L90" s="11" t="n">
        <v>0.1533</v>
      </c>
      <c r="M90" s="26" t="n">
        <v>48.39</v>
      </c>
    </row>
    <row r="91" customFormat="false" ht="15" hidden="false" customHeight="false" outlineLevel="0" collapsed="false">
      <c r="A91" s="27" t="n">
        <v>10223</v>
      </c>
      <c r="B91" s="12" t="s">
        <v>260</v>
      </c>
      <c r="C91" s="28" t="n">
        <v>320</v>
      </c>
      <c r="D91" s="28" t="n">
        <v>320</v>
      </c>
      <c r="E91" s="14" t="n">
        <v>0</v>
      </c>
      <c r="F91" s="14" t="n">
        <v>27216</v>
      </c>
      <c r="G91" s="14" t="n">
        <v>27216</v>
      </c>
      <c r="H91" s="14" t="n">
        <v>18837.354</v>
      </c>
      <c r="I91" s="14" t="n">
        <v>8378.64</v>
      </c>
      <c r="J91" s="14" t="n">
        <v>782.64</v>
      </c>
      <c r="K91" s="15" t="n">
        <v>0.3079</v>
      </c>
      <c r="L91" s="15" t="n">
        <v>0.0288</v>
      </c>
      <c r="M91" s="29" t="n">
        <v>50</v>
      </c>
    </row>
    <row r="92" customFormat="false" ht="15" hidden="false" customHeight="false" outlineLevel="0" collapsed="false">
      <c r="A92" s="24" t="n">
        <v>10229</v>
      </c>
      <c r="B92" s="8" t="s">
        <v>100</v>
      </c>
      <c r="C92" s="25" t="n">
        <v>80</v>
      </c>
      <c r="D92" s="25" t="n">
        <v>80</v>
      </c>
      <c r="E92" s="10" t="n">
        <v>0</v>
      </c>
      <c r="F92" s="10" t="n">
        <v>17616</v>
      </c>
      <c r="G92" s="10" t="n">
        <v>17616</v>
      </c>
      <c r="H92" s="10" t="n">
        <v>2332.8</v>
      </c>
      <c r="I92" s="10" t="n">
        <v>15283.2</v>
      </c>
      <c r="J92" s="10" t="n">
        <v>10366.56</v>
      </c>
      <c r="K92" s="11" t="n">
        <v>0.8676</v>
      </c>
      <c r="L92" s="11" t="n">
        <v>0.5885</v>
      </c>
      <c r="M92" s="26" t="n">
        <v>28</v>
      </c>
    </row>
    <row r="93" customFormat="false" ht="15" hidden="false" customHeight="false" outlineLevel="0" collapsed="false">
      <c r="A93" s="27" t="n">
        <v>10230</v>
      </c>
      <c r="B93" s="12" t="s">
        <v>101</v>
      </c>
      <c r="C93" s="28" t="n">
        <v>27</v>
      </c>
      <c r="D93" s="28" t="n">
        <v>27</v>
      </c>
      <c r="E93" s="14" t="n">
        <v>0</v>
      </c>
      <c r="F93" s="14" t="n">
        <v>6605.82</v>
      </c>
      <c r="G93" s="14" t="n">
        <v>6605.82</v>
      </c>
      <c r="H93" s="14" t="n">
        <v>1576.5003</v>
      </c>
      <c r="I93" s="14" t="n">
        <v>5029.32</v>
      </c>
      <c r="J93" s="14" t="n">
        <v>3242.86</v>
      </c>
      <c r="K93" s="15" t="n">
        <v>0.7613</v>
      </c>
      <c r="L93" s="15" t="n">
        <v>0.4909</v>
      </c>
      <c r="M93" s="29" t="n">
        <v>31.32</v>
      </c>
    </row>
    <row r="94" customFormat="false" ht="15" hidden="false" customHeight="false" outlineLevel="0" collapsed="false">
      <c r="A94" s="24" t="n">
        <v>10240</v>
      </c>
      <c r="B94" s="8" t="s">
        <v>102</v>
      </c>
      <c r="C94" s="25" t="n">
        <v>304</v>
      </c>
      <c r="D94" s="25" t="n">
        <v>304</v>
      </c>
      <c r="E94" s="10" t="n">
        <v>0</v>
      </c>
      <c r="F94" s="10" t="n">
        <v>13194.81</v>
      </c>
      <c r="G94" s="10" t="n">
        <v>13194.81</v>
      </c>
      <c r="H94" s="10" t="n">
        <v>2851.47</v>
      </c>
      <c r="I94" s="10" t="n">
        <v>10343.34</v>
      </c>
      <c r="J94" s="10" t="n">
        <v>6718.45</v>
      </c>
      <c r="K94" s="11" t="n">
        <v>0.7839</v>
      </c>
      <c r="L94" s="11" t="n">
        <v>0.5092</v>
      </c>
      <c r="M94" s="26" t="n">
        <v>42.73</v>
      </c>
    </row>
    <row r="95" customFormat="false" ht="15" hidden="false" customHeight="false" outlineLevel="0" collapsed="false">
      <c r="A95" s="27" t="n">
        <v>10244</v>
      </c>
      <c r="B95" s="12" t="s">
        <v>103</v>
      </c>
      <c r="C95" s="28" t="n">
        <v>60</v>
      </c>
      <c r="D95" s="28" t="n">
        <v>60</v>
      </c>
      <c r="E95" s="14" t="n">
        <v>0</v>
      </c>
      <c r="F95" s="14" t="n">
        <v>13212</v>
      </c>
      <c r="G95" s="14" t="n">
        <v>13212</v>
      </c>
      <c r="H95" s="14" t="n">
        <v>1796.52</v>
      </c>
      <c r="I95" s="14" t="n">
        <v>11415.48</v>
      </c>
      <c r="J95" s="14" t="n">
        <v>7728</v>
      </c>
      <c r="K95" s="15" t="n">
        <v>0.864</v>
      </c>
      <c r="L95" s="15" t="n">
        <v>0.5849</v>
      </c>
      <c r="M95" s="29" t="n">
        <v>28</v>
      </c>
    </row>
    <row r="96" customFormat="false" ht="15" hidden="false" customHeight="false" outlineLevel="0" collapsed="false">
      <c r="A96" s="24" t="n">
        <v>10247</v>
      </c>
      <c r="B96" s="8" t="s">
        <v>104</v>
      </c>
      <c r="C96" s="25" t="n">
        <v>133</v>
      </c>
      <c r="D96" s="25" t="n">
        <v>133</v>
      </c>
      <c r="E96" s="10" t="n">
        <v>0</v>
      </c>
      <c r="F96" s="10" t="n">
        <v>25895.35</v>
      </c>
      <c r="G96" s="10" t="n">
        <v>25895.35</v>
      </c>
      <c r="H96" s="10" t="n">
        <v>8989.4909</v>
      </c>
      <c r="I96" s="10" t="n">
        <v>16905.86</v>
      </c>
      <c r="J96" s="10" t="n">
        <v>10438.66</v>
      </c>
      <c r="K96" s="11" t="n">
        <v>0.6529</v>
      </c>
      <c r="L96" s="11" t="n">
        <v>0.4031</v>
      </c>
      <c r="M96" s="26" t="n">
        <v>44.74</v>
      </c>
    </row>
    <row r="97" customFormat="false" ht="15" hidden="false" customHeight="false" outlineLevel="0" collapsed="false">
      <c r="A97" s="27" t="n">
        <v>10250</v>
      </c>
      <c r="B97" s="12" t="s">
        <v>105</v>
      </c>
      <c r="C97" s="28" t="n">
        <v>115</v>
      </c>
      <c r="D97" s="28" t="n">
        <v>115</v>
      </c>
      <c r="E97" s="14" t="n">
        <v>0</v>
      </c>
      <c r="F97" s="14" t="n">
        <v>25590.42</v>
      </c>
      <c r="G97" s="14" t="n">
        <v>25590.42</v>
      </c>
      <c r="H97" s="14" t="n">
        <v>7424.4</v>
      </c>
      <c r="I97" s="14" t="n">
        <v>18166.02</v>
      </c>
      <c r="J97" s="14" t="n">
        <v>11179.01</v>
      </c>
      <c r="K97" s="15" t="n">
        <v>0.7099</v>
      </c>
      <c r="L97" s="15" t="n">
        <v>0.4368</v>
      </c>
      <c r="M97" s="29" t="n">
        <v>37.55</v>
      </c>
    </row>
    <row r="98" customFormat="false" ht="15" hidden="false" customHeight="false" outlineLevel="0" collapsed="false">
      <c r="A98" s="24" t="n">
        <v>10251</v>
      </c>
      <c r="B98" s="8" t="s">
        <v>106</v>
      </c>
      <c r="C98" s="25" t="n">
        <v>2</v>
      </c>
      <c r="D98" s="25" t="n">
        <v>2</v>
      </c>
      <c r="E98" s="10" t="n">
        <v>0</v>
      </c>
      <c r="F98" s="10" t="n">
        <v>448.14</v>
      </c>
      <c r="G98" s="10" t="n">
        <v>448.14</v>
      </c>
      <c r="H98" s="10" t="n">
        <v>120.51</v>
      </c>
      <c r="I98" s="10" t="n">
        <v>327.63</v>
      </c>
      <c r="J98" s="10" t="n">
        <v>226.11</v>
      </c>
      <c r="K98" s="11" t="n">
        <v>0.7311</v>
      </c>
      <c r="L98" s="11" t="n">
        <v>0.5046</v>
      </c>
      <c r="M98" s="26" t="n">
        <v>49</v>
      </c>
    </row>
    <row r="99" customFormat="false" ht="15" hidden="false" customHeight="false" outlineLevel="0" collapsed="false">
      <c r="A99" s="27" t="n">
        <v>10254</v>
      </c>
      <c r="B99" s="12" t="s">
        <v>108</v>
      </c>
      <c r="C99" s="28" t="n">
        <v>192</v>
      </c>
      <c r="D99" s="28" t="n">
        <v>192</v>
      </c>
      <c r="E99" s="14" t="n">
        <v>889.35</v>
      </c>
      <c r="F99" s="14" t="n">
        <v>39343.62</v>
      </c>
      <c r="G99" s="14" t="n">
        <v>40232.97</v>
      </c>
      <c r="H99" s="14" t="n">
        <v>13976.6498</v>
      </c>
      <c r="I99" s="14" t="n">
        <v>26256.32</v>
      </c>
      <c r="J99" s="14" t="n">
        <v>18959.2</v>
      </c>
      <c r="K99" s="15" t="n">
        <v>0.6526</v>
      </c>
      <c r="L99" s="15" t="n">
        <v>0.4712</v>
      </c>
      <c r="M99" s="29" t="n">
        <v>36.66</v>
      </c>
    </row>
    <row r="100" customFormat="false" ht="15" hidden="false" customHeight="false" outlineLevel="0" collapsed="false">
      <c r="A100" s="24" t="n">
        <v>10255</v>
      </c>
      <c r="B100" s="8" t="s">
        <v>109</v>
      </c>
      <c r="C100" s="25" t="n">
        <v>73</v>
      </c>
      <c r="D100" s="25" t="n">
        <v>73</v>
      </c>
      <c r="E100" s="10" t="n">
        <v>877.8</v>
      </c>
      <c r="F100" s="10" t="n">
        <v>10611.04</v>
      </c>
      <c r="G100" s="10" t="n">
        <v>11488.84</v>
      </c>
      <c r="H100" s="10" t="n">
        <v>4697.4494</v>
      </c>
      <c r="I100" s="10" t="n">
        <v>6791.39</v>
      </c>
      <c r="J100" s="10" t="n">
        <v>3635.19</v>
      </c>
      <c r="K100" s="11" t="n">
        <v>0.5911</v>
      </c>
      <c r="L100" s="11" t="n">
        <v>0.3164</v>
      </c>
      <c r="M100" s="26" t="n">
        <v>46.13</v>
      </c>
    </row>
    <row r="101" customFormat="false" ht="15" hidden="false" customHeight="false" outlineLevel="0" collapsed="false">
      <c r="A101" s="27" t="n">
        <v>10256</v>
      </c>
      <c r="B101" s="12" t="s">
        <v>110</v>
      </c>
      <c r="C101" s="28" t="n">
        <v>52</v>
      </c>
      <c r="D101" s="28" t="n">
        <v>52</v>
      </c>
      <c r="E101" s="14" t="n">
        <v>0</v>
      </c>
      <c r="F101" s="14" t="n">
        <v>17618.65</v>
      </c>
      <c r="G101" s="14" t="n">
        <v>17618.65</v>
      </c>
      <c r="H101" s="14" t="n">
        <v>6593.87</v>
      </c>
      <c r="I101" s="14" t="n">
        <v>11024.78</v>
      </c>
      <c r="J101" s="14" t="n">
        <v>6184.6</v>
      </c>
      <c r="K101" s="15" t="n">
        <v>0.6257</v>
      </c>
      <c r="L101" s="15" t="n">
        <v>0.351</v>
      </c>
      <c r="M101" s="29" t="n">
        <v>50</v>
      </c>
    </row>
    <row r="102" customFormat="false" ht="15" hidden="false" customHeight="false" outlineLevel="0" collapsed="false">
      <c r="A102" s="24" t="n">
        <v>10257</v>
      </c>
      <c r="B102" s="8" t="s">
        <v>111</v>
      </c>
      <c r="C102" s="25" t="n">
        <v>43</v>
      </c>
      <c r="D102" s="25" t="n">
        <v>43</v>
      </c>
      <c r="E102" s="10" t="n">
        <v>0</v>
      </c>
      <c r="F102" s="10" t="n">
        <v>393442.23</v>
      </c>
      <c r="G102" s="10" t="n">
        <v>393442.23</v>
      </c>
      <c r="H102" s="10" t="n">
        <v>204698.02</v>
      </c>
      <c r="I102" s="10" t="n">
        <v>188744.21</v>
      </c>
      <c r="J102" s="10" t="n">
        <v>80657.72</v>
      </c>
      <c r="K102" s="11" t="n">
        <v>0.4797</v>
      </c>
      <c r="L102" s="11" t="n">
        <v>0.205</v>
      </c>
      <c r="M102" s="26" t="n">
        <v>28</v>
      </c>
    </row>
    <row r="103" customFormat="false" ht="15" hidden="false" customHeight="false" outlineLevel="0" collapsed="false">
      <c r="A103" s="27" t="n">
        <v>10261</v>
      </c>
      <c r="B103" s="12" t="s">
        <v>389</v>
      </c>
      <c r="C103" s="28" t="n">
        <v>3</v>
      </c>
      <c r="D103" s="28" t="n">
        <v>3</v>
      </c>
      <c r="E103" s="14" t="n">
        <v>0</v>
      </c>
      <c r="F103" s="14" t="n">
        <v>634.23</v>
      </c>
      <c r="G103" s="14" t="n">
        <v>634.23</v>
      </c>
      <c r="H103" s="14" t="n">
        <v>277.5501</v>
      </c>
      <c r="I103" s="14" t="n">
        <v>356.68</v>
      </c>
      <c r="J103" s="14" t="n">
        <v>182.45</v>
      </c>
      <c r="K103" s="15" t="n">
        <v>0.5624</v>
      </c>
      <c r="L103" s="15" t="n">
        <v>0.2877</v>
      </c>
      <c r="M103" s="29" t="n">
        <v>58</v>
      </c>
    </row>
    <row r="104" customFormat="false" ht="15" hidden="false" customHeight="false" outlineLevel="0" collapsed="false">
      <c r="A104" s="24" t="n">
        <v>10267</v>
      </c>
      <c r="B104" s="8" t="s">
        <v>112</v>
      </c>
      <c r="C104" s="25" t="n">
        <v>123</v>
      </c>
      <c r="D104" s="25" t="n">
        <v>123</v>
      </c>
      <c r="E104" s="10" t="n">
        <v>0</v>
      </c>
      <c r="F104" s="10" t="n">
        <v>14215.38</v>
      </c>
      <c r="G104" s="10" t="n">
        <v>14215.38</v>
      </c>
      <c r="H104" s="10" t="n">
        <v>3605.4537</v>
      </c>
      <c r="I104" s="10" t="n">
        <v>10609.93</v>
      </c>
      <c r="J104" s="10" t="n">
        <v>8296.45</v>
      </c>
      <c r="K104" s="11" t="n">
        <v>0.7464</v>
      </c>
      <c r="L104" s="11" t="n">
        <v>0.5836</v>
      </c>
      <c r="M104" s="26" t="n">
        <v>39.58</v>
      </c>
    </row>
    <row r="105" customFormat="false" ht="15" hidden="false" customHeight="false" outlineLevel="0" collapsed="false">
      <c r="A105" s="27" t="n">
        <v>10268</v>
      </c>
      <c r="B105" s="12" t="s">
        <v>63</v>
      </c>
      <c r="C105" s="28" t="n">
        <v>4</v>
      </c>
      <c r="D105" s="28" t="n">
        <v>4</v>
      </c>
      <c r="E105" s="14" t="n">
        <v>0</v>
      </c>
      <c r="F105" s="14" t="n">
        <v>279.2</v>
      </c>
      <c r="G105" s="14" t="n">
        <v>279.2</v>
      </c>
      <c r="H105" s="14" t="n">
        <v>132.31</v>
      </c>
      <c r="I105" s="14" t="n">
        <v>146.89</v>
      </c>
      <c r="J105" s="14" t="n">
        <v>70.19</v>
      </c>
      <c r="K105" s="15" t="n">
        <v>0.5261</v>
      </c>
      <c r="L105" s="15" t="n">
        <v>0.2514</v>
      </c>
      <c r="M105" s="29" t="n">
        <v>5</v>
      </c>
    </row>
    <row r="106" customFormat="false" ht="15" hidden="false" customHeight="false" outlineLevel="0" collapsed="false">
      <c r="A106" s="24" t="n">
        <v>10270</v>
      </c>
      <c r="B106" s="8" t="s">
        <v>256</v>
      </c>
      <c r="C106" s="25" t="n">
        <v>45</v>
      </c>
      <c r="D106" s="25" t="n">
        <v>45</v>
      </c>
      <c r="E106" s="10" t="n">
        <v>0</v>
      </c>
      <c r="F106" s="10" t="n">
        <v>2241.9</v>
      </c>
      <c r="G106" s="10" t="n">
        <v>2241.9</v>
      </c>
      <c r="H106" s="10" t="n">
        <v>1151.5395</v>
      </c>
      <c r="I106" s="10" t="n">
        <v>1090.36</v>
      </c>
      <c r="J106" s="10" t="n">
        <v>546.46</v>
      </c>
      <c r="K106" s="11" t="n">
        <v>0.4864</v>
      </c>
      <c r="L106" s="11" t="n">
        <v>0.2437</v>
      </c>
      <c r="M106" s="26" t="n">
        <v>37</v>
      </c>
    </row>
    <row r="107" customFormat="false" ht="15" hidden="false" customHeight="false" outlineLevel="0" collapsed="false">
      <c r="A107" s="27" t="n">
        <v>10275</v>
      </c>
      <c r="B107" s="12" t="s">
        <v>315</v>
      </c>
      <c r="C107" s="28" t="n">
        <v>610</v>
      </c>
      <c r="D107" s="28" t="n">
        <v>610</v>
      </c>
      <c r="E107" s="14" t="n">
        <v>0</v>
      </c>
      <c r="F107" s="14" t="n">
        <v>12664.33</v>
      </c>
      <c r="G107" s="14" t="n">
        <v>12664.33</v>
      </c>
      <c r="H107" s="14" t="n">
        <v>5955.68</v>
      </c>
      <c r="I107" s="14" t="n">
        <v>6708.65</v>
      </c>
      <c r="J107" s="14" t="n">
        <v>3229.5</v>
      </c>
      <c r="K107" s="15" t="n">
        <v>0.5297</v>
      </c>
      <c r="L107" s="15" t="n">
        <v>0.255</v>
      </c>
      <c r="M107" s="29" t="n">
        <v>45.06</v>
      </c>
    </row>
    <row r="108" customFormat="false" ht="15" hidden="false" customHeight="false" outlineLevel="0" collapsed="false">
      <c r="A108" s="24" t="n">
        <v>10277</v>
      </c>
      <c r="B108" s="8" t="s">
        <v>113</v>
      </c>
      <c r="C108" s="25" t="n">
        <v>320</v>
      </c>
      <c r="D108" s="25" t="n">
        <v>320</v>
      </c>
      <c r="E108" s="10" t="n">
        <v>0</v>
      </c>
      <c r="F108" s="10" t="n">
        <v>7269.12</v>
      </c>
      <c r="G108" s="10" t="n">
        <v>7269.12</v>
      </c>
      <c r="H108" s="10" t="n">
        <v>2940.71</v>
      </c>
      <c r="I108" s="10" t="n">
        <v>4328.41</v>
      </c>
      <c r="J108" s="10" t="n">
        <v>2331.44</v>
      </c>
      <c r="K108" s="11" t="n">
        <v>0.5955</v>
      </c>
      <c r="L108" s="11" t="n">
        <v>0.3207</v>
      </c>
      <c r="M108" s="26" t="n">
        <v>41.32</v>
      </c>
    </row>
    <row r="109" customFormat="false" ht="15" hidden="false" customHeight="false" outlineLevel="0" collapsed="false">
      <c r="A109" s="27" t="n">
        <v>10282</v>
      </c>
      <c r="B109" s="12" t="s">
        <v>116</v>
      </c>
      <c r="C109" s="28" t="n">
        <v>47</v>
      </c>
      <c r="D109" s="28" t="n">
        <v>47</v>
      </c>
      <c r="E109" s="14" t="n">
        <v>0</v>
      </c>
      <c r="F109" s="14" t="n">
        <v>9645.55</v>
      </c>
      <c r="G109" s="14" t="n">
        <v>9645.55</v>
      </c>
      <c r="H109" s="14" t="n">
        <v>6199.0301</v>
      </c>
      <c r="I109" s="14" t="n">
        <v>3446.52</v>
      </c>
      <c r="J109" s="14" t="n">
        <v>796.71</v>
      </c>
      <c r="K109" s="15" t="n">
        <v>0.3573</v>
      </c>
      <c r="L109" s="15" t="n">
        <v>0.0826</v>
      </c>
      <c r="M109" s="29" t="n">
        <v>51.73</v>
      </c>
    </row>
    <row r="110" customFormat="false" ht="15" hidden="false" customHeight="false" outlineLevel="0" collapsed="false">
      <c r="A110" s="24" t="n">
        <v>10283</v>
      </c>
      <c r="B110" s="8" t="s">
        <v>117</v>
      </c>
      <c r="C110" s="25" t="n">
        <v>31</v>
      </c>
      <c r="D110" s="25" t="n">
        <v>31</v>
      </c>
      <c r="E110" s="10" t="n">
        <v>0</v>
      </c>
      <c r="F110" s="10" t="n">
        <v>9340.95</v>
      </c>
      <c r="G110" s="10" t="n">
        <v>9340.95</v>
      </c>
      <c r="H110" s="10" t="n">
        <v>6174.22</v>
      </c>
      <c r="I110" s="10" t="n">
        <v>3166.73</v>
      </c>
      <c r="J110" s="10" t="n">
        <v>600.59</v>
      </c>
      <c r="K110" s="11" t="n">
        <v>0.339</v>
      </c>
      <c r="L110" s="11" t="n">
        <v>0.0643</v>
      </c>
      <c r="M110" s="26" t="n">
        <v>48.31</v>
      </c>
    </row>
    <row r="111" customFormat="false" ht="15" hidden="false" customHeight="false" outlineLevel="0" collapsed="false">
      <c r="A111" s="27" t="n">
        <v>10284</v>
      </c>
      <c r="B111" s="12" t="s">
        <v>118</v>
      </c>
      <c r="C111" s="28" t="n">
        <v>49</v>
      </c>
      <c r="D111" s="28" t="n">
        <v>49</v>
      </c>
      <c r="E111" s="14" t="n">
        <v>321.19</v>
      </c>
      <c r="F111" s="14" t="n">
        <v>4940.88</v>
      </c>
      <c r="G111" s="14" t="n">
        <v>5262.07</v>
      </c>
      <c r="H111" s="14" t="n">
        <v>1284.66</v>
      </c>
      <c r="I111" s="14" t="n">
        <v>3977.41</v>
      </c>
      <c r="J111" s="14" t="n">
        <v>3180.56</v>
      </c>
      <c r="K111" s="15" t="n">
        <v>0.7559</v>
      </c>
      <c r="L111" s="15" t="n">
        <v>0.6044</v>
      </c>
      <c r="M111" s="29" t="n">
        <v>31.37</v>
      </c>
    </row>
    <row r="112" customFormat="false" ht="15" hidden="false" customHeight="false" outlineLevel="0" collapsed="false">
      <c r="A112" s="24" t="n">
        <v>10287</v>
      </c>
      <c r="B112" s="8" t="s">
        <v>40</v>
      </c>
      <c r="C112" s="25" t="n">
        <v>26</v>
      </c>
      <c r="D112" s="25" t="n">
        <v>26</v>
      </c>
      <c r="E112" s="10" t="n">
        <v>0</v>
      </c>
      <c r="F112" s="10" t="n">
        <v>5384.32</v>
      </c>
      <c r="G112" s="10" t="n">
        <v>5384.32</v>
      </c>
      <c r="H112" s="10" t="n">
        <v>1735.2106</v>
      </c>
      <c r="I112" s="10" t="n">
        <v>3649.11</v>
      </c>
      <c r="J112" s="10" t="n">
        <v>2323.34</v>
      </c>
      <c r="K112" s="11" t="n">
        <v>0.6777</v>
      </c>
      <c r="L112" s="11" t="n">
        <v>0.4315</v>
      </c>
      <c r="M112" s="26" t="n">
        <v>34.42</v>
      </c>
    </row>
    <row r="113" customFormat="false" ht="15" hidden="false" customHeight="false" outlineLevel="0" collapsed="false">
      <c r="A113" s="27" t="n">
        <v>10296</v>
      </c>
      <c r="B113" s="12" t="s">
        <v>121</v>
      </c>
      <c r="C113" s="28" t="n">
        <v>406</v>
      </c>
      <c r="D113" s="28" t="n">
        <v>406</v>
      </c>
      <c r="E113" s="14" t="n">
        <v>0</v>
      </c>
      <c r="F113" s="14" t="n">
        <v>47108.93</v>
      </c>
      <c r="G113" s="14" t="n">
        <v>47108.93</v>
      </c>
      <c r="H113" s="14" t="n">
        <v>30889.8</v>
      </c>
      <c r="I113" s="14" t="n">
        <v>16219.13</v>
      </c>
      <c r="J113" s="14" t="n">
        <v>3890.55</v>
      </c>
      <c r="K113" s="15" t="n">
        <v>0.3443</v>
      </c>
      <c r="L113" s="15" t="n">
        <v>0.0826</v>
      </c>
      <c r="M113" s="29" t="n">
        <v>50.19</v>
      </c>
    </row>
    <row r="114" customFormat="false" ht="15" hidden="false" customHeight="false" outlineLevel="0" collapsed="false">
      <c r="A114" s="24" t="n">
        <v>10299</v>
      </c>
      <c r="B114" s="8" t="s">
        <v>122</v>
      </c>
      <c r="C114" s="25" t="n">
        <v>47</v>
      </c>
      <c r="D114" s="25" t="n">
        <v>47</v>
      </c>
      <c r="E114" s="10" t="n">
        <v>0</v>
      </c>
      <c r="F114" s="10" t="n">
        <v>7444.56</v>
      </c>
      <c r="G114" s="10" t="n">
        <v>7444.56</v>
      </c>
      <c r="H114" s="10" t="n">
        <v>5164.3508</v>
      </c>
      <c r="I114" s="10" t="n">
        <v>2280.21</v>
      </c>
      <c r="J114" s="10" t="n">
        <v>474.16</v>
      </c>
      <c r="K114" s="11" t="n">
        <v>0.3063</v>
      </c>
      <c r="L114" s="11" t="n">
        <v>0.0637</v>
      </c>
      <c r="M114" s="26" t="n">
        <v>38.45</v>
      </c>
    </row>
    <row r="115" customFormat="false" ht="15" hidden="false" customHeight="false" outlineLevel="0" collapsed="false">
      <c r="A115" s="27" t="n">
        <v>10300</v>
      </c>
      <c r="B115" s="12" t="s">
        <v>123</v>
      </c>
      <c r="C115" s="28" t="n">
        <v>65</v>
      </c>
      <c r="D115" s="28" t="n">
        <v>65</v>
      </c>
      <c r="E115" s="14" t="n">
        <v>0</v>
      </c>
      <c r="F115" s="14" t="n">
        <v>10400.75</v>
      </c>
      <c r="G115" s="14" t="n">
        <v>10400.75</v>
      </c>
      <c r="H115" s="14" t="n">
        <v>7003.83</v>
      </c>
      <c r="I115" s="14" t="n">
        <v>3396.92</v>
      </c>
      <c r="J115" s="14" t="n">
        <v>873.7</v>
      </c>
      <c r="K115" s="15" t="n">
        <v>0.3266</v>
      </c>
      <c r="L115" s="15" t="n">
        <v>0.084</v>
      </c>
      <c r="M115" s="29" t="n">
        <v>36.38</v>
      </c>
    </row>
    <row r="116" customFormat="false" ht="15" hidden="false" customHeight="false" outlineLevel="0" collapsed="false">
      <c r="A116" s="24" t="n">
        <v>10301</v>
      </c>
      <c r="B116" s="8" t="s">
        <v>124</v>
      </c>
      <c r="C116" s="25" t="n">
        <v>71</v>
      </c>
      <c r="D116" s="25" t="n">
        <v>71</v>
      </c>
      <c r="E116" s="10" t="n">
        <v>0</v>
      </c>
      <c r="F116" s="10" t="n">
        <v>8787.67</v>
      </c>
      <c r="G116" s="10" t="n">
        <v>8787.67</v>
      </c>
      <c r="H116" s="10" t="n">
        <v>5685.6892</v>
      </c>
      <c r="I116" s="10" t="n">
        <v>3101.98</v>
      </c>
      <c r="J116" s="10" t="n">
        <v>970.09</v>
      </c>
      <c r="K116" s="11" t="n">
        <v>0.353</v>
      </c>
      <c r="L116" s="11" t="n">
        <v>0.1104</v>
      </c>
      <c r="M116" s="26" t="n">
        <v>37.99</v>
      </c>
    </row>
    <row r="117" customFormat="false" ht="15" hidden="false" customHeight="false" outlineLevel="0" collapsed="false">
      <c r="A117" s="27" t="n">
        <v>10304</v>
      </c>
      <c r="B117" s="12" t="s">
        <v>125</v>
      </c>
      <c r="C117" s="28" t="n">
        <v>77</v>
      </c>
      <c r="D117" s="28" t="n">
        <v>77</v>
      </c>
      <c r="E117" s="14" t="n">
        <v>0</v>
      </c>
      <c r="F117" s="14" t="n">
        <v>9530.29</v>
      </c>
      <c r="G117" s="14" t="n">
        <v>9530.29</v>
      </c>
      <c r="H117" s="14" t="n">
        <v>6151.0115</v>
      </c>
      <c r="I117" s="14" t="n">
        <v>3379.28</v>
      </c>
      <c r="J117" s="14" t="n">
        <v>1067.23</v>
      </c>
      <c r="K117" s="15" t="n">
        <v>0.3546</v>
      </c>
      <c r="L117" s="15" t="n">
        <v>0.112</v>
      </c>
      <c r="M117" s="29" t="n">
        <v>38.36</v>
      </c>
    </row>
    <row r="118" customFormat="false" ht="15" hidden="false" customHeight="false" outlineLevel="0" collapsed="false">
      <c r="A118" s="24" t="n">
        <v>10325</v>
      </c>
      <c r="B118" s="8" t="s">
        <v>126</v>
      </c>
      <c r="C118" s="25" t="n">
        <v>45</v>
      </c>
      <c r="D118" s="25" t="n">
        <v>45</v>
      </c>
      <c r="E118" s="10" t="n">
        <v>0</v>
      </c>
      <c r="F118" s="10" t="n">
        <v>9345.15</v>
      </c>
      <c r="G118" s="10" t="n">
        <v>9345.15</v>
      </c>
      <c r="H118" s="10" t="n">
        <v>3531.24</v>
      </c>
      <c r="I118" s="10" t="n">
        <v>5813.91</v>
      </c>
      <c r="J118" s="10" t="n">
        <v>3246.6</v>
      </c>
      <c r="K118" s="11" t="n">
        <v>0.6221</v>
      </c>
      <c r="L118" s="11" t="n">
        <v>0.3474</v>
      </c>
      <c r="M118" s="26" t="n">
        <v>34.67</v>
      </c>
    </row>
    <row r="119" customFormat="false" ht="15" hidden="false" customHeight="false" outlineLevel="0" collapsed="false">
      <c r="A119" s="27" t="n">
        <v>10331</v>
      </c>
      <c r="B119" s="12" t="s">
        <v>127</v>
      </c>
      <c r="C119" s="28" t="n">
        <v>1</v>
      </c>
      <c r="D119" s="28" t="n">
        <v>1</v>
      </c>
      <c r="E119" s="14" t="n">
        <v>0</v>
      </c>
      <c r="F119" s="14" t="n">
        <v>36.48</v>
      </c>
      <c r="G119" s="14" t="n">
        <v>36.48</v>
      </c>
      <c r="H119" s="14" t="n">
        <v>15.58</v>
      </c>
      <c r="I119" s="14" t="n">
        <v>20.9</v>
      </c>
      <c r="J119" s="14" t="n">
        <v>10.88</v>
      </c>
      <c r="K119" s="15" t="n">
        <v>0.5729</v>
      </c>
      <c r="L119" s="15" t="n">
        <v>0.2982</v>
      </c>
      <c r="M119" s="29" t="n">
        <v>45</v>
      </c>
    </row>
    <row r="120" customFormat="false" ht="15" hidden="false" customHeight="false" outlineLevel="0" collapsed="false">
      <c r="A120" s="24" t="n">
        <v>10335</v>
      </c>
      <c r="B120" s="8" t="s">
        <v>96</v>
      </c>
      <c r="C120" s="25" t="n">
        <v>2</v>
      </c>
      <c r="D120" s="25" t="n">
        <v>2</v>
      </c>
      <c r="E120" s="10" t="n">
        <v>0</v>
      </c>
      <c r="F120" s="10" t="n">
        <v>420.72</v>
      </c>
      <c r="G120" s="10" t="n">
        <v>420.72</v>
      </c>
      <c r="H120" s="10" t="n">
        <v>280.16</v>
      </c>
      <c r="I120" s="10" t="n">
        <v>140.56</v>
      </c>
      <c r="J120" s="10" t="n">
        <v>24.98</v>
      </c>
      <c r="K120" s="11" t="n">
        <v>0.3341</v>
      </c>
      <c r="L120" s="11" t="n">
        <v>0.0594</v>
      </c>
      <c r="M120" s="26" t="n">
        <v>43</v>
      </c>
    </row>
    <row r="121" customFormat="false" ht="15" hidden="false" customHeight="false" outlineLevel="0" collapsed="false">
      <c r="A121" s="27" t="n">
        <v>10337</v>
      </c>
      <c r="B121" s="12" t="s">
        <v>96</v>
      </c>
      <c r="C121" s="28" t="n">
        <v>4</v>
      </c>
      <c r="D121" s="28" t="n">
        <v>4</v>
      </c>
      <c r="E121" s="14" t="n">
        <v>0</v>
      </c>
      <c r="F121" s="14" t="n">
        <v>2602.48</v>
      </c>
      <c r="G121" s="14" t="n">
        <v>2602.48</v>
      </c>
      <c r="H121" s="14" t="n">
        <v>962.27</v>
      </c>
      <c r="I121" s="14" t="n">
        <v>1640.21</v>
      </c>
      <c r="J121" s="14" t="n">
        <v>913.88</v>
      </c>
      <c r="K121" s="15" t="n">
        <v>0.6302</v>
      </c>
      <c r="L121" s="15" t="n">
        <v>0.3512</v>
      </c>
      <c r="M121" s="29" t="n">
        <v>45</v>
      </c>
    </row>
    <row r="122" customFormat="false" ht="15" hidden="false" customHeight="false" outlineLevel="0" collapsed="false">
      <c r="A122" s="24" t="n">
        <v>10340</v>
      </c>
      <c r="B122" s="8" t="s">
        <v>128</v>
      </c>
      <c r="C122" s="25" t="n">
        <v>147</v>
      </c>
      <c r="D122" s="25" t="n">
        <v>147</v>
      </c>
      <c r="E122" s="10" t="n">
        <v>0</v>
      </c>
      <c r="F122" s="10" t="n">
        <v>1238.7</v>
      </c>
      <c r="G122" s="10" t="n">
        <v>1238.7</v>
      </c>
      <c r="H122" s="10" t="n">
        <v>666.1307</v>
      </c>
      <c r="I122" s="10" t="n">
        <v>572.57</v>
      </c>
      <c r="J122" s="10" t="n">
        <v>256.04</v>
      </c>
      <c r="K122" s="11" t="n">
        <v>0.4622</v>
      </c>
      <c r="L122" s="11" t="n">
        <v>0.2067</v>
      </c>
      <c r="M122" s="26" t="n">
        <v>50</v>
      </c>
    </row>
    <row r="123" customFormat="false" ht="15" hidden="false" customHeight="false" outlineLevel="0" collapsed="false">
      <c r="A123" s="27" t="n">
        <v>10341</v>
      </c>
      <c r="B123" s="12" t="s">
        <v>129</v>
      </c>
      <c r="C123" s="28" t="n">
        <v>8</v>
      </c>
      <c r="D123" s="28" t="n">
        <v>8</v>
      </c>
      <c r="E123" s="14" t="n">
        <v>0</v>
      </c>
      <c r="F123" s="14" t="n">
        <v>1528.16</v>
      </c>
      <c r="G123" s="14" t="n">
        <v>1528.16</v>
      </c>
      <c r="H123" s="14" t="n">
        <v>665.92</v>
      </c>
      <c r="I123" s="14" t="n">
        <v>862.24</v>
      </c>
      <c r="J123" s="14" t="n">
        <v>442.42</v>
      </c>
      <c r="K123" s="15" t="n">
        <v>0.5642</v>
      </c>
      <c r="L123" s="15" t="n">
        <v>0.2895</v>
      </c>
      <c r="M123" s="29" t="n">
        <v>38</v>
      </c>
    </row>
    <row r="124" customFormat="false" ht="15" hidden="false" customHeight="false" outlineLevel="0" collapsed="false">
      <c r="A124" s="24" t="n">
        <v>10343</v>
      </c>
      <c r="B124" s="8" t="s">
        <v>129</v>
      </c>
      <c r="C124" s="25" t="n">
        <v>30</v>
      </c>
      <c r="D124" s="25" t="n">
        <v>30</v>
      </c>
      <c r="E124" s="10" t="n">
        <v>0</v>
      </c>
      <c r="F124" s="10" t="n">
        <v>6006.6</v>
      </c>
      <c r="G124" s="10" t="n">
        <v>6006.6</v>
      </c>
      <c r="H124" s="10" t="n">
        <v>2542.56</v>
      </c>
      <c r="I124" s="10" t="n">
        <v>3464.04</v>
      </c>
      <c r="J124" s="10" t="n">
        <v>1813.92</v>
      </c>
      <c r="K124" s="11" t="n">
        <v>0.5767</v>
      </c>
      <c r="L124" s="11" t="n">
        <v>0.302</v>
      </c>
      <c r="M124" s="26" t="n">
        <v>39.33</v>
      </c>
    </row>
    <row r="125" customFormat="false" ht="15" hidden="false" customHeight="false" outlineLevel="0" collapsed="false">
      <c r="A125" s="27" t="n">
        <v>10346</v>
      </c>
      <c r="B125" s="12" t="s">
        <v>130</v>
      </c>
      <c r="C125" s="28" t="n">
        <v>104</v>
      </c>
      <c r="D125" s="28" t="n">
        <v>104</v>
      </c>
      <c r="E125" s="14" t="n">
        <v>0</v>
      </c>
      <c r="F125" s="14" t="n">
        <v>22915.48</v>
      </c>
      <c r="G125" s="14" t="n">
        <v>22915.48</v>
      </c>
      <c r="H125" s="14" t="n">
        <v>3416.8904</v>
      </c>
      <c r="I125" s="14" t="n">
        <v>19498.59</v>
      </c>
      <c r="J125" s="14" t="n">
        <v>13103.89</v>
      </c>
      <c r="K125" s="15" t="n">
        <v>0.8509</v>
      </c>
      <c r="L125" s="15" t="n">
        <v>0.5718</v>
      </c>
      <c r="M125" s="29" t="n">
        <v>28.3</v>
      </c>
    </row>
    <row r="126" customFormat="false" ht="15" hidden="false" customHeight="false" outlineLevel="0" collapsed="false">
      <c r="A126" s="24" t="n">
        <v>10361</v>
      </c>
      <c r="B126" s="8" t="s">
        <v>96</v>
      </c>
      <c r="C126" s="25" t="n">
        <v>53</v>
      </c>
      <c r="D126" s="25" t="n">
        <v>53</v>
      </c>
      <c r="E126" s="10" t="n">
        <v>0</v>
      </c>
      <c r="F126" s="10" t="n">
        <v>46344.51</v>
      </c>
      <c r="G126" s="10" t="n">
        <v>46344.51</v>
      </c>
      <c r="H126" s="10" t="n">
        <v>10571.9398</v>
      </c>
      <c r="I126" s="10" t="n">
        <v>35772.57</v>
      </c>
      <c r="J126" s="10" t="n">
        <v>22837.75</v>
      </c>
      <c r="K126" s="11" t="n">
        <v>0.7719</v>
      </c>
      <c r="L126" s="11" t="n">
        <v>0.4928</v>
      </c>
      <c r="M126" s="26" t="n">
        <v>28.46</v>
      </c>
    </row>
    <row r="127" customFormat="false" ht="15" hidden="false" customHeight="false" outlineLevel="0" collapsed="false">
      <c r="A127" s="27" t="n">
        <v>10362</v>
      </c>
      <c r="B127" s="12" t="s">
        <v>131</v>
      </c>
      <c r="C127" s="28" t="n">
        <v>57</v>
      </c>
      <c r="D127" s="28" t="n">
        <v>57</v>
      </c>
      <c r="E127" s="14" t="n">
        <v>0</v>
      </c>
      <c r="F127" s="14" t="n">
        <v>4522.38</v>
      </c>
      <c r="G127" s="14" t="n">
        <v>4522.38</v>
      </c>
      <c r="H127" s="14" t="n">
        <v>1780.7207</v>
      </c>
      <c r="I127" s="14" t="n">
        <v>2741.66</v>
      </c>
      <c r="J127" s="14" t="n">
        <v>1499.27</v>
      </c>
      <c r="K127" s="15" t="n">
        <v>0.6062</v>
      </c>
      <c r="L127" s="15" t="n">
        <v>0.3315</v>
      </c>
      <c r="M127" s="29" t="n">
        <v>40.63</v>
      </c>
    </row>
    <row r="128" customFormat="false" ht="15" hidden="false" customHeight="false" outlineLevel="0" collapsed="false">
      <c r="A128" s="24" t="n">
        <v>10363</v>
      </c>
      <c r="B128" s="8" t="s">
        <v>132</v>
      </c>
      <c r="C128" s="25" t="n">
        <v>8</v>
      </c>
      <c r="D128" s="25" t="n">
        <v>8</v>
      </c>
      <c r="E128" s="10" t="n">
        <v>0</v>
      </c>
      <c r="F128" s="10" t="n">
        <v>530.72</v>
      </c>
      <c r="G128" s="10" t="n">
        <v>530.72</v>
      </c>
      <c r="H128" s="10" t="n">
        <v>296.14</v>
      </c>
      <c r="I128" s="10" t="n">
        <v>234.58</v>
      </c>
      <c r="J128" s="10" t="n">
        <v>87.77</v>
      </c>
      <c r="K128" s="11" t="n">
        <v>0.442</v>
      </c>
      <c r="L128" s="11" t="n">
        <v>0.1654</v>
      </c>
      <c r="M128" s="26" t="n">
        <v>55.68</v>
      </c>
    </row>
    <row r="129" customFormat="false" ht="15" hidden="false" customHeight="false" outlineLevel="0" collapsed="false">
      <c r="A129" s="27" t="n">
        <v>10373</v>
      </c>
      <c r="B129" s="12" t="s">
        <v>263</v>
      </c>
      <c r="C129" s="28" t="n">
        <v>2</v>
      </c>
      <c r="D129" s="28" t="n">
        <v>2</v>
      </c>
      <c r="E129" s="14" t="n">
        <v>0</v>
      </c>
      <c r="F129" s="14" t="n">
        <v>66.08</v>
      </c>
      <c r="G129" s="14" t="n">
        <v>66.08</v>
      </c>
      <c r="H129" s="14" t="n">
        <v>30.04</v>
      </c>
      <c r="I129" s="14" t="n">
        <v>36.04</v>
      </c>
      <c r="J129" s="14" t="n">
        <v>17.89</v>
      </c>
      <c r="K129" s="15" t="n">
        <v>0.5454</v>
      </c>
      <c r="L129" s="15" t="n">
        <v>0.2707</v>
      </c>
      <c r="M129" s="29" t="n">
        <v>60</v>
      </c>
    </row>
    <row r="130" customFormat="false" ht="15" hidden="false" customHeight="false" outlineLevel="0" collapsed="false">
      <c r="A130" s="24" t="n">
        <v>10374</v>
      </c>
      <c r="B130" s="8" t="s">
        <v>319</v>
      </c>
      <c r="C130" s="25" t="n">
        <v>4</v>
      </c>
      <c r="D130" s="25" t="n">
        <v>4</v>
      </c>
      <c r="E130" s="10" t="n">
        <v>0</v>
      </c>
      <c r="F130" s="10" t="n">
        <v>192.68</v>
      </c>
      <c r="G130" s="10" t="n">
        <v>192.68</v>
      </c>
      <c r="H130" s="10" t="n">
        <v>79.59</v>
      </c>
      <c r="I130" s="10" t="n">
        <v>113.09</v>
      </c>
      <c r="J130" s="10" t="n">
        <v>60.15</v>
      </c>
      <c r="K130" s="11" t="n">
        <v>0.5869</v>
      </c>
      <c r="L130" s="11" t="n">
        <v>0.3122</v>
      </c>
      <c r="M130" s="26" t="n">
        <v>5</v>
      </c>
    </row>
    <row r="131" customFormat="false" ht="15" hidden="false" customHeight="false" outlineLevel="0" collapsed="false">
      <c r="A131" s="27" t="n">
        <v>10375</v>
      </c>
      <c r="B131" s="12" t="s">
        <v>133</v>
      </c>
      <c r="C131" s="28" t="n">
        <v>60</v>
      </c>
      <c r="D131" s="28" t="n">
        <v>60</v>
      </c>
      <c r="E131" s="14" t="n">
        <v>0</v>
      </c>
      <c r="F131" s="14" t="n">
        <v>2190</v>
      </c>
      <c r="G131" s="14" t="n">
        <v>2190</v>
      </c>
      <c r="H131" s="14" t="n">
        <v>875.442</v>
      </c>
      <c r="I131" s="14" t="n">
        <v>1314.56</v>
      </c>
      <c r="J131" s="14" t="n">
        <v>712.93</v>
      </c>
      <c r="K131" s="15" t="n">
        <v>0.6003</v>
      </c>
      <c r="L131" s="15" t="n">
        <v>0.3255</v>
      </c>
      <c r="M131" s="29" t="n">
        <v>59</v>
      </c>
    </row>
    <row r="132" customFormat="false" ht="15" hidden="false" customHeight="false" outlineLevel="0" collapsed="false">
      <c r="A132" s="24" t="n">
        <v>10376</v>
      </c>
      <c r="B132" s="8" t="s">
        <v>264</v>
      </c>
      <c r="C132" s="25" t="n">
        <v>27</v>
      </c>
      <c r="D132" s="25" t="n">
        <v>27</v>
      </c>
      <c r="E132" s="10" t="n">
        <v>0</v>
      </c>
      <c r="F132" s="10" t="n">
        <v>1496.61</v>
      </c>
      <c r="G132" s="10" t="n">
        <v>1496.61</v>
      </c>
      <c r="H132" s="10" t="n">
        <v>675.6502</v>
      </c>
      <c r="I132" s="10" t="n">
        <v>820.96</v>
      </c>
      <c r="J132" s="10" t="n">
        <v>409.8</v>
      </c>
      <c r="K132" s="11" t="n">
        <v>0.5485</v>
      </c>
      <c r="L132" s="11" t="n">
        <v>0.2738</v>
      </c>
      <c r="M132" s="26" t="n">
        <v>36.56</v>
      </c>
    </row>
    <row r="133" customFormat="false" ht="15" hidden="false" customHeight="false" outlineLevel="0" collapsed="false">
      <c r="A133" s="27" t="n">
        <v>10397</v>
      </c>
      <c r="B133" s="12" t="s">
        <v>134</v>
      </c>
      <c r="C133" s="28" t="n">
        <v>158</v>
      </c>
      <c r="D133" s="28" t="n">
        <v>158</v>
      </c>
      <c r="E133" s="14" t="n">
        <v>0</v>
      </c>
      <c r="F133" s="14" t="n">
        <v>21276.58</v>
      </c>
      <c r="G133" s="14" t="n">
        <v>21276.58</v>
      </c>
      <c r="H133" s="14" t="n">
        <v>5318.0506</v>
      </c>
      <c r="I133" s="14" t="n">
        <v>15958.53</v>
      </c>
      <c r="J133" s="14" t="n">
        <v>10096.46</v>
      </c>
      <c r="K133" s="15" t="n">
        <v>0.7501</v>
      </c>
      <c r="L133" s="15" t="n">
        <v>0.4745</v>
      </c>
      <c r="M133" s="29" t="n">
        <v>38.33</v>
      </c>
    </row>
    <row r="134" customFormat="false" ht="15" hidden="false" customHeight="false" outlineLevel="0" collapsed="false">
      <c r="A134" s="24" t="n">
        <v>10404</v>
      </c>
      <c r="B134" s="8" t="s">
        <v>96</v>
      </c>
      <c r="C134" s="25" t="n">
        <v>51</v>
      </c>
      <c r="D134" s="25" t="n">
        <v>51</v>
      </c>
      <c r="E134" s="10" t="n">
        <v>0</v>
      </c>
      <c r="F134" s="10" t="n">
        <v>11112.39</v>
      </c>
      <c r="G134" s="10" t="n">
        <v>11112.39</v>
      </c>
      <c r="H134" s="10" t="n">
        <v>6082.6611</v>
      </c>
      <c r="I134" s="10" t="n">
        <v>5029.73</v>
      </c>
      <c r="J134" s="10" t="n">
        <v>1976.93</v>
      </c>
      <c r="K134" s="11" t="n">
        <v>0.4526</v>
      </c>
      <c r="L134" s="11" t="n">
        <v>0.1779</v>
      </c>
      <c r="M134" s="26" t="n">
        <v>38.71</v>
      </c>
    </row>
    <row r="135" customFormat="false" ht="15" hidden="false" customHeight="false" outlineLevel="0" collapsed="false">
      <c r="A135" s="27" t="n">
        <v>10405</v>
      </c>
      <c r="B135" s="12" t="s">
        <v>96</v>
      </c>
      <c r="C135" s="28" t="n">
        <v>7</v>
      </c>
      <c r="D135" s="28" t="n">
        <v>7</v>
      </c>
      <c r="E135" s="14" t="n">
        <v>0</v>
      </c>
      <c r="F135" s="14" t="n">
        <v>1461.39</v>
      </c>
      <c r="G135" s="14" t="n">
        <v>1461.39</v>
      </c>
      <c r="H135" s="14" t="n">
        <v>747.0701</v>
      </c>
      <c r="I135" s="14" t="n">
        <v>714.32</v>
      </c>
      <c r="J135" s="14" t="n">
        <v>312.84</v>
      </c>
      <c r="K135" s="15" t="n">
        <v>0.4888</v>
      </c>
      <c r="L135" s="15" t="n">
        <v>0.2141</v>
      </c>
      <c r="M135" s="29" t="n">
        <v>37</v>
      </c>
    </row>
    <row r="136" customFormat="false" ht="15" hidden="false" customHeight="false" outlineLevel="0" collapsed="false">
      <c r="A136" s="24" t="n">
        <v>10406</v>
      </c>
      <c r="B136" s="8" t="s">
        <v>135</v>
      </c>
      <c r="C136" s="25" t="n">
        <v>53</v>
      </c>
      <c r="D136" s="25" t="n">
        <v>53</v>
      </c>
      <c r="E136" s="10" t="n">
        <v>0</v>
      </c>
      <c r="F136" s="10" t="n">
        <v>14353.79</v>
      </c>
      <c r="G136" s="10" t="n">
        <v>14353.79</v>
      </c>
      <c r="H136" s="10" t="n">
        <v>4962.9201</v>
      </c>
      <c r="I136" s="10" t="n">
        <v>9390.87</v>
      </c>
      <c r="J136" s="10" t="n">
        <v>6136.45</v>
      </c>
      <c r="K136" s="11" t="n">
        <v>0.6542</v>
      </c>
      <c r="L136" s="11" t="n">
        <v>0.4275</v>
      </c>
      <c r="M136" s="26" t="n">
        <v>37.88</v>
      </c>
    </row>
    <row r="137" customFormat="false" ht="15" hidden="false" customHeight="false" outlineLevel="0" collapsed="false">
      <c r="A137" s="27" t="n">
        <v>10408</v>
      </c>
      <c r="B137" s="12" t="s">
        <v>136</v>
      </c>
      <c r="C137" s="28" t="n">
        <v>323</v>
      </c>
      <c r="D137" s="28" t="n">
        <v>323</v>
      </c>
      <c r="E137" s="14" t="n">
        <v>0</v>
      </c>
      <c r="F137" s="14" t="n">
        <v>91328.3</v>
      </c>
      <c r="G137" s="14" t="n">
        <v>91328.3</v>
      </c>
      <c r="H137" s="14" t="n">
        <v>53266.4195</v>
      </c>
      <c r="I137" s="14" t="n">
        <v>38061.88</v>
      </c>
      <c r="J137" s="14" t="n">
        <v>12972.18</v>
      </c>
      <c r="K137" s="15" t="n">
        <v>0.4168</v>
      </c>
      <c r="L137" s="15" t="n">
        <v>0.142</v>
      </c>
      <c r="M137" s="29" t="n">
        <v>50.05</v>
      </c>
    </row>
    <row r="138" customFormat="false" ht="15" hidden="false" customHeight="false" outlineLevel="0" collapsed="false">
      <c r="A138" s="24" t="n">
        <v>10410</v>
      </c>
      <c r="B138" s="8" t="s">
        <v>320</v>
      </c>
      <c r="C138" s="25" t="n">
        <v>1</v>
      </c>
      <c r="D138" s="25" t="n">
        <v>1</v>
      </c>
      <c r="E138" s="10" t="n">
        <v>0</v>
      </c>
      <c r="F138" s="10" t="n">
        <v>95.03</v>
      </c>
      <c r="G138" s="10" t="n">
        <v>95.03</v>
      </c>
      <c r="H138" s="10" t="n">
        <v>37.98</v>
      </c>
      <c r="I138" s="10" t="n">
        <v>57.05</v>
      </c>
      <c r="J138" s="10" t="n">
        <v>30.52</v>
      </c>
      <c r="K138" s="11" t="n">
        <v>0.6003</v>
      </c>
      <c r="L138" s="11" t="n">
        <v>0.3212</v>
      </c>
      <c r="M138" s="26" t="n">
        <v>28</v>
      </c>
    </row>
    <row r="139" customFormat="false" ht="15" hidden="false" customHeight="false" outlineLevel="0" collapsed="false">
      <c r="A139" s="27" t="n">
        <v>10412</v>
      </c>
      <c r="B139" s="12" t="s">
        <v>129</v>
      </c>
      <c r="C139" s="28" t="n">
        <v>125</v>
      </c>
      <c r="D139" s="28" t="n">
        <v>125</v>
      </c>
      <c r="E139" s="14" t="n">
        <v>0</v>
      </c>
      <c r="F139" s="14" t="n">
        <v>51349.53</v>
      </c>
      <c r="G139" s="14" t="n">
        <v>51349.53</v>
      </c>
      <c r="H139" s="14" t="n">
        <v>25753.9192</v>
      </c>
      <c r="I139" s="14" t="n">
        <v>25595.61</v>
      </c>
      <c r="J139" s="14" t="n">
        <v>11264</v>
      </c>
      <c r="K139" s="15" t="n">
        <v>0.4985</v>
      </c>
      <c r="L139" s="15" t="n">
        <v>0.2194</v>
      </c>
      <c r="M139" s="29" t="n">
        <v>28.24</v>
      </c>
    </row>
    <row r="140" customFormat="false" ht="15" hidden="false" customHeight="false" outlineLevel="0" collapsed="false">
      <c r="A140" s="24" t="n">
        <v>10413</v>
      </c>
      <c r="B140" s="8" t="s">
        <v>137</v>
      </c>
      <c r="C140" s="25" t="n">
        <v>7</v>
      </c>
      <c r="D140" s="25" t="n">
        <v>7</v>
      </c>
      <c r="E140" s="10" t="n">
        <v>0</v>
      </c>
      <c r="F140" s="10" t="n">
        <v>539.35</v>
      </c>
      <c r="G140" s="10" t="n">
        <v>539.35</v>
      </c>
      <c r="H140" s="10" t="n">
        <v>248.44</v>
      </c>
      <c r="I140" s="10" t="n">
        <v>290.91</v>
      </c>
      <c r="J140" s="10" t="n">
        <v>142.73</v>
      </c>
      <c r="K140" s="11" t="n">
        <v>0.5394</v>
      </c>
      <c r="L140" s="11" t="n">
        <v>0.2646</v>
      </c>
      <c r="M140" s="26" t="n">
        <v>5</v>
      </c>
    </row>
    <row r="141" customFormat="false" ht="15" hidden="false" customHeight="false" outlineLevel="0" collapsed="false">
      <c r="A141" s="27" t="n">
        <v>10414</v>
      </c>
      <c r="B141" s="12" t="s">
        <v>321</v>
      </c>
      <c r="C141" s="28" t="n">
        <v>1</v>
      </c>
      <c r="D141" s="28" t="n">
        <v>1</v>
      </c>
      <c r="E141" s="14" t="n">
        <v>0</v>
      </c>
      <c r="F141" s="14" t="n">
        <v>327.6</v>
      </c>
      <c r="G141" s="14" t="n">
        <v>327.6</v>
      </c>
      <c r="H141" s="14" t="n">
        <v>97.93</v>
      </c>
      <c r="I141" s="14" t="n">
        <v>229.67</v>
      </c>
      <c r="J141" s="14" t="n">
        <v>138.23</v>
      </c>
      <c r="K141" s="15" t="n">
        <v>0.7011</v>
      </c>
      <c r="L141" s="15" t="n">
        <v>0.4219</v>
      </c>
      <c r="M141" s="29" t="n">
        <v>50</v>
      </c>
    </row>
    <row r="142" customFormat="false" ht="15" hidden="false" customHeight="false" outlineLevel="0" collapsed="false">
      <c r="A142" s="24" t="n">
        <v>10419</v>
      </c>
      <c r="B142" s="8" t="s">
        <v>138</v>
      </c>
      <c r="C142" s="25" t="n">
        <v>30</v>
      </c>
      <c r="D142" s="25" t="n">
        <v>30</v>
      </c>
      <c r="E142" s="10" t="n">
        <v>0</v>
      </c>
      <c r="F142" s="10" t="n">
        <v>2920.5</v>
      </c>
      <c r="G142" s="10" t="n">
        <v>2920.5</v>
      </c>
      <c r="H142" s="10" t="n">
        <v>830.59</v>
      </c>
      <c r="I142" s="10" t="n">
        <v>2089.91</v>
      </c>
      <c r="J142" s="10" t="n">
        <v>1274.81</v>
      </c>
      <c r="K142" s="11" t="n">
        <v>0.7156</v>
      </c>
      <c r="L142" s="11" t="n">
        <v>0.4365</v>
      </c>
      <c r="M142" s="26" t="n">
        <v>28</v>
      </c>
    </row>
    <row r="143" customFormat="false" ht="15" hidden="false" customHeight="false" outlineLevel="0" collapsed="false">
      <c r="A143" s="27" t="n">
        <v>10422</v>
      </c>
      <c r="B143" s="12" t="s">
        <v>139</v>
      </c>
      <c r="C143" s="28" t="n">
        <v>87</v>
      </c>
      <c r="D143" s="28" t="n">
        <v>87</v>
      </c>
      <c r="E143" s="14" t="n">
        <v>0</v>
      </c>
      <c r="F143" s="14" t="n">
        <v>79976.23</v>
      </c>
      <c r="G143" s="14" t="n">
        <v>79976.23</v>
      </c>
      <c r="H143" s="14" t="n">
        <v>23673.7702</v>
      </c>
      <c r="I143" s="14" t="n">
        <v>56302.46</v>
      </c>
      <c r="J143" s="14" t="n">
        <v>34331.39</v>
      </c>
      <c r="K143" s="15" t="n">
        <v>0.704</v>
      </c>
      <c r="L143" s="15" t="n">
        <v>0.4293</v>
      </c>
      <c r="M143" s="29" t="n">
        <v>28</v>
      </c>
    </row>
    <row r="144" customFormat="false" ht="15" hidden="false" customHeight="false" outlineLevel="0" collapsed="false">
      <c r="A144" s="24" t="n">
        <v>10423</v>
      </c>
      <c r="B144" s="8" t="s">
        <v>408</v>
      </c>
      <c r="C144" s="25" t="n">
        <v>1</v>
      </c>
      <c r="D144" s="25" t="n">
        <v>1</v>
      </c>
      <c r="E144" s="10" t="n">
        <v>0</v>
      </c>
      <c r="F144" s="10" t="n">
        <v>251.5</v>
      </c>
      <c r="G144" s="10" t="n">
        <v>251.5</v>
      </c>
      <c r="H144" s="10" t="n">
        <v>64.5</v>
      </c>
      <c r="I144" s="10" t="n">
        <v>187</v>
      </c>
      <c r="J144" s="10" t="n">
        <v>117.91</v>
      </c>
      <c r="K144" s="11" t="n">
        <v>0.7435</v>
      </c>
      <c r="L144" s="11" t="n">
        <v>0.4688</v>
      </c>
      <c r="M144" s="26" t="n">
        <v>60</v>
      </c>
    </row>
    <row r="145" customFormat="false" ht="15" hidden="false" customHeight="false" outlineLevel="0" collapsed="false">
      <c r="A145" s="27" t="n">
        <v>10427</v>
      </c>
      <c r="B145" s="12" t="s">
        <v>140</v>
      </c>
      <c r="C145" s="28" t="n">
        <v>3</v>
      </c>
      <c r="D145" s="28" t="n">
        <v>3</v>
      </c>
      <c r="E145" s="14" t="n">
        <v>0</v>
      </c>
      <c r="F145" s="14" t="n">
        <v>741.45</v>
      </c>
      <c r="G145" s="14" t="n">
        <v>741.45</v>
      </c>
      <c r="H145" s="14" t="n">
        <v>284.97</v>
      </c>
      <c r="I145" s="14" t="n">
        <v>456.48</v>
      </c>
      <c r="J145" s="14" t="n">
        <v>252.79</v>
      </c>
      <c r="K145" s="15" t="n">
        <v>0.6157</v>
      </c>
      <c r="L145" s="15" t="n">
        <v>0.3409</v>
      </c>
      <c r="M145" s="29" t="n">
        <v>60</v>
      </c>
    </row>
    <row r="146" customFormat="false" ht="15" hidden="false" customHeight="false" outlineLevel="0" collapsed="false">
      <c r="A146" s="24" t="n">
        <v>10428</v>
      </c>
      <c r="B146" s="8" t="s">
        <v>141</v>
      </c>
      <c r="C146" s="25" t="n">
        <v>12</v>
      </c>
      <c r="D146" s="25" t="n">
        <v>12</v>
      </c>
      <c r="E146" s="10" t="n">
        <v>0</v>
      </c>
      <c r="F146" s="10" t="n">
        <v>14057.16</v>
      </c>
      <c r="G146" s="10" t="n">
        <v>14057.16</v>
      </c>
      <c r="H146" s="10" t="n">
        <v>7889.99</v>
      </c>
      <c r="I146" s="10" t="n">
        <v>6167.17</v>
      </c>
      <c r="J146" s="10" t="n">
        <v>2243.86</v>
      </c>
      <c r="K146" s="11" t="n">
        <v>0.4387</v>
      </c>
      <c r="L146" s="11" t="n">
        <v>0.1596</v>
      </c>
      <c r="M146" s="26" t="n">
        <v>28</v>
      </c>
    </row>
    <row r="147" customFormat="false" ht="15" hidden="false" customHeight="false" outlineLevel="0" collapsed="false">
      <c r="A147" s="27" t="n">
        <v>10439</v>
      </c>
      <c r="B147" s="12" t="s">
        <v>141</v>
      </c>
      <c r="C147" s="28" t="n">
        <v>54</v>
      </c>
      <c r="D147" s="28" t="n">
        <v>54</v>
      </c>
      <c r="E147" s="14" t="n">
        <v>0</v>
      </c>
      <c r="F147" s="14" t="n">
        <v>76927.32</v>
      </c>
      <c r="G147" s="14" t="n">
        <v>76927.32</v>
      </c>
      <c r="H147" s="14" t="n">
        <v>26647.5502</v>
      </c>
      <c r="I147" s="14" t="n">
        <v>50279.77</v>
      </c>
      <c r="J147" s="14" t="n">
        <v>28809.37</v>
      </c>
      <c r="K147" s="15" t="n">
        <v>0.6536</v>
      </c>
      <c r="L147" s="15" t="n">
        <v>0.3745</v>
      </c>
      <c r="M147" s="29" t="n">
        <v>28</v>
      </c>
    </row>
    <row r="148" customFormat="false" ht="15" hidden="false" customHeight="false" outlineLevel="0" collapsed="false">
      <c r="A148" s="24" t="n">
        <v>10444</v>
      </c>
      <c r="B148" s="8" t="s">
        <v>143</v>
      </c>
      <c r="C148" s="25" t="n">
        <v>16</v>
      </c>
      <c r="D148" s="25" t="n">
        <v>16</v>
      </c>
      <c r="E148" s="10" t="n">
        <v>0</v>
      </c>
      <c r="F148" s="10" t="n">
        <v>6973.92</v>
      </c>
      <c r="G148" s="10" t="n">
        <v>6973.92</v>
      </c>
      <c r="H148" s="10" t="n">
        <v>2948.96</v>
      </c>
      <c r="I148" s="10" t="n">
        <v>4024.96</v>
      </c>
      <c r="J148" s="10" t="n">
        <v>2078.53</v>
      </c>
      <c r="K148" s="11" t="n">
        <v>0.5771</v>
      </c>
      <c r="L148" s="11" t="n">
        <v>0.298</v>
      </c>
      <c r="M148" s="26" t="n">
        <v>28</v>
      </c>
    </row>
    <row r="149" customFormat="false" ht="15" hidden="false" customHeight="false" outlineLevel="0" collapsed="false">
      <c r="A149" s="27" t="n">
        <v>10445</v>
      </c>
      <c r="B149" s="12" t="s">
        <v>144</v>
      </c>
      <c r="C149" s="28" t="n">
        <v>69</v>
      </c>
      <c r="D149" s="28" t="n">
        <v>69</v>
      </c>
      <c r="E149" s="14" t="n">
        <v>0</v>
      </c>
      <c r="F149" s="14" t="n">
        <v>9266.5</v>
      </c>
      <c r="G149" s="14" t="n">
        <v>9266.5</v>
      </c>
      <c r="H149" s="14" t="n">
        <v>3073.2405</v>
      </c>
      <c r="I149" s="14" t="n">
        <v>6193.26</v>
      </c>
      <c r="J149" s="14" t="n">
        <v>3607</v>
      </c>
      <c r="K149" s="15" t="n">
        <v>0.6683</v>
      </c>
      <c r="L149" s="15" t="n">
        <v>0.3893</v>
      </c>
      <c r="M149" s="29" t="n">
        <v>28.03</v>
      </c>
    </row>
    <row r="150" customFormat="false" ht="15" hidden="false" customHeight="false" outlineLevel="0" collapsed="false">
      <c r="A150" s="24" t="n">
        <v>10446</v>
      </c>
      <c r="B150" s="8" t="s">
        <v>145</v>
      </c>
      <c r="C150" s="25" t="n">
        <v>140</v>
      </c>
      <c r="D150" s="25" t="n">
        <v>140</v>
      </c>
      <c r="E150" s="10" t="n">
        <v>0</v>
      </c>
      <c r="F150" s="10" t="n">
        <v>7536.2</v>
      </c>
      <c r="G150" s="10" t="n">
        <v>7536.2</v>
      </c>
      <c r="H150" s="10" t="n">
        <v>2061.75</v>
      </c>
      <c r="I150" s="10" t="n">
        <v>5474.45</v>
      </c>
      <c r="J150" s="10" t="n">
        <v>3371.09</v>
      </c>
      <c r="K150" s="11" t="n">
        <v>0.7264</v>
      </c>
      <c r="L150" s="11" t="n">
        <v>0.4473</v>
      </c>
      <c r="M150" s="26" t="n">
        <v>28</v>
      </c>
    </row>
    <row r="151" customFormat="false" ht="15" hidden="false" customHeight="false" outlineLevel="0" collapsed="false">
      <c r="A151" s="27" t="n">
        <v>10447</v>
      </c>
      <c r="B151" s="12" t="s">
        <v>146</v>
      </c>
      <c r="C151" s="28" t="n">
        <v>174</v>
      </c>
      <c r="D151" s="28" t="n">
        <v>174</v>
      </c>
      <c r="E151" s="14" t="n">
        <v>0</v>
      </c>
      <c r="F151" s="14" t="n">
        <v>1905.3</v>
      </c>
      <c r="G151" s="14" t="n">
        <v>1905.3</v>
      </c>
      <c r="H151" s="14" t="n">
        <v>392.1907</v>
      </c>
      <c r="I151" s="14" t="n">
        <v>1513.11</v>
      </c>
      <c r="J151" s="14" t="n">
        <v>981.35</v>
      </c>
      <c r="K151" s="15" t="n">
        <v>0.7942</v>
      </c>
      <c r="L151" s="15" t="n">
        <v>0.5151</v>
      </c>
      <c r="M151" s="29" t="n">
        <v>28.17</v>
      </c>
    </row>
    <row r="152" customFormat="false" ht="15" hidden="false" customHeight="false" outlineLevel="0" collapsed="false">
      <c r="A152" s="24" t="n">
        <v>10448</v>
      </c>
      <c r="B152" s="8" t="s">
        <v>147</v>
      </c>
      <c r="C152" s="25" t="n">
        <v>270</v>
      </c>
      <c r="D152" s="25" t="n">
        <v>270</v>
      </c>
      <c r="E152" s="10" t="n">
        <v>0</v>
      </c>
      <c r="F152" s="10" t="n">
        <v>6002.1</v>
      </c>
      <c r="G152" s="10" t="n">
        <v>6002.1</v>
      </c>
      <c r="H152" s="10" t="n">
        <v>1776.839</v>
      </c>
      <c r="I152" s="10" t="n">
        <v>4225.26</v>
      </c>
      <c r="J152" s="10" t="n">
        <v>2769.15</v>
      </c>
      <c r="K152" s="11" t="n">
        <v>0.704</v>
      </c>
      <c r="L152" s="11" t="n">
        <v>0.4614</v>
      </c>
      <c r="M152" s="26" t="n">
        <v>34.41</v>
      </c>
    </row>
    <row r="153" customFormat="false" ht="15" hidden="false" customHeight="false" outlineLevel="0" collapsed="false">
      <c r="A153" s="27" t="n">
        <v>10457</v>
      </c>
      <c r="B153" s="12" t="s">
        <v>426</v>
      </c>
      <c r="C153" s="28" t="n">
        <v>4</v>
      </c>
      <c r="D153" s="28" t="n">
        <v>4</v>
      </c>
      <c r="E153" s="14" t="n">
        <v>0</v>
      </c>
      <c r="F153" s="14" t="n">
        <v>402.8</v>
      </c>
      <c r="G153" s="14" t="n">
        <v>402.8</v>
      </c>
      <c r="H153" s="14" t="n">
        <v>766.31</v>
      </c>
      <c r="I153" s="14" t="n">
        <v>-363.51</v>
      </c>
      <c r="J153" s="14" t="n">
        <v>-475.93</v>
      </c>
      <c r="K153" s="15" t="n">
        <v>-0.9025</v>
      </c>
      <c r="L153" s="15" t="n">
        <v>-1.1816</v>
      </c>
      <c r="M153" s="29" t="n">
        <v>28</v>
      </c>
    </row>
    <row r="154" customFormat="false" ht="15" hidden="false" customHeight="false" outlineLevel="0" collapsed="false">
      <c r="A154" s="24" t="n">
        <v>10475</v>
      </c>
      <c r="B154" s="8" t="s">
        <v>150</v>
      </c>
      <c r="C154" s="25" t="n">
        <v>106</v>
      </c>
      <c r="D154" s="25" t="n">
        <v>106</v>
      </c>
      <c r="E154" s="10" t="n">
        <v>0</v>
      </c>
      <c r="F154" s="10" t="n">
        <v>13819.22</v>
      </c>
      <c r="G154" s="10" t="n">
        <v>13819.22</v>
      </c>
      <c r="H154" s="10" t="n">
        <v>10064.62</v>
      </c>
      <c r="I154" s="10" t="n">
        <v>3754.6</v>
      </c>
      <c r="J154" s="10" t="n">
        <v>-41.84</v>
      </c>
      <c r="K154" s="11" t="n">
        <v>0.2717</v>
      </c>
      <c r="L154" s="11" t="n">
        <v>-0.003</v>
      </c>
      <c r="M154" s="26" t="n">
        <v>50</v>
      </c>
    </row>
    <row r="155" customFormat="false" ht="15" hidden="false" customHeight="false" outlineLevel="0" collapsed="false">
      <c r="A155" s="27" t="n">
        <v>10476</v>
      </c>
      <c r="B155" s="12" t="s">
        <v>151</v>
      </c>
      <c r="C155" s="28" t="n">
        <v>142</v>
      </c>
      <c r="D155" s="28" t="n">
        <v>142</v>
      </c>
      <c r="E155" s="14" t="n">
        <v>0</v>
      </c>
      <c r="F155" s="14" t="n">
        <v>21573.9</v>
      </c>
      <c r="G155" s="14" t="n">
        <v>21573.9</v>
      </c>
      <c r="H155" s="14" t="n">
        <v>12508.304</v>
      </c>
      <c r="I155" s="14" t="n">
        <v>9065.6</v>
      </c>
      <c r="J155" s="14" t="n">
        <v>3155.07</v>
      </c>
      <c r="K155" s="15" t="n">
        <v>0.4202</v>
      </c>
      <c r="L155" s="15" t="n">
        <v>0.1462</v>
      </c>
      <c r="M155" s="29" t="n">
        <v>49.33</v>
      </c>
    </row>
    <row r="156" customFormat="false" ht="15" hidden="false" customHeight="false" outlineLevel="0" collapsed="false">
      <c r="A156" s="24" t="n">
        <v>10477</v>
      </c>
      <c r="B156" s="8" t="s">
        <v>152</v>
      </c>
      <c r="C156" s="25" t="n">
        <v>210</v>
      </c>
      <c r="D156" s="25" t="n">
        <v>210</v>
      </c>
      <c r="E156" s="10" t="n">
        <v>0</v>
      </c>
      <c r="F156" s="10" t="n">
        <v>27654.9</v>
      </c>
      <c r="G156" s="10" t="n">
        <v>27654.9</v>
      </c>
      <c r="H156" s="10" t="n">
        <v>17491.086</v>
      </c>
      <c r="I156" s="10" t="n">
        <v>10163.82</v>
      </c>
      <c r="J156" s="10" t="n">
        <v>2566.45</v>
      </c>
      <c r="K156" s="11" t="n">
        <v>0.3675</v>
      </c>
      <c r="L156" s="11" t="n">
        <v>0.0928</v>
      </c>
      <c r="M156" s="26" t="n">
        <v>50</v>
      </c>
    </row>
    <row r="157" customFormat="false" ht="15" hidden="false" customHeight="false" outlineLevel="0" collapsed="false">
      <c r="A157" s="27" t="n">
        <v>10478</v>
      </c>
      <c r="B157" s="12" t="s">
        <v>427</v>
      </c>
      <c r="C157" s="28" t="n">
        <v>15</v>
      </c>
      <c r="D157" s="28" t="n">
        <v>15</v>
      </c>
      <c r="E157" s="14" t="n">
        <v>0</v>
      </c>
      <c r="F157" s="14" t="n">
        <v>2795.25</v>
      </c>
      <c r="G157" s="14" t="n">
        <v>2795.25</v>
      </c>
      <c r="H157" s="14" t="n">
        <v>1104.18</v>
      </c>
      <c r="I157" s="14" t="n">
        <v>1691.07</v>
      </c>
      <c r="J157" s="14" t="n">
        <v>923.16</v>
      </c>
      <c r="K157" s="15" t="n">
        <v>0.605</v>
      </c>
      <c r="L157" s="15" t="n">
        <v>0.3303</v>
      </c>
      <c r="M157" s="29" t="n">
        <v>60</v>
      </c>
    </row>
    <row r="158" customFormat="false" ht="15" hidden="false" customHeight="false" outlineLevel="0" collapsed="false">
      <c r="A158" s="24" t="n">
        <v>10481</v>
      </c>
      <c r="B158" s="8" t="s">
        <v>74</v>
      </c>
      <c r="C158" s="25" t="n">
        <v>78</v>
      </c>
      <c r="D158" s="25" t="n">
        <v>78</v>
      </c>
      <c r="E158" s="10" t="n">
        <v>0</v>
      </c>
      <c r="F158" s="10" t="n">
        <v>18511.74</v>
      </c>
      <c r="G158" s="10" t="n">
        <v>18511.74</v>
      </c>
      <c r="H158" s="10" t="n">
        <v>8348.9208</v>
      </c>
      <c r="I158" s="10" t="n">
        <v>10162.82</v>
      </c>
      <c r="J158" s="10" t="n">
        <v>5077.24</v>
      </c>
      <c r="K158" s="11" t="n">
        <v>0.549</v>
      </c>
      <c r="L158" s="11" t="n">
        <v>0.2743</v>
      </c>
      <c r="M158" s="26" t="n">
        <v>28.51</v>
      </c>
    </row>
    <row r="159" customFormat="false" ht="15" hidden="false" customHeight="false" outlineLevel="0" collapsed="false">
      <c r="A159" s="27" t="n">
        <v>10485</v>
      </c>
      <c r="B159" s="12" t="s">
        <v>40</v>
      </c>
      <c r="C159" s="28" t="n">
        <v>200</v>
      </c>
      <c r="D159" s="28" t="n">
        <v>200</v>
      </c>
      <c r="E159" s="14" t="n">
        <v>0</v>
      </c>
      <c r="F159" s="14" t="n">
        <v>29523.88</v>
      </c>
      <c r="G159" s="14" t="n">
        <v>29523.88</v>
      </c>
      <c r="H159" s="14" t="n">
        <v>13203.912</v>
      </c>
      <c r="I159" s="14" t="n">
        <v>16319.97</v>
      </c>
      <c r="J159" s="14" t="n">
        <v>8209.18</v>
      </c>
      <c r="K159" s="15" t="n">
        <v>0.5528</v>
      </c>
      <c r="L159" s="15" t="n">
        <v>0.2781</v>
      </c>
      <c r="M159" s="29" t="n">
        <v>50</v>
      </c>
    </row>
    <row r="160" customFormat="false" ht="15" hidden="false" customHeight="false" outlineLevel="0" collapsed="false">
      <c r="A160" s="24" t="n">
        <v>10488</v>
      </c>
      <c r="B160" s="8" t="s">
        <v>154</v>
      </c>
      <c r="C160" s="25" t="n">
        <v>58</v>
      </c>
      <c r="D160" s="25" t="n">
        <v>58</v>
      </c>
      <c r="E160" s="10" t="n">
        <v>0</v>
      </c>
      <c r="F160" s="10" t="n">
        <v>24367.57</v>
      </c>
      <c r="G160" s="10" t="n">
        <v>24367.57</v>
      </c>
      <c r="H160" s="10" t="n">
        <v>10864.8597</v>
      </c>
      <c r="I160" s="10" t="n">
        <v>13502.71</v>
      </c>
      <c r="J160" s="10" t="n">
        <v>7439.28</v>
      </c>
      <c r="K160" s="11" t="n">
        <v>0.5541</v>
      </c>
      <c r="L160" s="11" t="n">
        <v>0.3053</v>
      </c>
      <c r="M160" s="26" t="n">
        <v>37.95</v>
      </c>
    </row>
    <row r="161" customFormat="false" ht="15" hidden="false" customHeight="false" outlineLevel="0" collapsed="false">
      <c r="A161" s="27" t="n">
        <v>10493</v>
      </c>
      <c r="B161" s="12" t="s">
        <v>155</v>
      </c>
      <c r="C161" s="28" t="n">
        <v>57</v>
      </c>
      <c r="D161" s="28" t="n">
        <v>57</v>
      </c>
      <c r="E161" s="14" t="n">
        <v>0</v>
      </c>
      <c r="F161" s="14" t="n">
        <v>27127.44</v>
      </c>
      <c r="G161" s="14" t="n">
        <v>27127.44</v>
      </c>
      <c r="H161" s="14" t="n">
        <v>18421.6205</v>
      </c>
      <c r="I161" s="14" t="n">
        <v>8705.82</v>
      </c>
      <c r="J161" s="14" t="n">
        <v>1253.37</v>
      </c>
      <c r="K161" s="15" t="n">
        <v>0.3209</v>
      </c>
      <c r="L161" s="15" t="n">
        <v>0.0462</v>
      </c>
      <c r="M161" s="29" t="n">
        <v>36.49</v>
      </c>
    </row>
    <row r="162" customFormat="false" ht="15" hidden="false" customHeight="false" outlineLevel="0" collapsed="false">
      <c r="A162" s="24" t="n">
        <v>10500</v>
      </c>
      <c r="B162" s="8" t="s">
        <v>265</v>
      </c>
      <c r="C162" s="25" t="n">
        <v>17</v>
      </c>
      <c r="D162" s="25" t="n">
        <v>17</v>
      </c>
      <c r="E162" s="10" t="n">
        <v>0</v>
      </c>
      <c r="F162" s="10" t="n">
        <v>2771</v>
      </c>
      <c r="G162" s="10" t="n">
        <v>2771</v>
      </c>
      <c r="H162" s="10" t="n">
        <v>1963.8196</v>
      </c>
      <c r="I162" s="10" t="n">
        <v>807.18</v>
      </c>
      <c r="J162" s="10" t="n">
        <v>45.93</v>
      </c>
      <c r="K162" s="11" t="n">
        <v>0.2913</v>
      </c>
      <c r="L162" s="11" t="n">
        <v>0.0166</v>
      </c>
      <c r="M162" s="26" t="n">
        <v>61</v>
      </c>
    </row>
    <row r="163" customFormat="false" ht="15" hidden="false" customHeight="false" outlineLevel="0" collapsed="false">
      <c r="A163" s="27" t="n">
        <v>10504</v>
      </c>
      <c r="B163" s="12" t="s">
        <v>157</v>
      </c>
      <c r="C163" s="28" t="n">
        <v>3</v>
      </c>
      <c r="D163" s="28" t="n">
        <v>3</v>
      </c>
      <c r="E163" s="14" t="n">
        <v>0</v>
      </c>
      <c r="F163" s="14" t="n">
        <v>14432.7</v>
      </c>
      <c r="G163" s="14" t="n">
        <v>14432.7</v>
      </c>
      <c r="H163" s="14" t="n">
        <v>8626.51</v>
      </c>
      <c r="I163" s="14" t="n">
        <v>5806.19</v>
      </c>
      <c r="J163" s="14" t="n">
        <v>1841.24</v>
      </c>
      <c r="K163" s="15" t="n">
        <v>0.4023</v>
      </c>
      <c r="L163" s="15" t="n">
        <v>0.1276</v>
      </c>
      <c r="M163" s="29" t="n">
        <v>39</v>
      </c>
    </row>
    <row r="164" customFormat="false" ht="15" hidden="false" customHeight="false" outlineLevel="0" collapsed="false">
      <c r="A164" s="24" t="n">
        <v>10509</v>
      </c>
      <c r="B164" s="8" t="s">
        <v>266</v>
      </c>
      <c r="C164" s="25" t="n">
        <v>7</v>
      </c>
      <c r="D164" s="25" t="n">
        <v>7</v>
      </c>
      <c r="E164" s="10" t="n">
        <v>0</v>
      </c>
      <c r="F164" s="10" t="n">
        <v>491.96</v>
      </c>
      <c r="G164" s="10" t="n">
        <v>491.96</v>
      </c>
      <c r="H164" s="10" t="n">
        <v>85.5201</v>
      </c>
      <c r="I164" s="10" t="n">
        <v>406.44</v>
      </c>
      <c r="J164" s="10" t="n">
        <v>254.16</v>
      </c>
      <c r="K164" s="11" t="n">
        <v>0.8262</v>
      </c>
      <c r="L164" s="11" t="n">
        <v>0.5166</v>
      </c>
      <c r="M164" s="26" t="n">
        <v>38.81</v>
      </c>
    </row>
    <row r="165" customFormat="false" ht="15" hidden="false" customHeight="false" outlineLevel="0" collapsed="false">
      <c r="A165" s="27" t="n">
        <v>10510</v>
      </c>
      <c r="B165" s="12" t="s">
        <v>158</v>
      </c>
      <c r="C165" s="28" t="n">
        <v>2</v>
      </c>
      <c r="D165" s="28" t="n">
        <v>2</v>
      </c>
      <c r="E165" s="14" t="n">
        <v>0</v>
      </c>
      <c r="F165" s="14" t="n">
        <v>453.52</v>
      </c>
      <c r="G165" s="14" t="n">
        <v>453.52</v>
      </c>
      <c r="H165" s="14" t="n">
        <v>243.52</v>
      </c>
      <c r="I165" s="14" t="n">
        <v>210</v>
      </c>
      <c r="J165" s="14" t="n">
        <v>85.41</v>
      </c>
      <c r="K165" s="15" t="n">
        <v>0.463</v>
      </c>
      <c r="L165" s="15" t="n">
        <v>0.1883</v>
      </c>
      <c r="M165" s="29" t="n">
        <v>30</v>
      </c>
    </row>
    <row r="166" customFormat="false" ht="15" hidden="false" customHeight="false" outlineLevel="0" collapsed="false">
      <c r="A166" s="24" t="n">
        <v>10525</v>
      </c>
      <c r="B166" s="8" t="s">
        <v>158</v>
      </c>
      <c r="C166" s="25" t="n">
        <v>1</v>
      </c>
      <c r="D166" s="25" t="n">
        <v>1</v>
      </c>
      <c r="E166" s="10" t="n">
        <v>0</v>
      </c>
      <c r="F166" s="10" t="n">
        <v>235.4</v>
      </c>
      <c r="G166" s="10" t="n">
        <v>235.4</v>
      </c>
      <c r="H166" s="10" t="n">
        <v>107.96</v>
      </c>
      <c r="I166" s="10" t="n">
        <v>127.44</v>
      </c>
      <c r="J166" s="10" t="n">
        <v>62.77</v>
      </c>
      <c r="K166" s="11" t="n">
        <v>0.5414</v>
      </c>
      <c r="L166" s="11" t="n">
        <v>0.2667</v>
      </c>
      <c r="M166" s="26" t="n">
        <v>51</v>
      </c>
    </row>
    <row r="167" customFormat="false" ht="15" hidden="false" customHeight="false" outlineLevel="0" collapsed="false">
      <c r="A167" s="27" t="n">
        <v>10539</v>
      </c>
      <c r="B167" s="12" t="s">
        <v>159</v>
      </c>
      <c r="C167" s="28" t="n">
        <v>7</v>
      </c>
      <c r="D167" s="28" t="n">
        <v>7</v>
      </c>
      <c r="E167" s="14" t="n">
        <v>0</v>
      </c>
      <c r="F167" s="14" t="n">
        <v>3563.56</v>
      </c>
      <c r="G167" s="14" t="n">
        <v>3563.56</v>
      </c>
      <c r="H167" s="14" t="n">
        <v>3893.85</v>
      </c>
      <c r="I167" s="14" t="n">
        <v>-330.29</v>
      </c>
      <c r="J167" s="14" t="n">
        <v>-1324.88</v>
      </c>
      <c r="K167" s="15" t="n">
        <v>-0.0927</v>
      </c>
      <c r="L167" s="15" t="n">
        <v>-0.3718</v>
      </c>
      <c r="M167" s="29" t="n">
        <v>28</v>
      </c>
    </row>
    <row r="168" customFormat="false" ht="15" hidden="false" customHeight="false" outlineLevel="0" collapsed="false">
      <c r="A168" s="24" t="n">
        <v>10544</v>
      </c>
      <c r="B168" s="8" t="s">
        <v>160</v>
      </c>
      <c r="C168" s="25" t="n">
        <v>10</v>
      </c>
      <c r="D168" s="25" t="n">
        <v>10</v>
      </c>
      <c r="E168" s="10" t="n">
        <v>0</v>
      </c>
      <c r="F168" s="10" t="n">
        <v>5004.2</v>
      </c>
      <c r="G168" s="10" t="n">
        <v>5004.2</v>
      </c>
      <c r="H168" s="10" t="n">
        <v>3385.43</v>
      </c>
      <c r="I168" s="10" t="n">
        <v>1618.77</v>
      </c>
      <c r="J168" s="10" t="n">
        <v>222.1</v>
      </c>
      <c r="K168" s="11" t="n">
        <v>0.3235</v>
      </c>
      <c r="L168" s="11" t="n">
        <v>0.0444</v>
      </c>
      <c r="M168" s="26" t="n">
        <v>28</v>
      </c>
    </row>
    <row r="169" customFormat="false" ht="15" hidden="false" customHeight="false" outlineLevel="0" collapsed="false">
      <c r="A169" s="27" t="n">
        <v>10545</v>
      </c>
      <c r="B169" s="12" t="s">
        <v>267</v>
      </c>
      <c r="C169" s="28" t="n">
        <v>1</v>
      </c>
      <c r="D169" s="28" t="n">
        <v>1</v>
      </c>
      <c r="E169" s="14" t="n">
        <v>0</v>
      </c>
      <c r="F169" s="14" t="n">
        <v>416.65</v>
      </c>
      <c r="G169" s="14" t="n">
        <v>416.65</v>
      </c>
      <c r="H169" s="14" t="n">
        <v>117.44</v>
      </c>
      <c r="I169" s="14" t="n">
        <v>299.21</v>
      </c>
      <c r="J169" s="14" t="n">
        <v>184.75</v>
      </c>
      <c r="K169" s="15" t="n">
        <v>0.7181</v>
      </c>
      <c r="L169" s="15" t="n">
        <v>0.4434</v>
      </c>
      <c r="M169" s="29" t="n">
        <v>50</v>
      </c>
    </row>
    <row r="170" customFormat="false" ht="15" hidden="false" customHeight="false" outlineLevel="0" collapsed="false">
      <c r="A170" s="24" t="n">
        <v>10554</v>
      </c>
      <c r="B170" s="8" t="s">
        <v>161</v>
      </c>
      <c r="C170" s="25" t="n">
        <v>43</v>
      </c>
      <c r="D170" s="25" t="n">
        <v>43</v>
      </c>
      <c r="E170" s="10" t="n">
        <v>0</v>
      </c>
      <c r="F170" s="10" t="n">
        <v>4413.52</v>
      </c>
      <c r="G170" s="10" t="n">
        <v>4413.52</v>
      </c>
      <c r="H170" s="10" t="n">
        <v>699.6402</v>
      </c>
      <c r="I170" s="10" t="n">
        <v>3713.88</v>
      </c>
      <c r="J170" s="10" t="n">
        <v>2501.39</v>
      </c>
      <c r="K170" s="11" t="n">
        <v>0.8415</v>
      </c>
      <c r="L170" s="11" t="n">
        <v>0.5668</v>
      </c>
      <c r="M170" s="26" t="n">
        <v>50.12</v>
      </c>
    </row>
    <row r="171" customFormat="false" ht="15" hidden="false" customHeight="false" outlineLevel="0" collapsed="false">
      <c r="A171" s="27" t="n">
        <v>10555</v>
      </c>
      <c r="B171" s="12" t="s">
        <v>162</v>
      </c>
      <c r="C171" s="28" t="n">
        <v>5</v>
      </c>
      <c r="D171" s="28" t="n">
        <v>5</v>
      </c>
      <c r="E171" s="14" t="n">
        <v>0</v>
      </c>
      <c r="F171" s="14" t="n">
        <v>1523.66</v>
      </c>
      <c r="G171" s="14" t="n">
        <v>1523.66</v>
      </c>
      <c r="H171" s="14" t="n">
        <v>953.2999</v>
      </c>
      <c r="I171" s="14" t="n">
        <v>570.36</v>
      </c>
      <c r="J171" s="14" t="n">
        <v>139.36</v>
      </c>
      <c r="K171" s="15" t="n">
        <v>0.3743</v>
      </c>
      <c r="L171" s="15" t="n">
        <v>0.0915</v>
      </c>
      <c r="M171" s="29" t="n">
        <v>50</v>
      </c>
    </row>
    <row r="172" customFormat="false" ht="15" hidden="false" customHeight="false" outlineLevel="0" collapsed="false">
      <c r="A172" s="24" t="n">
        <v>10560</v>
      </c>
      <c r="B172" s="8" t="s">
        <v>158</v>
      </c>
      <c r="C172" s="25" t="n">
        <v>154</v>
      </c>
      <c r="D172" s="25" t="n">
        <v>154</v>
      </c>
      <c r="E172" s="10" t="n">
        <v>0</v>
      </c>
      <c r="F172" s="10" t="n">
        <v>32375.57</v>
      </c>
      <c r="G172" s="10" t="n">
        <v>32375.57</v>
      </c>
      <c r="H172" s="10" t="n">
        <v>15941.2704</v>
      </c>
      <c r="I172" s="10" t="n">
        <v>16434.3</v>
      </c>
      <c r="J172" s="10" t="n">
        <v>7540.11</v>
      </c>
      <c r="K172" s="11" t="n">
        <v>0.5076</v>
      </c>
      <c r="L172" s="11" t="n">
        <v>0.2329</v>
      </c>
      <c r="M172" s="26" t="n">
        <v>49.84</v>
      </c>
    </row>
    <row r="173" customFormat="false" ht="15" hidden="false" customHeight="false" outlineLevel="0" collapsed="false">
      <c r="A173" s="27" t="n">
        <v>10563</v>
      </c>
      <c r="B173" s="12" t="s">
        <v>269</v>
      </c>
      <c r="C173" s="28" t="n">
        <v>4</v>
      </c>
      <c r="D173" s="28" t="n">
        <v>4</v>
      </c>
      <c r="E173" s="14" t="n">
        <v>0</v>
      </c>
      <c r="F173" s="14" t="n">
        <v>872</v>
      </c>
      <c r="G173" s="14" t="n">
        <v>872</v>
      </c>
      <c r="H173" s="14" t="n">
        <v>390.48</v>
      </c>
      <c r="I173" s="14" t="n">
        <v>481.52</v>
      </c>
      <c r="J173" s="14" t="n">
        <v>241.97</v>
      </c>
      <c r="K173" s="15" t="n">
        <v>0.5522</v>
      </c>
      <c r="L173" s="15" t="n">
        <v>0.2775</v>
      </c>
      <c r="M173" s="29" t="n">
        <v>42</v>
      </c>
    </row>
    <row r="174" customFormat="false" ht="15" hidden="false" customHeight="false" outlineLevel="0" collapsed="false">
      <c r="A174" s="24" t="n">
        <v>10564</v>
      </c>
      <c r="B174" s="8" t="s">
        <v>163</v>
      </c>
      <c r="C174" s="25" t="n">
        <v>10</v>
      </c>
      <c r="D174" s="25" t="n">
        <v>10</v>
      </c>
      <c r="E174" s="10" t="n">
        <v>0</v>
      </c>
      <c r="F174" s="10" t="n">
        <v>1064.5</v>
      </c>
      <c r="G174" s="10" t="n">
        <v>1064.5</v>
      </c>
      <c r="H174" s="10" t="n">
        <v>915.8098</v>
      </c>
      <c r="I174" s="10" t="n">
        <v>148.69</v>
      </c>
      <c r="J174" s="10" t="n">
        <v>-92.47</v>
      </c>
      <c r="K174" s="11" t="n">
        <v>0.1397</v>
      </c>
      <c r="L174" s="11" t="n">
        <v>-0.0869</v>
      </c>
      <c r="M174" s="26" t="n">
        <v>50</v>
      </c>
    </row>
    <row r="175" customFormat="false" ht="15" hidden="false" customHeight="false" outlineLevel="0" collapsed="false">
      <c r="A175" s="27" t="n">
        <v>10567</v>
      </c>
      <c r="B175" s="12" t="s">
        <v>164</v>
      </c>
      <c r="C175" s="28" t="n">
        <v>10</v>
      </c>
      <c r="D175" s="28" t="n">
        <v>10</v>
      </c>
      <c r="E175" s="14" t="n">
        <v>0</v>
      </c>
      <c r="F175" s="14" t="n">
        <v>434.3</v>
      </c>
      <c r="G175" s="14" t="n">
        <v>434.3</v>
      </c>
      <c r="H175" s="14" t="n">
        <v>179.18</v>
      </c>
      <c r="I175" s="14" t="n">
        <v>255.12</v>
      </c>
      <c r="J175" s="14" t="n">
        <v>133.89</v>
      </c>
      <c r="K175" s="15" t="n">
        <v>0.5874</v>
      </c>
      <c r="L175" s="15" t="n">
        <v>0.3083</v>
      </c>
      <c r="M175" s="29" t="n">
        <v>28</v>
      </c>
    </row>
    <row r="176" customFormat="false" ht="15" hidden="false" customHeight="false" outlineLevel="0" collapsed="false">
      <c r="A176" s="24" t="n">
        <v>10570</v>
      </c>
      <c r="B176" s="8" t="s">
        <v>323</v>
      </c>
      <c r="C176" s="25" t="n">
        <v>200</v>
      </c>
      <c r="D176" s="25" t="n">
        <v>200</v>
      </c>
      <c r="E176" s="10" t="n">
        <v>0</v>
      </c>
      <c r="F176" s="10" t="n">
        <v>6160</v>
      </c>
      <c r="G176" s="10" t="n">
        <v>6160</v>
      </c>
      <c r="H176" s="10" t="n">
        <v>2860.74</v>
      </c>
      <c r="I176" s="10" t="n">
        <v>3299.26</v>
      </c>
      <c r="J176" s="10" t="n">
        <v>1606.98</v>
      </c>
      <c r="K176" s="11" t="n">
        <v>0.5356</v>
      </c>
      <c r="L176" s="11" t="n">
        <v>0.2609</v>
      </c>
      <c r="M176" s="26" t="n">
        <v>47</v>
      </c>
    </row>
    <row r="177" customFormat="false" ht="15" hidden="false" customHeight="false" outlineLevel="0" collapsed="false">
      <c r="A177" s="27" t="n">
        <v>10585</v>
      </c>
      <c r="B177" s="12" t="s">
        <v>166</v>
      </c>
      <c r="C177" s="28" t="n">
        <v>2</v>
      </c>
      <c r="D177" s="28" t="n">
        <v>2</v>
      </c>
      <c r="E177" s="14" t="n">
        <v>0</v>
      </c>
      <c r="F177" s="14" t="n">
        <v>843.46</v>
      </c>
      <c r="G177" s="14" t="n">
        <v>843.46</v>
      </c>
      <c r="H177" s="14" t="n">
        <v>273.04</v>
      </c>
      <c r="I177" s="14" t="n">
        <v>570.42</v>
      </c>
      <c r="J177" s="14" t="n">
        <v>338.7</v>
      </c>
      <c r="K177" s="15" t="n">
        <v>0.6763</v>
      </c>
      <c r="L177" s="15" t="n">
        <v>0.4016</v>
      </c>
      <c r="M177" s="29" t="n">
        <v>38.64</v>
      </c>
    </row>
    <row r="178" customFormat="false" ht="15" hidden="false" customHeight="false" outlineLevel="0" collapsed="false">
      <c r="A178" s="24" t="n">
        <v>10586</v>
      </c>
      <c r="B178" s="8" t="s">
        <v>428</v>
      </c>
      <c r="C178" s="25" t="n">
        <v>50</v>
      </c>
      <c r="D178" s="25" t="n">
        <v>50</v>
      </c>
      <c r="E178" s="10" t="n">
        <v>0</v>
      </c>
      <c r="F178" s="10" t="n">
        <v>504.01</v>
      </c>
      <c r="G178" s="10" t="n">
        <v>504.01</v>
      </c>
      <c r="H178" s="10" t="n">
        <v>78.88</v>
      </c>
      <c r="I178" s="10" t="n">
        <v>425.13</v>
      </c>
      <c r="J178" s="10" t="n">
        <v>286.67</v>
      </c>
      <c r="K178" s="11" t="n">
        <v>0.8435</v>
      </c>
      <c r="L178" s="11" t="n">
        <v>0.5688</v>
      </c>
      <c r="M178" s="26" t="n">
        <v>30</v>
      </c>
    </row>
    <row r="179" customFormat="false" ht="15" hidden="false" customHeight="false" outlineLevel="0" collapsed="false">
      <c r="A179" s="27" t="n">
        <v>10588</v>
      </c>
      <c r="B179" s="12" t="s">
        <v>271</v>
      </c>
      <c r="C179" s="28" t="n">
        <v>24</v>
      </c>
      <c r="D179" s="28" t="n">
        <v>24</v>
      </c>
      <c r="E179" s="14" t="n">
        <v>0</v>
      </c>
      <c r="F179" s="14" t="n">
        <v>523.2</v>
      </c>
      <c r="G179" s="14" t="n">
        <v>523.2</v>
      </c>
      <c r="H179" s="14" t="n">
        <v>61.99</v>
      </c>
      <c r="I179" s="14" t="n">
        <v>461.21</v>
      </c>
      <c r="J179" s="14" t="n">
        <v>315.19</v>
      </c>
      <c r="K179" s="15" t="n">
        <v>0.8815</v>
      </c>
      <c r="L179" s="15" t="n">
        <v>0.6024</v>
      </c>
      <c r="M179" s="29" t="n">
        <v>50.08</v>
      </c>
    </row>
    <row r="180" customFormat="false" ht="15" hidden="false" customHeight="false" outlineLevel="0" collapsed="false">
      <c r="A180" s="24" t="n">
        <v>10591</v>
      </c>
      <c r="B180" s="8" t="s">
        <v>324</v>
      </c>
      <c r="C180" s="25" t="n">
        <v>1</v>
      </c>
      <c r="D180" s="25" t="n">
        <v>1</v>
      </c>
      <c r="E180" s="10" t="n">
        <v>0</v>
      </c>
      <c r="F180" s="10" t="n">
        <v>12080.74</v>
      </c>
      <c r="G180" s="10" t="n">
        <v>12080.74</v>
      </c>
      <c r="H180" s="10" t="n">
        <v>5015.4</v>
      </c>
      <c r="I180" s="10" t="n">
        <v>7065.34</v>
      </c>
      <c r="J180" s="10" t="n">
        <v>3746.52</v>
      </c>
      <c r="K180" s="11" t="n">
        <v>0.5848</v>
      </c>
      <c r="L180" s="11" t="n">
        <v>0.3101</v>
      </c>
      <c r="M180" s="26" t="n">
        <v>11</v>
      </c>
    </row>
    <row r="181" customFormat="false" ht="15" hidden="false" customHeight="false" outlineLevel="0" collapsed="false">
      <c r="A181" s="27" t="n">
        <v>10592</v>
      </c>
      <c r="B181" s="12" t="s">
        <v>167</v>
      </c>
      <c r="C181" s="28" t="n">
        <v>5</v>
      </c>
      <c r="D181" s="28" t="n">
        <v>5</v>
      </c>
      <c r="E181" s="14" t="n">
        <v>0</v>
      </c>
      <c r="F181" s="14" t="n">
        <v>3727.34</v>
      </c>
      <c r="G181" s="14" t="n">
        <v>3727.34</v>
      </c>
      <c r="H181" s="14" t="n">
        <v>1432.4899</v>
      </c>
      <c r="I181" s="14" t="n">
        <v>2294.85</v>
      </c>
      <c r="J181" s="14" t="n">
        <v>1611.46</v>
      </c>
      <c r="K181" s="15" t="n">
        <v>0.6157</v>
      </c>
      <c r="L181" s="15" t="n">
        <v>0.4323</v>
      </c>
      <c r="M181" s="29" t="n">
        <v>37.99</v>
      </c>
    </row>
    <row r="182" customFormat="false" ht="15" hidden="false" customHeight="false" outlineLevel="0" collapsed="false">
      <c r="A182" s="24" t="n">
        <v>10595</v>
      </c>
      <c r="B182" s="8" t="s">
        <v>168</v>
      </c>
      <c r="C182" s="25" t="n">
        <v>5</v>
      </c>
      <c r="D182" s="25" t="n">
        <v>5</v>
      </c>
      <c r="E182" s="10" t="n">
        <v>0</v>
      </c>
      <c r="F182" s="10" t="n">
        <v>1319.9</v>
      </c>
      <c r="G182" s="10" t="n">
        <v>1319.9</v>
      </c>
      <c r="H182" s="10" t="n">
        <v>385.18</v>
      </c>
      <c r="I182" s="10" t="n">
        <v>934.72</v>
      </c>
      <c r="J182" s="10" t="n">
        <v>566.34</v>
      </c>
      <c r="K182" s="11" t="n">
        <v>0.7082</v>
      </c>
      <c r="L182" s="11" t="n">
        <v>0.4291</v>
      </c>
      <c r="M182" s="26" t="n">
        <v>50</v>
      </c>
    </row>
    <row r="183" customFormat="false" ht="15" hidden="false" customHeight="false" outlineLevel="0" collapsed="false">
      <c r="A183" s="27" t="n">
        <v>10601</v>
      </c>
      <c r="B183" s="12" t="s">
        <v>169</v>
      </c>
      <c r="C183" s="28" t="n">
        <v>61</v>
      </c>
      <c r="D183" s="28" t="n">
        <v>61</v>
      </c>
      <c r="E183" s="14" t="n">
        <v>165.48</v>
      </c>
      <c r="F183" s="14" t="n">
        <v>4699.71</v>
      </c>
      <c r="G183" s="14" t="n">
        <v>4865.19</v>
      </c>
      <c r="H183" s="14" t="n">
        <v>1315.6207</v>
      </c>
      <c r="I183" s="14" t="n">
        <v>3549.57</v>
      </c>
      <c r="J183" s="14" t="n">
        <v>2410.71</v>
      </c>
      <c r="K183" s="15" t="n">
        <v>0.7296</v>
      </c>
      <c r="L183" s="15" t="n">
        <v>0.4955</v>
      </c>
      <c r="M183" s="29" t="n">
        <v>30.36</v>
      </c>
    </row>
    <row r="184" customFormat="false" ht="15" hidden="false" customHeight="false" outlineLevel="0" collapsed="false">
      <c r="A184" s="24" t="n">
        <v>10603</v>
      </c>
      <c r="B184" s="8" t="s">
        <v>272</v>
      </c>
      <c r="C184" s="25" t="n">
        <v>20</v>
      </c>
      <c r="D184" s="25" t="n">
        <v>20</v>
      </c>
      <c r="E184" s="10" t="n">
        <v>0</v>
      </c>
      <c r="F184" s="10" t="n">
        <v>4075.9</v>
      </c>
      <c r="G184" s="10" t="n">
        <v>4075.9</v>
      </c>
      <c r="H184" s="10" t="n">
        <v>2243.9</v>
      </c>
      <c r="I184" s="10" t="n">
        <v>1832</v>
      </c>
      <c r="J184" s="10" t="n">
        <v>712.27</v>
      </c>
      <c r="K184" s="11" t="n">
        <v>0.4495</v>
      </c>
      <c r="L184" s="11" t="n">
        <v>0.1748</v>
      </c>
      <c r="M184" s="26" t="n">
        <v>45</v>
      </c>
    </row>
    <row r="185" customFormat="false" ht="15" hidden="false" customHeight="false" outlineLevel="0" collapsed="false">
      <c r="A185" s="27" t="n">
        <v>10615</v>
      </c>
      <c r="B185" s="12" t="s">
        <v>171</v>
      </c>
      <c r="C185" s="28" t="n">
        <v>97</v>
      </c>
      <c r="D185" s="28" t="n">
        <v>97</v>
      </c>
      <c r="E185" s="14" t="n">
        <v>0</v>
      </c>
      <c r="F185" s="14" t="n">
        <v>16430.64</v>
      </c>
      <c r="G185" s="14" t="n">
        <v>16430.64</v>
      </c>
      <c r="H185" s="14" t="n">
        <v>9835.3801</v>
      </c>
      <c r="I185" s="14" t="n">
        <v>6595.26</v>
      </c>
      <c r="J185" s="14" t="n">
        <v>2286.63</v>
      </c>
      <c r="K185" s="15" t="n">
        <v>0.4014</v>
      </c>
      <c r="L185" s="15" t="n">
        <v>0.1392</v>
      </c>
      <c r="M185" s="29" t="n">
        <v>48.36</v>
      </c>
    </row>
    <row r="186" customFormat="false" ht="15" hidden="false" customHeight="false" outlineLevel="0" collapsed="false">
      <c r="A186" s="24" t="n">
        <v>10616</v>
      </c>
      <c r="B186" s="8" t="s">
        <v>172</v>
      </c>
      <c r="C186" s="25" t="n">
        <v>430</v>
      </c>
      <c r="D186" s="25" t="n">
        <v>430</v>
      </c>
      <c r="E186" s="10" t="n">
        <v>0</v>
      </c>
      <c r="F186" s="10" t="n">
        <v>92410.4</v>
      </c>
      <c r="G186" s="10" t="n">
        <v>92410.4</v>
      </c>
      <c r="H186" s="10" t="n">
        <v>41261.8325</v>
      </c>
      <c r="I186" s="10" t="n">
        <v>51148.57</v>
      </c>
      <c r="J186" s="10" t="n">
        <v>25761.56</v>
      </c>
      <c r="K186" s="11" t="n">
        <v>0.5535</v>
      </c>
      <c r="L186" s="11" t="n">
        <v>0.2788</v>
      </c>
      <c r="M186" s="26" t="n">
        <v>50</v>
      </c>
    </row>
    <row r="187" customFormat="false" ht="15" hidden="false" customHeight="false" outlineLevel="0" collapsed="false">
      <c r="A187" s="27" t="n">
        <v>10617</v>
      </c>
      <c r="B187" s="12" t="s">
        <v>173</v>
      </c>
      <c r="C187" s="28" t="n">
        <v>246</v>
      </c>
      <c r="D187" s="28" t="n">
        <v>246</v>
      </c>
      <c r="E187" s="14" t="n">
        <v>0</v>
      </c>
      <c r="F187" s="14" t="n">
        <v>26361.36</v>
      </c>
      <c r="G187" s="14" t="n">
        <v>26361.36</v>
      </c>
      <c r="H187" s="14" t="n">
        <v>8226.676</v>
      </c>
      <c r="I187" s="14" t="n">
        <v>18134.69</v>
      </c>
      <c r="J187" s="14" t="n">
        <v>10777.7</v>
      </c>
      <c r="K187" s="15" t="n">
        <v>0.6879</v>
      </c>
      <c r="L187" s="15" t="n">
        <v>0.4088</v>
      </c>
      <c r="M187" s="29" t="n">
        <v>50</v>
      </c>
    </row>
    <row r="188" customFormat="false" ht="15" hidden="false" customHeight="false" outlineLevel="0" collapsed="false">
      <c r="A188" s="24" t="n">
        <v>10620</v>
      </c>
      <c r="B188" s="8" t="s">
        <v>174</v>
      </c>
      <c r="C188" s="25" t="n">
        <v>150</v>
      </c>
      <c r="D188" s="25" t="n">
        <v>150</v>
      </c>
      <c r="E188" s="10" t="n">
        <v>0</v>
      </c>
      <c r="F188" s="10" t="n">
        <v>11932.5</v>
      </c>
      <c r="G188" s="10" t="n">
        <v>11932.5</v>
      </c>
      <c r="H188" s="10" t="n">
        <v>5555.9184</v>
      </c>
      <c r="I188" s="10" t="n">
        <v>6376.58</v>
      </c>
      <c r="J188" s="10" t="n">
        <v>3098.49</v>
      </c>
      <c r="K188" s="11" t="n">
        <v>0.5344</v>
      </c>
      <c r="L188" s="11" t="n">
        <v>0.2597</v>
      </c>
      <c r="M188" s="26" t="n">
        <v>50</v>
      </c>
    </row>
    <row r="189" customFormat="false" ht="15" hidden="false" customHeight="false" outlineLevel="0" collapsed="false">
      <c r="A189" s="27" t="n">
        <v>10621</v>
      </c>
      <c r="B189" s="12" t="s">
        <v>175</v>
      </c>
      <c r="C189" s="28" t="n">
        <v>5</v>
      </c>
      <c r="D189" s="28" t="n">
        <v>5</v>
      </c>
      <c r="E189" s="14" t="n">
        <v>0</v>
      </c>
      <c r="F189" s="14" t="n">
        <v>2664.26</v>
      </c>
      <c r="G189" s="14" t="n">
        <v>2664.26</v>
      </c>
      <c r="H189" s="14" t="n">
        <v>283.94</v>
      </c>
      <c r="I189" s="14" t="n">
        <v>2380.32</v>
      </c>
      <c r="J189" s="14" t="n">
        <v>1890.09</v>
      </c>
      <c r="K189" s="15" t="n">
        <v>0.8934</v>
      </c>
      <c r="L189" s="15" t="n">
        <v>0.7094</v>
      </c>
      <c r="M189" s="29" t="n">
        <v>37.71</v>
      </c>
    </row>
    <row r="190" customFormat="false" ht="15" hidden="false" customHeight="false" outlineLevel="0" collapsed="false">
      <c r="A190" s="24" t="n">
        <v>10624</v>
      </c>
      <c r="B190" s="8" t="s">
        <v>176</v>
      </c>
      <c r="C190" s="25" t="n">
        <v>2</v>
      </c>
      <c r="D190" s="25" t="n">
        <v>2</v>
      </c>
      <c r="E190" s="10" t="n">
        <v>0</v>
      </c>
      <c r="F190" s="10" t="n">
        <v>24935.79</v>
      </c>
      <c r="G190" s="10" t="n">
        <v>24935.79</v>
      </c>
      <c r="H190" s="10" t="n">
        <v>14283.63</v>
      </c>
      <c r="I190" s="10" t="n">
        <v>10652.16</v>
      </c>
      <c r="J190" s="10" t="n">
        <v>3801.8</v>
      </c>
      <c r="K190" s="11" t="n">
        <v>0.4272</v>
      </c>
      <c r="L190" s="11" t="n">
        <v>0.1525</v>
      </c>
      <c r="M190" s="26" t="n">
        <v>45</v>
      </c>
    </row>
    <row r="191" customFormat="false" ht="15" hidden="false" customHeight="false" outlineLevel="0" collapsed="false">
      <c r="A191" s="27" t="n">
        <v>10627</v>
      </c>
      <c r="B191" s="12" t="s">
        <v>178</v>
      </c>
      <c r="C191" s="28" t="n">
        <v>150</v>
      </c>
      <c r="D191" s="28" t="n">
        <v>150</v>
      </c>
      <c r="E191" s="14" t="n">
        <v>0</v>
      </c>
      <c r="F191" s="14" t="n">
        <v>4242</v>
      </c>
      <c r="G191" s="14" t="n">
        <v>4242</v>
      </c>
      <c r="H191" s="14" t="n">
        <v>1126.644</v>
      </c>
      <c r="I191" s="14" t="n">
        <v>3115.36</v>
      </c>
      <c r="J191" s="14" t="n">
        <v>1950.01</v>
      </c>
      <c r="K191" s="15" t="n">
        <v>0.7344</v>
      </c>
      <c r="L191" s="15" t="n">
        <v>0.4597</v>
      </c>
      <c r="M191" s="29" t="n">
        <v>50</v>
      </c>
    </row>
    <row r="192" customFormat="false" ht="15" hidden="false" customHeight="false" outlineLevel="0" collapsed="false">
      <c r="A192" s="24" t="n">
        <v>10628</v>
      </c>
      <c r="B192" s="8" t="s">
        <v>179</v>
      </c>
      <c r="C192" s="25" t="n">
        <v>4</v>
      </c>
      <c r="D192" s="25" t="n">
        <v>4</v>
      </c>
      <c r="E192" s="10" t="n">
        <v>0</v>
      </c>
      <c r="F192" s="10" t="n">
        <v>366.24</v>
      </c>
      <c r="G192" s="10" t="n">
        <v>366.24</v>
      </c>
      <c r="H192" s="10" t="n">
        <v>148.9</v>
      </c>
      <c r="I192" s="10" t="n">
        <v>217.34</v>
      </c>
      <c r="J192" s="10" t="n">
        <v>116.74</v>
      </c>
      <c r="K192" s="11" t="n">
        <v>0.5934</v>
      </c>
      <c r="L192" s="11" t="n">
        <v>0.3188</v>
      </c>
      <c r="M192" s="26" t="n">
        <v>50</v>
      </c>
    </row>
    <row r="193" customFormat="false" ht="15" hidden="false" customHeight="false" outlineLevel="0" collapsed="false">
      <c r="A193" s="27" t="n">
        <v>10635</v>
      </c>
      <c r="B193" s="12" t="s">
        <v>326</v>
      </c>
      <c r="C193" s="28" t="n">
        <v>27</v>
      </c>
      <c r="D193" s="28" t="n">
        <v>27</v>
      </c>
      <c r="E193" s="14" t="n">
        <v>0</v>
      </c>
      <c r="F193" s="14" t="n">
        <v>5121.73</v>
      </c>
      <c r="G193" s="14" t="n">
        <v>5121.73</v>
      </c>
      <c r="H193" s="14" t="n">
        <v>3304.1298</v>
      </c>
      <c r="I193" s="14" t="n">
        <v>1817.6</v>
      </c>
      <c r="J193" s="14" t="n">
        <v>388.13</v>
      </c>
      <c r="K193" s="15" t="n">
        <v>0.3549</v>
      </c>
      <c r="L193" s="15" t="n">
        <v>0.0758</v>
      </c>
      <c r="M193" s="29" t="n">
        <v>50</v>
      </c>
    </row>
    <row r="194" customFormat="false" ht="15" hidden="false" customHeight="false" outlineLevel="0" collapsed="false">
      <c r="A194" s="24" t="n">
        <v>10636</v>
      </c>
      <c r="B194" s="8" t="s">
        <v>273</v>
      </c>
      <c r="C194" s="25" t="n">
        <v>49</v>
      </c>
      <c r="D194" s="25" t="n">
        <v>49</v>
      </c>
      <c r="E194" s="10" t="n">
        <v>0</v>
      </c>
      <c r="F194" s="10" t="n">
        <v>2026.15</v>
      </c>
      <c r="G194" s="10" t="n">
        <v>2026.15</v>
      </c>
      <c r="H194" s="10" t="n">
        <v>479.89</v>
      </c>
      <c r="I194" s="10" t="n">
        <v>1546.26</v>
      </c>
      <c r="J194" s="10" t="n">
        <v>980.75</v>
      </c>
      <c r="K194" s="11" t="n">
        <v>0.7632</v>
      </c>
      <c r="L194" s="11" t="n">
        <v>0.484</v>
      </c>
      <c r="M194" s="26" t="n">
        <v>50</v>
      </c>
    </row>
    <row r="195" customFormat="false" ht="15" hidden="false" customHeight="false" outlineLevel="0" collapsed="false">
      <c r="A195" s="27" t="n">
        <v>10637</v>
      </c>
      <c r="B195" s="12" t="s">
        <v>180</v>
      </c>
      <c r="C195" s="28" t="n">
        <v>72</v>
      </c>
      <c r="D195" s="28" t="n">
        <v>72</v>
      </c>
      <c r="E195" s="14" t="n">
        <v>0</v>
      </c>
      <c r="F195" s="14" t="n">
        <v>69235.2</v>
      </c>
      <c r="G195" s="14" t="n">
        <v>69235.2</v>
      </c>
      <c r="H195" s="14" t="n">
        <v>22602.59</v>
      </c>
      <c r="I195" s="14" t="n">
        <v>46632.61</v>
      </c>
      <c r="J195" s="14" t="n">
        <v>27309.07</v>
      </c>
      <c r="K195" s="15" t="n">
        <v>0.6735</v>
      </c>
      <c r="L195" s="15" t="n">
        <v>0.3944</v>
      </c>
      <c r="M195" s="29" t="n">
        <v>45</v>
      </c>
    </row>
    <row r="196" customFormat="false" ht="15" hidden="false" customHeight="false" outlineLevel="0" collapsed="false">
      <c r="A196" s="24" t="n">
        <v>10665</v>
      </c>
      <c r="B196" s="8" t="s">
        <v>274</v>
      </c>
      <c r="C196" s="25" t="n">
        <v>10</v>
      </c>
      <c r="D196" s="25" t="n">
        <v>10</v>
      </c>
      <c r="E196" s="10" t="n">
        <v>0</v>
      </c>
      <c r="F196" s="10" t="n">
        <v>1467.4</v>
      </c>
      <c r="G196" s="10" t="n">
        <v>1467.4</v>
      </c>
      <c r="H196" s="10" t="n">
        <v>1033.7</v>
      </c>
      <c r="I196" s="10" t="n">
        <v>433.7</v>
      </c>
      <c r="J196" s="10" t="n">
        <v>30.58</v>
      </c>
      <c r="K196" s="11" t="n">
        <v>0.2956</v>
      </c>
      <c r="L196" s="11" t="n">
        <v>0.0208</v>
      </c>
      <c r="M196" s="26" t="n">
        <v>50</v>
      </c>
    </row>
    <row r="197" customFormat="false" ht="15" hidden="false" customHeight="false" outlineLevel="0" collapsed="false">
      <c r="A197" s="27" t="n">
        <v>10674</v>
      </c>
      <c r="B197" s="12" t="s">
        <v>184</v>
      </c>
      <c r="C197" s="28" t="n">
        <v>217</v>
      </c>
      <c r="D197" s="28" t="n">
        <v>217</v>
      </c>
      <c r="E197" s="14" t="n">
        <v>0</v>
      </c>
      <c r="F197" s="14" t="n">
        <v>25999.75</v>
      </c>
      <c r="G197" s="14" t="n">
        <v>25999.75</v>
      </c>
      <c r="H197" s="14" t="n">
        <v>20115.281</v>
      </c>
      <c r="I197" s="14" t="n">
        <v>5884.47</v>
      </c>
      <c r="J197" s="14" t="n">
        <v>-1036.22</v>
      </c>
      <c r="K197" s="15" t="n">
        <v>0.2263</v>
      </c>
      <c r="L197" s="15" t="n">
        <v>-0.0399</v>
      </c>
      <c r="M197" s="29" t="n">
        <v>50</v>
      </c>
    </row>
    <row r="198" customFormat="false" ht="15" hidden="false" customHeight="false" outlineLevel="0" collapsed="false">
      <c r="A198" s="24" t="n">
        <v>10677</v>
      </c>
      <c r="B198" s="8" t="s">
        <v>371</v>
      </c>
      <c r="C198" s="25" t="n">
        <v>2</v>
      </c>
      <c r="D198" s="25" t="n">
        <v>2</v>
      </c>
      <c r="E198" s="10" t="n">
        <v>0</v>
      </c>
      <c r="F198" s="10" t="n">
        <v>167.46</v>
      </c>
      <c r="G198" s="10" t="n">
        <v>167.46</v>
      </c>
      <c r="H198" s="10" t="n">
        <v>74.39</v>
      </c>
      <c r="I198" s="10" t="n">
        <v>93.07</v>
      </c>
      <c r="J198" s="10" t="n">
        <v>47.07</v>
      </c>
      <c r="K198" s="11" t="n">
        <v>0.5558</v>
      </c>
      <c r="L198" s="11" t="n">
        <v>0.2811</v>
      </c>
      <c r="M198" s="26" t="n">
        <v>14</v>
      </c>
    </row>
    <row r="199" customFormat="false" ht="15" hidden="false" customHeight="false" outlineLevel="0" collapsed="false">
      <c r="A199" s="27" t="n">
        <v>10678</v>
      </c>
      <c r="B199" s="12" t="s">
        <v>185</v>
      </c>
      <c r="C199" s="28" t="n">
        <v>80</v>
      </c>
      <c r="D199" s="28" t="n">
        <v>80</v>
      </c>
      <c r="E199" s="14" t="n">
        <v>0</v>
      </c>
      <c r="F199" s="14" t="n">
        <v>7192</v>
      </c>
      <c r="G199" s="14" t="n">
        <v>7192</v>
      </c>
      <c r="H199" s="14" t="n">
        <v>2430.52</v>
      </c>
      <c r="I199" s="14" t="n">
        <v>4761.48</v>
      </c>
      <c r="J199" s="14" t="n">
        <v>2785.69</v>
      </c>
      <c r="K199" s="15" t="n">
        <v>0.6621</v>
      </c>
      <c r="L199" s="15" t="n">
        <v>0.3873</v>
      </c>
      <c r="M199" s="29" t="n">
        <v>50</v>
      </c>
    </row>
    <row r="200" customFormat="false" ht="15" hidden="false" customHeight="false" outlineLevel="0" collapsed="false">
      <c r="A200" s="24" t="n">
        <v>10679</v>
      </c>
      <c r="B200" s="8" t="s">
        <v>158</v>
      </c>
      <c r="C200" s="25" t="n">
        <v>105</v>
      </c>
      <c r="D200" s="25" t="n">
        <v>105</v>
      </c>
      <c r="E200" s="10" t="n">
        <v>0</v>
      </c>
      <c r="F200" s="10" t="n">
        <v>11021.25</v>
      </c>
      <c r="G200" s="10" t="n">
        <v>11021.25</v>
      </c>
      <c r="H200" s="10" t="n">
        <v>9714.06</v>
      </c>
      <c r="I200" s="10" t="n">
        <v>1307.19</v>
      </c>
      <c r="J200" s="10" t="n">
        <v>-1360.26</v>
      </c>
      <c r="K200" s="11" t="n">
        <v>0.1186</v>
      </c>
      <c r="L200" s="11" t="n">
        <v>-0.1234</v>
      </c>
      <c r="M200" s="26" t="n">
        <v>50</v>
      </c>
    </row>
    <row r="201" customFormat="false" ht="15" hidden="false" customHeight="false" outlineLevel="0" collapsed="false">
      <c r="A201" s="27" t="n">
        <v>10697</v>
      </c>
      <c r="B201" s="12" t="s">
        <v>186</v>
      </c>
      <c r="C201" s="28" t="n">
        <v>10</v>
      </c>
      <c r="D201" s="28" t="n">
        <v>10</v>
      </c>
      <c r="E201" s="14" t="n">
        <v>0</v>
      </c>
      <c r="F201" s="14" t="n">
        <v>2658.8</v>
      </c>
      <c r="G201" s="14" t="n">
        <v>2658.8</v>
      </c>
      <c r="H201" s="14" t="n">
        <v>787.6</v>
      </c>
      <c r="I201" s="14" t="n">
        <v>1871.2</v>
      </c>
      <c r="J201" s="14" t="n">
        <v>1140.77</v>
      </c>
      <c r="K201" s="15" t="n">
        <v>0.7038</v>
      </c>
      <c r="L201" s="15" t="n">
        <v>0.4291</v>
      </c>
      <c r="M201" s="29" t="n">
        <v>50</v>
      </c>
    </row>
    <row r="202" customFormat="false" ht="15" hidden="false" customHeight="false" outlineLevel="0" collapsed="false">
      <c r="A202" s="24" t="n">
        <v>10700</v>
      </c>
      <c r="B202" s="8" t="s">
        <v>429</v>
      </c>
      <c r="C202" s="25" t="n">
        <v>2</v>
      </c>
      <c r="D202" s="25" t="n">
        <v>2</v>
      </c>
      <c r="E202" s="10" t="n">
        <v>0</v>
      </c>
      <c r="F202" s="10" t="n">
        <v>497.5</v>
      </c>
      <c r="G202" s="10" t="n">
        <v>497.5</v>
      </c>
      <c r="H202" s="10" t="n">
        <v>186.88</v>
      </c>
      <c r="I202" s="10" t="n">
        <v>310.62</v>
      </c>
      <c r="J202" s="10" t="n">
        <v>197.92</v>
      </c>
      <c r="K202" s="11" t="n">
        <v>0.6244</v>
      </c>
      <c r="L202" s="11" t="n">
        <v>0.3978</v>
      </c>
      <c r="M202" s="26" t="n">
        <v>42</v>
      </c>
    </row>
    <row r="203" customFormat="false" ht="15" hidden="false" customHeight="false" outlineLevel="0" collapsed="false">
      <c r="A203" s="27" t="n">
        <v>10711</v>
      </c>
      <c r="B203" s="12" t="s">
        <v>276</v>
      </c>
      <c r="C203" s="28" t="n">
        <v>45</v>
      </c>
      <c r="D203" s="28" t="n">
        <v>45</v>
      </c>
      <c r="E203" s="14" t="n">
        <v>0</v>
      </c>
      <c r="F203" s="14" t="n">
        <v>9024</v>
      </c>
      <c r="G203" s="14" t="n">
        <v>9024</v>
      </c>
      <c r="H203" s="14" t="n">
        <v>4935.5901</v>
      </c>
      <c r="I203" s="14" t="n">
        <v>4088.41</v>
      </c>
      <c r="J203" s="14" t="n">
        <v>1609.34</v>
      </c>
      <c r="K203" s="15" t="n">
        <v>0.4531</v>
      </c>
      <c r="L203" s="15" t="n">
        <v>0.1783</v>
      </c>
      <c r="M203" s="29" t="n">
        <v>50</v>
      </c>
    </row>
    <row r="204" customFormat="false" ht="15" hidden="false" customHeight="false" outlineLevel="0" collapsed="false">
      <c r="A204" s="24" t="n">
        <v>10712</v>
      </c>
      <c r="B204" s="8" t="s">
        <v>189</v>
      </c>
      <c r="C204" s="25" t="n">
        <v>1736</v>
      </c>
      <c r="D204" s="25" t="n">
        <v>1736</v>
      </c>
      <c r="E204" s="10" t="n">
        <v>0</v>
      </c>
      <c r="F204" s="10" t="n">
        <v>6773.04</v>
      </c>
      <c r="G204" s="10" t="n">
        <v>6773.04</v>
      </c>
      <c r="H204" s="10" t="n">
        <v>4105.469</v>
      </c>
      <c r="I204" s="10" t="n">
        <v>2667.55</v>
      </c>
      <c r="J204" s="10" t="n">
        <v>777.2</v>
      </c>
      <c r="K204" s="11" t="n">
        <v>0.3938</v>
      </c>
      <c r="L204" s="11" t="n">
        <v>0.1147</v>
      </c>
      <c r="M204" s="26" t="n">
        <v>45</v>
      </c>
    </row>
    <row r="205" customFormat="false" ht="15" hidden="false" customHeight="false" outlineLevel="0" collapsed="false">
      <c r="A205" s="27" t="n">
        <v>10717</v>
      </c>
      <c r="B205" s="12" t="s">
        <v>430</v>
      </c>
      <c r="C205" s="28" t="n">
        <v>3</v>
      </c>
      <c r="D205" s="28" t="n">
        <v>3</v>
      </c>
      <c r="E205" s="14" t="n">
        <v>302.04</v>
      </c>
      <c r="F205" s="14" t="n">
        <v>0</v>
      </c>
      <c r="G205" s="14" t="n">
        <v>302.04</v>
      </c>
      <c r="H205" s="14" t="n">
        <v>109.77</v>
      </c>
      <c r="I205" s="14" t="n">
        <v>192.27</v>
      </c>
      <c r="J205" s="14" t="n">
        <v>109.29</v>
      </c>
      <c r="K205" s="15" t="n">
        <v>0.6366</v>
      </c>
      <c r="L205" s="15" t="n">
        <v>0.3618</v>
      </c>
      <c r="M205" s="29" t="n">
        <v>5</v>
      </c>
    </row>
    <row r="206" customFormat="false" ht="15" hidden="false" customHeight="false" outlineLevel="0" collapsed="false">
      <c r="A206" s="24" t="n">
        <v>10721</v>
      </c>
      <c r="B206" s="8" t="s">
        <v>190</v>
      </c>
      <c r="C206" s="25" t="n">
        <v>24</v>
      </c>
      <c r="D206" s="25" t="n">
        <v>24</v>
      </c>
      <c r="E206" s="10" t="n">
        <v>0</v>
      </c>
      <c r="F206" s="10" t="n">
        <v>295087.66</v>
      </c>
      <c r="G206" s="10" t="n">
        <v>295087.66</v>
      </c>
      <c r="H206" s="10" t="n">
        <v>171053.0401</v>
      </c>
      <c r="I206" s="10" t="n">
        <v>124034.62</v>
      </c>
      <c r="J206" s="10" t="n">
        <v>52446.36</v>
      </c>
      <c r="K206" s="11" t="n">
        <v>0.4203</v>
      </c>
      <c r="L206" s="11" t="n">
        <v>0.1777</v>
      </c>
      <c r="M206" s="26" t="n">
        <v>37.49</v>
      </c>
    </row>
    <row r="207" customFormat="false" ht="15" hidden="false" customHeight="false" outlineLevel="0" collapsed="false">
      <c r="A207" s="27" t="n">
        <v>10722</v>
      </c>
      <c r="B207" s="12" t="s">
        <v>191</v>
      </c>
      <c r="C207" s="28" t="n">
        <v>35</v>
      </c>
      <c r="D207" s="28" t="n">
        <v>35</v>
      </c>
      <c r="E207" s="14" t="n">
        <v>0</v>
      </c>
      <c r="F207" s="14" t="n">
        <v>380997.63</v>
      </c>
      <c r="G207" s="14" t="n">
        <v>380997.63</v>
      </c>
      <c r="H207" s="14" t="n">
        <v>216562.9199</v>
      </c>
      <c r="I207" s="14" t="n">
        <v>164434.71</v>
      </c>
      <c r="J207" s="14" t="n">
        <v>72004.67</v>
      </c>
      <c r="K207" s="15" t="n">
        <v>0.4316</v>
      </c>
      <c r="L207" s="15" t="n">
        <v>0.189</v>
      </c>
      <c r="M207" s="29" t="n">
        <v>39.25</v>
      </c>
    </row>
    <row r="208" customFormat="false" ht="15" hidden="false" customHeight="false" outlineLevel="0" collapsed="false">
      <c r="A208" s="24" t="n">
        <v>10723</v>
      </c>
      <c r="B208" s="8" t="s">
        <v>192</v>
      </c>
      <c r="C208" s="25" t="n">
        <v>17</v>
      </c>
      <c r="D208" s="25" t="n">
        <v>17</v>
      </c>
      <c r="E208" s="10" t="n">
        <v>0</v>
      </c>
      <c r="F208" s="10" t="n">
        <v>18961</v>
      </c>
      <c r="G208" s="10" t="n">
        <v>18961</v>
      </c>
      <c r="H208" s="10" t="n">
        <v>8933.4602</v>
      </c>
      <c r="I208" s="10" t="n">
        <v>10027.54</v>
      </c>
      <c r="J208" s="10" t="n">
        <v>4818.58</v>
      </c>
      <c r="K208" s="11" t="n">
        <v>0.5289</v>
      </c>
      <c r="L208" s="11" t="n">
        <v>0.2541</v>
      </c>
      <c r="M208" s="26" t="n">
        <v>50</v>
      </c>
    </row>
    <row r="209" customFormat="false" ht="15" hidden="false" customHeight="false" outlineLevel="0" collapsed="false">
      <c r="A209" s="27" t="n">
        <v>10730</v>
      </c>
      <c r="B209" s="12" t="s">
        <v>193</v>
      </c>
      <c r="C209" s="28" t="n">
        <v>320</v>
      </c>
      <c r="D209" s="28" t="n">
        <v>320</v>
      </c>
      <c r="E209" s="14" t="n">
        <v>0</v>
      </c>
      <c r="F209" s="14" t="n">
        <v>6562.1</v>
      </c>
      <c r="G209" s="14" t="n">
        <v>6562.1</v>
      </c>
      <c r="H209" s="14" t="n">
        <v>1796.56</v>
      </c>
      <c r="I209" s="14" t="n">
        <v>4765.54</v>
      </c>
      <c r="J209" s="14" t="n">
        <v>3870.92</v>
      </c>
      <c r="K209" s="15" t="n">
        <v>0.7262</v>
      </c>
      <c r="L209" s="15" t="n">
        <v>0.5899</v>
      </c>
      <c r="M209" s="29" t="n">
        <v>29.78</v>
      </c>
    </row>
    <row r="210" customFormat="false" ht="15" hidden="false" customHeight="false" outlineLevel="0" collapsed="false">
      <c r="A210" s="24" t="n">
        <v>10731</v>
      </c>
      <c r="B210" s="8" t="s">
        <v>396</v>
      </c>
      <c r="C210" s="25" t="n">
        <v>631</v>
      </c>
      <c r="D210" s="25" t="n">
        <v>631</v>
      </c>
      <c r="E210" s="10" t="n">
        <v>0</v>
      </c>
      <c r="F210" s="10" t="n">
        <v>23589.23</v>
      </c>
      <c r="G210" s="10" t="n">
        <v>23589.23</v>
      </c>
      <c r="H210" s="10" t="n">
        <v>6417.0006</v>
      </c>
      <c r="I210" s="10" t="n">
        <v>17172.23</v>
      </c>
      <c r="J210" s="10" t="n">
        <v>10694.8</v>
      </c>
      <c r="K210" s="11" t="n">
        <v>0.728</v>
      </c>
      <c r="L210" s="11" t="n">
        <v>0.4534</v>
      </c>
      <c r="M210" s="26" t="n">
        <v>46.33</v>
      </c>
    </row>
    <row r="211" customFormat="false" ht="15" hidden="false" customHeight="false" outlineLevel="0" collapsed="false">
      <c r="A211" s="27" t="n">
        <v>10732</v>
      </c>
      <c r="B211" s="12" t="s">
        <v>277</v>
      </c>
      <c r="C211" s="28" t="n">
        <v>43</v>
      </c>
      <c r="D211" s="28" t="n">
        <v>43</v>
      </c>
      <c r="E211" s="14" t="n">
        <v>0</v>
      </c>
      <c r="F211" s="14" t="n">
        <v>45709.86</v>
      </c>
      <c r="G211" s="14" t="n">
        <v>45709.86</v>
      </c>
      <c r="H211" s="14" t="n">
        <v>16088.1701</v>
      </c>
      <c r="I211" s="14" t="n">
        <v>29621.69</v>
      </c>
      <c r="J211" s="14" t="n">
        <v>16864.11</v>
      </c>
      <c r="K211" s="15" t="n">
        <v>0.648</v>
      </c>
      <c r="L211" s="15" t="n">
        <v>0.3689</v>
      </c>
      <c r="M211" s="29" t="n">
        <v>28</v>
      </c>
    </row>
    <row r="212" customFormat="false" ht="15" hidden="false" customHeight="false" outlineLevel="0" collapsed="false">
      <c r="A212" s="24" t="n">
        <v>10736</v>
      </c>
      <c r="B212" s="8" t="s">
        <v>194</v>
      </c>
      <c r="C212" s="25" t="n">
        <v>2</v>
      </c>
      <c r="D212" s="25" t="n">
        <v>2</v>
      </c>
      <c r="E212" s="10" t="n">
        <v>0</v>
      </c>
      <c r="F212" s="10" t="n">
        <v>1255.17</v>
      </c>
      <c r="G212" s="10" t="n">
        <v>1255.17</v>
      </c>
      <c r="H212" s="10" t="n">
        <v>272.44</v>
      </c>
      <c r="I212" s="10" t="n">
        <v>982.73</v>
      </c>
      <c r="J212" s="10" t="n">
        <v>632.41</v>
      </c>
      <c r="K212" s="11" t="n">
        <v>0.7829</v>
      </c>
      <c r="L212" s="11" t="n">
        <v>0.5038</v>
      </c>
      <c r="M212" s="26" t="n">
        <v>50</v>
      </c>
    </row>
    <row r="213" customFormat="false" ht="15" hidden="false" customHeight="false" outlineLevel="0" collapsed="false">
      <c r="A213" s="27" t="n">
        <v>10737</v>
      </c>
      <c r="B213" s="12" t="s">
        <v>331</v>
      </c>
      <c r="C213" s="28" t="n">
        <v>29</v>
      </c>
      <c r="D213" s="28" t="n">
        <v>29</v>
      </c>
      <c r="E213" s="14" t="n">
        <v>0</v>
      </c>
      <c r="F213" s="14" t="n">
        <v>18267.7</v>
      </c>
      <c r="G213" s="14" t="n">
        <v>18267.7</v>
      </c>
      <c r="H213" s="14" t="n">
        <v>7286.46</v>
      </c>
      <c r="I213" s="14" t="n">
        <v>10981.24</v>
      </c>
      <c r="J213" s="14" t="n">
        <v>5882.72</v>
      </c>
      <c r="K213" s="15" t="n">
        <v>0.6011</v>
      </c>
      <c r="L213" s="15" t="n">
        <v>0.322</v>
      </c>
      <c r="M213" s="29" t="n">
        <v>50</v>
      </c>
    </row>
    <row r="214" customFormat="false" ht="15" hidden="false" customHeight="false" outlineLevel="0" collapsed="false">
      <c r="A214" s="24" t="n">
        <v>10739</v>
      </c>
      <c r="B214" s="8" t="s">
        <v>431</v>
      </c>
      <c r="C214" s="25" t="n">
        <v>13</v>
      </c>
      <c r="D214" s="25" t="n">
        <v>13</v>
      </c>
      <c r="E214" s="10" t="n">
        <v>0</v>
      </c>
      <c r="F214" s="10" t="n">
        <v>4290</v>
      </c>
      <c r="G214" s="10" t="n">
        <v>4290</v>
      </c>
      <c r="H214" s="10" t="n">
        <v>1558.0006</v>
      </c>
      <c r="I214" s="10" t="n">
        <v>2732</v>
      </c>
      <c r="J214" s="10" t="n">
        <v>2206.05</v>
      </c>
      <c r="K214" s="11" t="n">
        <v>0.6368</v>
      </c>
      <c r="L214" s="11" t="n">
        <v>0.5142</v>
      </c>
      <c r="M214" s="26" t="n">
        <v>30</v>
      </c>
    </row>
    <row r="215" customFormat="false" ht="15" hidden="false" customHeight="false" outlineLevel="0" collapsed="false">
      <c r="A215" s="27" t="n">
        <v>10740</v>
      </c>
      <c r="B215" s="12" t="s">
        <v>432</v>
      </c>
      <c r="C215" s="28" t="n">
        <v>1</v>
      </c>
      <c r="D215" s="28" t="n">
        <v>1</v>
      </c>
      <c r="E215" s="14" t="n">
        <v>0</v>
      </c>
      <c r="F215" s="14" t="n">
        <v>187.74</v>
      </c>
      <c r="G215" s="14" t="n">
        <v>187.74</v>
      </c>
      <c r="H215" s="14" t="n">
        <v>17.37</v>
      </c>
      <c r="I215" s="14" t="n">
        <v>170.37</v>
      </c>
      <c r="J215" s="14" t="n">
        <v>117.97</v>
      </c>
      <c r="K215" s="15" t="n">
        <v>0.9075</v>
      </c>
      <c r="L215" s="15" t="n">
        <v>0.6284</v>
      </c>
      <c r="M215" s="29" t="n">
        <v>51</v>
      </c>
    </row>
    <row r="216" customFormat="false" ht="15" hidden="false" customHeight="false" outlineLevel="0" collapsed="false">
      <c r="A216" s="24" t="n">
        <v>40004</v>
      </c>
      <c r="B216" s="8" t="s">
        <v>278</v>
      </c>
      <c r="C216" s="25" t="n">
        <v>3</v>
      </c>
      <c r="D216" s="25" t="n">
        <v>3</v>
      </c>
      <c r="E216" s="10" t="n">
        <v>0</v>
      </c>
      <c r="F216" s="10" t="n">
        <v>689.76</v>
      </c>
      <c r="G216" s="10" t="n">
        <v>689.76</v>
      </c>
      <c r="H216" s="10" t="n">
        <v>56.4201</v>
      </c>
      <c r="I216" s="10" t="n">
        <v>633.34</v>
      </c>
      <c r="J216" s="10" t="n">
        <v>443.85</v>
      </c>
      <c r="K216" s="11" t="n">
        <v>0.9182</v>
      </c>
      <c r="L216" s="11" t="n">
        <v>0.6435</v>
      </c>
      <c r="M216" s="26" t="n">
        <v>28</v>
      </c>
    </row>
    <row r="217" customFormat="false" ht="15" hidden="false" customHeight="false" outlineLevel="0" collapsed="false">
      <c r="A217" s="27" t="n">
        <v>40005</v>
      </c>
      <c r="B217" s="12" t="s">
        <v>195</v>
      </c>
      <c r="C217" s="28" t="n">
        <v>3</v>
      </c>
      <c r="D217" s="28" t="n">
        <v>3</v>
      </c>
      <c r="E217" s="14" t="n">
        <v>0</v>
      </c>
      <c r="F217" s="14" t="n">
        <v>1299.66</v>
      </c>
      <c r="G217" s="14" t="n">
        <v>1299.66</v>
      </c>
      <c r="H217" s="14" t="n">
        <v>448.91</v>
      </c>
      <c r="I217" s="14" t="n">
        <v>850.75</v>
      </c>
      <c r="J217" s="14" t="n">
        <v>489.08</v>
      </c>
      <c r="K217" s="15" t="n">
        <v>0.6546</v>
      </c>
      <c r="L217" s="15" t="n">
        <v>0.3763</v>
      </c>
      <c r="M217" s="29" t="n">
        <v>32.12</v>
      </c>
    </row>
    <row r="218" customFormat="false" ht="15" hidden="false" customHeight="false" outlineLevel="0" collapsed="false">
      <c r="A218" s="24" t="n">
        <v>40014</v>
      </c>
      <c r="B218" s="8" t="s">
        <v>332</v>
      </c>
      <c r="C218" s="25" t="n">
        <v>2</v>
      </c>
      <c r="D218" s="25" t="n">
        <v>2</v>
      </c>
      <c r="E218" s="10" t="n">
        <v>0</v>
      </c>
      <c r="F218" s="10" t="n">
        <v>20000</v>
      </c>
      <c r="G218" s="10" t="n">
        <v>20000</v>
      </c>
      <c r="H218" s="10" t="n">
        <v>12675.49</v>
      </c>
      <c r="I218" s="10" t="n">
        <v>7324.51</v>
      </c>
      <c r="J218" s="10" t="n">
        <v>3152.02</v>
      </c>
      <c r="K218" s="11" t="n">
        <v>0.3662</v>
      </c>
      <c r="L218" s="11" t="n">
        <v>0.1576</v>
      </c>
      <c r="M218" s="26" t="n">
        <v>7</v>
      </c>
    </row>
    <row r="219" customFormat="false" ht="15" hidden="false" customHeight="false" outlineLevel="0" collapsed="false">
      <c r="A219" s="27" t="n">
        <v>50999</v>
      </c>
      <c r="B219" s="12" t="s">
        <v>197</v>
      </c>
      <c r="C219" s="28" t="n">
        <v>25</v>
      </c>
      <c r="D219" s="28" t="n">
        <v>25</v>
      </c>
      <c r="E219" s="14" t="n">
        <v>0</v>
      </c>
      <c r="F219" s="14" t="n">
        <v>3572</v>
      </c>
      <c r="G219" s="14" t="n">
        <v>3572</v>
      </c>
      <c r="H219" s="14" t="n">
        <v>496.08</v>
      </c>
      <c r="I219" s="14" t="n">
        <v>3075.92</v>
      </c>
      <c r="J219" s="14" t="n">
        <v>2136.36</v>
      </c>
      <c r="K219" s="15" t="n">
        <v>0.8611</v>
      </c>
      <c r="L219" s="15" t="n">
        <v>0.5981</v>
      </c>
      <c r="M219" s="29" t="n">
        <v>21.43</v>
      </c>
    </row>
    <row r="220" customFormat="false" ht="15" hidden="false" customHeight="false" outlineLevel="0" collapsed="false">
      <c r="A220" s="24" t="n">
        <v>51053</v>
      </c>
      <c r="B220" s="8" t="s">
        <v>198</v>
      </c>
      <c r="C220" s="25" t="n">
        <v>7</v>
      </c>
      <c r="D220" s="25" t="n">
        <v>7</v>
      </c>
      <c r="E220" s="10" t="n">
        <v>0</v>
      </c>
      <c r="F220" s="10" t="n">
        <v>800.62</v>
      </c>
      <c r="G220" s="10" t="n">
        <v>800.62</v>
      </c>
      <c r="H220" s="10" t="n">
        <v>569.0102</v>
      </c>
      <c r="I220" s="10" t="n">
        <v>231.61</v>
      </c>
      <c r="J220" s="10" t="n">
        <v>11.66</v>
      </c>
      <c r="K220" s="11" t="n">
        <v>0.2893</v>
      </c>
      <c r="L220" s="11" t="n">
        <v>0.0146</v>
      </c>
      <c r="M220" s="26" t="n">
        <v>36.19</v>
      </c>
    </row>
    <row r="221" customFormat="false" ht="15" hidden="false" customHeight="false" outlineLevel="0" collapsed="false">
      <c r="A221" s="27" t="n">
        <v>51054</v>
      </c>
      <c r="B221" s="12" t="s">
        <v>333</v>
      </c>
      <c r="C221" s="28" t="n">
        <v>7</v>
      </c>
      <c r="D221" s="28" t="n">
        <v>7</v>
      </c>
      <c r="E221" s="14" t="n">
        <v>0</v>
      </c>
      <c r="F221" s="14" t="n">
        <v>1305.78</v>
      </c>
      <c r="G221" s="14" t="n">
        <v>1305.78</v>
      </c>
      <c r="H221" s="14" t="n">
        <v>601.52</v>
      </c>
      <c r="I221" s="14" t="n">
        <v>704.26</v>
      </c>
      <c r="J221" s="14" t="n">
        <v>345.54</v>
      </c>
      <c r="K221" s="15" t="n">
        <v>0.5393</v>
      </c>
      <c r="L221" s="15" t="n">
        <v>0.2646</v>
      </c>
      <c r="M221" s="29" t="n">
        <v>47.14</v>
      </c>
    </row>
    <row r="222" customFormat="false" ht="15" hidden="false" customHeight="false" outlineLevel="0" collapsed="false">
      <c r="A222" s="24" t="n">
        <v>51378</v>
      </c>
      <c r="B222" s="8" t="s">
        <v>200</v>
      </c>
      <c r="C222" s="25" t="n">
        <v>26</v>
      </c>
      <c r="D222" s="25" t="n">
        <v>26</v>
      </c>
      <c r="E222" s="10" t="n">
        <v>0</v>
      </c>
      <c r="F222" s="10" t="n">
        <v>4401.26</v>
      </c>
      <c r="G222" s="10" t="n">
        <v>4401.26</v>
      </c>
      <c r="H222" s="10" t="n">
        <v>1771.57</v>
      </c>
      <c r="I222" s="10" t="n">
        <v>2629.69</v>
      </c>
      <c r="J222" s="10" t="n">
        <v>1522.86</v>
      </c>
      <c r="K222" s="11" t="n">
        <v>0.5975</v>
      </c>
      <c r="L222" s="11" t="n">
        <v>0.346</v>
      </c>
      <c r="M222" s="26" t="n">
        <v>40.96</v>
      </c>
    </row>
    <row r="223" customFormat="false" ht="15" hidden="false" customHeight="false" outlineLevel="0" collapsed="false">
      <c r="A223" s="27" t="n">
        <v>51630</v>
      </c>
      <c r="B223" s="12" t="s">
        <v>202</v>
      </c>
      <c r="C223" s="28" t="n">
        <v>9</v>
      </c>
      <c r="D223" s="28" t="n">
        <v>9</v>
      </c>
      <c r="E223" s="14" t="n">
        <v>0</v>
      </c>
      <c r="F223" s="14" t="n">
        <v>308.52</v>
      </c>
      <c r="G223" s="14" t="n">
        <v>308.52</v>
      </c>
      <c r="H223" s="14" t="n">
        <v>46.96</v>
      </c>
      <c r="I223" s="14" t="n">
        <v>261.56</v>
      </c>
      <c r="J223" s="14" t="n">
        <v>176.83</v>
      </c>
      <c r="K223" s="15" t="n">
        <v>0.8478</v>
      </c>
      <c r="L223" s="15" t="n">
        <v>0.5732</v>
      </c>
      <c r="M223" s="29" t="n">
        <v>48.89</v>
      </c>
    </row>
    <row r="224" customFormat="false" ht="15" hidden="false" customHeight="false" outlineLevel="0" collapsed="false">
      <c r="A224" s="24" t="n">
        <v>51741</v>
      </c>
      <c r="B224" s="8" t="s">
        <v>397</v>
      </c>
      <c r="C224" s="25" t="n">
        <v>10</v>
      </c>
      <c r="D224" s="25" t="n">
        <v>10</v>
      </c>
      <c r="E224" s="10" t="n">
        <v>96.99</v>
      </c>
      <c r="F224" s="10" t="n">
        <v>0</v>
      </c>
      <c r="G224" s="10" t="n">
        <v>96.99</v>
      </c>
      <c r="H224" s="10" t="n">
        <v>10.49</v>
      </c>
      <c r="I224" s="10" t="n">
        <v>86.5</v>
      </c>
      <c r="J224" s="10" t="n">
        <v>59.85</v>
      </c>
      <c r="K224" s="11" t="n">
        <v>0.8918</v>
      </c>
      <c r="L224" s="11" t="n">
        <v>0.6171</v>
      </c>
      <c r="M224" s="26" t="n">
        <v>5</v>
      </c>
    </row>
    <row r="225" customFormat="false" ht="15" hidden="false" customHeight="false" outlineLevel="0" collapsed="false">
      <c r="A225" s="27" t="n">
        <v>51948</v>
      </c>
      <c r="B225" s="12" t="s">
        <v>203</v>
      </c>
      <c r="C225" s="28" t="n">
        <v>90</v>
      </c>
      <c r="D225" s="28" t="n">
        <v>90</v>
      </c>
      <c r="E225" s="14" t="n">
        <v>0</v>
      </c>
      <c r="F225" s="14" t="n">
        <v>32944.5</v>
      </c>
      <c r="G225" s="14" t="n">
        <v>32944.5</v>
      </c>
      <c r="H225" s="14" t="n">
        <v>11348.06</v>
      </c>
      <c r="I225" s="14" t="n">
        <v>21596.44</v>
      </c>
      <c r="J225" s="14" t="n">
        <v>17557.44</v>
      </c>
      <c r="K225" s="15" t="n">
        <v>0.6555</v>
      </c>
      <c r="L225" s="15" t="n">
        <v>0.5329</v>
      </c>
      <c r="M225" s="29" t="n">
        <v>30</v>
      </c>
    </row>
    <row r="226" customFormat="false" ht="15" hidden="false" customHeight="false" outlineLevel="0" collapsed="false">
      <c r="A226" s="24" t="n">
        <v>52425</v>
      </c>
      <c r="B226" s="8" t="s">
        <v>374</v>
      </c>
      <c r="C226" s="25" t="n">
        <v>7</v>
      </c>
      <c r="D226" s="25" t="n">
        <v>7</v>
      </c>
      <c r="E226" s="10" t="n">
        <v>0</v>
      </c>
      <c r="F226" s="10" t="n">
        <v>342.16</v>
      </c>
      <c r="G226" s="10" t="n">
        <v>342.16</v>
      </c>
      <c r="H226" s="10" t="n">
        <v>95.8599</v>
      </c>
      <c r="I226" s="10" t="n">
        <v>246.3</v>
      </c>
      <c r="J226" s="10" t="n">
        <v>151.54</v>
      </c>
      <c r="K226" s="11" t="n">
        <v>0.7198</v>
      </c>
      <c r="L226" s="11" t="n">
        <v>0.4429</v>
      </c>
      <c r="M226" s="26" t="n">
        <v>42.47</v>
      </c>
    </row>
    <row r="227" customFormat="false" ht="15" hidden="false" customHeight="false" outlineLevel="0" collapsed="false">
      <c r="A227" s="27" t="n">
        <v>52585</v>
      </c>
      <c r="B227" s="12" t="s">
        <v>284</v>
      </c>
      <c r="C227" s="28" t="n">
        <v>40</v>
      </c>
      <c r="D227" s="28" t="n">
        <v>40</v>
      </c>
      <c r="E227" s="14" t="n">
        <v>0</v>
      </c>
      <c r="F227" s="14" t="n">
        <v>3617.2</v>
      </c>
      <c r="G227" s="14" t="n">
        <v>3617.2</v>
      </c>
      <c r="H227" s="14" t="n">
        <v>548.37</v>
      </c>
      <c r="I227" s="14" t="n">
        <v>3068.83</v>
      </c>
      <c r="J227" s="14" t="n">
        <v>2075.11</v>
      </c>
      <c r="K227" s="15" t="n">
        <v>0.8484</v>
      </c>
      <c r="L227" s="15" t="n">
        <v>0.5737</v>
      </c>
      <c r="M227" s="29" t="n">
        <v>28</v>
      </c>
    </row>
    <row r="228" customFormat="false" ht="15" hidden="false" customHeight="false" outlineLevel="0" collapsed="false">
      <c r="A228" s="24" t="n">
        <v>52589</v>
      </c>
      <c r="B228" s="8" t="s">
        <v>285</v>
      </c>
      <c r="C228" s="25" t="n">
        <v>4</v>
      </c>
      <c r="D228" s="25" t="n">
        <v>4</v>
      </c>
      <c r="E228" s="10" t="n">
        <v>0</v>
      </c>
      <c r="F228" s="10" t="n">
        <v>1980</v>
      </c>
      <c r="G228" s="10" t="n">
        <v>1980</v>
      </c>
      <c r="H228" s="10" t="n">
        <v>642.18</v>
      </c>
      <c r="I228" s="10" t="n">
        <v>1337.82</v>
      </c>
      <c r="J228" s="10" t="n">
        <v>792.39</v>
      </c>
      <c r="K228" s="11" t="n">
        <v>0.6757</v>
      </c>
      <c r="L228" s="11" t="n">
        <v>0.4002</v>
      </c>
      <c r="M228" s="26" t="n">
        <v>51</v>
      </c>
    </row>
    <row r="229" customFormat="false" ht="15" hidden="false" customHeight="false" outlineLevel="0" collapsed="false">
      <c r="A229" s="27" t="n">
        <v>52673</v>
      </c>
      <c r="B229" s="12" t="s">
        <v>206</v>
      </c>
      <c r="C229" s="28" t="n">
        <v>90</v>
      </c>
      <c r="D229" s="28" t="n">
        <v>90</v>
      </c>
      <c r="E229" s="14" t="n">
        <v>252</v>
      </c>
      <c r="F229" s="14" t="n">
        <v>0</v>
      </c>
      <c r="G229" s="14" t="n">
        <v>252</v>
      </c>
      <c r="H229" s="14" t="n">
        <v>90</v>
      </c>
      <c r="I229" s="14" t="n">
        <v>162</v>
      </c>
      <c r="J229" s="14" t="n">
        <v>131.1</v>
      </c>
      <c r="K229" s="15" t="n">
        <v>0.6429</v>
      </c>
      <c r="L229" s="15" t="n">
        <v>0.5202</v>
      </c>
      <c r="M229" s="29" t="n">
        <v>5</v>
      </c>
    </row>
    <row r="230" customFormat="false" ht="15" hidden="false" customHeight="false" outlineLevel="0" collapsed="false">
      <c r="A230" s="24" t="n">
        <v>52674</v>
      </c>
      <c r="B230" s="8" t="s">
        <v>207</v>
      </c>
      <c r="C230" s="25" t="n">
        <v>120</v>
      </c>
      <c r="D230" s="25" t="n">
        <v>120</v>
      </c>
      <c r="E230" s="10" t="n">
        <v>420</v>
      </c>
      <c r="F230" s="10" t="n">
        <v>0</v>
      </c>
      <c r="G230" s="10" t="n">
        <v>420</v>
      </c>
      <c r="H230" s="10" t="n">
        <v>336</v>
      </c>
      <c r="I230" s="10" t="n">
        <v>84</v>
      </c>
      <c r="J230" s="10" t="n">
        <v>32.51</v>
      </c>
      <c r="K230" s="11" t="n">
        <v>0.2</v>
      </c>
      <c r="L230" s="11" t="n">
        <v>0.0774</v>
      </c>
      <c r="M230" s="26" t="n">
        <v>5</v>
      </c>
    </row>
    <row r="231" customFormat="false" ht="15" hidden="false" customHeight="false" outlineLevel="0" collapsed="false">
      <c r="A231" s="27" t="n">
        <v>52675</v>
      </c>
      <c r="B231" s="12" t="s">
        <v>337</v>
      </c>
      <c r="C231" s="28" t="n">
        <v>147</v>
      </c>
      <c r="D231" s="28" t="n">
        <v>147</v>
      </c>
      <c r="E231" s="14" t="n">
        <v>955.5</v>
      </c>
      <c r="F231" s="14" t="n">
        <v>0</v>
      </c>
      <c r="G231" s="14" t="n">
        <v>955.5</v>
      </c>
      <c r="H231" s="14" t="n">
        <v>558.6</v>
      </c>
      <c r="I231" s="14" t="n">
        <v>396.9</v>
      </c>
      <c r="J231" s="14" t="n">
        <v>279.76</v>
      </c>
      <c r="K231" s="15" t="n">
        <v>0.4154</v>
      </c>
      <c r="L231" s="15" t="n">
        <v>0.2928</v>
      </c>
      <c r="M231" s="29" t="n">
        <v>5</v>
      </c>
    </row>
    <row r="232" customFormat="false" ht="15" hidden="false" customHeight="false" outlineLevel="0" collapsed="false">
      <c r="A232" s="24" t="n">
        <v>52676</v>
      </c>
      <c r="B232" s="8" t="s">
        <v>208</v>
      </c>
      <c r="C232" s="25" t="n">
        <v>771</v>
      </c>
      <c r="D232" s="25" t="n">
        <v>771</v>
      </c>
      <c r="E232" s="10" t="n">
        <v>1134</v>
      </c>
      <c r="F232" s="10" t="n">
        <v>0</v>
      </c>
      <c r="G232" s="10" t="n">
        <v>1134</v>
      </c>
      <c r="H232" s="10" t="n">
        <v>49.2</v>
      </c>
      <c r="I232" s="10" t="n">
        <v>1084.8</v>
      </c>
      <c r="J232" s="10" t="n">
        <v>945.78</v>
      </c>
      <c r="K232" s="11" t="n">
        <v>0.9566</v>
      </c>
      <c r="L232" s="11" t="n">
        <v>0.834</v>
      </c>
      <c r="M232" s="26" t="n">
        <v>5</v>
      </c>
    </row>
    <row r="233" customFormat="false" ht="15" hidden="false" customHeight="false" outlineLevel="0" collapsed="false">
      <c r="A233" s="27" t="n">
        <v>52755</v>
      </c>
      <c r="B233" s="12" t="s">
        <v>433</v>
      </c>
      <c r="C233" s="28" t="n">
        <v>300</v>
      </c>
      <c r="D233" s="28" t="n">
        <v>300</v>
      </c>
      <c r="E233" s="14" t="n">
        <v>120</v>
      </c>
      <c r="F233" s="14" t="n">
        <v>0</v>
      </c>
      <c r="G233" s="14" t="n">
        <v>120</v>
      </c>
      <c r="H233" s="14" t="n">
        <v>1800</v>
      </c>
      <c r="I233" s="14" t="n">
        <v>-1680</v>
      </c>
      <c r="J233" s="14" t="n">
        <v>-1694.71</v>
      </c>
      <c r="K233" s="15" t="n">
        <v>-14</v>
      </c>
      <c r="L233" s="15" t="n">
        <v>-14.1226</v>
      </c>
      <c r="M233" s="29" t="n">
        <v>5</v>
      </c>
    </row>
    <row r="234" customFormat="false" ht="15" hidden="false" customHeight="false" outlineLevel="0" collapsed="false">
      <c r="A234" s="24" t="n">
        <v>52883</v>
      </c>
      <c r="B234" s="8" t="s">
        <v>209</v>
      </c>
      <c r="C234" s="25" t="n">
        <v>2</v>
      </c>
      <c r="D234" s="25" t="n">
        <v>2</v>
      </c>
      <c r="E234" s="10" t="n">
        <v>0</v>
      </c>
      <c r="F234" s="10" t="n">
        <v>105.9</v>
      </c>
      <c r="G234" s="10" t="n">
        <v>105.9</v>
      </c>
      <c r="H234" s="10" t="n">
        <v>28.05</v>
      </c>
      <c r="I234" s="10" t="n">
        <v>77.85</v>
      </c>
      <c r="J234" s="10" t="n">
        <v>53.86</v>
      </c>
      <c r="K234" s="11" t="n">
        <v>0.7351</v>
      </c>
      <c r="L234" s="11" t="n">
        <v>0.5086</v>
      </c>
      <c r="M234" s="26" t="n">
        <v>7</v>
      </c>
    </row>
    <row r="235" customFormat="false" ht="15" hidden="false" customHeight="false" outlineLevel="0" collapsed="false">
      <c r="A235" s="27" t="n">
        <v>53119</v>
      </c>
      <c r="B235" s="12" t="s">
        <v>210</v>
      </c>
      <c r="C235" s="28" t="n">
        <v>21</v>
      </c>
      <c r="D235" s="28" t="n">
        <v>21</v>
      </c>
      <c r="E235" s="14" t="n">
        <v>0</v>
      </c>
      <c r="F235" s="14" t="n">
        <v>4758.8</v>
      </c>
      <c r="G235" s="14" t="n">
        <v>4758.8</v>
      </c>
      <c r="H235" s="14" t="n">
        <v>2081.6</v>
      </c>
      <c r="I235" s="14" t="n">
        <v>2677.2</v>
      </c>
      <c r="J235" s="14" t="n">
        <v>1515.25</v>
      </c>
      <c r="K235" s="15" t="n">
        <v>0.5626</v>
      </c>
      <c r="L235" s="15" t="n">
        <v>0.3184</v>
      </c>
      <c r="M235" s="29" t="n">
        <v>37.02</v>
      </c>
    </row>
    <row r="236" customFormat="false" ht="15" hidden="false" customHeight="false" outlineLevel="0" collapsed="false">
      <c r="A236" s="24" t="n">
        <v>53438</v>
      </c>
      <c r="B236" s="8" t="s">
        <v>96</v>
      </c>
      <c r="C236" s="25" t="n">
        <v>3</v>
      </c>
      <c r="D236" s="25" t="n">
        <v>3</v>
      </c>
      <c r="E236" s="10" t="n">
        <v>0</v>
      </c>
      <c r="F236" s="10" t="n">
        <v>768</v>
      </c>
      <c r="G236" s="10" t="n">
        <v>768</v>
      </c>
      <c r="H236" s="10" t="n">
        <v>256.47</v>
      </c>
      <c r="I236" s="10" t="n">
        <v>511.53</v>
      </c>
      <c r="J236" s="10" t="n">
        <v>300.55</v>
      </c>
      <c r="K236" s="11" t="n">
        <v>0.6661</v>
      </c>
      <c r="L236" s="11" t="n">
        <v>0.3913</v>
      </c>
      <c r="M236" s="26" t="n">
        <v>30</v>
      </c>
    </row>
    <row r="237" customFormat="false" ht="15" hidden="false" customHeight="false" outlineLevel="0" collapsed="false">
      <c r="A237" s="27" t="n">
        <v>54188</v>
      </c>
      <c r="B237" s="12" t="s">
        <v>398</v>
      </c>
      <c r="C237" s="28" t="n">
        <v>2</v>
      </c>
      <c r="D237" s="28" t="n">
        <v>2</v>
      </c>
      <c r="E237" s="14" t="n">
        <v>0</v>
      </c>
      <c r="F237" s="14" t="n">
        <v>330</v>
      </c>
      <c r="G237" s="14" t="n">
        <v>330</v>
      </c>
      <c r="H237" s="14" t="n">
        <v>2</v>
      </c>
      <c r="I237" s="14" t="n">
        <v>328</v>
      </c>
      <c r="J237" s="14" t="n">
        <v>253.24</v>
      </c>
      <c r="K237" s="15" t="n">
        <v>0.9939</v>
      </c>
      <c r="L237" s="15" t="n">
        <v>0.7674</v>
      </c>
      <c r="M237" s="29" t="n">
        <v>7</v>
      </c>
    </row>
    <row r="238" customFormat="false" ht="15" hidden="false" customHeight="false" outlineLevel="0" collapsed="false">
      <c r="A238" s="24" t="n">
        <v>54580</v>
      </c>
      <c r="B238" s="8" t="s">
        <v>434</v>
      </c>
      <c r="C238" s="25" t="n">
        <v>3522</v>
      </c>
      <c r="D238" s="25" t="n">
        <v>3522</v>
      </c>
      <c r="E238" s="10" t="n">
        <v>0</v>
      </c>
      <c r="F238" s="10" t="n">
        <v>12327</v>
      </c>
      <c r="G238" s="10" t="n">
        <v>12327</v>
      </c>
      <c r="H238" s="10" t="n">
        <v>7044</v>
      </c>
      <c r="I238" s="10" t="n">
        <v>5283</v>
      </c>
      <c r="J238" s="10" t="n">
        <v>1367.94</v>
      </c>
      <c r="K238" s="11" t="n">
        <v>0.4286</v>
      </c>
      <c r="L238" s="11" t="n">
        <v>0.111</v>
      </c>
      <c r="M238" s="26" t="n">
        <v>39</v>
      </c>
    </row>
    <row r="239" customFormat="false" ht="15" hidden="false" customHeight="false" outlineLevel="0" collapsed="false">
      <c r="A239" s="27" t="n">
        <v>54661</v>
      </c>
      <c r="B239" s="12" t="s">
        <v>400</v>
      </c>
      <c r="C239" s="28" t="n">
        <v>4.5</v>
      </c>
      <c r="D239" s="28" t="n">
        <v>4.5</v>
      </c>
      <c r="E239" s="14" t="n">
        <v>0</v>
      </c>
      <c r="F239" s="14" t="n">
        <v>117.68</v>
      </c>
      <c r="G239" s="14" t="n">
        <v>117.68</v>
      </c>
      <c r="H239" s="14" t="n">
        <v>55.0301</v>
      </c>
      <c r="I239" s="14" t="n">
        <v>62.65</v>
      </c>
      <c r="J239" s="14" t="n">
        <v>30.32</v>
      </c>
      <c r="K239" s="15" t="n">
        <v>0.5324</v>
      </c>
      <c r="L239" s="15" t="n">
        <v>0.2576</v>
      </c>
      <c r="M239" s="29" t="n">
        <v>47</v>
      </c>
    </row>
    <row r="240" customFormat="false" ht="15" hidden="false" customHeight="false" outlineLevel="0" collapsed="false">
      <c r="A240" s="24" t="n">
        <v>54801</v>
      </c>
      <c r="B240" s="8" t="s">
        <v>213</v>
      </c>
      <c r="C240" s="25" t="n">
        <v>95</v>
      </c>
      <c r="D240" s="25" t="n">
        <v>95</v>
      </c>
      <c r="E240" s="10" t="n">
        <v>0</v>
      </c>
      <c r="F240" s="10" t="n">
        <v>36751.8</v>
      </c>
      <c r="G240" s="10" t="n">
        <v>36751.8</v>
      </c>
      <c r="H240" s="10" t="n">
        <v>16060.6205</v>
      </c>
      <c r="I240" s="10" t="n">
        <v>20691.18</v>
      </c>
      <c r="J240" s="10" t="n">
        <v>10594.88</v>
      </c>
      <c r="K240" s="11" t="n">
        <v>0.563</v>
      </c>
      <c r="L240" s="11" t="n">
        <v>0.2883</v>
      </c>
      <c r="M240" s="26" t="n">
        <v>28.37</v>
      </c>
    </row>
    <row r="241" customFormat="false" ht="15" hidden="false" customHeight="false" outlineLevel="0" collapsed="false">
      <c r="A241" s="27" t="n">
        <v>55626</v>
      </c>
      <c r="B241" s="12" t="s">
        <v>288</v>
      </c>
      <c r="C241" s="28" t="n">
        <v>15</v>
      </c>
      <c r="D241" s="28" t="n">
        <v>15</v>
      </c>
      <c r="E241" s="14" t="n">
        <v>0</v>
      </c>
      <c r="F241" s="14" t="n">
        <v>1254.9</v>
      </c>
      <c r="G241" s="14" t="n">
        <v>1254.9</v>
      </c>
      <c r="H241" s="14" t="n">
        <v>690</v>
      </c>
      <c r="I241" s="14" t="n">
        <v>564.9</v>
      </c>
      <c r="J241" s="14" t="n">
        <v>260.46</v>
      </c>
      <c r="K241" s="15" t="n">
        <v>0.4502</v>
      </c>
      <c r="L241" s="15" t="n">
        <v>0.2076</v>
      </c>
      <c r="M241" s="29" t="n">
        <v>38</v>
      </c>
    </row>
    <row r="242" customFormat="false" ht="15" hidden="false" customHeight="false" outlineLevel="0" collapsed="false">
      <c r="A242" s="24" t="n">
        <v>55635</v>
      </c>
      <c r="B242" s="8" t="s">
        <v>401</v>
      </c>
      <c r="C242" s="25" t="n">
        <v>113</v>
      </c>
      <c r="D242" s="25" t="n">
        <v>113</v>
      </c>
      <c r="E242" s="10" t="n">
        <v>0</v>
      </c>
      <c r="F242" s="10" t="n">
        <v>3657.55</v>
      </c>
      <c r="G242" s="10" t="n">
        <v>3657.55</v>
      </c>
      <c r="H242" s="10" t="n">
        <v>1315.4218</v>
      </c>
      <c r="I242" s="10" t="n">
        <v>2342.13</v>
      </c>
      <c r="J242" s="10" t="n">
        <v>1365.06</v>
      </c>
      <c r="K242" s="11" t="n">
        <v>0.6404</v>
      </c>
      <c r="L242" s="11" t="n">
        <v>0.3732</v>
      </c>
      <c r="M242" s="26" t="n">
        <v>30.93</v>
      </c>
    </row>
    <row r="243" customFormat="false" ht="15" hidden="false" customHeight="false" outlineLevel="0" collapsed="false">
      <c r="A243" s="27" t="n">
        <v>56333</v>
      </c>
      <c r="B243" s="12" t="s">
        <v>435</v>
      </c>
      <c r="C243" s="28" t="n">
        <v>1</v>
      </c>
      <c r="D243" s="28" t="n">
        <v>1</v>
      </c>
      <c r="E243" s="14" t="n">
        <v>0</v>
      </c>
      <c r="F243" s="14" t="n">
        <v>188.1</v>
      </c>
      <c r="G243" s="14" t="n">
        <v>188.1</v>
      </c>
      <c r="H243" s="14" t="n">
        <v>88.02</v>
      </c>
      <c r="I243" s="14" t="n">
        <v>100.08</v>
      </c>
      <c r="J243" s="14" t="n">
        <v>54.45</v>
      </c>
      <c r="K243" s="15" t="n">
        <v>0.5321</v>
      </c>
      <c r="L243" s="15" t="n">
        <v>0.2895</v>
      </c>
      <c r="M243" s="29" t="n">
        <v>38</v>
      </c>
    </row>
    <row r="244" customFormat="false" ht="15" hidden="false" customHeight="false" outlineLevel="0" collapsed="false">
      <c r="A244" s="24" t="n">
        <v>56390</v>
      </c>
      <c r="B244" s="8" t="s">
        <v>219</v>
      </c>
      <c r="C244" s="25" t="n">
        <v>24</v>
      </c>
      <c r="D244" s="25" t="n">
        <v>24</v>
      </c>
      <c r="E244" s="10" t="n">
        <v>0</v>
      </c>
      <c r="F244" s="10" t="n">
        <v>21196.32</v>
      </c>
      <c r="G244" s="10" t="n">
        <v>21196.32</v>
      </c>
      <c r="H244" s="10" t="n">
        <v>14779.3601</v>
      </c>
      <c r="I244" s="10" t="n">
        <v>6416.96</v>
      </c>
      <c r="J244" s="10" t="n">
        <v>593.9</v>
      </c>
      <c r="K244" s="11" t="n">
        <v>0.3027</v>
      </c>
      <c r="L244" s="11" t="n">
        <v>0.028</v>
      </c>
      <c r="M244" s="26" t="n">
        <v>35.08</v>
      </c>
    </row>
    <row r="245" customFormat="false" ht="15" hidden="false" customHeight="false" outlineLevel="0" collapsed="false">
      <c r="A245" s="27" t="n">
        <v>56391</v>
      </c>
      <c r="B245" s="12" t="s">
        <v>220</v>
      </c>
      <c r="C245" s="28" t="n">
        <v>12</v>
      </c>
      <c r="D245" s="28" t="n">
        <v>12</v>
      </c>
      <c r="E245" s="14" t="n">
        <v>0</v>
      </c>
      <c r="F245" s="14" t="n">
        <v>9210.36</v>
      </c>
      <c r="G245" s="14" t="n">
        <v>9210.36</v>
      </c>
      <c r="H245" s="14" t="n">
        <v>6564.9097</v>
      </c>
      <c r="I245" s="14" t="n">
        <v>2645.45</v>
      </c>
      <c r="J245" s="14" t="n">
        <v>115.17</v>
      </c>
      <c r="K245" s="15" t="n">
        <v>0.2872</v>
      </c>
      <c r="L245" s="15" t="n">
        <v>0.0125</v>
      </c>
      <c r="M245" s="29" t="n">
        <v>35.08</v>
      </c>
    </row>
    <row r="246" customFormat="false" ht="15" hidden="false" customHeight="false" outlineLevel="0" collapsed="false">
      <c r="A246" s="24" t="n">
        <v>56482</v>
      </c>
      <c r="B246" s="8" t="s">
        <v>221</v>
      </c>
      <c r="C246" s="25" t="n">
        <v>41</v>
      </c>
      <c r="D246" s="25" t="n">
        <v>41</v>
      </c>
      <c r="E246" s="10" t="n">
        <v>396.49</v>
      </c>
      <c r="F246" s="10" t="n">
        <v>2361.2</v>
      </c>
      <c r="G246" s="10" t="n">
        <v>2757.69</v>
      </c>
      <c r="H246" s="10" t="n">
        <v>558.7097</v>
      </c>
      <c r="I246" s="10" t="n">
        <v>2198.98</v>
      </c>
      <c r="J246" s="10" t="n">
        <v>1451.43</v>
      </c>
      <c r="K246" s="11" t="n">
        <v>0.7974</v>
      </c>
      <c r="L246" s="11" t="n">
        <v>0.5263</v>
      </c>
      <c r="M246" s="26" t="n">
        <v>47.12</v>
      </c>
    </row>
    <row r="247" customFormat="false" ht="15" hidden="false" customHeight="false" outlineLevel="0" collapsed="false">
      <c r="A247" s="27" t="n">
        <v>56512</v>
      </c>
      <c r="B247" s="12" t="s">
        <v>222</v>
      </c>
      <c r="C247" s="28" t="n">
        <v>95</v>
      </c>
      <c r="D247" s="28" t="n">
        <v>95</v>
      </c>
      <c r="E247" s="14" t="n">
        <v>0</v>
      </c>
      <c r="F247" s="14" t="n">
        <v>135624.85</v>
      </c>
      <c r="G247" s="14" t="n">
        <v>135624.85</v>
      </c>
      <c r="H247" s="14" t="n">
        <v>61784.0599</v>
      </c>
      <c r="I247" s="14" t="n">
        <v>73840.79</v>
      </c>
      <c r="J247" s="14" t="n">
        <v>35988.01</v>
      </c>
      <c r="K247" s="15" t="n">
        <v>0.5444</v>
      </c>
      <c r="L247" s="15" t="n">
        <v>0.2653</v>
      </c>
      <c r="M247" s="29" t="n">
        <v>28</v>
      </c>
    </row>
    <row r="248" customFormat="false" ht="15" hidden="false" customHeight="false" outlineLevel="0" collapsed="false">
      <c r="A248" s="24" t="n">
        <v>56526</v>
      </c>
      <c r="B248" s="8" t="s">
        <v>416</v>
      </c>
      <c r="C248" s="25" t="n">
        <v>20</v>
      </c>
      <c r="D248" s="25" t="n">
        <v>20</v>
      </c>
      <c r="E248" s="10" t="n">
        <v>0</v>
      </c>
      <c r="F248" s="10" t="n">
        <v>496.8</v>
      </c>
      <c r="G248" s="10" t="n">
        <v>496.8</v>
      </c>
      <c r="H248" s="10" t="n">
        <v>342.21</v>
      </c>
      <c r="I248" s="10" t="n">
        <v>154.59</v>
      </c>
      <c r="J248" s="10" t="n">
        <v>15.93</v>
      </c>
      <c r="K248" s="11" t="n">
        <v>0.3112</v>
      </c>
      <c r="L248" s="11" t="n">
        <v>0.0321</v>
      </c>
      <c r="M248" s="26" t="n">
        <v>45</v>
      </c>
    </row>
    <row r="249" customFormat="false" ht="15" hidden="false" customHeight="false" outlineLevel="0" collapsed="false">
      <c r="A249" s="27" t="n">
        <v>56530</v>
      </c>
      <c r="B249" s="12" t="s">
        <v>291</v>
      </c>
      <c r="C249" s="28" t="n">
        <v>50</v>
      </c>
      <c r="D249" s="28" t="n">
        <v>50</v>
      </c>
      <c r="E249" s="14" t="n">
        <v>0</v>
      </c>
      <c r="F249" s="14" t="n">
        <v>1550</v>
      </c>
      <c r="G249" s="14" t="n">
        <v>1550</v>
      </c>
      <c r="H249" s="14" t="n">
        <v>116.7</v>
      </c>
      <c r="I249" s="14" t="n">
        <v>1433.3</v>
      </c>
      <c r="J249" s="14" t="n">
        <v>1007.49</v>
      </c>
      <c r="K249" s="15" t="n">
        <v>0.9247</v>
      </c>
      <c r="L249" s="15" t="n">
        <v>0.65</v>
      </c>
      <c r="M249" s="29" t="n">
        <v>45</v>
      </c>
    </row>
    <row r="250" customFormat="false" ht="15" hidden="false" customHeight="false" outlineLevel="0" collapsed="false">
      <c r="A250" s="24" t="n">
        <v>56539</v>
      </c>
      <c r="B250" s="8" t="s">
        <v>347</v>
      </c>
      <c r="C250" s="25" t="n">
        <v>32</v>
      </c>
      <c r="D250" s="25" t="n">
        <v>32</v>
      </c>
      <c r="E250" s="10" t="n">
        <v>0</v>
      </c>
      <c r="F250" s="10" t="n">
        <v>4128</v>
      </c>
      <c r="G250" s="10" t="n">
        <v>4128</v>
      </c>
      <c r="H250" s="10" t="n">
        <v>2719.7696</v>
      </c>
      <c r="I250" s="10" t="n">
        <v>1408.23</v>
      </c>
      <c r="J250" s="10" t="n">
        <v>274.19</v>
      </c>
      <c r="K250" s="11" t="n">
        <v>0.3411</v>
      </c>
      <c r="L250" s="11" t="n">
        <v>0.0664</v>
      </c>
      <c r="M250" s="26" t="n">
        <v>47</v>
      </c>
    </row>
    <row r="251" customFormat="false" ht="15" hidden="false" customHeight="false" outlineLevel="0" collapsed="false">
      <c r="A251" s="27" t="n">
        <v>56540</v>
      </c>
      <c r="B251" s="12" t="s">
        <v>348</v>
      </c>
      <c r="C251" s="28" t="n">
        <v>32</v>
      </c>
      <c r="D251" s="28" t="n">
        <v>32</v>
      </c>
      <c r="E251" s="14" t="n">
        <v>0</v>
      </c>
      <c r="F251" s="14" t="n">
        <v>5540.8</v>
      </c>
      <c r="G251" s="14" t="n">
        <v>5540.8</v>
      </c>
      <c r="H251" s="14" t="n">
        <v>3693.5616</v>
      </c>
      <c r="I251" s="14" t="n">
        <v>1847.24</v>
      </c>
      <c r="J251" s="14" t="n">
        <v>325.07</v>
      </c>
      <c r="K251" s="15" t="n">
        <v>0.3334</v>
      </c>
      <c r="L251" s="15" t="n">
        <v>0.0587</v>
      </c>
      <c r="M251" s="29" t="n">
        <v>47</v>
      </c>
    </row>
    <row r="252" customFormat="false" ht="15" hidden="false" customHeight="false" outlineLevel="0" collapsed="false">
      <c r="A252" s="24" t="n">
        <v>56550</v>
      </c>
      <c r="B252" s="8" t="s">
        <v>436</v>
      </c>
      <c r="C252" s="25" t="n">
        <v>400</v>
      </c>
      <c r="D252" s="25" t="n">
        <v>400</v>
      </c>
      <c r="E252" s="10" t="n">
        <v>0</v>
      </c>
      <c r="F252" s="10" t="n">
        <v>55000</v>
      </c>
      <c r="G252" s="10" t="n">
        <v>55000</v>
      </c>
      <c r="H252" s="10" t="n">
        <v>24615.72</v>
      </c>
      <c r="I252" s="10" t="n">
        <v>30384.28</v>
      </c>
      <c r="J252" s="10" t="n">
        <v>17924.3</v>
      </c>
      <c r="K252" s="11" t="n">
        <v>0.5524</v>
      </c>
      <c r="L252" s="11" t="n">
        <v>0.3259</v>
      </c>
      <c r="M252" s="26" t="n">
        <v>61</v>
      </c>
    </row>
    <row r="253" customFormat="false" ht="15" hidden="false" customHeight="false" outlineLevel="0" collapsed="false">
      <c r="A253" s="27" t="n">
        <v>56595</v>
      </c>
      <c r="B253" s="12" t="s">
        <v>418</v>
      </c>
      <c r="C253" s="28" t="n">
        <v>3</v>
      </c>
      <c r="D253" s="28" t="n">
        <v>3</v>
      </c>
      <c r="E253" s="14" t="n">
        <v>0</v>
      </c>
      <c r="F253" s="14" t="n">
        <v>4499.97</v>
      </c>
      <c r="G253" s="14" t="n">
        <v>4499.97</v>
      </c>
      <c r="H253" s="14" t="n">
        <v>1676.16</v>
      </c>
      <c r="I253" s="14" t="n">
        <v>2823.81</v>
      </c>
      <c r="J253" s="14" t="n">
        <v>2272.12</v>
      </c>
      <c r="K253" s="15" t="n">
        <v>0.6275</v>
      </c>
      <c r="L253" s="15" t="n">
        <v>0.5049</v>
      </c>
      <c r="M253" s="29" t="n">
        <v>30</v>
      </c>
    </row>
    <row r="254" customFormat="false" ht="15" hidden="false" customHeight="false" outlineLevel="0" collapsed="false">
      <c r="A254" s="24" t="n">
        <v>56627</v>
      </c>
      <c r="B254" s="8" t="s">
        <v>419</v>
      </c>
      <c r="C254" s="25" t="n">
        <v>27</v>
      </c>
      <c r="D254" s="25" t="n">
        <v>27</v>
      </c>
      <c r="E254" s="10" t="n">
        <v>0</v>
      </c>
      <c r="F254" s="10" t="n">
        <v>3889.41</v>
      </c>
      <c r="G254" s="10" t="n">
        <v>3889.41</v>
      </c>
      <c r="H254" s="10" t="n">
        <v>927.4898</v>
      </c>
      <c r="I254" s="10" t="n">
        <v>2961.92</v>
      </c>
      <c r="J254" s="10" t="n">
        <v>2115.12</v>
      </c>
      <c r="K254" s="11" t="n">
        <v>0.7615</v>
      </c>
      <c r="L254" s="11" t="n">
        <v>0.5438</v>
      </c>
      <c r="M254" s="26" t="n">
        <v>47.38</v>
      </c>
    </row>
    <row r="255" customFormat="false" ht="15" hidden="false" customHeight="false" outlineLevel="0" collapsed="false">
      <c r="A255" s="27" t="n">
        <v>56744</v>
      </c>
      <c r="B255" s="12" t="s">
        <v>378</v>
      </c>
      <c r="C255" s="28" t="n">
        <v>25</v>
      </c>
      <c r="D255" s="28" t="n">
        <v>25</v>
      </c>
      <c r="E255" s="14" t="n">
        <v>0</v>
      </c>
      <c r="F255" s="14" t="n">
        <v>3214.25</v>
      </c>
      <c r="G255" s="14" t="n">
        <v>3214.25</v>
      </c>
      <c r="H255" s="14" t="n">
        <v>1152.32</v>
      </c>
      <c r="I255" s="14" t="n">
        <v>2061.93</v>
      </c>
      <c r="J255" s="14" t="n">
        <v>1178.91</v>
      </c>
      <c r="K255" s="15" t="n">
        <v>0.6415</v>
      </c>
      <c r="L255" s="15" t="n">
        <v>0.3668</v>
      </c>
      <c r="M255" s="29" t="n">
        <v>50</v>
      </c>
    </row>
    <row r="256" customFormat="false" ht="15" hidden="false" customHeight="false" outlineLevel="0" collapsed="false">
      <c r="A256" s="24" t="n">
        <v>56764</v>
      </c>
      <c r="B256" s="8" t="s">
        <v>294</v>
      </c>
      <c r="C256" s="25" t="n">
        <v>8</v>
      </c>
      <c r="D256" s="25" t="n">
        <v>8</v>
      </c>
      <c r="E256" s="10" t="n">
        <v>0</v>
      </c>
      <c r="F256" s="10" t="n">
        <v>3640</v>
      </c>
      <c r="G256" s="10" t="n">
        <v>3640</v>
      </c>
      <c r="H256" s="10" t="n">
        <v>2371.6</v>
      </c>
      <c r="I256" s="10" t="n">
        <v>1268.4</v>
      </c>
      <c r="J256" s="10" t="n">
        <v>5.38</v>
      </c>
      <c r="K256" s="11" t="n">
        <v>0.3485</v>
      </c>
      <c r="L256" s="11" t="n">
        <v>0.0015</v>
      </c>
      <c r="M256" s="26" t="n">
        <v>30</v>
      </c>
    </row>
    <row r="257" customFormat="false" ht="15" hidden="false" customHeight="false" outlineLevel="0" collapsed="false">
      <c r="A257" s="27" t="n">
        <v>57007</v>
      </c>
      <c r="B257" s="12" t="s">
        <v>437</v>
      </c>
      <c r="C257" s="28" t="n">
        <v>10</v>
      </c>
      <c r="D257" s="28" t="n">
        <v>10</v>
      </c>
      <c r="E257" s="14" t="n">
        <v>0</v>
      </c>
      <c r="F257" s="14" t="n">
        <v>53</v>
      </c>
      <c r="G257" s="14" t="n">
        <v>53</v>
      </c>
      <c r="H257" s="14" t="n">
        <v>15.73</v>
      </c>
      <c r="I257" s="14" t="n">
        <v>37.27</v>
      </c>
      <c r="J257" s="14" t="n">
        <v>22.71</v>
      </c>
      <c r="K257" s="15" t="n">
        <v>0.7032</v>
      </c>
      <c r="L257" s="15" t="n">
        <v>0.4285</v>
      </c>
      <c r="M257" s="29" t="n">
        <v>28</v>
      </c>
    </row>
    <row r="258" customFormat="false" ht="15" hidden="false" customHeight="false" outlineLevel="0" collapsed="false">
      <c r="A258" s="24" t="n">
        <v>57108</v>
      </c>
      <c r="B258" s="8" t="s">
        <v>230</v>
      </c>
      <c r="C258" s="25" t="n">
        <v>3</v>
      </c>
      <c r="D258" s="25" t="n">
        <v>3</v>
      </c>
      <c r="E258" s="10" t="n">
        <v>0</v>
      </c>
      <c r="F258" s="10" t="n">
        <v>277.5</v>
      </c>
      <c r="G258" s="10" t="n">
        <v>277.5</v>
      </c>
      <c r="H258" s="10" t="n">
        <v>34.3401</v>
      </c>
      <c r="I258" s="10" t="n">
        <v>243.16</v>
      </c>
      <c r="J258" s="10" t="n">
        <v>165.71</v>
      </c>
      <c r="K258" s="11" t="n">
        <v>0.8763</v>
      </c>
      <c r="L258" s="11" t="n">
        <v>0.5972</v>
      </c>
      <c r="M258" s="26" t="n">
        <v>28</v>
      </c>
    </row>
    <row r="259" customFormat="false" ht="15" hidden="false" customHeight="false" outlineLevel="0" collapsed="false">
      <c r="A259" s="27" t="n">
        <v>57111</v>
      </c>
      <c r="B259" s="12" t="s">
        <v>438</v>
      </c>
      <c r="C259" s="28" t="n">
        <v>2</v>
      </c>
      <c r="D259" s="28" t="n">
        <v>2</v>
      </c>
      <c r="E259" s="14" t="n">
        <v>0</v>
      </c>
      <c r="F259" s="14" t="n">
        <v>397.48</v>
      </c>
      <c r="G259" s="14" t="n">
        <v>397.48</v>
      </c>
      <c r="H259" s="14" t="n">
        <v>126.94</v>
      </c>
      <c r="I259" s="14" t="n">
        <v>270.54</v>
      </c>
      <c r="J259" s="14" t="n">
        <v>159.6</v>
      </c>
      <c r="K259" s="15" t="n">
        <v>0.6806</v>
      </c>
      <c r="L259" s="15" t="n">
        <v>0.4015</v>
      </c>
      <c r="M259" s="29" t="n">
        <v>28</v>
      </c>
    </row>
    <row r="260" customFormat="false" ht="15" hidden="false" customHeight="false" outlineLevel="0" collapsed="false">
      <c r="A260" s="24" t="n">
        <v>57161</v>
      </c>
      <c r="B260" s="8" t="s">
        <v>231</v>
      </c>
      <c r="C260" s="25" t="n">
        <v>45</v>
      </c>
      <c r="D260" s="25" t="n">
        <v>45</v>
      </c>
      <c r="E260" s="10" t="n">
        <v>0</v>
      </c>
      <c r="F260" s="10" t="n">
        <v>527.4</v>
      </c>
      <c r="G260" s="10" t="n">
        <v>527.4</v>
      </c>
      <c r="H260" s="10" t="n">
        <v>0</v>
      </c>
      <c r="I260" s="10" t="n">
        <v>527.4</v>
      </c>
      <c r="J260" s="10" t="n">
        <v>527.4</v>
      </c>
      <c r="K260" s="11" t="n">
        <v>1</v>
      </c>
      <c r="L260" s="11" t="n">
        <v>1</v>
      </c>
      <c r="M260" s="26" t="n">
        <v>38.24</v>
      </c>
    </row>
    <row r="261" customFormat="false" ht="15" hidden="false" customHeight="false" outlineLevel="0" collapsed="false">
      <c r="A261" s="27" t="n">
        <v>57240</v>
      </c>
      <c r="B261" s="12" t="s">
        <v>232</v>
      </c>
      <c r="C261" s="28" t="n">
        <v>36</v>
      </c>
      <c r="D261" s="28" t="n">
        <v>36</v>
      </c>
      <c r="E261" s="14" t="n">
        <v>0</v>
      </c>
      <c r="F261" s="14" t="n">
        <v>658.44</v>
      </c>
      <c r="G261" s="14" t="n">
        <v>658.44</v>
      </c>
      <c r="H261" s="14" t="n">
        <v>106.03</v>
      </c>
      <c r="I261" s="14" t="n">
        <v>552.41</v>
      </c>
      <c r="J261" s="14" t="n">
        <v>392.67</v>
      </c>
      <c r="K261" s="15" t="n">
        <v>0.839</v>
      </c>
      <c r="L261" s="15" t="n">
        <v>0.5964</v>
      </c>
      <c r="M261" s="29" t="n">
        <v>39.14</v>
      </c>
    </row>
    <row r="262" customFormat="false" ht="15" hidden="false" customHeight="false" outlineLevel="0" collapsed="false">
      <c r="A262" s="24" t="n">
        <v>57404</v>
      </c>
      <c r="B262" s="8" t="s">
        <v>233</v>
      </c>
      <c r="C262" s="25" t="n">
        <v>1</v>
      </c>
      <c r="D262" s="25" t="n">
        <v>1</v>
      </c>
      <c r="E262" s="10" t="n">
        <v>0</v>
      </c>
      <c r="F262" s="10" t="n">
        <v>365.47</v>
      </c>
      <c r="G262" s="10" t="n">
        <v>365.47</v>
      </c>
      <c r="H262" s="10" t="n">
        <v>103.01</v>
      </c>
      <c r="I262" s="10" t="n">
        <v>262.46</v>
      </c>
      <c r="J262" s="10" t="n">
        <v>395.35</v>
      </c>
      <c r="K262" s="11" t="n">
        <v>0.7181</v>
      </c>
      <c r="L262" s="11" t="n">
        <v>1.0818</v>
      </c>
      <c r="M262" s="26" t="n">
        <v>54.93</v>
      </c>
    </row>
    <row r="263" customFormat="false" ht="15" hidden="false" customHeight="false" outlineLevel="0" collapsed="false">
      <c r="A263" s="27" t="n">
        <v>80001</v>
      </c>
      <c r="B263" s="12" t="s">
        <v>439</v>
      </c>
      <c r="C263" s="28" t="n">
        <v>3</v>
      </c>
      <c r="D263" s="28" t="n">
        <v>3</v>
      </c>
      <c r="E263" s="14" t="n">
        <v>0</v>
      </c>
      <c r="F263" s="14" t="n">
        <v>179.25</v>
      </c>
      <c r="G263" s="14" t="n">
        <v>179.25</v>
      </c>
      <c r="H263" s="14" t="n">
        <v>98.8899</v>
      </c>
      <c r="I263" s="14" t="n">
        <v>80.36</v>
      </c>
      <c r="J263" s="14" t="n">
        <v>15.98</v>
      </c>
      <c r="K263" s="15" t="n">
        <v>0.4483</v>
      </c>
      <c r="L263" s="15" t="n">
        <v>0.0891</v>
      </c>
      <c r="M263" s="29" t="n">
        <v>39</v>
      </c>
    </row>
    <row r="264" customFormat="false" ht="15" hidden="false" customHeight="false" outlineLevel="0" collapsed="false">
      <c r="A264" s="24" t="n">
        <v>80005</v>
      </c>
      <c r="B264" s="8" t="s">
        <v>440</v>
      </c>
      <c r="C264" s="25" t="n">
        <v>3</v>
      </c>
      <c r="D264" s="25" t="n">
        <v>3</v>
      </c>
      <c r="E264" s="10" t="n">
        <v>0</v>
      </c>
      <c r="F264" s="10" t="n">
        <v>152.07</v>
      </c>
      <c r="G264" s="10" t="n">
        <v>152.07</v>
      </c>
      <c r="H264" s="10" t="n">
        <v>82.3701</v>
      </c>
      <c r="I264" s="10" t="n">
        <v>69.7</v>
      </c>
      <c r="J264" s="10" t="n">
        <v>15.08</v>
      </c>
      <c r="K264" s="11" t="n">
        <v>0.4583</v>
      </c>
      <c r="L264" s="11" t="n">
        <v>0.0992</v>
      </c>
      <c r="M264" s="26" t="n">
        <v>39</v>
      </c>
    </row>
    <row r="265" customFormat="false" ht="15" hidden="false" customHeight="false" outlineLevel="0" collapsed="false">
      <c r="A265" s="27" t="n">
        <v>90252</v>
      </c>
      <c r="B265" s="12" t="s">
        <v>441</v>
      </c>
      <c r="C265" s="28" t="n">
        <v>1</v>
      </c>
      <c r="D265" s="28" t="n">
        <v>1</v>
      </c>
      <c r="E265" s="14" t="n">
        <v>0</v>
      </c>
      <c r="F265" s="14" t="n">
        <v>296.71</v>
      </c>
      <c r="G265" s="14" t="n">
        <v>296.71</v>
      </c>
      <c r="H265" s="14" t="n">
        <v>123.84</v>
      </c>
      <c r="I265" s="14" t="n">
        <v>172.87</v>
      </c>
      <c r="J265" s="14" t="n">
        <v>91.36</v>
      </c>
      <c r="K265" s="15" t="n">
        <v>0.5826</v>
      </c>
      <c r="L265" s="15" t="n">
        <v>0.3079</v>
      </c>
      <c r="M265" s="29" t="n">
        <v>15</v>
      </c>
    </row>
    <row r="266" customFormat="false" ht="15" hidden="false" customHeight="false" outlineLevel="0" collapsed="false">
      <c r="A266" s="24" t="n">
        <v>90301</v>
      </c>
      <c r="B266" s="8" t="s">
        <v>442</v>
      </c>
      <c r="C266" s="25" t="n">
        <v>2</v>
      </c>
      <c r="D266" s="25" t="n">
        <v>2</v>
      </c>
      <c r="E266" s="10" t="n">
        <v>27000</v>
      </c>
      <c r="F266" s="10" t="n">
        <v>0</v>
      </c>
      <c r="G266" s="10" t="n">
        <v>27000</v>
      </c>
      <c r="H266" s="10" t="n">
        <v>315000</v>
      </c>
      <c r="I266" s="10" t="n">
        <v>-288000</v>
      </c>
      <c r="J266" s="10" t="n">
        <v>-291310.2</v>
      </c>
      <c r="K266" s="11" t="n">
        <v>-10.6667</v>
      </c>
      <c r="L266" s="11" t="n">
        <v>-10.7893</v>
      </c>
      <c r="M266" s="26" t="n">
        <v>0</v>
      </c>
    </row>
    <row r="267" customFormat="false" ht="15" hidden="false" customHeight="false" outlineLevel="0" collapsed="false">
      <c r="A267" s="27" t="n">
        <v>90354</v>
      </c>
      <c r="B267" s="12" t="s">
        <v>238</v>
      </c>
      <c r="C267" s="28" t="n">
        <v>900</v>
      </c>
      <c r="D267" s="28" t="n">
        <v>900</v>
      </c>
      <c r="E267" s="14" t="n">
        <v>0</v>
      </c>
      <c r="F267" s="14" t="n">
        <v>6773.5</v>
      </c>
      <c r="G267" s="14" t="n">
        <v>6773.5</v>
      </c>
      <c r="H267" s="14" t="n">
        <v>2658.35</v>
      </c>
      <c r="I267" s="14" t="n">
        <v>4115.15</v>
      </c>
      <c r="J267" s="14" t="n">
        <v>2254.34</v>
      </c>
      <c r="K267" s="15" t="n">
        <v>0.6075</v>
      </c>
      <c r="L267" s="15" t="n">
        <v>0.3328</v>
      </c>
      <c r="M267" s="29" t="n">
        <v>53</v>
      </c>
    </row>
    <row r="268" customFormat="false" ht="15" hidden="false" customHeight="false" outlineLevel="0" collapsed="false">
      <c r="A268" s="24" t="n">
        <v>90366</v>
      </c>
      <c r="B268" s="8" t="s">
        <v>239</v>
      </c>
      <c r="C268" s="25" t="n">
        <v>2800</v>
      </c>
      <c r="D268" s="25" t="n">
        <v>2800</v>
      </c>
      <c r="E268" s="10" t="n">
        <v>0</v>
      </c>
      <c r="F268" s="10" t="n">
        <v>123252</v>
      </c>
      <c r="G268" s="10" t="n">
        <v>123252</v>
      </c>
      <c r="H268" s="10" t="n">
        <v>40086.84</v>
      </c>
      <c r="I268" s="10" t="n">
        <v>83165.16</v>
      </c>
      <c r="J268" s="10" t="n">
        <v>49305.37</v>
      </c>
      <c r="K268" s="11" t="n">
        <v>0.6748</v>
      </c>
      <c r="L268" s="11" t="n">
        <v>0.4</v>
      </c>
      <c r="M268" s="26" t="n">
        <v>108</v>
      </c>
    </row>
    <row r="269" customFormat="false" ht="15" hidden="false" customHeight="false" outlineLevel="0" collapsed="false">
      <c r="A269" s="27" t="n">
        <v>90372</v>
      </c>
      <c r="B269" s="12" t="s">
        <v>240</v>
      </c>
      <c r="C269" s="28" t="n">
        <v>200</v>
      </c>
      <c r="D269" s="28" t="n">
        <v>200</v>
      </c>
      <c r="E269" s="14" t="n">
        <v>0</v>
      </c>
      <c r="F269" s="14" t="n">
        <v>3328</v>
      </c>
      <c r="G269" s="14" t="n">
        <v>3328</v>
      </c>
      <c r="H269" s="14" t="n">
        <v>1030.392</v>
      </c>
      <c r="I269" s="14" t="n">
        <v>2297.61</v>
      </c>
      <c r="J269" s="14" t="n">
        <v>1383.35</v>
      </c>
      <c r="K269" s="15" t="n">
        <v>0.6904</v>
      </c>
      <c r="L269" s="15" t="n">
        <v>0.4157</v>
      </c>
      <c r="M269" s="29" t="n">
        <v>108</v>
      </c>
    </row>
    <row r="270" customFormat="false" ht="15" hidden="false" customHeight="false" outlineLevel="0" collapsed="false">
      <c r="A270" s="24" t="n">
        <v>90375</v>
      </c>
      <c r="B270" s="8" t="s">
        <v>241</v>
      </c>
      <c r="C270" s="25" t="n">
        <v>1300</v>
      </c>
      <c r="D270" s="25" t="n">
        <v>1300</v>
      </c>
      <c r="E270" s="10" t="n">
        <v>0</v>
      </c>
      <c r="F270" s="10" t="n">
        <v>1574</v>
      </c>
      <c r="G270" s="10" t="n">
        <v>1574</v>
      </c>
      <c r="H270" s="10" t="n">
        <v>693.72</v>
      </c>
      <c r="I270" s="10" t="n">
        <v>880.28</v>
      </c>
      <c r="J270" s="10" t="n">
        <v>447.87</v>
      </c>
      <c r="K270" s="11" t="n">
        <v>0.5593</v>
      </c>
      <c r="L270" s="11" t="n">
        <v>0.2845</v>
      </c>
      <c r="M270" s="26" t="n">
        <v>39.88</v>
      </c>
    </row>
    <row r="271" customFormat="false" ht="15" hidden="false" customHeight="false" outlineLevel="0" collapsed="false">
      <c r="A271" s="27" t="n">
        <v>90376</v>
      </c>
      <c r="B271" s="12" t="s">
        <v>242</v>
      </c>
      <c r="C271" s="28" t="n">
        <v>54</v>
      </c>
      <c r="D271" s="28" t="n">
        <v>54</v>
      </c>
      <c r="E271" s="14" t="n">
        <v>0</v>
      </c>
      <c r="F271" s="14" t="n">
        <v>1109.16</v>
      </c>
      <c r="G271" s="14" t="n">
        <v>1109.16</v>
      </c>
      <c r="H271" s="14" t="n">
        <v>491.71</v>
      </c>
      <c r="I271" s="14" t="n">
        <v>617.45</v>
      </c>
      <c r="J271" s="14" t="n">
        <v>312.74</v>
      </c>
      <c r="K271" s="15" t="n">
        <v>0.5567</v>
      </c>
      <c r="L271" s="15" t="n">
        <v>0.282</v>
      </c>
      <c r="M271" s="29" t="n">
        <v>60</v>
      </c>
    </row>
    <row r="272" customFormat="false" ht="15" hidden="false" customHeight="false" outlineLevel="0" collapsed="false">
      <c r="A272" s="24" t="n">
        <v>90419</v>
      </c>
      <c r="B272" s="8" t="s">
        <v>298</v>
      </c>
      <c r="C272" s="25" t="n">
        <v>50</v>
      </c>
      <c r="D272" s="25" t="n">
        <v>50</v>
      </c>
      <c r="E272" s="10" t="n">
        <v>0</v>
      </c>
      <c r="F272" s="10" t="n">
        <v>10756</v>
      </c>
      <c r="G272" s="10" t="n">
        <v>10756</v>
      </c>
      <c r="H272" s="10" t="n">
        <v>6867.79</v>
      </c>
      <c r="I272" s="10" t="n">
        <v>3888.21</v>
      </c>
      <c r="J272" s="10" t="n">
        <v>933.32</v>
      </c>
      <c r="K272" s="11" t="n">
        <v>0.3615</v>
      </c>
      <c r="L272" s="11" t="n">
        <v>0.0868</v>
      </c>
      <c r="M272" s="26" t="n">
        <v>60</v>
      </c>
    </row>
    <row r="273" customFormat="false" ht="15" hidden="false" customHeight="false" outlineLevel="0" collapsed="false">
      <c r="A273" s="27" t="n">
        <v>90424</v>
      </c>
      <c r="B273" s="12" t="s">
        <v>243</v>
      </c>
      <c r="C273" s="28" t="n">
        <v>14</v>
      </c>
      <c r="D273" s="28" t="n">
        <v>14</v>
      </c>
      <c r="E273" s="14" t="n">
        <v>0</v>
      </c>
      <c r="F273" s="14" t="n">
        <v>912.8</v>
      </c>
      <c r="G273" s="14" t="n">
        <v>912.8</v>
      </c>
      <c r="H273" s="14" t="n">
        <v>327.8296</v>
      </c>
      <c r="I273" s="14" t="n">
        <v>584.97</v>
      </c>
      <c r="J273" s="14" t="n">
        <v>334.21</v>
      </c>
      <c r="K273" s="15" t="n">
        <v>0.6409</v>
      </c>
      <c r="L273" s="15" t="n">
        <v>0.3661</v>
      </c>
      <c r="M273" s="29" t="n">
        <v>30</v>
      </c>
    </row>
    <row r="274" customFormat="false" ht="15" hidden="false" customHeight="false" outlineLevel="0" collapsed="false">
      <c r="A274" s="24" t="n">
        <v>90435</v>
      </c>
      <c r="B274" s="8" t="s">
        <v>244</v>
      </c>
      <c r="C274" s="25" t="n">
        <v>1480</v>
      </c>
      <c r="D274" s="25" t="n">
        <v>1480</v>
      </c>
      <c r="E274" s="10" t="n">
        <v>0</v>
      </c>
      <c r="F274" s="10" t="n">
        <v>38306</v>
      </c>
      <c r="G274" s="10" t="n">
        <v>38306</v>
      </c>
      <c r="H274" s="10" t="n">
        <v>6181.67</v>
      </c>
      <c r="I274" s="10" t="n">
        <v>32124.33</v>
      </c>
      <c r="J274" s="10" t="n">
        <v>21600.9</v>
      </c>
      <c r="K274" s="11" t="n">
        <v>0.8386</v>
      </c>
      <c r="L274" s="11" t="n">
        <v>0.5639</v>
      </c>
      <c r="M274" s="26" t="n">
        <v>108</v>
      </c>
    </row>
    <row r="275" customFormat="false" ht="15" hidden="false" customHeight="false" outlineLevel="0" collapsed="false">
      <c r="A275" s="27" t="n">
        <v>90492</v>
      </c>
      <c r="B275" s="12" t="s">
        <v>443</v>
      </c>
      <c r="C275" s="28" t="n">
        <v>1342</v>
      </c>
      <c r="D275" s="28" t="n">
        <v>1342</v>
      </c>
      <c r="E275" s="14" t="n">
        <v>0</v>
      </c>
      <c r="F275" s="14" t="n">
        <v>13763.14</v>
      </c>
      <c r="G275" s="14" t="n">
        <v>13763.14</v>
      </c>
      <c r="H275" s="14" t="n">
        <v>1297.7468</v>
      </c>
      <c r="I275" s="14" t="n">
        <v>12465.39</v>
      </c>
      <c r="J275" s="14" t="n">
        <v>8684.38</v>
      </c>
      <c r="K275" s="15" t="n">
        <v>0.9057</v>
      </c>
      <c r="L275" s="15" t="n">
        <v>0.631</v>
      </c>
      <c r="M275" s="29" t="n">
        <v>43</v>
      </c>
    </row>
    <row r="276" customFormat="false" ht="15" hidden="false" customHeight="false" outlineLevel="0" collapsed="false">
      <c r="A276" s="24" t="n">
        <v>90530</v>
      </c>
      <c r="B276" s="8" t="s">
        <v>358</v>
      </c>
      <c r="C276" s="25" t="n">
        <v>45</v>
      </c>
      <c r="D276" s="25" t="n">
        <v>45</v>
      </c>
      <c r="E276" s="10" t="n">
        <v>0</v>
      </c>
      <c r="F276" s="10" t="n">
        <v>12541.95</v>
      </c>
      <c r="G276" s="10" t="n">
        <v>12541.95</v>
      </c>
      <c r="H276" s="10" t="n">
        <v>3583.0485</v>
      </c>
      <c r="I276" s="10" t="n">
        <v>8958.9</v>
      </c>
      <c r="J276" s="10" t="n">
        <v>5513.37</v>
      </c>
      <c r="K276" s="11" t="n">
        <v>0.7143</v>
      </c>
      <c r="L276" s="11" t="n">
        <v>0.4396</v>
      </c>
      <c r="M276" s="26" t="n">
        <v>60</v>
      </c>
    </row>
    <row r="277" customFormat="false" ht="15" hidden="false" customHeight="false" outlineLevel="0" collapsed="false">
      <c r="A277" s="27" t="n">
        <v>90532</v>
      </c>
      <c r="B277" s="12" t="s">
        <v>245</v>
      </c>
      <c r="C277" s="28" t="n">
        <v>5</v>
      </c>
      <c r="D277" s="28" t="n">
        <v>5</v>
      </c>
      <c r="E277" s="14" t="n">
        <v>0</v>
      </c>
      <c r="F277" s="14" t="n">
        <v>1624</v>
      </c>
      <c r="G277" s="14" t="n">
        <v>1624</v>
      </c>
      <c r="H277" s="14" t="n">
        <v>578.7601</v>
      </c>
      <c r="I277" s="14" t="n">
        <v>1045.24</v>
      </c>
      <c r="J277" s="14" t="n">
        <v>599.09</v>
      </c>
      <c r="K277" s="15" t="n">
        <v>0.6436</v>
      </c>
      <c r="L277" s="15" t="n">
        <v>0.3689</v>
      </c>
      <c r="M277" s="29" t="n">
        <v>54</v>
      </c>
    </row>
    <row r="278" customFormat="false" ht="15" hidden="false" customHeight="false" outlineLevel="0" collapsed="false">
      <c r="A278" s="24" t="n">
        <v>90533</v>
      </c>
      <c r="B278" s="8" t="s">
        <v>245</v>
      </c>
      <c r="C278" s="25" t="n">
        <v>10</v>
      </c>
      <c r="D278" s="25" t="n">
        <v>10</v>
      </c>
      <c r="E278" s="10" t="n">
        <v>3100</v>
      </c>
      <c r="F278" s="10" t="n">
        <v>0</v>
      </c>
      <c r="G278" s="10" t="n">
        <v>3100</v>
      </c>
      <c r="H278" s="10" t="n">
        <v>1281.5</v>
      </c>
      <c r="I278" s="10" t="n">
        <v>1818.5</v>
      </c>
      <c r="J278" s="10" t="n">
        <v>966.87</v>
      </c>
      <c r="K278" s="11" t="n">
        <v>0.5866</v>
      </c>
      <c r="L278" s="11" t="n">
        <v>0.3119</v>
      </c>
      <c r="M278" s="26" t="n">
        <v>5</v>
      </c>
    </row>
    <row r="279" customFormat="false" ht="15" hidden="false" customHeight="false" outlineLevel="0" collapsed="false">
      <c r="A279" s="27" t="n">
        <v>90540</v>
      </c>
      <c r="B279" s="12" t="s">
        <v>245</v>
      </c>
      <c r="C279" s="28" t="n">
        <v>20</v>
      </c>
      <c r="D279" s="28" t="n">
        <v>20</v>
      </c>
      <c r="E279" s="14" t="n">
        <v>0</v>
      </c>
      <c r="F279" s="14" t="n">
        <v>5703.2</v>
      </c>
      <c r="G279" s="14" t="n">
        <v>5703.2</v>
      </c>
      <c r="H279" s="14" t="n">
        <v>2827.65</v>
      </c>
      <c r="I279" s="14" t="n">
        <v>2875.55</v>
      </c>
      <c r="J279" s="14" t="n">
        <v>1308.77</v>
      </c>
      <c r="K279" s="15" t="n">
        <v>0.5042</v>
      </c>
      <c r="L279" s="15" t="n">
        <v>0.2295</v>
      </c>
      <c r="M279" s="29" t="n">
        <v>61</v>
      </c>
    </row>
    <row r="280" customFormat="false" ht="15" hidden="false" customHeight="false" outlineLevel="0" collapsed="false">
      <c r="A280" s="24" t="n">
        <v>90544</v>
      </c>
      <c r="B280" s="8" t="s">
        <v>246</v>
      </c>
      <c r="C280" s="25" t="n">
        <v>110</v>
      </c>
      <c r="D280" s="25" t="n">
        <v>110</v>
      </c>
      <c r="E280" s="10" t="n">
        <v>0</v>
      </c>
      <c r="F280" s="10" t="n">
        <v>37096.3</v>
      </c>
      <c r="G280" s="10" t="n">
        <v>37096.3</v>
      </c>
      <c r="H280" s="10" t="n">
        <v>17513.08</v>
      </c>
      <c r="I280" s="10" t="n">
        <v>19583.22</v>
      </c>
      <c r="J280" s="10" t="n">
        <v>9392.12</v>
      </c>
      <c r="K280" s="11" t="n">
        <v>0.5279</v>
      </c>
      <c r="L280" s="11" t="n">
        <v>0.2532</v>
      </c>
      <c r="M280" s="26" t="n">
        <v>56</v>
      </c>
    </row>
    <row r="281" customFormat="false" ht="15" hidden="false" customHeight="false" outlineLevel="0" collapsed="false">
      <c r="A281" s="27" t="n">
        <v>90564</v>
      </c>
      <c r="B281" s="12" t="s">
        <v>301</v>
      </c>
      <c r="C281" s="28" t="n">
        <v>2805</v>
      </c>
      <c r="D281" s="28" t="n">
        <v>2805</v>
      </c>
      <c r="E281" s="14" t="n">
        <v>0</v>
      </c>
      <c r="F281" s="14" t="n">
        <v>263670</v>
      </c>
      <c r="G281" s="14" t="n">
        <v>263670</v>
      </c>
      <c r="H281" s="14" t="n">
        <v>105087.9042</v>
      </c>
      <c r="I281" s="14" t="n">
        <v>158582.1</v>
      </c>
      <c r="J281" s="14" t="n">
        <v>86146.67</v>
      </c>
      <c r="K281" s="15" t="n">
        <v>0.6014</v>
      </c>
      <c r="L281" s="15" t="n">
        <v>0.3267</v>
      </c>
      <c r="M281" s="29" t="n">
        <v>35.34</v>
      </c>
    </row>
    <row r="282" customFormat="false" ht="15" hidden="false" customHeight="false" outlineLevel="0" collapsed="false">
      <c r="A282" s="24" t="n">
        <v>90603</v>
      </c>
      <c r="B282" s="8" t="s">
        <v>242</v>
      </c>
      <c r="C282" s="25" t="n">
        <v>4</v>
      </c>
      <c r="D282" s="25" t="n">
        <v>4</v>
      </c>
      <c r="E282" s="10" t="n">
        <v>0</v>
      </c>
      <c r="F282" s="10" t="n">
        <v>163.68</v>
      </c>
      <c r="G282" s="10" t="n">
        <v>163.68</v>
      </c>
      <c r="H282" s="10" t="n">
        <v>55.72</v>
      </c>
      <c r="I282" s="10" t="n">
        <v>107.96</v>
      </c>
      <c r="J282" s="10" t="n">
        <v>62.99</v>
      </c>
      <c r="K282" s="11" t="n">
        <v>0.6596</v>
      </c>
      <c r="L282" s="11" t="n">
        <v>0.3848</v>
      </c>
      <c r="M282" s="26" t="n">
        <v>60</v>
      </c>
    </row>
    <row r="283" customFormat="false" ht="15" hidden="false" customHeight="false" outlineLevel="0" collapsed="false">
      <c r="A283" s="27" t="n">
        <v>90624</v>
      </c>
      <c r="B283" s="12" t="s">
        <v>360</v>
      </c>
      <c r="C283" s="28" t="n">
        <v>150</v>
      </c>
      <c r="D283" s="28" t="n">
        <v>150</v>
      </c>
      <c r="E283" s="14" t="n">
        <v>0</v>
      </c>
      <c r="F283" s="14" t="n">
        <v>11512.03</v>
      </c>
      <c r="G283" s="14" t="n">
        <v>11512.03</v>
      </c>
      <c r="H283" s="14" t="n">
        <v>5323.1596</v>
      </c>
      <c r="I283" s="14" t="n">
        <v>6188.87</v>
      </c>
      <c r="J283" s="14" t="n">
        <v>3026.28</v>
      </c>
      <c r="K283" s="15" t="n">
        <v>0.5376</v>
      </c>
      <c r="L283" s="15" t="n">
        <v>0.2629</v>
      </c>
      <c r="M283" s="29" t="n">
        <v>59.58</v>
      </c>
    </row>
    <row r="284" customFormat="false" ht="15" hidden="false" customHeight="false" outlineLevel="0" collapsed="false">
      <c r="A284" s="24" t="n">
        <v>90632</v>
      </c>
      <c r="B284" s="8" t="s">
        <v>248</v>
      </c>
      <c r="C284" s="25" t="n">
        <v>5</v>
      </c>
      <c r="D284" s="25" t="n">
        <v>5</v>
      </c>
      <c r="E284" s="10" t="n">
        <v>0</v>
      </c>
      <c r="F284" s="10" t="n">
        <v>1570</v>
      </c>
      <c r="G284" s="10" t="n">
        <v>1570</v>
      </c>
      <c r="H284" s="10" t="n">
        <v>681.96</v>
      </c>
      <c r="I284" s="10" t="n">
        <v>888.04</v>
      </c>
      <c r="J284" s="10" t="n">
        <v>532.36</v>
      </c>
      <c r="K284" s="11" t="n">
        <v>0.5656</v>
      </c>
      <c r="L284" s="11" t="n">
        <v>0.3391</v>
      </c>
      <c r="M284" s="26" t="n">
        <v>20</v>
      </c>
    </row>
    <row r="285" customFormat="false" ht="15" hidden="false" customHeight="false" outlineLevel="0" collapsed="false">
      <c r="A285" s="27" t="n">
        <v>90685</v>
      </c>
      <c r="B285" s="12" t="s">
        <v>444</v>
      </c>
      <c r="C285" s="28" t="n">
        <v>700000</v>
      </c>
      <c r="D285" s="28" t="n">
        <v>700000</v>
      </c>
      <c r="E285" s="14" t="n">
        <v>0</v>
      </c>
      <c r="F285" s="14" t="n">
        <v>49000</v>
      </c>
      <c r="G285" s="14" t="n">
        <v>49000</v>
      </c>
      <c r="H285" s="14" t="n">
        <v>19460</v>
      </c>
      <c r="I285" s="14" t="n">
        <v>29540</v>
      </c>
      <c r="J285" s="14" t="n">
        <v>16079</v>
      </c>
      <c r="K285" s="15" t="n">
        <v>0.6029</v>
      </c>
      <c r="L285" s="15" t="n">
        <v>0.3281</v>
      </c>
      <c r="M285" s="29" t="n">
        <v>178</v>
      </c>
    </row>
    <row r="286" customFormat="false" ht="15" hidden="false" customHeight="false" outlineLevel="0" collapsed="false">
      <c r="A286" s="24" t="n">
        <v>90686</v>
      </c>
      <c r="B286" s="8" t="s">
        <v>445</v>
      </c>
      <c r="C286" s="25" t="n">
        <v>12426</v>
      </c>
      <c r="D286" s="25" t="n">
        <v>12426</v>
      </c>
      <c r="E286" s="10" t="n">
        <v>0</v>
      </c>
      <c r="F286" s="10" t="n">
        <v>65236.5</v>
      </c>
      <c r="G286" s="10" t="n">
        <v>65236.5</v>
      </c>
      <c r="H286" s="10" t="n">
        <v>52159.3776</v>
      </c>
      <c r="I286" s="10" t="n">
        <v>13077.13</v>
      </c>
      <c r="J286" s="10" t="n">
        <v>-4844.65</v>
      </c>
      <c r="K286" s="11" t="n">
        <v>0.2005</v>
      </c>
      <c r="L286" s="11" t="n">
        <v>-0.0743</v>
      </c>
      <c r="M286" s="26" t="n">
        <v>178</v>
      </c>
    </row>
    <row r="287" customFormat="false" ht="15" hidden="false" customHeight="false" outlineLevel="0" collapsed="false">
      <c r="A287" s="27" t="n">
        <v>90687</v>
      </c>
      <c r="B287" s="12" t="s">
        <v>446</v>
      </c>
      <c r="C287" s="28" t="n">
        <v>446</v>
      </c>
      <c r="D287" s="28" t="n">
        <v>446</v>
      </c>
      <c r="E287" s="14" t="n">
        <v>0</v>
      </c>
      <c r="F287" s="14" t="n">
        <v>1003.5</v>
      </c>
      <c r="G287" s="14" t="n">
        <v>1003.5</v>
      </c>
      <c r="H287" s="14" t="n">
        <v>667.216</v>
      </c>
      <c r="I287" s="14" t="n">
        <v>336.28</v>
      </c>
      <c r="J287" s="14" t="n">
        <v>60.6</v>
      </c>
      <c r="K287" s="15" t="n">
        <v>0.3351</v>
      </c>
      <c r="L287" s="15" t="n">
        <v>0.0604</v>
      </c>
      <c r="M287" s="29" t="n">
        <v>178</v>
      </c>
    </row>
    <row r="288" customFormat="false" ht="15" hidden="false" customHeight="false" outlineLevel="0" collapsed="false">
      <c r="A288" s="24" t="n">
        <v>90691</v>
      </c>
      <c r="B288" s="8" t="s">
        <v>305</v>
      </c>
      <c r="C288" s="25" t="n">
        <v>2</v>
      </c>
      <c r="D288" s="25" t="n">
        <v>2</v>
      </c>
      <c r="E288" s="10" t="n">
        <v>0</v>
      </c>
      <c r="F288" s="10" t="n">
        <v>3581.5</v>
      </c>
      <c r="G288" s="10" t="n">
        <v>3581.5</v>
      </c>
      <c r="H288" s="10" t="n">
        <v>0</v>
      </c>
      <c r="I288" s="10" t="n">
        <v>3581.5</v>
      </c>
      <c r="J288" s="10" t="n">
        <v>3581.5</v>
      </c>
      <c r="K288" s="11" t="n">
        <v>1</v>
      </c>
      <c r="L288" s="11" t="n">
        <v>1</v>
      </c>
      <c r="M288" s="26" t="n">
        <v>40.19</v>
      </c>
    </row>
    <row r="289" customFormat="false" ht="15" hidden="false" customHeight="false" outlineLevel="0" collapsed="false">
      <c r="A289" s="27" t="n">
        <v>90693</v>
      </c>
      <c r="B289" s="12" t="s">
        <v>447</v>
      </c>
      <c r="C289" s="28" t="n">
        <v>10</v>
      </c>
      <c r="D289" s="28" t="n">
        <v>10</v>
      </c>
      <c r="E289" s="14" t="n">
        <v>0</v>
      </c>
      <c r="F289" s="14" t="n">
        <v>40.5</v>
      </c>
      <c r="G289" s="14" t="n">
        <v>40.5</v>
      </c>
      <c r="H289" s="14" t="n">
        <v>0</v>
      </c>
      <c r="I289" s="14" t="n">
        <v>40.5</v>
      </c>
      <c r="J289" s="14" t="n">
        <v>40.5</v>
      </c>
      <c r="K289" s="15" t="n">
        <v>1</v>
      </c>
      <c r="L289" s="15" t="n">
        <v>1</v>
      </c>
      <c r="M289" s="29" t="n">
        <v>30</v>
      </c>
    </row>
    <row r="290" customFormat="false" ht="15" hidden="false" customHeight="false" outlineLevel="0" collapsed="false">
      <c r="A290" s="24" t="n">
        <v>90746</v>
      </c>
      <c r="B290" s="8" t="s">
        <v>423</v>
      </c>
      <c r="C290" s="25" t="n">
        <v>1</v>
      </c>
      <c r="D290" s="25" t="n">
        <v>1</v>
      </c>
      <c r="E290" s="10" t="n">
        <v>0</v>
      </c>
      <c r="F290" s="10" t="n">
        <v>592.33</v>
      </c>
      <c r="G290" s="10" t="n">
        <v>592.33</v>
      </c>
      <c r="H290" s="10" t="n">
        <v>68.64</v>
      </c>
      <c r="I290" s="10" t="n">
        <v>523.69</v>
      </c>
      <c r="J290" s="10" t="n">
        <v>389.5</v>
      </c>
      <c r="K290" s="11" t="n">
        <v>0.8841</v>
      </c>
      <c r="L290" s="11" t="n">
        <v>0.6576</v>
      </c>
      <c r="M290" s="26" t="n">
        <v>30</v>
      </c>
    </row>
    <row r="291" customFormat="false" ht="15" hidden="false" customHeight="false" outlineLevel="0" collapsed="false">
      <c r="A291" s="16" t="s">
        <v>249</v>
      </c>
      <c r="B291" s="16" t="str">
        <f aca="false">COUNTA(A6:A290)&amp;" produtos"</f>
        <v>285 produtos</v>
      </c>
      <c r="C291" s="30" t="n">
        <f aca="false">SUM(C6:C290)</f>
        <v>759064.5</v>
      </c>
      <c r="D291" s="30" t="n">
        <f aca="false">SUM(D6:D290)</f>
        <v>759064.5</v>
      </c>
      <c r="E291" s="18" t="n">
        <f aca="false">SUM(E6:E290)</f>
        <v>54369.99</v>
      </c>
      <c r="F291" s="18" t="n">
        <f aca="false">SUM(F6:F290)</f>
        <v>5194820.37</v>
      </c>
      <c r="G291" s="18" t="n">
        <f aca="false">SUM(G6:G290)</f>
        <v>5249190.36</v>
      </c>
      <c r="H291" s="18" t="n">
        <f aca="false">SUM(H6:H290)</f>
        <v>2594338.4925</v>
      </c>
      <c r="I291" s="18" t="n">
        <f aca="false">SUM(I6:I290)</f>
        <v>2654851.96</v>
      </c>
      <c r="J291" s="18" t="n">
        <f aca="false">SUM(J6:J290)</f>
        <v>1310861.03</v>
      </c>
      <c r="K291" s="19" t="n">
        <f aca="false">IFERROR(I291/G291,0)</f>
        <v>0.505764085111213</v>
      </c>
      <c r="L291" s="19" t="n">
        <f aca="false">IFERROR(J291/G291,0)</f>
        <v>0.249726327318791</v>
      </c>
      <c r="M291" s="31" t="n">
        <f aca="false">IFERROR(SUMPRODUCT(M6:M290,G6:G290)/G291,0)</f>
        <v>44.1722480759109</v>
      </c>
    </row>
  </sheetData>
  <autoFilter ref="A5:M290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448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10001</v>
      </c>
      <c r="B6" s="8" t="s">
        <v>34</v>
      </c>
      <c r="C6" s="25" t="n">
        <v>1709</v>
      </c>
      <c r="D6" s="25" t="n">
        <v>1709</v>
      </c>
      <c r="E6" s="10" t="n">
        <v>0</v>
      </c>
      <c r="F6" s="10" t="n">
        <v>50852.82</v>
      </c>
      <c r="G6" s="10" t="n">
        <v>50852.82</v>
      </c>
      <c r="H6" s="10" t="n">
        <v>22182.6535</v>
      </c>
      <c r="I6" s="10" t="n">
        <v>28670.18</v>
      </c>
      <c r="J6" s="10" t="n">
        <v>14992.22</v>
      </c>
      <c r="K6" s="11" t="n">
        <v>0.5638</v>
      </c>
      <c r="L6" s="11" t="n">
        <v>0.2948</v>
      </c>
      <c r="M6" s="26" t="n">
        <v>43.01</v>
      </c>
    </row>
    <row r="7" customFormat="false" ht="15" hidden="false" customHeight="false" outlineLevel="0" collapsed="false">
      <c r="A7" s="27" t="n">
        <v>10002</v>
      </c>
      <c r="B7" s="12" t="s">
        <v>35</v>
      </c>
      <c r="C7" s="28" t="n">
        <v>288</v>
      </c>
      <c r="D7" s="28" t="n">
        <v>288</v>
      </c>
      <c r="E7" s="14" t="n">
        <v>0</v>
      </c>
      <c r="F7" s="14" t="n">
        <v>92154.77</v>
      </c>
      <c r="G7" s="14" t="n">
        <v>92154.77</v>
      </c>
      <c r="H7" s="14" t="n">
        <v>24209.3691</v>
      </c>
      <c r="I7" s="14" t="n">
        <v>67945.4</v>
      </c>
      <c r="J7" s="14" t="n">
        <v>43441.91</v>
      </c>
      <c r="K7" s="15" t="n">
        <v>0.7373</v>
      </c>
      <c r="L7" s="15" t="n">
        <v>0.4714</v>
      </c>
      <c r="M7" s="29" t="n">
        <v>46.35</v>
      </c>
    </row>
    <row r="8" customFormat="false" ht="15" hidden="false" customHeight="false" outlineLevel="0" collapsed="false">
      <c r="A8" s="24" t="n">
        <v>10004</v>
      </c>
      <c r="B8" s="8" t="s">
        <v>36</v>
      </c>
      <c r="C8" s="25" t="n">
        <v>4</v>
      </c>
      <c r="D8" s="25" t="n">
        <v>4</v>
      </c>
      <c r="E8" s="10" t="n">
        <v>0</v>
      </c>
      <c r="F8" s="10" t="n">
        <v>396</v>
      </c>
      <c r="G8" s="10" t="n">
        <v>396</v>
      </c>
      <c r="H8" s="10" t="n">
        <v>192.9101</v>
      </c>
      <c r="I8" s="10" t="n">
        <v>203.09</v>
      </c>
      <c r="J8" s="10" t="n">
        <v>94.31</v>
      </c>
      <c r="K8" s="11" t="n">
        <v>0.5129</v>
      </c>
      <c r="L8" s="11" t="n">
        <v>0.2382</v>
      </c>
      <c r="M8" s="26" t="n">
        <v>52.5</v>
      </c>
    </row>
    <row r="9" customFormat="false" ht="15" hidden="false" customHeight="false" outlineLevel="0" collapsed="false">
      <c r="A9" s="27" t="n">
        <v>10005</v>
      </c>
      <c r="B9" s="12" t="s">
        <v>37</v>
      </c>
      <c r="C9" s="28" t="n">
        <v>797</v>
      </c>
      <c r="D9" s="28" t="n">
        <v>797</v>
      </c>
      <c r="E9" s="14" t="n">
        <v>0</v>
      </c>
      <c r="F9" s="14" t="n">
        <v>74612.1</v>
      </c>
      <c r="G9" s="14" t="n">
        <v>74612.1</v>
      </c>
      <c r="H9" s="14" t="n">
        <v>16251.2304</v>
      </c>
      <c r="I9" s="14" t="n">
        <v>58360.87</v>
      </c>
      <c r="J9" s="14" t="n">
        <v>39567.33</v>
      </c>
      <c r="K9" s="15" t="n">
        <v>0.7822</v>
      </c>
      <c r="L9" s="15" t="n">
        <v>0.5303</v>
      </c>
      <c r="M9" s="29" t="n">
        <v>44.79</v>
      </c>
    </row>
    <row r="10" customFormat="false" ht="15" hidden="false" customHeight="false" outlineLevel="0" collapsed="false">
      <c r="A10" s="24" t="n">
        <v>10006</v>
      </c>
      <c r="B10" s="8" t="s">
        <v>38</v>
      </c>
      <c r="C10" s="25" t="n">
        <v>45</v>
      </c>
      <c r="D10" s="25" t="n">
        <v>45</v>
      </c>
      <c r="E10" s="10" t="n">
        <v>0</v>
      </c>
      <c r="F10" s="10" t="n">
        <v>2566.8</v>
      </c>
      <c r="G10" s="10" t="n">
        <v>2566.8</v>
      </c>
      <c r="H10" s="10" t="n">
        <v>438.8</v>
      </c>
      <c r="I10" s="10" t="n">
        <v>2128</v>
      </c>
      <c r="J10" s="10" t="n">
        <v>1422.85</v>
      </c>
      <c r="K10" s="11" t="n">
        <v>0.829</v>
      </c>
      <c r="L10" s="11" t="n">
        <v>0.5543</v>
      </c>
      <c r="M10" s="26" t="n">
        <v>50.91</v>
      </c>
    </row>
    <row r="11" customFormat="false" ht="15" hidden="false" customHeight="false" outlineLevel="0" collapsed="false">
      <c r="A11" s="27" t="n">
        <v>10007</v>
      </c>
      <c r="B11" s="12" t="s">
        <v>35</v>
      </c>
      <c r="C11" s="28" t="n">
        <v>390</v>
      </c>
      <c r="D11" s="28" t="n">
        <v>390</v>
      </c>
      <c r="E11" s="14" t="n">
        <v>0</v>
      </c>
      <c r="F11" s="14" t="n">
        <v>114056.17</v>
      </c>
      <c r="G11" s="14" t="n">
        <v>114056.17</v>
      </c>
      <c r="H11" s="14" t="n">
        <v>32662.4212</v>
      </c>
      <c r="I11" s="14" t="n">
        <v>81393.75</v>
      </c>
      <c r="J11" s="14" t="n">
        <v>55744.4</v>
      </c>
      <c r="K11" s="15" t="n">
        <v>0.7136</v>
      </c>
      <c r="L11" s="15" t="n">
        <v>0.4887</v>
      </c>
      <c r="M11" s="29" t="n">
        <v>44.13</v>
      </c>
    </row>
    <row r="12" customFormat="false" ht="15" hidden="false" customHeight="false" outlineLevel="0" collapsed="false">
      <c r="A12" s="24" t="n">
        <v>10008</v>
      </c>
      <c r="B12" s="8" t="s">
        <v>39</v>
      </c>
      <c r="C12" s="25" t="n">
        <v>2061</v>
      </c>
      <c r="D12" s="25" t="n">
        <v>2061</v>
      </c>
      <c r="E12" s="10" t="n">
        <v>0</v>
      </c>
      <c r="F12" s="10" t="n">
        <v>340795.07</v>
      </c>
      <c r="G12" s="10" t="n">
        <v>340795.07</v>
      </c>
      <c r="H12" s="10" t="n">
        <v>139131.6045</v>
      </c>
      <c r="I12" s="10" t="n">
        <v>201663.48</v>
      </c>
      <c r="J12" s="10" t="n">
        <v>121920.63</v>
      </c>
      <c r="K12" s="11" t="n">
        <v>0.5917</v>
      </c>
      <c r="L12" s="11" t="n">
        <v>0.3578</v>
      </c>
      <c r="M12" s="26" t="n">
        <v>47.95</v>
      </c>
    </row>
    <row r="13" customFormat="false" ht="15" hidden="false" customHeight="false" outlineLevel="0" collapsed="false">
      <c r="A13" s="27" t="n">
        <v>10018</v>
      </c>
      <c r="B13" s="12" t="s">
        <v>38</v>
      </c>
      <c r="C13" s="28" t="n">
        <v>27</v>
      </c>
      <c r="D13" s="28" t="n">
        <v>27</v>
      </c>
      <c r="E13" s="14" t="n">
        <v>0</v>
      </c>
      <c r="F13" s="14" t="n">
        <v>2268.72</v>
      </c>
      <c r="G13" s="14" t="n">
        <v>2268.72</v>
      </c>
      <c r="H13" s="14" t="n">
        <v>929.99</v>
      </c>
      <c r="I13" s="14" t="n">
        <v>1338.73</v>
      </c>
      <c r="J13" s="14" t="n">
        <v>743.45</v>
      </c>
      <c r="K13" s="15" t="n">
        <v>0.5901</v>
      </c>
      <c r="L13" s="15" t="n">
        <v>0.3277</v>
      </c>
      <c r="M13" s="29" t="n">
        <v>50.45</v>
      </c>
    </row>
    <row r="14" customFormat="false" ht="15" hidden="false" customHeight="false" outlineLevel="0" collapsed="false">
      <c r="A14" s="24" t="n">
        <v>10019</v>
      </c>
      <c r="B14" s="8" t="s">
        <v>35</v>
      </c>
      <c r="C14" s="25" t="n">
        <v>2</v>
      </c>
      <c r="D14" s="25" t="n">
        <v>2</v>
      </c>
      <c r="E14" s="10" t="n">
        <v>0</v>
      </c>
      <c r="F14" s="10" t="n">
        <v>577.8</v>
      </c>
      <c r="G14" s="10" t="n">
        <v>577.8</v>
      </c>
      <c r="H14" s="10" t="n">
        <v>150.25</v>
      </c>
      <c r="I14" s="10" t="n">
        <v>427.55</v>
      </c>
      <c r="J14" s="10" t="n">
        <v>296.65</v>
      </c>
      <c r="K14" s="11" t="n">
        <v>0.74</v>
      </c>
      <c r="L14" s="11" t="n">
        <v>0.5134</v>
      </c>
      <c r="M14" s="26" t="n">
        <v>7</v>
      </c>
    </row>
    <row r="15" customFormat="false" ht="15" hidden="false" customHeight="false" outlineLevel="0" collapsed="false">
      <c r="A15" s="27" t="n">
        <v>10021</v>
      </c>
      <c r="B15" s="12" t="s">
        <v>41</v>
      </c>
      <c r="C15" s="28" t="n">
        <v>47</v>
      </c>
      <c r="D15" s="28" t="n">
        <v>47</v>
      </c>
      <c r="E15" s="14" t="n">
        <v>0</v>
      </c>
      <c r="F15" s="14" t="n">
        <v>19611.69</v>
      </c>
      <c r="G15" s="14" t="n">
        <v>19611.69</v>
      </c>
      <c r="H15" s="14" t="n">
        <v>3625.3107</v>
      </c>
      <c r="I15" s="14" t="n">
        <v>15986.38</v>
      </c>
      <c r="J15" s="14" t="n">
        <v>10598.65</v>
      </c>
      <c r="K15" s="15" t="n">
        <v>0.8151</v>
      </c>
      <c r="L15" s="15" t="n">
        <v>0.5404</v>
      </c>
      <c r="M15" s="29" t="n">
        <v>45.36</v>
      </c>
    </row>
    <row r="16" customFormat="false" ht="15" hidden="false" customHeight="false" outlineLevel="0" collapsed="false">
      <c r="A16" s="24" t="n">
        <v>10022</v>
      </c>
      <c r="B16" s="8" t="s">
        <v>42</v>
      </c>
      <c r="C16" s="25" t="n">
        <v>1</v>
      </c>
      <c r="D16" s="25" t="n">
        <v>1</v>
      </c>
      <c r="E16" s="10" t="n">
        <v>0</v>
      </c>
      <c r="F16" s="10" t="n">
        <v>356.28</v>
      </c>
      <c r="G16" s="10" t="n">
        <v>356.28</v>
      </c>
      <c r="H16" s="10" t="n">
        <v>80.79</v>
      </c>
      <c r="I16" s="10" t="n">
        <v>275.49</v>
      </c>
      <c r="J16" s="10" t="n">
        <v>177.61</v>
      </c>
      <c r="K16" s="11" t="n">
        <v>0.7732</v>
      </c>
      <c r="L16" s="11" t="n">
        <v>0.4985</v>
      </c>
      <c r="M16" s="26" t="n">
        <v>57</v>
      </c>
    </row>
    <row r="17" customFormat="false" ht="15" hidden="false" customHeight="false" outlineLevel="0" collapsed="false">
      <c r="A17" s="27" t="n">
        <v>10024</v>
      </c>
      <c r="B17" s="12" t="s">
        <v>43</v>
      </c>
      <c r="C17" s="28" t="n">
        <v>304</v>
      </c>
      <c r="D17" s="28" t="n">
        <v>304</v>
      </c>
      <c r="E17" s="14" t="n">
        <v>0</v>
      </c>
      <c r="F17" s="14" t="n">
        <v>14690.34</v>
      </c>
      <c r="G17" s="14" t="n">
        <v>14690.34</v>
      </c>
      <c r="H17" s="14" t="n">
        <v>2248.316</v>
      </c>
      <c r="I17" s="14" t="n">
        <v>12442.03</v>
      </c>
      <c r="J17" s="14" t="n">
        <v>8406.3</v>
      </c>
      <c r="K17" s="15" t="n">
        <v>0.847</v>
      </c>
      <c r="L17" s="15" t="n">
        <v>0.5722</v>
      </c>
      <c r="M17" s="29" t="n">
        <v>49.84</v>
      </c>
    </row>
    <row r="18" customFormat="false" ht="15" hidden="false" customHeight="false" outlineLevel="0" collapsed="false">
      <c r="A18" s="24" t="n">
        <v>10025</v>
      </c>
      <c r="B18" s="8" t="s">
        <v>44</v>
      </c>
      <c r="C18" s="25" t="n">
        <v>95</v>
      </c>
      <c r="D18" s="25" t="n">
        <v>95</v>
      </c>
      <c r="E18" s="10" t="n">
        <v>0</v>
      </c>
      <c r="F18" s="10" t="n">
        <v>5140.45</v>
      </c>
      <c r="G18" s="10" t="n">
        <v>5140.45</v>
      </c>
      <c r="H18" s="10" t="n">
        <v>687.4818</v>
      </c>
      <c r="I18" s="10" t="n">
        <v>4452.97</v>
      </c>
      <c r="J18" s="10" t="n">
        <v>3313.3</v>
      </c>
      <c r="K18" s="11" t="n">
        <v>0.8663</v>
      </c>
      <c r="L18" s="11" t="n">
        <v>0.6446</v>
      </c>
      <c r="M18" s="26" t="n">
        <v>38.38</v>
      </c>
    </row>
    <row r="19" customFormat="false" ht="15" hidden="false" customHeight="false" outlineLevel="0" collapsed="false">
      <c r="A19" s="27" t="n">
        <v>10027</v>
      </c>
      <c r="B19" s="12" t="s">
        <v>45</v>
      </c>
      <c r="C19" s="28" t="n">
        <v>29</v>
      </c>
      <c r="D19" s="28" t="n">
        <v>29</v>
      </c>
      <c r="E19" s="14" t="n">
        <v>0</v>
      </c>
      <c r="F19" s="14" t="n">
        <v>38357.23</v>
      </c>
      <c r="G19" s="14" t="n">
        <v>38357.23</v>
      </c>
      <c r="H19" s="14" t="n">
        <v>20788.4403</v>
      </c>
      <c r="I19" s="14" t="n">
        <v>17568.79</v>
      </c>
      <c r="J19" s="14" t="n">
        <v>8173.64</v>
      </c>
      <c r="K19" s="15" t="n">
        <v>0.458</v>
      </c>
      <c r="L19" s="15" t="n">
        <v>0.2131</v>
      </c>
      <c r="M19" s="29" t="n">
        <v>35.89</v>
      </c>
    </row>
    <row r="20" customFormat="false" ht="15" hidden="false" customHeight="false" outlineLevel="0" collapsed="false">
      <c r="A20" s="24" t="n">
        <v>10029</v>
      </c>
      <c r="B20" s="8" t="s">
        <v>44</v>
      </c>
      <c r="C20" s="25" t="n">
        <v>4</v>
      </c>
      <c r="D20" s="25" t="n">
        <v>4</v>
      </c>
      <c r="E20" s="10" t="n">
        <v>0</v>
      </c>
      <c r="F20" s="10" t="n">
        <v>266.84</v>
      </c>
      <c r="G20" s="10" t="n">
        <v>266.84</v>
      </c>
      <c r="H20" s="10" t="n">
        <v>28.95</v>
      </c>
      <c r="I20" s="10" t="n">
        <v>237.89</v>
      </c>
      <c r="J20" s="10" t="n">
        <v>177.44</v>
      </c>
      <c r="K20" s="11" t="n">
        <v>0.8915</v>
      </c>
      <c r="L20" s="11" t="n">
        <v>0.665</v>
      </c>
      <c r="M20" s="26" t="n">
        <v>63</v>
      </c>
    </row>
    <row r="21" customFormat="false" ht="15" hidden="false" customHeight="false" outlineLevel="0" collapsed="false">
      <c r="A21" s="27" t="n">
        <v>10031</v>
      </c>
      <c r="B21" s="12" t="s">
        <v>46</v>
      </c>
      <c r="C21" s="28" t="n">
        <v>3</v>
      </c>
      <c r="D21" s="28" t="n">
        <v>3</v>
      </c>
      <c r="E21" s="14" t="n">
        <v>0</v>
      </c>
      <c r="F21" s="14" t="n">
        <v>92.07</v>
      </c>
      <c r="G21" s="14" t="n">
        <v>92.07</v>
      </c>
      <c r="H21" s="14" t="n">
        <v>17.7801</v>
      </c>
      <c r="I21" s="14" t="n">
        <v>74.29</v>
      </c>
      <c r="J21" s="14" t="n">
        <v>48.99</v>
      </c>
      <c r="K21" s="15" t="n">
        <v>0.8069</v>
      </c>
      <c r="L21" s="15" t="n">
        <v>0.5321</v>
      </c>
      <c r="M21" s="29" t="n">
        <v>28</v>
      </c>
    </row>
    <row r="22" customFormat="false" ht="15" hidden="false" customHeight="false" outlineLevel="0" collapsed="false">
      <c r="A22" s="24" t="n">
        <v>10038</v>
      </c>
      <c r="B22" s="8" t="s">
        <v>47</v>
      </c>
      <c r="C22" s="25" t="n">
        <v>25</v>
      </c>
      <c r="D22" s="25" t="n">
        <v>25</v>
      </c>
      <c r="E22" s="10" t="n">
        <v>0</v>
      </c>
      <c r="F22" s="10" t="n">
        <v>7062.16</v>
      </c>
      <c r="G22" s="10" t="n">
        <v>7062.16</v>
      </c>
      <c r="H22" s="10" t="n">
        <v>2049.8101</v>
      </c>
      <c r="I22" s="10" t="n">
        <v>5012.35</v>
      </c>
      <c r="J22" s="10" t="n">
        <v>3150.11</v>
      </c>
      <c r="K22" s="11" t="n">
        <v>0.7097</v>
      </c>
      <c r="L22" s="11" t="n">
        <v>0.4461</v>
      </c>
      <c r="M22" s="26" t="n">
        <v>49.92</v>
      </c>
    </row>
    <row r="23" customFormat="false" ht="15" hidden="false" customHeight="false" outlineLevel="0" collapsed="false">
      <c r="A23" s="27" t="n">
        <v>10044</v>
      </c>
      <c r="B23" s="12" t="s">
        <v>48</v>
      </c>
      <c r="C23" s="28" t="n">
        <v>203</v>
      </c>
      <c r="D23" s="28" t="n">
        <v>203</v>
      </c>
      <c r="E23" s="14" t="n">
        <v>0</v>
      </c>
      <c r="F23" s="14" t="n">
        <v>11459.47</v>
      </c>
      <c r="G23" s="14" t="n">
        <v>11459.47</v>
      </c>
      <c r="H23" s="14" t="n">
        <v>1469.0543</v>
      </c>
      <c r="I23" s="14" t="n">
        <v>9990.42</v>
      </c>
      <c r="J23" s="14" t="n">
        <v>7444.07</v>
      </c>
      <c r="K23" s="15" t="n">
        <v>0.8718</v>
      </c>
      <c r="L23" s="15" t="n">
        <v>0.6496</v>
      </c>
      <c r="M23" s="29" t="n">
        <v>50.18</v>
      </c>
    </row>
    <row r="24" customFormat="false" ht="15" hidden="false" customHeight="false" outlineLevel="0" collapsed="false">
      <c r="A24" s="24" t="n">
        <v>10047</v>
      </c>
      <c r="B24" s="8" t="s">
        <v>251</v>
      </c>
      <c r="C24" s="25" t="n">
        <v>10</v>
      </c>
      <c r="D24" s="25" t="n">
        <v>10</v>
      </c>
      <c r="E24" s="10" t="n">
        <v>0</v>
      </c>
      <c r="F24" s="10" t="n">
        <v>4365.7</v>
      </c>
      <c r="G24" s="10" t="n">
        <v>4365.7</v>
      </c>
      <c r="H24" s="10" t="n">
        <v>944.11</v>
      </c>
      <c r="I24" s="10" t="n">
        <v>3421.59</v>
      </c>
      <c r="J24" s="10" t="n">
        <v>2222.25</v>
      </c>
      <c r="K24" s="11" t="n">
        <v>0.7837</v>
      </c>
      <c r="L24" s="11" t="n">
        <v>0.509</v>
      </c>
      <c r="M24" s="26" t="n">
        <v>45</v>
      </c>
    </row>
    <row r="25" customFormat="false" ht="15" hidden="false" customHeight="false" outlineLevel="0" collapsed="false">
      <c r="A25" s="27" t="n">
        <v>10052</v>
      </c>
      <c r="B25" s="12" t="s">
        <v>49</v>
      </c>
      <c r="C25" s="28" t="n">
        <v>50</v>
      </c>
      <c r="D25" s="28" t="n">
        <v>50</v>
      </c>
      <c r="E25" s="14" t="n">
        <v>0</v>
      </c>
      <c r="F25" s="14" t="n">
        <v>5300</v>
      </c>
      <c r="G25" s="14" t="n">
        <v>5300</v>
      </c>
      <c r="H25" s="14" t="n">
        <v>525.53</v>
      </c>
      <c r="I25" s="14" t="n">
        <v>4774.47</v>
      </c>
      <c r="J25" s="14" t="n">
        <v>3318.47</v>
      </c>
      <c r="K25" s="15" t="n">
        <v>0.9008</v>
      </c>
      <c r="L25" s="15" t="n">
        <v>0.6261</v>
      </c>
      <c r="M25" s="29" t="n">
        <v>28</v>
      </c>
    </row>
    <row r="26" customFormat="false" ht="15" hidden="false" customHeight="false" outlineLevel="0" collapsed="false">
      <c r="A26" s="24" t="n">
        <v>10064</v>
      </c>
      <c r="B26" s="8" t="s">
        <v>50</v>
      </c>
      <c r="C26" s="25" t="n">
        <v>969</v>
      </c>
      <c r="D26" s="25" t="n">
        <v>969</v>
      </c>
      <c r="E26" s="10" t="n">
        <v>0</v>
      </c>
      <c r="F26" s="10" t="n">
        <v>13555.82</v>
      </c>
      <c r="G26" s="10" t="n">
        <v>13555.82</v>
      </c>
      <c r="H26" s="10" t="n">
        <v>6106.5809</v>
      </c>
      <c r="I26" s="10" t="n">
        <v>7449.24</v>
      </c>
      <c r="J26" s="10" t="n">
        <v>4033.11</v>
      </c>
      <c r="K26" s="11" t="n">
        <v>0.5495</v>
      </c>
      <c r="L26" s="11" t="n">
        <v>0.2975</v>
      </c>
      <c r="M26" s="26" t="n">
        <v>49.04</v>
      </c>
    </row>
    <row r="27" customFormat="false" ht="15" hidden="false" customHeight="false" outlineLevel="0" collapsed="false">
      <c r="A27" s="27" t="n">
        <v>10075</v>
      </c>
      <c r="B27" s="12" t="s">
        <v>52</v>
      </c>
      <c r="C27" s="28" t="n">
        <v>7</v>
      </c>
      <c r="D27" s="28" t="n">
        <v>7</v>
      </c>
      <c r="E27" s="14" t="n">
        <v>0</v>
      </c>
      <c r="F27" s="14" t="n">
        <v>188.58</v>
      </c>
      <c r="G27" s="14" t="n">
        <v>188.58</v>
      </c>
      <c r="H27" s="14" t="n">
        <v>16.13</v>
      </c>
      <c r="I27" s="14" t="n">
        <v>172.45</v>
      </c>
      <c r="J27" s="14" t="n">
        <v>120.64</v>
      </c>
      <c r="K27" s="15" t="n">
        <v>0.9145</v>
      </c>
      <c r="L27" s="15" t="n">
        <v>0.6397</v>
      </c>
      <c r="M27" s="29" t="n">
        <v>44.86</v>
      </c>
    </row>
    <row r="28" customFormat="false" ht="15" hidden="false" customHeight="false" outlineLevel="0" collapsed="false">
      <c r="A28" s="24" t="n">
        <v>10084</v>
      </c>
      <c r="B28" s="8" t="s">
        <v>53</v>
      </c>
      <c r="C28" s="25" t="n">
        <v>699</v>
      </c>
      <c r="D28" s="25" t="n">
        <v>699</v>
      </c>
      <c r="E28" s="10" t="n">
        <v>0</v>
      </c>
      <c r="F28" s="10" t="n">
        <v>8725.3</v>
      </c>
      <c r="G28" s="10" t="n">
        <v>8725.3</v>
      </c>
      <c r="H28" s="10" t="n">
        <v>2495.2261</v>
      </c>
      <c r="I28" s="10" t="n">
        <v>6230.09</v>
      </c>
      <c r="J28" s="10" t="n">
        <v>3867.31</v>
      </c>
      <c r="K28" s="11" t="n">
        <v>0.714</v>
      </c>
      <c r="L28" s="11" t="n">
        <v>0.4432</v>
      </c>
      <c r="M28" s="26" t="n">
        <v>47.55</v>
      </c>
    </row>
    <row r="29" customFormat="false" ht="15" hidden="false" customHeight="false" outlineLevel="0" collapsed="false">
      <c r="A29" s="27" t="n">
        <v>10087</v>
      </c>
      <c r="B29" s="12" t="s">
        <v>54</v>
      </c>
      <c r="C29" s="28" t="n">
        <v>112</v>
      </c>
      <c r="D29" s="28" t="n">
        <v>112</v>
      </c>
      <c r="E29" s="14" t="n">
        <v>37</v>
      </c>
      <c r="F29" s="14" t="n">
        <v>1426.4</v>
      </c>
      <c r="G29" s="14" t="n">
        <v>1463.4</v>
      </c>
      <c r="H29" s="14" t="n">
        <v>619.29</v>
      </c>
      <c r="I29" s="14" t="n">
        <v>844.11</v>
      </c>
      <c r="J29" s="14" t="n">
        <v>442.08</v>
      </c>
      <c r="K29" s="15" t="n">
        <v>0.5768</v>
      </c>
      <c r="L29" s="15" t="n">
        <v>0.3021</v>
      </c>
      <c r="M29" s="29" t="n">
        <v>34.02</v>
      </c>
    </row>
    <row r="30" customFormat="false" ht="15" hidden="false" customHeight="false" outlineLevel="0" collapsed="false">
      <c r="A30" s="24" t="n">
        <v>10090</v>
      </c>
      <c r="B30" s="8" t="s">
        <v>56</v>
      </c>
      <c r="C30" s="25" t="n">
        <v>70</v>
      </c>
      <c r="D30" s="25" t="n">
        <v>70</v>
      </c>
      <c r="E30" s="10" t="n">
        <v>0</v>
      </c>
      <c r="F30" s="10" t="n">
        <v>15534</v>
      </c>
      <c r="G30" s="10" t="n">
        <v>15534</v>
      </c>
      <c r="H30" s="10" t="n">
        <v>4411.7307</v>
      </c>
      <c r="I30" s="10" t="n">
        <v>11122.27</v>
      </c>
      <c r="J30" s="10" t="n">
        <v>7422.05</v>
      </c>
      <c r="K30" s="11" t="n">
        <v>0.716</v>
      </c>
      <c r="L30" s="11" t="n">
        <v>0.4778</v>
      </c>
      <c r="M30" s="26" t="n">
        <v>28.5</v>
      </c>
    </row>
    <row r="31" customFormat="false" ht="15" hidden="false" customHeight="false" outlineLevel="0" collapsed="false">
      <c r="A31" s="27" t="n">
        <v>10091</v>
      </c>
      <c r="B31" s="12" t="s">
        <v>57</v>
      </c>
      <c r="C31" s="28" t="n">
        <v>60</v>
      </c>
      <c r="D31" s="28" t="n">
        <v>60</v>
      </c>
      <c r="E31" s="14" t="n">
        <v>0</v>
      </c>
      <c r="F31" s="14" t="n">
        <v>2646.6</v>
      </c>
      <c r="G31" s="14" t="n">
        <v>2646.6</v>
      </c>
      <c r="H31" s="14" t="n">
        <v>1313.028</v>
      </c>
      <c r="I31" s="14" t="n">
        <v>1333.57</v>
      </c>
      <c r="J31" s="14" t="n">
        <v>1009.09</v>
      </c>
      <c r="K31" s="15" t="n">
        <v>0.5039</v>
      </c>
      <c r="L31" s="15" t="n">
        <v>0.3813</v>
      </c>
      <c r="M31" s="29" t="n">
        <v>15</v>
      </c>
    </row>
    <row r="32" customFormat="false" ht="15" hidden="false" customHeight="false" outlineLevel="0" collapsed="false">
      <c r="A32" s="24" t="n">
        <v>10097</v>
      </c>
      <c r="B32" s="8" t="s">
        <v>58</v>
      </c>
      <c r="C32" s="25" t="n">
        <v>2340</v>
      </c>
      <c r="D32" s="25" t="n">
        <v>2340</v>
      </c>
      <c r="E32" s="10" t="n">
        <v>0</v>
      </c>
      <c r="F32" s="10" t="n">
        <v>10486</v>
      </c>
      <c r="G32" s="10" t="n">
        <v>10486</v>
      </c>
      <c r="H32" s="10" t="n">
        <v>2252.94</v>
      </c>
      <c r="I32" s="10" t="n">
        <v>8233.06</v>
      </c>
      <c r="J32" s="10" t="n">
        <v>5352.36</v>
      </c>
      <c r="K32" s="11" t="n">
        <v>0.7851</v>
      </c>
      <c r="L32" s="11" t="n">
        <v>0.5104</v>
      </c>
      <c r="M32" s="26" t="n">
        <v>42.19</v>
      </c>
    </row>
    <row r="33" customFormat="false" ht="15" hidden="false" customHeight="false" outlineLevel="0" collapsed="false">
      <c r="A33" s="27" t="n">
        <v>10098</v>
      </c>
      <c r="B33" s="12" t="s">
        <v>59</v>
      </c>
      <c r="C33" s="28" t="n">
        <v>73</v>
      </c>
      <c r="D33" s="28" t="n">
        <v>73</v>
      </c>
      <c r="E33" s="14" t="n">
        <v>0</v>
      </c>
      <c r="F33" s="14" t="n">
        <v>12379.83</v>
      </c>
      <c r="G33" s="14" t="n">
        <v>12379.83</v>
      </c>
      <c r="H33" s="14" t="n">
        <v>4213.1005</v>
      </c>
      <c r="I33" s="14" t="n">
        <v>8166.73</v>
      </c>
      <c r="J33" s="14" t="n">
        <v>5242.57</v>
      </c>
      <c r="K33" s="15" t="n">
        <v>0.6597</v>
      </c>
      <c r="L33" s="15" t="n">
        <v>0.4235</v>
      </c>
      <c r="M33" s="29" t="n">
        <v>40.11</v>
      </c>
    </row>
    <row r="34" customFormat="false" ht="15" hidden="false" customHeight="false" outlineLevel="0" collapsed="false">
      <c r="A34" s="24" t="n">
        <v>10100</v>
      </c>
      <c r="B34" s="8" t="s">
        <v>252</v>
      </c>
      <c r="C34" s="25" t="n">
        <v>22</v>
      </c>
      <c r="D34" s="25" t="n">
        <v>22</v>
      </c>
      <c r="E34" s="10" t="n">
        <v>0</v>
      </c>
      <c r="F34" s="10" t="n">
        <v>355.96</v>
      </c>
      <c r="G34" s="10" t="n">
        <v>355.96</v>
      </c>
      <c r="H34" s="10" t="n">
        <v>205.59</v>
      </c>
      <c r="I34" s="10" t="n">
        <v>150.37</v>
      </c>
      <c r="J34" s="10" t="n">
        <v>68.83</v>
      </c>
      <c r="K34" s="11" t="n">
        <v>0.4224</v>
      </c>
      <c r="L34" s="11" t="n">
        <v>0.1934</v>
      </c>
      <c r="M34" s="26" t="n">
        <v>50</v>
      </c>
    </row>
    <row r="35" customFormat="false" ht="15" hidden="false" customHeight="false" outlineLevel="0" collapsed="false">
      <c r="A35" s="27" t="n">
        <v>10106</v>
      </c>
      <c r="B35" s="12" t="s">
        <v>254</v>
      </c>
      <c r="C35" s="28" t="n">
        <v>70</v>
      </c>
      <c r="D35" s="28" t="n">
        <v>70</v>
      </c>
      <c r="E35" s="14" t="n">
        <v>0</v>
      </c>
      <c r="F35" s="14" t="n">
        <v>707</v>
      </c>
      <c r="G35" s="14" t="n">
        <v>707</v>
      </c>
      <c r="H35" s="14" t="n">
        <v>317.42</v>
      </c>
      <c r="I35" s="14" t="n">
        <v>389.58</v>
      </c>
      <c r="J35" s="14" t="n">
        <v>192.26</v>
      </c>
      <c r="K35" s="15" t="n">
        <v>0.551</v>
      </c>
      <c r="L35" s="15" t="n">
        <v>0.2719</v>
      </c>
      <c r="M35" s="29" t="n">
        <v>50</v>
      </c>
    </row>
    <row r="36" customFormat="false" ht="15" hidden="false" customHeight="false" outlineLevel="0" collapsed="false">
      <c r="A36" s="24" t="n">
        <v>10107</v>
      </c>
      <c r="B36" s="8" t="s">
        <v>40</v>
      </c>
      <c r="C36" s="25" t="n">
        <v>195</v>
      </c>
      <c r="D36" s="25" t="n">
        <v>195</v>
      </c>
      <c r="E36" s="10" t="n">
        <v>310.25</v>
      </c>
      <c r="F36" s="10" t="n">
        <v>30197.6</v>
      </c>
      <c r="G36" s="10" t="n">
        <v>30507.85</v>
      </c>
      <c r="H36" s="10" t="n">
        <v>12678.2815</v>
      </c>
      <c r="I36" s="10" t="n">
        <v>17829.57</v>
      </c>
      <c r="J36" s="10" t="n">
        <v>9544.3</v>
      </c>
      <c r="K36" s="11" t="n">
        <v>0.5844</v>
      </c>
      <c r="L36" s="11" t="n">
        <v>0.3128</v>
      </c>
      <c r="M36" s="26" t="n">
        <v>49.6</v>
      </c>
    </row>
    <row r="37" customFormat="false" ht="15" hidden="false" customHeight="false" outlineLevel="0" collapsed="false">
      <c r="A37" s="27" t="n">
        <v>10108</v>
      </c>
      <c r="B37" s="12" t="s">
        <v>60</v>
      </c>
      <c r="C37" s="28" t="n">
        <v>76</v>
      </c>
      <c r="D37" s="28" t="n">
        <v>76</v>
      </c>
      <c r="E37" s="14" t="n">
        <v>0</v>
      </c>
      <c r="F37" s="14" t="n">
        <v>13422.5</v>
      </c>
      <c r="G37" s="14" t="n">
        <v>13422.5</v>
      </c>
      <c r="H37" s="14" t="n">
        <v>4882.4496</v>
      </c>
      <c r="I37" s="14" t="n">
        <v>8540.05</v>
      </c>
      <c r="J37" s="14" t="n">
        <v>4964.85</v>
      </c>
      <c r="K37" s="15" t="n">
        <v>0.6362</v>
      </c>
      <c r="L37" s="15" t="n">
        <v>0.3699</v>
      </c>
      <c r="M37" s="29" t="n">
        <v>54.4</v>
      </c>
    </row>
    <row r="38" customFormat="false" ht="15" hidden="false" customHeight="false" outlineLevel="0" collapsed="false">
      <c r="A38" s="24" t="n">
        <v>10109</v>
      </c>
      <c r="B38" s="8" t="s">
        <v>61</v>
      </c>
      <c r="C38" s="25" t="n">
        <v>183</v>
      </c>
      <c r="D38" s="25" t="n">
        <v>183</v>
      </c>
      <c r="E38" s="10" t="n">
        <v>0</v>
      </c>
      <c r="F38" s="10" t="n">
        <v>25288.91</v>
      </c>
      <c r="G38" s="10" t="n">
        <v>25288.91</v>
      </c>
      <c r="H38" s="10" t="n">
        <v>11560.2</v>
      </c>
      <c r="I38" s="10" t="n">
        <v>13728.71</v>
      </c>
      <c r="J38" s="10" t="n">
        <v>7247.1</v>
      </c>
      <c r="K38" s="11" t="n">
        <v>0.5429</v>
      </c>
      <c r="L38" s="11" t="n">
        <v>0.2866</v>
      </c>
      <c r="M38" s="26" t="n">
        <v>39.84</v>
      </c>
    </row>
    <row r="39" customFormat="false" ht="15" hidden="false" customHeight="false" outlineLevel="0" collapsed="false">
      <c r="A39" s="27" t="n">
        <v>10110</v>
      </c>
      <c r="B39" s="12" t="s">
        <v>62</v>
      </c>
      <c r="C39" s="28" t="n">
        <v>100</v>
      </c>
      <c r="D39" s="28" t="n">
        <v>100</v>
      </c>
      <c r="E39" s="14" t="n">
        <v>0</v>
      </c>
      <c r="F39" s="14" t="n">
        <v>12641.99</v>
      </c>
      <c r="G39" s="14" t="n">
        <v>12641.99</v>
      </c>
      <c r="H39" s="14" t="n">
        <v>5677.4697</v>
      </c>
      <c r="I39" s="14" t="n">
        <v>6964.52</v>
      </c>
      <c r="J39" s="14" t="n">
        <v>3484.44</v>
      </c>
      <c r="K39" s="15" t="n">
        <v>0.5509</v>
      </c>
      <c r="L39" s="15" t="n">
        <v>0.2756</v>
      </c>
      <c r="M39" s="29" t="n">
        <v>41.26</v>
      </c>
    </row>
    <row r="40" customFormat="false" ht="15" hidden="false" customHeight="false" outlineLevel="0" collapsed="false">
      <c r="A40" s="24" t="n">
        <v>10112</v>
      </c>
      <c r="B40" s="8" t="s">
        <v>139</v>
      </c>
      <c r="C40" s="25" t="n">
        <v>5</v>
      </c>
      <c r="D40" s="25" t="n">
        <v>5</v>
      </c>
      <c r="E40" s="10" t="n">
        <v>0</v>
      </c>
      <c r="F40" s="10" t="n">
        <v>2237.7</v>
      </c>
      <c r="G40" s="10" t="n">
        <v>2237.7</v>
      </c>
      <c r="H40" s="10" t="n">
        <v>1137.15</v>
      </c>
      <c r="I40" s="10" t="n">
        <v>1100.55</v>
      </c>
      <c r="J40" s="10" t="n">
        <v>557.68</v>
      </c>
      <c r="K40" s="11" t="n">
        <v>0.4918</v>
      </c>
      <c r="L40" s="11" t="n">
        <v>0.2492</v>
      </c>
      <c r="M40" s="26" t="n">
        <v>40</v>
      </c>
    </row>
    <row r="41" customFormat="false" ht="15" hidden="false" customHeight="false" outlineLevel="0" collapsed="false">
      <c r="A41" s="27" t="n">
        <v>10114</v>
      </c>
      <c r="B41" s="12" t="s">
        <v>63</v>
      </c>
      <c r="C41" s="28" t="n">
        <v>2</v>
      </c>
      <c r="D41" s="28" t="n">
        <v>2</v>
      </c>
      <c r="E41" s="14" t="n">
        <v>115.82</v>
      </c>
      <c r="F41" s="14" t="n">
        <v>0</v>
      </c>
      <c r="G41" s="14" t="n">
        <v>115.82</v>
      </c>
      <c r="H41" s="14" t="n">
        <v>49.6</v>
      </c>
      <c r="I41" s="14" t="n">
        <v>66.22</v>
      </c>
      <c r="J41" s="14" t="n">
        <v>34.4</v>
      </c>
      <c r="K41" s="15" t="n">
        <v>0.5717</v>
      </c>
      <c r="L41" s="15" t="n">
        <v>0.297</v>
      </c>
      <c r="M41" s="29" t="n">
        <v>5</v>
      </c>
    </row>
    <row r="42" customFormat="false" ht="15" hidden="false" customHeight="false" outlineLevel="0" collapsed="false">
      <c r="A42" s="24" t="n">
        <v>10120</v>
      </c>
      <c r="B42" s="8" t="s">
        <v>255</v>
      </c>
      <c r="C42" s="25" t="n">
        <v>1</v>
      </c>
      <c r="D42" s="25" t="n">
        <v>1</v>
      </c>
      <c r="E42" s="10" t="n">
        <v>0</v>
      </c>
      <c r="F42" s="10" t="n">
        <v>221.98</v>
      </c>
      <c r="G42" s="10" t="n">
        <v>221.98</v>
      </c>
      <c r="H42" s="10" t="n">
        <v>99.46</v>
      </c>
      <c r="I42" s="10" t="n">
        <v>122.52</v>
      </c>
      <c r="J42" s="10" t="n">
        <v>61.54</v>
      </c>
      <c r="K42" s="11" t="n">
        <v>0.5519</v>
      </c>
      <c r="L42" s="11" t="n">
        <v>0.2772</v>
      </c>
      <c r="M42" s="26" t="n">
        <v>57</v>
      </c>
    </row>
    <row r="43" customFormat="false" ht="15" hidden="false" customHeight="false" outlineLevel="0" collapsed="false">
      <c r="A43" s="27" t="n">
        <v>10121</v>
      </c>
      <c r="B43" s="12" t="s">
        <v>64</v>
      </c>
      <c r="C43" s="28" t="n">
        <v>523</v>
      </c>
      <c r="D43" s="28" t="n">
        <v>523</v>
      </c>
      <c r="E43" s="14" t="n">
        <v>0</v>
      </c>
      <c r="F43" s="14" t="n">
        <v>17661.23</v>
      </c>
      <c r="G43" s="14" t="n">
        <v>17661.23</v>
      </c>
      <c r="H43" s="14" t="n">
        <v>9982.7373</v>
      </c>
      <c r="I43" s="14" t="n">
        <v>7678.49</v>
      </c>
      <c r="J43" s="14" t="n">
        <v>3177.41</v>
      </c>
      <c r="K43" s="15" t="n">
        <v>0.4348</v>
      </c>
      <c r="L43" s="15" t="n">
        <v>0.1799</v>
      </c>
      <c r="M43" s="29" t="n">
        <v>45.18</v>
      </c>
    </row>
    <row r="44" customFormat="false" ht="15" hidden="false" customHeight="false" outlineLevel="0" collapsed="false">
      <c r="A44" s="24" t="n">
        <v>10122</v>
      </c>
      <c r="B44" s="8" t="s">
        <v>65</v>
      </c>
      <c r="C44" s="25" t="n">
        <v>3</v>
      </c>
      <c r="D44" s="25" t="n">
        <v>3</v>
      </c>
      <c r="E44" s="10" t="n">
        <v>0</v>
      </c>
      <c r="F44" s="10" t="n">
        <v>551.61</v>
      </c>
      <c r="G44" s="10" t="n">
        <v>551.61</v>
      </c>
      <c r="H44" s="10" t="n">
        <v>219.0501</v>
      </c>
      <c r="I44" s="10" t="n">
        <v>332.56</v>
      </c>
      <c r="J44" s="10" t="n">
        <v>181.03</v>
      </c>
      <c r="K44" s="11" t="n">
        <v>0.6029</v>
      </c>
      <c r="L44" s="11" t="n">
        <v>0.3282</v>
      </c>
      <c r="M44" s="26" t="n">
        <v>59</v>
      </c>
    </row>
    <row r="45" customFormat="false" ht="15" hidden="false" customHeight="false" outlineLevel="0" collapsed="false">
      <c r="A45" s="27" t="n">
        <v>10125</v>
      </c>
      <c r="B45" s="12" t="s">
        <v>449</v>
      </c>
      <c r="C45" s="28" t="n">
        <v>1</v>
      </c>
      <c r="D45" s="28" t="n">
        <v>1</v>
      </c>
      <c r="E45" s="14" t="n">
        <v>0</v>
      </c>
      <c r="F45" s="14" t="n">
        <v>372.5</v>
      </c>
      <c r="G45" s="14" t="n">
        <v>372.5</v>
      </c>
      <c r="H45" s="14" t="n">
        <v>120.37</v>
      </c>
      <c r="I45" s="14" t="n">
        <v>252.13</v>
      </c>
      <c r="J45" s="14" t="n">
        <v>149.8</v>
      </c>
      <c r="K45" s="15" t="n">
        <v>0.6769</v>
      </c>
      <c r="L45" s="15" t="n">
        <v>0.4021</v>
      </c>
      <c r="M45" s="29" t="n">
        <v>7</v>
      </c>
    </row>
    <row r="46" customFormat="false" ht="15" hidden="false" customHeight="false" outlineLevel="0" collapsed="false">
      <c r="A46" s="24" t="n">
        <v>10126</v>
      </c>
      <c r="B46" s="8" t="s">
        <v>67</v>
      </c>
      <c r="C46" s="25" t="n">
        <v>39</v>
      </c>
      <c r="D46" s="25" t="n">
        <v>39</v>
      </c>
      <c r="E46" s="10" t="n">
        <v>0</v>
      </c>
      <c r="F46" s="10" t="n">
        <v>2271.78</v>
      </c>
      <c r="G46" s="10" t="n">
        <v>2271.78</v>
      </c>
      <c r="H46" s="10" t="n">
        <v>892.7709</v>
      </c>
      <c r="I46" s="10" t="n">
        <v>1379.01</v>
      </c>
      <c r="J46" s="10" t="n">
        <v>809.29</v>
      </c>
      <c r="K46" s="11" t="n">
        <v>0.607</v>
      </c>
      <c r="L46" s="11" t="n">
        <v>0.3562</v>
      </c>
      <c r="M46" s="26" t="n">
        <v>51.92</v>
      </c>
    </row>
    <row r="47" customFormat="false" ht="15" hidden="false" customHeight="false" outlineLevel="0" collapsed="false">
      <c r="A47" s="27" t="n">
        <v>10127</v>
      </c>
      <c r="B47" s="12" t="s">
        <v>68</v>
      </c>
      <c r="C47" s="28" t="n">
        <v>160</v>
      </c>
      <c r="D47" s="28" t="n">
        <v>160</v>
      </c>
      <c r="E47" s="14" t="n">
        <v>0</v>
      </c>
      <c r="F47" s="14" t="n">
        <v>7370.8</v>
      </c>
      <c r="G47" s="14" t="n">
        <v>7370.8</v>
      </c>
      <c r="H47" s="14" t="n">
        <v>2993.98</v>
      </c>
      <c r="I47" s="14" t="n">
        <v>4376.82</v>
      </c>
      <c r="J47" s="14" t="n">
        <v>2351.91</v>
      </c>
      <c r="K47" s="15" t="n">
        <v>0.5938</v>
      </c>
      <c r="L47" s="15" t="n">
        <v>0.3191</v>
      </c>
      <c r="M47" s="29" t="n">
        <v>28.14</v>
      </c>
    </row>
    <row r="48" customFormat="false" ht="15" hidden="false" customHeight="false" outlineLevel="0" collapsed="false">
      <c r="A48" s="24" t="n">
        <v>10136</v>
      </c>
      <c r="B48" s="8" t="s">
        <v>69</v>
      </c>
      <c r="C48" s="25" t="n">
        <v>9</v>
      </c>
      <c r="D48" s="25" t="n">
        <v>9</v>
      </c>
      <c r="E48" s="10" t="n">
        <v>0</v>
      </c>
      <c r="F48" s="10" t="n">
        <v>1481.29</v>
      </c>
      <c r="G48" s="10" t="n">
        <v>1481.29</v>
      </c>
      <c r="H48" s="10" t="n">
        <v>884.9104</v>
      </c>
      <c r="I48" s="10" t="n">
        <v>596.38</v>
      </c>
      <c r="J48" s="10" t="n">
        <v>189.43</v>
      </c>
      <c r="K48" s="11" t="n">
        <v>0.4026</v>
      </c>
      <c r="L48" s="11" t="n">
        <v>0.1279</v>
      </c>
      <c r="M48" s="26" t="n">
        <v>50</v>
      </c>
    </row>
    <row r="49" customFormat="false" ht="15" hidden="false" customHeight="false" outlineLevel="0" collapsed="false">
      <c r="A49" s="27" t="n">
        <v>10137</v>
      </c>
      <c r="B49" s="12" t="s">
        <v>70</v>
      </c>
      <c r="C49" s="28" t="n">
        <v>3</v>
      </c>
      <c r="D49" s="28" t="n">
        <v>3</v>
      </c>
      <c r="E49" s="14" t="n">
        <v>0</v>
      </c>
      <c r="F49" s="14" t="n">
        <v>606.48</v>
      </c>
      <c r="G49" s="14" t="n">
        <v>606.48</v>
      </c>
      <c r="H49" s="14" t="n">
        <v>288.83</v>
      </c>
      <c r="I49" s="14" t="n">
        <v>317.65</v>
      </c>
      <c r="J49" s="14" t="n">
        <v>180.25</v>
      </c>
      <c r="K49" s="15" t="n">
        <v>0.5238</v>
      </c>
      <c r="L49" s="15" t="n">
        <v>0.2972</v>
      </c>
      <c r="M49" s="29" t="n">
        <v>45.62</v>
      </c>
    </row>
    <row r="50" customFormat="false" ht="15" hidden="false" customHeight="false" outlineLevel="0" collapsed="false">
      <c r="A50" s="24" t="n">
        <v>10139</v>
      </c>
      <c r="B50" s="8" t="s">
        <v>71</v>
      </c>
      <c r="C50" s="25" t="n">
        <v>60</v>
      </c>
      <c r="D50" s="25" t="n">
        <v>60</v>
      </c>
      <c r="E50" s="10" t="n">
        <v>0</v>
      </c>
      <c r="F50" s="10" t="n">
        <v>47259.6</v>
      </c>
      <c r="G50" s="10" t="n">
        <v>47259.6</v>
      </c>
      <c r="H50" s="10" t="n">
        <v>15109.2197</v>
      </c>
      <c r="I50" s="10" t="n">
        <v>32150.38</v>
      </c>
      <c r="J50" s="10" t="n">
        <v>19167.23</v>
      </c>
      <c r="K50" s="11" t="n">
        <v>0.6803</v>
      </c>
      <c r="L50" s="11" t="n">
        <v>0.4056</v>
      </c>
      <c r="M50" s="26" t="n">
        <v>50</v>
      </c>
    </row>
    <row r="51" customFormat="false" ht="15" hidden="false" customHeight="false" outlineLevel="0" collapsed="false">
      <c r="A51" s="27" t="n">
        <v>10141</v>
      </c>
      <c r="B51" s="12" t="s">
        <v>72</v>
      </c>
      <c r="C51" s="28" t="n">
        <v>678</v>
      </c>
      <c r="D51" s="28" t="n">
        <v>678</v>
      </c>
      <c r="E51" s="14" t="n">
        <v>0</v>
      </c>
      <c r="F51" s="14" t="n">
        <v>39644.95</v>
      </c>
      <c r="G51" s="14" t="n">
        <v>39644.95</v>
      </c>
      <c r="H51" s="14" t="n">
        <v>14305.115</v>
      </c>
      <c r="I51" s="14" t="n">
        <v>25339.85</v>
      </c>
      <c r="J51" s="14" t="n">
        <v>14660.08</v>
      </c>
      <c r="K51" s="15" t="n">
        <v>0.6392</v>
      </c>
      <c r="L51" s="15" t="n">
        <v>0.3698</v>
      </c>
      <c r="M51" s="29" t="n">
        <v>47.01</v>
      </c>
    </row>
    <row r="52" customFormat="false" ht="15" hidden="false" customHeight="false" outlineLevel="0" collapsed="false">
      <c r="A52" s="24" t="n">
        <v>10142</v>
      </c>
      <c r="B52" s="8" t="s">
        <v>73</v>
      </c>
      <c r="C52" s="25" t="n">
        <v>12</v>
      </c>
      <c r="D52" s="25" t="n">
        <v>12</v>
      </c>
      <c r="E52" s="10" t="n">
        <v>0</v>
      </c>
      <c r="F52" s="10" t="n">
        <v>2095.84</v>
      </c>
      <c r="G52" s="10" t="n">
        <v>2095.84</v>
      </c>
      <c r="H52" s="10" t="n">
        <v>988.3901</v>
      </c>
      <c r="I52" s="10" t="n">
        <v>1107.45</v>
      </c>
      <c r="J52" s="10" t="n">
        <v>531.7</v>
      </c>
      <c r="K52" s="11" t="n">
        <v>0.5284</v>
      </c>
      <c r="L52" s="11" t="n">
        <v>0.2537</v>
      </c>
      <c r="M52" s="26" t="n">
        <v>59.34</v>
      </c>
    </row>
    <row r="53" customFormat="false" ht="15" hidden="false" customHeight="false" outlineLevel="0" collapsed="false">
      <c r="A53" s="27" t="n">
        <v>10143</v>
      </c>
      <c r="B53" s="12" t="s">
        <v>74</v>
      </c>
      <c r="C53" s="28" t="n">
        <v>3</v>
      </c>
      <c r="D53" s="28" t="n">
        <v>3</v>
      </c>
      <c r="E53" s="14" t="n">
        <v>0</v>
      </c>
      <c r="F53" s="14" t="n">
        <v>464.4</v>
      </c>
      <c r="G53" s="14" t="n">
        <v>464.4</v>
      </c>
      <c r="H53" s="14" t="n">
        <v>274.65</v>
      </c>
      <c r="I53" s="14" t="n">
        <v>189.75</v>
      </c>
      <c r="J53" s="14" t="n">
        <v>62.17</v>
      </c>
      <c r="K53" s="15" t="n">
        <v>0.4086</v>
      </c>
      <c r="L53" s="15" t="n">
        <v>0.1339</v>
      </c>
      <c r="M53" s="29" t="n">
        <v>50</v>
      </c>
    </row>
    <row r="54" customFormat="false" ht="15" hidden="false" customHeight="false" outlineLevel="0" collapsed="false">
      <c r="A54" s="24" t="n">
        <v>10145</v>
      </c>
      <c r="B54" s="8" t="s">
        <v>63</v>
      </c>
      <c r="C54" s="25" t="n">
        <v>70</v>
      </c>
      <c r="D54" s="25" t="n">
        <v>70</v>
      </c>
      <c r="E54" s="10" t="n">
        <v>0</v>
      </c>
      <c r="F54" s="10" t="n">
        <v>4535.3</v>
      </c>
      <c r="G54" s="10" t="n">
        <v>4535.3</v>
      </c>
      <c r="H54" s="10" t="n">
        <v>2017.6506</v>
      </c>
      <c r="I54" s="10" t="n">
        <v>2517.65</v>
      </c>
      <c r="J54" s="10" t="n">
        <v>1271.74</v>
      </c>
      <c r="K54" s="11" t="n">
        <v>0.5551</v>
      </c>
      <c r="L54" s="11" t="n">
        <v>0.2804</v>
      </c>
      <c r="M54" s="26" t="n">
        <v>50</v>
      </c>
    </row>
    <row r="55" customFormat="false" ht="15" hidden="false" customHeight="false" outlineLevel="0" collapsed="false">
      <c r="A55" s="27" t="n">
        <v>10147</v>
      </c>
      <c r="B55" s="12" t="s">
        <v>75</v>
      </c>
      <c r="C55" s="28" t="n">
        <v>20</v>
      </c>
      <c r="D55" s="28" t="n">
        <v>20</v>
      </c>
      <c r="E55" s="14" t="n">
        <v>0</v>
      </c>
      <c r="F55" s="14" t="n">
        <v>6632.2</v>
      </c>
      <c r="G55" s="14" t="n">
        <v>6632.2</v>
      </c>
      <c r="H55" s="14" t="n">
        <v>3155.6</v>
      </c>
      <c r="I55" s="14" t="n">
        <v>3476.6</v>
      </c>
      <c r="J55" s="14" t="n">
        <v>1654.6</v>
      </c>
      <c r="K55" s="15" t="n">
        <v>0.5242</v>
      </c>
      <c r="L55" s="15" t="n">
        <v>0.2495</v>
      </c>
      <c r="M55" s="29" t="n">
        <v>50</v>
      </c>
    </row>
    <row r="56" customFormat="false" ht="15" hidden="false" customHeight="false" outlineLevel="0" collapsed="false">
      <c r="A56" s="24" t="n">
        <v>10148</v>
      </c>
      <c r="B56" s="8" t="s">
        <v>76</v>
      </c>
      <c r="C56" s="25" t="n">
        <v>47</v>
      </c>
      <c r="D56" s="25" t="n">
        <v>47</v>
      </c>
      <c r="E56" s="10" t="n">
        <v>0</v>
      </c>
      <c r="F56" s="10" t="n">
        <v>18251.51</v>
      </c>
      <c r="G56" s="10" t="n">
        <v>18251.51</v>
      </c>
      <c r="H56" s="10" t="n">
        <v>3583.7895</v>
      </c>
      <c r="I56" s="10" t="n">
        <v>14667.72</v>
      </c>
      <c r="J56" s="10" t="n">
        <v>10239.91</v>
      </c>
      <c r="K56" s="11" t="n">
        <v>0.8036</v>
      </c>
      <c r="L56" s="11" t="n">
        <v>0.561</v>
      </c>
      <c r="M56" s="26" t="n">
        <v>34.57</v>
      </c>
    </row>
    <row r="57" customFormat="false" ht="15" hidden="false" customHeight="false" outlineLevel="0" collapsed="false">
      <c r="A57" s="27" t="n">
        <v>10149</v>
      </c>
      <c r="B57" s="12" t="s">
        <v>77</v>
      </c>
      <c r="C57" s="28" t="n">
        <v>55</v>
      </c>
      <c r="D57" s="28" t="n">
        <v>55</v>
      </c>
      <c r="E57" s="14" t="n">
        <v>0</v>
      </c>
      <c r="F57" s="14" t="n">
        <v>2675.75</v>
      </c>
      <c r="G57" s="14" t="n">
        <v>2675.75</v>
      </c>
      <c r="H57" s="14" t="n">
        <v>1590.191</v>
      </c>
      <c r="I57" s="14" t="n">
        <v>1085.56</v>
      </c>
      <c r="J57" s="14" t="n">
        <v>436.41</v>
      </c>
      <c r="K57" s="15" t="n">
        <v>0.4057</v>
      </c>
      <c r="L57" s="15" t="n">
        <v>0.1631</v>
      </c>
      <c r="M57" s="29" t="n">
        <v>35.91</v>
      </c>
    </row>
    <row r="58" customFormat="false" ht="15" hidden="false" customHeight="false" outlineLevel="0" collapsed="false">
      <c r="A58" s="24" t="n">
        <v>10150</v>
      </c>
      <c r="B58" s="8" t="s">
        <v>78</v>
      </c>
      <c r="C58" s="25" t="n">
        <v>3</v>
      </c>
      <c r="D58" s="25" t="n">
        <v>3</v>
      </c>
      <c r="E58" s="10" t="n">
        <v>0</v>
      </c>
      <c r="F58" s="10" t="n">
        <v>228.66</v>
      </c>
      <c r="G58" s="10" t="n">
        <v>228.66</v>
      </c>
      <c r="H58" s="10" t="n">
        <v>79.2</v>
      </c>
      <c r="I58" s="10" t="n">
        <v>149.46</v>
      </c>
      <c r="J58" s="10" t="n">
        <v>86.64</v>
      </c>
      <c r="K58" s="11" t="n">
        <v>0.6536</v>
      </c>
      <c r="L58" s="11" t="n">
        <v>0.3789</v>
      </c>
      <c r="M58" s="26" t="n">
        <v>28</v>
      </c>
    </row>
    <row r="59" customFormat="false" ht="15" hidden="false" customHeight="false" outlineLevel="0" collapsed="false">
      <c r="A59" s="27" t="n">
        <v>10151</v>
      </c>
      <c r="B59" s="12" t="s">
        <v>79</v>
      </c>
      <c r="C59" s="28" t="n">
        <v>60</v>
      </c>
      <c r="D59" s="28" t="n">
        <v>60</v>
      </c>
      <c r="E59" s="14" t="n">
        <v>0</v>
      </c>
      <c r="F59" s="14" t="n">
        <v>24948.2</v>
      </c>
      <c r="G59" s="14" t="n">
        <v>24948.2</v>
      </c>
      <c r="H59" s="14" t="n">
        <v>4427.29</v>
      </c>
      <c r="I59" s="14" t="n">
        <v>20520.91</v>
      </c>
      <c r="J59" s="14" t="n">
        <v>17462.26</v>
      </c>
      <c r="K59" s="15" t="n">
        <v>0.8225</v>
      </c>
      <c r="L59" s="15" t="n">
        <v>0.6999</v>
      </c>
      <c r="M59" s="29" t="n">
        <v>31.74</v>
      </c>
    </row>
    <row r="60" customFormat="false" ht="15" hidden="false" customHeight="false" outlineLevel="0" collapsed="false">
      <c r="A60" s="24" t="n">
        <v>10152</v>
      </c>
      <c r="B60" s="8" t="s">
        <v>80</v>
      </c>
      <c r="C60" s="25" t="n">
        <v>144</v>
      </c>
      <c r="D60" s="25" t="n">
        <v>144</v>
      </c>
      <c r="E60" s="10" t="n">
        <v>0</v>
      </c>
      <c r="F60" s="10" t="n">
        <v>10808.9</v>
      </c>
      <c r="G60" s="10" t="n">
        <v>10808.9</v>
      </c>
      <c r="H60" s="10" t="n">
        <v>4574.0502</v>
      </c>
      <c r="I60" s="10" t="n">
        <v>6234.85</v>
      </c>
      <c r="J60" s="10" t="n">
        <v>3221.09</v>
      </c>
      <c r="K60" s="11" t="n">
        <v>0.5768</v>
      </c>
      <c r="L60" s="11" t="n">
        <v>0.298</v>
      </c>
      <c r="M60" s="26" t="n">
        <v>50.63</v>
      </c>
    </row>
    <row r="61" customFormat="false" ht="15" hidden="false" customHeight="false" outlineLevel="0" collapsed="false">
      <c r="A61" s="27" t="n">
        <v>10154</v>
      </c>
      <c r="B61" s="12" t="s">
        <v>81</v>
      </c>
      <c r="C61" s="28" t="n">
        <v>110</v>
      </c>
      <c r="D61" s="28" t="n">
        <v>110</v>
      </c>
      <c r="E61" s="14" t="n">
        <v>0</v>
      </c>
      <c r="F61" s="14" t="n">
        <v>20847.78</v>
      </c>
      <c r="G61" s="14" t="n">
        <v>20847.78</v>
      </c>
      <c r="H61" s="14" t="n">
        <v>11497.5805</v>
      </c>
      <c r="I61" s="14" t="n">
        <v>9350.2</v>
      </c>
      <c r="J61" s="14" t="n">
        <v>3828.76</v>
      </c>
      <c r="K61" s="15" t="n">
        <v>0.4485</v>
      </c>
      <c r="L61" s="15" t="n">
        <v>0.1837</v>
      </c>
      <c r="M61" s="29" t="n">
        <v>46.77</v>
      </c>
    </row>
    <row r="62" customFormat="false" ht="15" hidden="false" customHeight="false" outlineLevel="0" collapsed="false">
      <c r="A62" s="24" t="n">
        <v>10164</v>
      </c>
      <c r="B62" s="8" t="s">
        <v>83</v>
      </c>
      <c r="C62" s="25" t="n">
        <v>251</v>
      </c>
      <c r="D62" s="25" t="n">
        <v>251</v>
      </c>
      <c r="E62" s="10" t="n">
        <v>0</v>
      </c>
      <c r="F62" s="10" t="n">
        <v>78783.46</v>
      </c>
      <c r="G62" s="10" t="n">
        <v>78783.46</v>
      </c>
      <c r="H62" s="10" t="n">
        <v>20979.0209</v>
      </c>
      <c r="I62" s="10" t="n">
        <v>57804.44</v>
      </c>
      <c r="J62" s="10" t="n">
        <v>36840.78</v>
      </c>
      <c r="K62" s="11" t="n">
        <v>0.7337</v>
      </c>
      <c r="L62" s="11" t="n">
        <v>0.4676</v>
      </c>
      <c r="M62" s="26" t="n">
        <v>48.08</v>
      </c>
    </row>
    <row r="63" customFormat="false" ht="15" hidden="false" customHeight="false" outlineLevel="0" collapsed="false">
      <c r="A63" s="27" t="n">
        <v>10165</v>
      </c>
      <c r="B63" s="12" t="s">
        <v>257</v>
      </c>
      <c r="C63" s="28" t="n">
        <v>15</v>
      </c>
      <c r="D63" s="28" t="n">
        <v>15</v>
      </c>
      <c r="E63" s="14" t="n">
        <v>0</v>
      </c>
      <c r="F63" s="14" t="n">
        <v>3043.95</v>
      </c>
      <c r="G63" s="14" t="n">
        <v>3043.95</v>
      </c>
      <c r="H63" s="14" t="n">
        <v>1405.0395</v>
      </c>
      <c r="I63" s="14" t="n">
        <v>1638.91</v>
      </c>
      <c r="J63" s="14" t="n">
        <v>1265.72</v>
      </c>
      <c r="K63" s="15" t="n">
        <v>0.5384</v>
      </c>
      <c r="L63" s="15" t="n">
        <v>0.4158</v>
      </c>
      <c r="M63" s="29" t="n">
        <v>42</v>
      </c>
    </row>
    <row r="64" customFormat="false" ht="15" hidden="false" customHeight="false" outlineLevel="0" collapsed="false">
      <c r="A64" s="24" t="n">
        <v>10170</v>
      </c>
      <c r="B64" s="8" t="s">
        <v>84</v>
      </c>
      <c r="C64" s="25" t="n">
        <v>104</v>
      </c>
      <c r="D64" s="25" t="n">
        <v>104</v>
      </c>
      <c r="E64" s="10" t="n">
        <v>0</v>
      </c>
      <c r="F64" s="10" t="n">
        <v>1747.2</v>
      </c>
      <c r="G64" s="10" t="n">
        <v>1747.2</v>
      </c>
      <c r="H64" s="10" t="n">
        <v>832.0398</v>
      </c>
      <c r="I64" s="10" t="n">
        <v>915.16</v>
      </c>
      <c r="J64" s="10" t="n">
        <v>435.16</v>
      </c>
      <c r="K64" s="11" t="n">
        <v>0.5238</v>
      </c>
      <c r="L64" s="11" t="n">
        <v>0.2491</v>
      </c>
      <c r="M64" s="26" t="n">
        <v>50</v>
      </c>
    </row>
    <row r="65" customFormat="false" ht="15" hidden="false" customHeight="false" outlineLevel="0" collapsed="false">
      <c r="A65" s="27" t="n">
        <v>10176</v>
      </c>
      <c r="B65" s="12" t="s">
        <v>75</v>
      </c>
      <c r="C65" s="28" t="n">
        <v>250</v>
      </c>
      <c r="D65" s="28" t="n">
        <v>250</v>
      </c>
      <c r="E65" s="14" t="n">
        <v>0</v>
      </c>
      <c r="F65" s="14" t="n">
        <v>76375.82</v>
      </c>
      <c r="G65" s="14" t="n">
        <v>76375.82</v>
      </c>
      <c r="H65" s="14" t="n">
        <v>21424.0025</v>
      </c>
      <c r="I65" s="14" t="n">
        <v>54951.82</v>
      </c>
      <c r="J65" s="14" t="n">
        <v>38941.92</v>
      </c>
      <c r="K65" s="15" t="n">
        <v>0.7195</v>
      </c>
      <c r="L65" s="15" t="n">
        <v>0.5099</v>
      </c>
      <c r="M65" s="29" t="n">
        <v>46.62</v>
      </c>
    </row>
    <row r="66" customFormat="false" ht="15" hidden="false" customHeight="false" outlineLevel="0" collapsed="false">
      <c r="A66" s="24" t="n">
        <v>10178</v>
      </c>
      <c r="B66" s="8" t="s">
        <v>85</v>
      </c>
      <c r="C66" s="25" t="n">
        <v>258</v>
      </c>
      <c r="D66" s="25" t="n">
        <v>258</v>
      </c>
      <c r="E66" s="10" t="n">
        <v>0</v>
      </c>
      <c r="F66" s="10" t="n">
        <v>13940.06</v>
      </c>
      <c r="G66" s="10" t="n">
        <v>13940.06</v>
      </c>
      <c r="H66" s="10" t="n">
        <v>2243.5332</v>
      </c>
      <c r="I66" s="10" t="n">
        <v>11696.53</v>
      </c>
      <c r="J66" s="10" t="n">
        <v>8099.5</v>
      </c>
      <c r="K66" s="11" t="n">
        <v>0.8391</v>
      </c>
      <c r="L66" s="11" t="n">
        <v>0.581</v>
      </c>
      <c r="M66" s="26" t="n">
        <v>47.3</v>
      </c>
    </row>
    <row r="67" customFormat="false" ht="15" hidden="false" customHeight="false" outlineLevel="0" collapsed="false">
      <c r="A67" s="27" t="n">
        <v>10180</v>
      </c>
      <c r="B67" s="12" t="s">
        <v>86</v>
      </c>
      <c r="C67" s="28" t="n">
        <v>205</v>
      </c>
      <c r="D67" s="28" t="n">
        <v>205</v>
      </c>
      <c r="E67" s="14" t="n">
        <v>0</v>
      </c>
      <c r="F67" s="14" t="n">
        <v>10699.05</v>
      </c>
      <c r="G67" s="14" t="n">
        <v>10699.05</v>
      </c>
      <c r="H67" s="14" t="n">
        <v>3603.624</v>
      </c>
      <c r="I67" s="14" t="n">
        <v>7095.43</v>
      </c>
      <c r="J67" s="14" t="n">
        <v>4168.64</v>
      </c>
      <c r="K67" s="15" t="n">
        <v>0.6632</v>
      </c>
      <c r="L67" s="15" t="n">
        <v>0.3896</v>
      </c>
      <c r="M67" s="29" t="n">
        <v>49.82</v>
      </c>
    </row>
    <row r="68" customFormat="false" ht="15" hidden="false" customHeight="false" outlineLevel="0" collapsed="false">
      <c r="A68" s="24" t="n">
        <v>10182</v>
      </c>
      <c r="B68" s="8" t="s">
        <v>87</v>
      </c>
      <c r="C68" s="25" t="n">
        <v>4</v>
      </c>
      <c r="D68" s="25" t="n">
        <v>4</v>
      </c>
      <c r="E68" s="10" t="n">
        <v>0</v>
      </c>
      <c r="F68" s="10" t="n">
        <v>885.02</v>
      </c>
      <c r="G68" s="10" t="n">
        <v>885.02</v>
      </c>
      <c r="H68" s="10" t="n">
        <v>285.1</v>
      </c>
      <c r="I68" s="10" t="n">
        <v>599.92</v>
      </c>
      <c r="J68" s="10" t="n">
        <v>356.79</v>
      </c>
      <c r="K68" s="11" t="n">
        <v>0.6779</v>
      </c>
      <c r="L68" s="11" t="n">
        <v>0.4031</v>
      </c>
      <c r="M68" s="26" t="n">
        <v>59.53</v>
      </c>
    </row>
    <row r="69" customFormat="false" ht="15" hidden="false" customHeight="false" outlineLevel="0" collapsed="false">
      <c r="A69" s="27" t="n">
        <v>10188</v>
      </c>
      <c r="B69" s="12" t="s">
        <v>88</v>
      </c>
      <c r="C69" s="28" t="n">
        <v>80</v>
      </c>
      <c r="D69" s="28" t="n">
        <v>80</v>
      </c>
      <c r="E69" s="14" t="n">
        <v>0</v>
      </c>
      <c r="F69" s="14" t="n">
        <v>384</v>
      </c>
      <c r="G69" s="14" t="n">
        <v>384</v>
      </c>
      <c r="H69" s="14" t="n">
        <v>154.4</v>
      </c>
      <c r="I69" s="14" t="n">
        <v>229.6</v>
      </c>
      <c r="J69" s="14" t="n">
        <v>122.4</v>
      </c>
      <c r="K69" s="15" t="n">
        <v>0.5979</v>
      </c>
      <c r="L69" s="15" t="n">
        <v>0.3188</v>
      </c>
      <c r="M69" s="29" t="n">
        <v>45</v>
      </c>
    </row>
    <row r="70" customFormat="false" ht="15" hidden="false" customHeight="false" outlineLevel="0" collapsed="false">
      <c r="A70" s="24" t="n">
        <v>10189</v>
      </c>
      <c r="B70" s="8" t="s">
        <v>89</v>
      </c>
      <c r="C70" s="25" t="n">
        <v>91</v>
      </c>
      <c r="D70" s="25" t="n">
        <v>91</v>
      </c>
      <c r="E70" s="10" t="n">
        <v>0</v>
      </c>
      <c r="F70" s="10" t="n">
        <v>436.8</v>
      </c>
      <c r="G70" s="10" t="n">
        <v>436.8</v>
      </c>
      <c r="H70" s="10" t="n">
        <v>175.711</v>
      </c>
      <c r="I70" s="10" t="n">
        <v>261.09</v>
      </c>
      <c r="J70" s="10" t="n">
        <v>139.15</v>
      </c>
      <c r="K70" s="11" t="n">
        <v>0.5977</v>
      </c>
      <c r="L70" s="11" t="n">
        <v>0.3186</v>
      </c>
      <c r="M70" s="26" t="n">
        <v>45</v>
      </c>
    </row>
    <row r="71" customFormat="false" ht="15" hidden="false" customHeight="false" outlineLevel="0" collapsed="false">
      <c r="A71" s="27" t="n">
        <v>10193</v>
      </c>
      <c r="B71" s="12" t="s">
        <v>91</v>
      </c>
      <c r="C71" s="28" t="n">
        <v>45</v>
      </c>
      <c r="D71" s="28" t="n">
        <v>45</v>
      </c>
      <c r="E71" s="14" t="n">
        <v>0</v>
      </c>
      <c r="F71" s="14" t="n">
        <v>3915</v>
      </c>
      <c r="G71" s="14" t="n">
        <v>3915</v>
      </c>
      <c r="H71" s="14" t="n">
        <v>1262.9385</v>
      </c>
      <c r="I71" s="14" t="n">
        <v>2652.06</v>
      </c>
      <c r="J71" s="14" t="n">
        <v>1559.37</v>
      </c>
      <c r="K71" s="15" t="n">
        <v>0.6774</v>
      </c>
      <c r="L71" s="15" t="n">
        <v>0.3983</v>
      </c>
      <c r="M71" s="29" t="n">
        <v>45</v>
      </c>
    </row>
    <row r="72" customFormat="false" ht="15" hidden="false" customHeight="false" outlineLevel="0" collapsed="false">
      <c r="A72" s="24" t="n">
        <v>10199</v>
      </c>
      <c r="B72" s="8" t="s">
        <v>93</v>
      </c>
      <c r="C72" s="25" t="n">
        <v>7</v>
      </c>
      <c r="D72" s="25" t="n">
        <v>7</v>
      </c>
      <c r="E72" s="10" t="n">
        <v>702</v>
      </c>
      <c r="F72" s="10" t="n">
        <v>1550</v>
      </c>
      <c r="G72" s="10" t="n">
        <v>2252</v>
      </c>
      <c r="H72" s="10" t="n">
        <v>470.26</v>
      </c>
      <c r="I72" s="10" t="n">
        <v>1781.74</v>
      </c>
      <c r="J72" s="10" t="n">
        <v>1163.07</v>
      </c>
      <c r="K72" s="11" t="n">
        <v>0.7912</v>
      </c>
      <c r="L72" s="11" t="n">
        <v>0.5165</v>
      </c>
      <c r="M72" s="26" t="n">
        <v>6.38</v>
      </c>
    </row>
    <row r="73" customFormat="false" ht="15" hidden="false" customHeight="false" outlineLevel="0" collapsed="false">
      <c r="A73" s="27" t="n">
        <v>10200</v>
      </c>
      <c r="B73" s="12" t="s">
        <v>94</v>
      </c>
      <c r="C73" s="28" t="n">
        <v>168</v>
      </c>
      <c r="D73" s="28" t="n">
        <v>168</v>
      </c>
      <c r="E73" s="14" t="n">
        <v>0</v>
      </c>
      <c r="F73" s="14" t="n">
        <v>4098.72</v>
      </c>
      <c r="G73" s="14" t="n">
        <v>4098.72</v>
      </c>
      <c r="H73" s="14" t="n">
        <v>1197.876</v>
      </c>
      <c r="I73" s="14" t="n">
        <v>2900.84</v>
      </c>
      <c r="J73" s="14" t="n">
        <v>1774.8</v>
      </c>
      <c r="K73" s="15" t="n">
        <v>0.7077</v>
      </c>
      <c r="L73" s="15" t="n">
        <v>0.433</v>
      </c>
      <c r="M73" s="29" t="n">
        <v>34.04</v>
      </c>
    </row>
    <row r="74" customFormat="false" ht="15" hidden="false" customHeight="false" outlineLevel="0" collapsed="false">
      <c r="A74" s="24" t="n">
        <v>10201</v>
      </c>
      <c r="B74" s="8" t="s">
        <v>79</v>
      </c>
      <c r="C74" s="25" t="n">
        <v>21</v>
      </c>
      <c r="D74" s="25" t="n">
        <v>21</v>
      </c>
      <c r="E74" s="10" t="n">
        <v>0</v>
      </c>
      <c r="F74" s="10" t="n">
        <v>9712.26</v>
      </c>
      <c r="G74" s="10" t="n">
        <v>9712.26</v>
      </c>
      <c r="H74" s="10" t="n">
        <v>1560.21</v>
      </c>
      <c r="I74" s="10" t="n">
        <v>8152.05</v>
      </c>
      <c r="J74" s="10" t="n">
        <v>5530.35</v>
      </c>
      <c r="K74" s="11" t="n">
        <v>0.8394</v>
      </c>
      <c r="L74" s="11" t="n">
        <v>0.5694</v>
      </c>
      <c r="M74" s="26" t="n">
        <v>29.39</v>
      </c>
    </row>
    <row r="75" customFormat="false" ht="15" hidden="false" customHeight="false" outlineLevel="0" collapsed="false">
      <c r="A75" s="27" t="n">
        <v>10202</v>
      </c>
      <c r="B75" s="12" t="s">
        <v>95</v>
      </c>
      <c r="C75" s="28" t="n">
        <v>760</v>
      </c>
      <c r="D75" s="28" t="n">
        <v>760</v>
      </c>
      <c r="E75" s="14" t="n">
        <v>0</v>
      </c>
      <c r="F75" s="14" t="n">
        <v>43092</v>
      </c>
      <c r="G75" s="14" t="n">
        <v>43092</v>
      </c>
      <c r="H75" s="14" t="n">
        <v>23927.74</v>
      </c>
      <c r="I75" s="14" t="n">
        <v>19164.26</v>
      </c>
      <c r="J75" s="14" t="n">
        <v>7326.02</v>
      </c>
      <c r="K75" s="15" t="n">
        <v>0.4447</v>
      </c>
      <c r="L75" s="15" t="n">
        <v>0.17</v>
      </c>
      <c r="M75" s="29" t="n">
        <v>50</v>
      </c>
    </row>
    <row r="76" customFormat="false" ht="15" hidden="false" customHeight="false" outlineLevel="0" collapsed="false">
      <c r="A76" s="24" t="n">
        <v>10203</v>
      </c>
      <c r="B76" s="8" t="s">
        <v>129</v>
      </c>
      <c r="C76" s="25" t="n">
        <v>1</v>
      </c>
      <c r="D76" s="25" t="n">
        <v>1</v>
      </c>
      <c r="E76" s="10" t="n">
        <v>401.26</v>
      </c>
      <c r="F76" s="10" t="n">
        <v>0</v>
      </c>
      <c r="G76" s="10" t="n">
        <v>401.26</v>
      </c>
      <c r="H76" s="10" t="n">
        <v>104.6</v>
      </c>
      <c r="I76" s="10" t="n">
        <v>296.66</v>
      </c>
      <c r="J76" s="10" t="n">
        <v>186.43</v>
      </c>
      <c r="K76" s="11" t="n">
        <v>0.7393</v>
      </c>
      <c r="L76" s="11" t="n">
        <v>0.4646</v>
      </c>
      <c r="M76" s="26" t="n">
        <v>5</v>
      </c>
    </row>
    <row r="77" customFormat="false" ht="15" hidden="false" customHeight="false" outlineLevel="0" collapsed="false">
      <c r="A77" s="27" t="n">
        <v>10204</v>
      </c>
      <c r="B77" s="12" t="s">
        <v>96</v>
      </c>
      <c r="C77" s="28" t="n">
        <v>7</v>
      </c>
      <c r="D77" s="28" t="n">
        <v>7</v>
      </c>
      <c r="E77" s="14" t="n">
        <v>392.9</v>
      </c>
      <c r="F77" s="14" t="n">
        <v>2489.01</v>
      </c>
      <c r="G77" s="14" t="n">
        <v>2881.91</v>
      </c>
      <c r="H77" s="14" t="n">
        <v>1386</v>
      </c>
      <c r="I77" s="14" t="n">
        <v>1495.91</v>
      </c>
      <c r="J77" s="14" t="n">
        <v>923.43</v>
      </c>
      <c r="K77" s="15" t="n">
        <v>0.5191</v>
      </c>
      <c r="L77" s="15" t="n">
        <v>0.3204</v>
      </c>
      <c r="M77" s="29" t="n">
        <v>25.88</v>
      </c>
    </row>
    <row r="78" customFormat="false" ht="15" hidden="false" customHeight="false" outlineLevel="0" collapsed="false">
      <c r="A78" s="24" t="n">
        <v>10206</v>
      </c>
      <c r="B78" s="8" t="s">
        <v>97</v>
      </c>
      <c r="C78" s="25" t="n">
        <v>46</v>
      </c>
      <c r="D78" s="25" t="n">
        <v>46</v>
      </c>
      <c r="E78" s="10" t="n">
        <v>0</v>
      </c>
      <c r="F78" s="10" t="n">
        <v>1831.72</v>
      </c>
      <c r="G78" s="10" t="n">
        <v>1831.72</v>
      </c>
      <c r="H78" s="10" t="n">
        <v>473.0099</v>
      </c>
      <c r="I78" s="10" t="n">
        <v>1358.71</v>
      </c>
      <c r="J78" s="10" t="n">
        <v>855.47</v>
      </c>
      <c r="K78" s="11" t="n">
        <v>0.7418</v>
      </c>
      <c r="L78" s="11" t="n">
        <v>0.467</v>
      </c>
      <c r="M78" s="26" t="n">
        <v>28.61</v>
      </c>
    </row>
    <row r="79" customFormat="false" ht="15" hidden="false" customHeight="false" outlineLevel="0" collapsed="false">
      <c r="A79" s="27" t="n">
        <v>10208</v>
      </c>
      <c r="B79" s="12" t="s">
        <v>40</v>
      </c>
      <c r="C79" s="28" t="n">
        <v>81</v>
      </c>
      <c r="D79" s="28" t="n">
        <v>81</v>
      </c>
      <c r="E79" s="14" t="n">
        <v>0</v>
      </c>
      <c r="F79" s="14" t="n">
        <v>20803.68</v>
      </c>
      <c r="G79" s="14" t="n">
        <v>20803.68</v>
      </c>
      <c r="H79" s="14" t="n">
        <v>5574.1203</v>
      </c>
      <c r="I79" s="14" t="n">
        <v>15229.56</v>
      </c>
      <c r="J79" s="14" t="n">
        <v>11366.33</v>
      </c>
      <c r="K79" s="15" t="n">
        <v>0.7321</v>
      </c>
      <c r="L79" s="15" t="n">
        <v>0.5464</v>
      </c>
      <c r="M79" s="29" t="n">
        <v>40.59</v>
      </c>
    </row>
    <row r="80" customFormat="false" ht="15" hidden="false" customHeight="false" outlineLevel="0" collapsed="false">
      <c r="A80" s="24" t="n">
        <v>10211</v>
      </c>
      <c r="B80" s="8" t="s">
        <v>258</v>
      </c>
      <c r="C80" s="25" t="n">
        <v>26</v>
      </c>
      <c r="D80" s="25" t="n">
        <v>26</v>
      </c>
      <c r="E80" s="10" t="n">
        <v>86.93</v>
      </c>
      <c r="F80" s="10" t="n">
        <v>1203.8</v>
      </c>
      <c r="G80" s="10" t="n">
        <v>1290.73</v>
      </c>
      <c r="H80" s="10" t="n">
        <v>353.7</v>
      </c>
      <c r="I80" s="10" t="n">
        <v>937.03</v>
      </c>
      <c r="J80" s="10" t="n">
        <v>622.59</v>
      </c>
      <c r="K80" s="11" t="n">
        <v>0.726</v>
      </c>
      <c r="L80" s="11" t="n">
        <v>0.4824</v>
      </c>
      <c r="M80" s="26" t="n">
        <v>45.47</v>
      </c>
    </row>
    <row r="81" customFormat="false" ht="15" hidden="false" customHeight="false" outlineLevel="0" collapsed="false">
      <c r="A81" s="27" t="n">
        <v>10212</v>
      </c>
      <c r="B81" s="12" t="s">
        <v>74</v>
      </c>
      <c r="C81" s="28" t="n">
        <v>192</v>
      </c>
      <c r="D81" s="28" t="n">
        <v>192</v>
      </c>
      <c r="E81" s="14" t="n">
        <v>0</v>
      </c>
      <c r="F81" s="14" t="n">
        <v>39065.88</v>
      </c>
      <c r="G81" s="14" t="n">
        <v>39065.88</v>
      </c>
      <c r="H81" s="14" t="n">
        <v>18359.6401</v>
      </c>
      <c r="I81" s="14" t="n">
        <v>20706.24</v>
      </c>
      <c r="J81" s="14" t="n">
        <v>9984.24</v>
      </c>
      <c r="K81" s="15" t="n">
        <v>0.53</v>
      </c>
      <c r="L81" s="15" t="n">
        <v>0.2556</v>
      </c>
      <c r="M81" s="29" t="n">
        <v>28.86</v>
      </c>
    </row>
    <row r="82" customFormat="false" ht="15" hidden="false" customHeight="false" outlineLevel="0" collapsed="false">
      <c r="A82" s="24" t="n">
        <v>10215</v>
      </c>
      <c r="B82" s="8" t="s">
        <v>87</v>
      </c>
      <c r="C82" s="25" t="n">
        <v>1</v>
      </c>
      <c r="D82" s="25" t="n">
        <v>1</v>
      </c>
      <c r="E82" s="10" t="n">
        <v>0</v>
      </c>
      <c r="F82" s="10" t="n">
        <v>220.2</v>
      </c>
      <c r="G82" s="10" t="n">
        <v>220.2</v>
      </c>
      <c r="H82" s="10" t="n">
        <v>47.01</v>
      </c>
      <c r="I82" s="10" t="n">
        <v>173.19</v>
      </c>
      <c r="J82" s="10" t="n">
        <v>111.73</v>
      </c>
      <c r="K82" s="11" t="n">
        <v>0.7865</v>
      </c>
      <c r="L82" s="11" t="n">
        <v>0.5074</v>
      </c>
      <c r="M82" s="26" t="n">
        <v>28</v>
      </c>
    </row>
    <row r="83" customFormat="false" ht="15" hidden="false" customHeight="false" outlineLevel="0" collapsed="false">
      <c r="A83" s="27" t="n">
        <v>10216</v>
      </c>
      <c r="B83" s="12" t="s">
        <v>98</v>
      </c>
      <c r="C83" s="28" t="n">
        <v>4</v>
      </c>
      <c r="D83" s="28" t="n">
        <v>4</v>
      </c>
      <c r="E83" s="14" t="n">
        <v>0</v>
      </c>
      <c r="F83" s="14" t="n">
        <v>812.94</v>
      </c>
      <c r="G83" s="14" t="n">
        <v>812.94</v>
      </c>
      <c r="H83" s="14" t="n">
        <v>386.6</v>
      </c>
      <c r="I83" s="14" t="n">
        <v>426.34</v>
      </c>
      <c r="J83" s="14" t="n">
        <v>234.09</v>
      </c>
      <c r="K83" s="15" t="n">
        <v>0.5244</v>
      </c>
      <c r="L83" s="15" t="n">
        <v>0.288</v>
      </c>
      <c r="M83" s="29" t="n">
        <v>53.12</v>
      </c>
    </row>
    <row r="84" customFormat="false" ht="15" hidden="false" customHeight="false" outlineLevel="0" collapsed="false">
      <c r="A84" s="24" t="n">
        <v>10220</v>
      </c>
      <c r="B84" s="8" t="s">
        <v>99</v>
      </c>
      <c r="C84" s="25" t="n">
        <v>33</v>
      </c>
      <c r="D84" s="25" t="n">
        <v>33</v>
      </c>
      <c r="E84" s="10" t="n">
        <v>0</v>
      </c>
      <c r="F84" s="10" t="n">
        <v>4788.66</v>
      </c>
      <c r="G84" s="10" t="n">
        <v>4788.66</v>
      </c>
      <c r="H84" s="10" t="n">
        <v>2983.5999</v>
      </c>
      <c r="I84" s="10" t="n">
        <v>1805.06</v>
      </c>
      <c r="J84" s="10" t="n">
        <v>489.52</v>
      </c>
      <c r="K84" s="11" t="n">
        <v>0.3769</v>
      </c>
      <c r="L84" s="11" t="n">
        <v>0.1022</v>
      </c>
      <c r="M84" s="26" t="n">
        <v>51.05</v>
      </c>
    </row>
    <row r="85" customFormat="false" ht="15" hidden="false" customHeight="false" outlineLevel="0" collapsed="false">
      <c r="A85" s="27" t="n">
        <v>10221</v>
      </c>
      <c r="B85" s="12" t="s">
        <v>70</v>
      </c>
      <c r="C85" s="28" t="n">
        <v>30</v>
      </c>
      <c r="D85" s="28" t="n">
        <v>30</v>
      </c>
      <c r="E85" s="14" t="n">
        <v>0</v>
      </c>
      <c r="F85" s="14" t="n">
        <v>3889.5</v>
      </c>
      <c r="G85" s="14" t="n">
        <v>3889.5</v>
      </c>
      <c r="H85" s="14" t="n">
        <v>2463.68</v>
      </c>
      <c r="I85" s="14" t="n">
        <v>1425.82</v>
      </c>
      <c r="J85" s="14" t="n">
        <v>357.3</v>
      </c>
      <c r="K85" s="15" t="n">
        <v>0.3666</v>
      </c>
      <c r="L85" s="15" t="n">
        <v>0.0919</v>
      </c>
      <c r="M85" s="29" t="n">
        <v>50</v>
      </c>
    </row>
    <row r="86" customFormat="false" ht="15" hidden="false" customHeight="false" outlineLevel="0" collapsed="false">
      <c r="A86" s="24" t="n">
        <v>10223</v>
      </c>
      <c r="B86" s="8" t="s">
        <v>260</v>
      </c>
      <c r="C86" s="25" t="n">
        <v>200</v>
      </c>
      <c r="D86" s="25" t="n">
        <v>200</v>
      </c>
      <c r="E86" s="10" t="n">
        <v>0</v>
      </c>
      <c r="F86" s="10" t="n">
        <v>17010</v>
      </c>
      <c r="G86" s="10" t="n">
        <v>17010</v>
      </c>
      <c r="H86" s="10" t="n">
        <v>11953.524</v>
      </c>
      <c r="I86" s="10" t="n">
        <v>5056.47</v>
      </c>
      <c r="J86" s="10" t="n">
        <v>308.96</v>
      </c>
      <c r="K86" s="11" t="n">
        <v>0.2973</v>
      </c>
      <c r="L86" s="11" t="n">
        <v>0.0182</v>
      </c>
      <c r="M86" s="26" t="n">
        <v>50</v>
      </c>
    </row>
    <row r="87" customFormat="false" ht="15" hidden="false" customHeight="false" outlineLevel="0" collapsed="false">
      <c r="A87" s="27" t="n">
        <v>10229</v>
      </c>
      <c r="B87" s="12" t="s">
        <v>100</v>
      </c>
      <c r="C87" s="28" t="n">
        <v>70</v>
      </c>
      <c r="D87" s="28" t="n">
        <v>70</v>
      </c>
      <c r="E87" s="14" t="n">
        <v>0</v>
      </c>
      <c r="F87" s="14" t="n">
        <v>15414</v>
      </c>
      <c r="G87" s="14" t="n">
        <v>15414</v>
      </c>
      <c r="H87" s="14" t="n">
        <v>2093.49</v>
      </c>
      <c r="I87" s="14" t="n">
        <v>13320.51</v>
      </c>
      <c r="J87" s="14" t="n">
        <v>9018.45</v>
      </c>
      <c r="K87" s="15" t="n">
        <v>0.8642</v>
      </c>
      <c r="L87" s="15" t="n">
        <v>0.5851</v>
      </c>
      <c r="M87" s="29" t="n">
        <v>28</v>
      </c>
    </row>
    <row r="88" customFormat="false" ht="15" hidden="false" customHeight="false" outlineLevel="0" collapsed="false">
      <c r="A88" s="24" t="n">
        <v>10230</v>
      </c>
      <c r="B88" s="8" t="s">
        <v>101</v>
      </c>
      <c r="C88" s="25" t="n">
        <v>31</v>
      </c>
      <c r="D88" s="25" t="n">
        <v>31</v>
      </c>
      <c r="E88" s="10" t="n">
        <v>0</v>
      </c>
      <c r="F88" s="10" t="n">
        <v>5935.1</v>
      </c>
      <c r="G88" s="10" t="n">
        <v>5935.1</v>
      </c>
      <c r="H88" s="10" t="n">
        <v>1819.941</v>
      </c>
      <c r="I88" s="10" t="n">
        <v>4115.16</v>
      </c>
      <c r="J88" s="10" t="n">
        <v>3348.75</v>
      </c>
      <c r="K88" s="11" t="n">
        <v>0.6934</v>
      </c>
      <c r="L88" s="11" t="n">
        <v>0.5642</v>
      </c>
      <c r="M88" s="26" t="n">
        <v>44.27</v>
      </c>
    </row>
    <row r="89" customFormat="false" ht="15" hidden="false" customHeight="false" outlineLevel="0" collapsed="false">
      <c r="A89" s="27" t="n">
        <v>10240</v>
      </c>
      <c r="B89" s="12" t="s">
        <v>102</v>
      </c>
      <c r="C89" s="28" t="n">
        <v>304</v>
      </c>
      <c r="D89" s="28" t="n">
        <v>304</v>
      </c>
      <c r="E89" s="14" t="n">
        <v>0</v>
      </c>
      <c r="F89" s="14" t="n">
        <v>12452.16</v>
      </c>
      <c r="G89" s="14" t="n">
        <v>12452.16</v>
      </c>
      <c r="H89" s="14" t="n">
        <v>2887.53</v>
      </c>
      <c r="I89" s="14" t="n">
        <v>9564.63</v>
      </c>
      <c r="J89" s="14" t="n">
        <v>6143.76</v>
      </c>
      <c r="K89" s="15" t="n">
        <v>0.7681</v>
      </c>
      <c r="L89" s="15" t="n">
        <v>0.4934</v>
      </c>
      <c r="M89" s="29" t="n">
        <v>50</v>
      </c>
    </row>
    <row r="90" customFormat="false" ht="15" hidden="false" customHeight="false" outlineLevel="0" collapsed="false">
      <c r="A90" s="24" t="n">
        <v>10244</v>
      </c>
      <c r="B90" s="8" t="s">
        <v>103</v>
      </c>
      <c r="C90" s="25" t="n">
        <v>61</v>
      </c>
      <c r="D90" s="25" t="n">
        <v>61</v>
      </c>
      <c r="E90" s="10" t="n">
        <v>0</v>
      </c>
      <c r="F90" s="10" t="n">
        <v>13432.2</v>
      </c>
      <c r="G90" s="10" t="n">
        <v>13432.2</v>
      </c>
      <c r="H90" s="10" t="n">
        <v>1821.5293</v>
      </c>
      <c r="I90" s="10" t="n">
        <v>11610.67</v>
      </c>
      <c r="J90" s="10" t="n">
        <v>7861.74</v>
      </c>
      <c r="K90" s="11" t="n">
        <v>0.8644</v>
      </c>
      <c r="L90" s="11" t="n">
        <v>0.5853</v>
      </c>
      <c r="M90" s="26" t="n">
        <v>28</v>
      </c>
    </row>
    <row r="91" customFormat="false" ht="15" hidden="false" customHeight="false" outlineLevel="0" collapsed="false">
      <c r="A91" s="27" t="n">
        <v>10245</v>
      </c>
      <c r="B91" s="12" t="s">
        <v>261</v>
      </c>
      <c r="C91" s="28" t="n">
        <v>2</v>
      </c>
      <c r="D91" s="28" t="n">
        <v>2</v>
      </c>
      <c r="E91" s="14" t="n">
        <v>0</v>
      </c>
      <c r="F91" s="14" t="n">
        <v>391</v>
      </c>
      <c r="G91" s="14" t="n">
        <v>391</v>
      </c>
      <c r="H91" s="14" t="n">
        <v>135.04</v>
      </c>
      <c r="I91" s="14" t="n">
        <v>255.96</v>
      </c>
      <c r="J91" s="14" t="n">
        <v>208.02</v>
      </c>
      <c r="K91" s="15" t="n">
        <v>0.6546</v>
      </c>
      <c r="L91" s="15" t="n">
        <v>0.532</v>
      </c>
      <c r="M91" s="29" t="n">
        <v>28</v>
      </c>
    </row>
    <row r="92" customFormat="false" ht="15" hidden="false" customHeight="false" outlineLevel="0" collapsed="false">
      <c r="A92" s="24" t="n">
        <v>10247</v>
      </c>
      <c r="B92" s="8" t="s">
        <v>104</v>
      </c>
      <c r="C92" s="25" t="n">
        <v>110</v>
      </c>
      <c r="D92" s="25" t="n">
        <v>110</v>
      </c>
      <c r="E92" s="10" t="n">
        <v>0</v>
      </c>
      <c r="F92" s="10" t="n">
        <v>23469.15</v>
      </c>
      <c r="G92" s="10" t="n">
        <v>23469.15</v>
      </c>
      <c r="H92" s="10" t="n">
        <v>7565.9602</v>
      </c>
      <c r="I92" s="10" t="n">
        <v>15903.19</v>
      </c>
      <c r="J92" s="10" t="n">
        <v>10164.34</v>
      </c>
      <c r="K92" s="11" t="n">
        <v>0.6776</v>
      </c>
      <c r="L92" s="11" t="n">
        <v>0.4331</v>
      </c>
      <c r="M92" s="26" t="n">
        <v>47.68</v>
      </c>
    </row>
    <row r="93" customFormat="false" ht="15" hidden="false" customHeight="false" outlineLevel="0" collapsed="false">
      <c r="A93" s="27" t="n">
        <v>10250</v>
      </c>
      <c r="B93" s="12" t="s">
        <v>105</v>
      </c>
      <c r="C93" s="28" t="n">
        <v>102</v>
      </c>
      <c r="D93" s="28" t="n">
        <v>102</v>
      </c>
      <c r="E93" s="14" t="n">
        <v>0</v>
      </c>
      <c r="F93" s="14" t="n">
        <v>22628.01</v>
      </c>
      <c r="G93" s="14" t="n">
        <v>22628.01</v>
      </c>
      <c r="H93" s="14" t="n">
        <v>6563.4095</v>
      </c>
      <c r="I93" s="14" t="n">
        <v>16064.6</v>
      </c>
      <c r="J93" s="14" t="n">
        <v>9858.25</v>
      </c>
      <c r="K93" s="15" t="n">
        <v>0.7099</v>
      </c>
      <c r="L93" s="15" t="n">
        <v>0.4357</v>
      </c>
      <c r="M93" s="29" t="n">
        <v>38.86</v>
      </c>
    </row>
    <row r="94" customFormat="false" ht="15" hidden="false" customHeight="false" outlineLevel="0" collapsed="false">
      <c r="A94" s="24" t="n">
        <v>10254</v>
      </c>
      <c r="B94" s="8" t="s">
        <v>108</v>
      </c>
      <c r="C94" s="25" t="n">
        <v>165</v>
      </c>
      <c r="D94" s="25" t="n">
        <v>165</v>
      </c>
      <c r="E94" s="10" t="n">
        <v>0</v>
      </c>
      <c r="F94" s="10" t="n">
        <v>28953.91</v>
      </c>
      <c r="G94" s="10" t="n">
        <v>28953.91</v>
      </c>
      <c r="H94" s="10" t="n">
        <v>12061.979</v>
      </c>
      <c r="I94" s="10" t="n">
        <v>16891.93</v>
      </c>
      <c r="J94" s="10" t="n">
        <v>10496.85</v>
      </c>
      <c r="K94" s="11" t="n">
        <v>0.5834</v>
      </c>
      <c r="L94" s="11" t="n">
        <v>0.3625</v>
      </c>
      <c r="M94" s="26" t="n">
        <v>48.77</v>
      </c>
    </row>
    <row r="95" customFormat="false" ht="15" hidden="false" customHeight="false" outlineLevel="0" collapsed="false">
      <c r="A95" s="27" t="n">
        <v>10255</v>
      </c>
      <c r="B95" s="12" t="s">
        <v>109</v>
      </c>
      <c r="C95" s="28" t="n">
        <v>59</v>
      </c>
      <c r="D95" s="28" t="n">
        <v>59</v>
      </c>
      <c r="E95" s="14" t="n">
        <v>0</v>
      </c>
      <c r="F95" s="14" t="n">
        <v>9062.91</v>
      </c>
      <c r="G95" s="14" t="n">
        <v>9062.91</v>
      </c>
      <c r="H95" s="14" t="n">
        <v>3796.4801</v>
      </c>
      <c r="I95" s="14" t="n">
        <v>5266.43</v>
      </c>
      <c r="J95" s="14" t="n">
        <v>3086.5</v>
      </c>
      <c r="K95" s="15" t="n">
        <v>0.5811</v>
      </c>
      <c r="L95" s="15" t="n">
        <v>0.3406</v>
      </c>
      <c r="M95" s="29" t="n">
        <v>48.81</v>
      </c>
    </row>
    <row r="96" customFormat="false" ht="15" hidden="false" customHeight="false" outlineLevel="0" collapsed="false">
      <c r="A96" s="24" t="n">
        <v>10256</v>
      </c>
      <c r="B96" s="8" t="s">
        <v>110</v>
      </c>
      <c r="C96" s="25" t="n">
        <v>69</v>
      </c>
      <c r="D96" s="25" t="n">
        <v>69</v>
      </c>
      <c r="E96" s="10" t="n">
        <v>0</v>
      </c>
      <c r="F96" s="10" t="n">
        <v>23832.09</v>
      </c>
      <c r="G96" s="10" t="n">
        <v>23832.09</v>
      </c>
      <c r="H96" s="10" t="n">
        <v>8461.2502</v>
      </c>
      <c r="I96" s="10" t="n">
        <v>15370.84</v>
      </c>
      <c r="J96" s="10" t="n">
        <v>8970.28</v>
      </c>
      <c r="K96" s="11" t="n">
        <v>0.645</v>
      </c>
      <c r="L96" s="11" t="n">
        <v>0.3764</v>
      </c>
      <c r="M96" s="26" t="n">
        <v>49.8</v>
      </c>
    </row>
    <row r="97" customFormat="false" ht="15" hidden="false" customHeight="false" outlineLevel="0" collapsed="false">
      <c r="A97" s="27" t="n">
        <v>10257</v>
      </c>
      <c r="B97" s="12" t="s">
        <v>111</v>
      </c>
      <c r="C97" s="28" t="n">
        <v>25</v>
      </c>
      <c r="D97" s="28" t="n">
        <v>25</v>
      </c>
      <c r="E97" s="14" t="n">
        <v>0</v>
      </c>
      <c r="F97" s="14" t="n">
        <v>242341.7</v>
      </c>
      <c r="G97" s="14" t="n">
        <v>242341.7</v>
      </c>
      <c r="H97" s="14" t="n">
        <v>118573.56</v>
      </c>
      <c r="I97" s="14" t="n">
        <v>123768.14</v>
      </c>
      <c r="J97" s="14" t="n">
        <v>57192.05</v>
      </c>
      <c r="K97" s="15" t="n">
        <v>0.5107</v>
      </c>
      <c r="L97" s="15" t="n">
        <v>0.236</v>
      </c>
      <c r="M97" s="29" t="n">
        <v>28</v>
      </c>
    </row>
    <row r="98" customFormat="false" ht="15" hidden="false" customHeight="false" outlineLevel="0" collapsed="false">
      <c r="A98" s="24" t="n">
        <v>10267</v>
      </c>
      <c r="B98" s="8" t="s">
        <v>112</v>
      </c>
      <c r="C98" s="25" t="n">
        <v>71</v>
      </c>
      <c r="D98" s="25" t="n">
        <v>71</v>
      </c>
      <c r="E98" s="10" t="n">
        <v>0</v>
      </c>
      <c r="F98" s="10" t="n">
        <v>7505.74</v>
      </c>
      <c r="G98" s="10" t="n">
        <v>7505.74</v>
      </c>
      <c r="H98" s="10" t="n">
        <v>2154.5</v>
      </c>
      <c r="I98" s="10" t="n">
        <v>5351.24</v>
      </c>
      <c r="J98" s="10" t="n">
        <v>3561.54</v>
      </c>
      <c r="K98" s="11" t="n">
        <v>0.713</v>
      </c>
      <c r="L98" s="11" t="n">
        <v>0.4745</v>
      </c>
      <c r="M98" s="26" t="n">
        <v>49.24</v>
      </c>
    </row>
    <row r="99" customFormat="false" ht="15" hidden="false" customHeight="false" outlineLevel="0" collapsed="false">
      <c r="A99" s="27" t="n">
        <v>10275</v>
      </c>
      <c r="B99" s="12" t="s">
        <v>315</v>
      </c>
      <c r="C99" s="28" t="n">
        <v>202</v>
      </c>
      <c r="D99" s="28" t="n">
        <v>202</v>
      </c>
      <c r="E99" s="14" t="n">
        <v>0</v>
      </c>
      <c r="F99" s="14" t="n">
        <v>3646</v>
      </c>
      <c r="G99" s="14" t="n">
        <v>3646</v>
      </c>
      <c r="H99" s="14" t="n">
        <v>1973.93</v>
      </c>
      <c r="I99" s="14" t="n">
        <v>1672.07</v>
      </c>
      <c r="J99" s="14" t="n">
        <v>670.44</v>
      </c>
      <c r="K99" s="15" t="n">
        <v>0.4586</v>
      </c>
      <c r="L99" s="15" t="n">
        <v>0.1839</v>
      </c>
      <c r="M99" s="29" t="n">
        <v>50</v>
      </c>
    </row>
    <row r="100" customFormat="false" ht="15" hidden="false" customHeight="false" outlineLevel="0" collapsed="false">
      <c r="A100" s="24" t="n">
        <v>10276</v>
      </c>
      <c r="B100" s="8" t="s">
        <v>316</v>
      </c>
      <c r="C100" s="25" t="n">
        <v>40</v>
      </c>
      <c r="D100" s="25" t="n">
        <v>40</v>
      </c>
      <c r="E100" s="10" t="n">
        <v>0</v>
      </c>
      <c r="F100" s="10" t="n">
        <v>896.4</v>
      </c>
      <c r="G100" s="10" t="n">
        <v>896.4</v>
      </c>
      <c r="H100" s="10" t="n">
        <v>245.26</v>
      </c>
      <c r="I100" s="10" t="n">
        <v>651.14</v>
      </c>
      <c r="J100" s="10" t="n">
        <v>404.88</v>
      </c>
      <c r="K100" s="11" t="n">
        <v>0.7264</v>
      </c>
      <c r="L100" s="11" t="n">
        <v>0.4517</v>
      </c>
      <c r="M100" s="26" t="n">
        <v>50</v>
      </c>
    </row>
    <row r="101" customFormat="false" ht="15" hidden="false" customHeight="false" outlineLevel="0" collapsed="false">
      <c r="A101" s="27" t="n">
        <v>10277</v>
      </c>
      <c r="B101" s="12" t="s">
        <v>113</v>
      </c>
      <c r="C101" s="28" t="n">
        <v>914</v>
      </c>
      <c r="D101" s="28" t="n">
        <v>914</v>
      </c>
      <c r="E101" s="14" t="n">
        <v>0</v>
      </c>
      <c r="F101" s="14" t="n">
        <v>15077.52</v>
      </c>
      <c r="G101" s="14" t="n">
        <v>15077.52</v>
      </c>
      <c r="H101" s="14" t="n">
        <v>8451.2764</v>
      </c>
      <c r="I101" s="14" t="n">
        <v>6626.24</v>
      </c>
      <c r="J101" s="14" t="n">
        <v>2484.14</v>
      </c>
      <c r="K101" s="15" t="n">
        <v>0.4395</v>
      </c>
      <c r="L101" s="15" t="n">
        <v>0.1648</v>
      </c>
      <c r="M101" s="29" t="n">
        <v>50</v>
      </c>
    </row>
    <row r="102" customFormat="false" ht="15" hidden="false" customHeight="false" outlineLevel="0" collapsed="false">
      <c r="A102" s="24" t="n">
        <v>10282</v>
      </c>
      <c r="B102" s="8" t="s">
        <v>116</v>
      </c>
      <c r="C102" s="25" t="n">
        <v>71</v>
      </c>
      <c r="D102" s="25" t="n">
        <v>71</v>
      </c>
      <c r="E102" s="10" t="n">
        <v>0</v>
      </c>
      <c r="F102" s="10" t="n">
        <v>14769.36</v>
      </c>
      <c r="G102" s="10" t="n">
        <v>14769.36</v>
      </c>
      <c r="H102" s="10" t="n">
        <v>9417.1302</v>
      </c>
      <c r="I102" s="10" t="n">
        <v>5352.23</v>
      </c>
      <c r="J102" s="10" t="n">
        <v>1294.78</v>
      </c>
      <c r="K102" s="11" t="n">
        <v>0.3624</v>
      </c>
      <c r="L102" s="11" t="n">
        <v>0.0877</v>
      </c>
      <c r="M102" s="26" t="n">
        <v>53.23</v>
      </c>
    </row>
    <row r="103" customFormat="false" ht="15" hidden="false" customHeight="false" outlineLevel="0" collapsed="false">
      <c r="A103" s="27" t="n">
        <v>10283</v>
      </c>
      <c r="B103" s="12" t="s">
        <v>117</v>
      </c>
      <c r="C103" s="28" t="n">
        <v>40</v>
      </c>
      <c r="D103" s="28" t="n">
        <v>40</v>
      </c>
      <c r="E103" s="14" t="n">
        <v>0</v>
      </c>
      <c r="F103" s="14" t="n">
        <v>11965.6</v>
      </c>
      <c r="G103" s="14" t="n">
        <v>11965.6</v>
      </c>
      <c r="H103" s="14" t="n">
        <v>8356.9702</v>
      </c>
      <c r="I103" s="14" t="n">
        <v>3608.63</v>
      </c>
      <c r="J103" s="14" t="n">
        <v>321.45</v>
      </c>
      <c r="K103" s="15" t="n">
        <v>0.3016</v>
      </c>
      <c r="L103" s="15" t="n">
        <v>0.0269</v>
      </c>
      <c r="M103" s="29" t="n">
        <v>50</v>
      </c>
    </row>
    <row r="104" customFormat="false" ht="15" hidden="false" customHeight="false" outlineLevel="0" collapsed="false">
      <c r="A104" s="24" t="n">
        <v>10284</v>
      </c>
      <c r="B104" s="8" t="s">
        <v>118</v>
      </c>
      <c r="C104" s="25" t="n">
        <v>4</v>
      </c>
      <c r="D104" s="25" t="n">
        <v>4</v>
      </c>
      <c r="E104" s="10" t="n">
        <v>0</v>
      </c>
      <c r="F104" s="10" t="n">
        <v>450.79</v>
      </c>
      <c r="G104" s="10" t="n">
        <v>450.79</v>
      </c>
      <c r="H104" s="10" t="n">
        <v>104.4099</v>
      </c>
      <c r="I104" s="10" t="n">
        <v>346.38</v>
      </c>
      <c r="J104" s="10" t="n">
        <v>238.82</v>
      </c>
      <c r="K104" s="11" t="n">
        <v>0.7684</v>
      </c>
      <c r="L104" s="11" t="n">
        <v>0.5298</v>
      </c>
      <c r="M104" s="26" t="n">
        <v>49.5</v>
      </c>
    </row>
    <row r="105" customFormat="false" ht="15" hidden="false" customHeight="false" outlineLevel="0" collapsed="false">
      <c r="A105" s="27" t="n">
        <v>10286</v>
      </c>
      <c r="B105" s="12" t="s">
        <v>119</v>
      </c>
      <c r="C105" s="28" t="n">
        <v>21</v>
      </c>
      <c r="D105" s="28" t="n">
        <v>21</v>
      </c>
      <c r="E105" s="14" t="n">
        <v>0</v>
      </c>
      <c r="F105" s="14" t="n">
        <v>3575.67</v>
      </c>
      <c r="G105" s="14" t="n">
        <v>3575.67</v>
      </c>
      <c r="H105" s="14" t="n">
        <v>1229.6802</v>
      </c>
      <c r="I105" s="14" t="n">
        <v>2345.99</v>
      </c>
      <c r="J105" s="14" t="n">
        <v>1478.54</v>
      </c>
      <c r="K105" s="15" t="n">
        <v>0.6561</v>
      </c>
      <c r="L105" s="15" t="n">
        <v>0.4135</v>
      </c>
      <c r="M105" s="29" t="n">
        <v>40.71</v>
      </c>
    </row>
    <row r="106" customFormat="false" ht="15" hidden="false" customHeight="false" outlineLevel="0" collapsed="false">
      <c r="A106" s="24" t="n">
        <v>10287</v>
      </c>
      <c r="B106" s="8" t="s">
        <v>40</v>
      </c>
      <c r="C106" s="25" t="n">
        <v>33</v>
      </c>
      <c r="D106" s="25" t="n">
        <v>33</v>
      </c>
      <c r="E106" s="10" t="n">
        <v>0</v>
      </c>
      <c r="F106" s="10" t="n">
        <v>6852.45</v>
      </c>
      <c r="G106" s="10" t="n">
        <v>6852.45</v>
      </c>
      <c r="H106" s="10" t="n">
        <v>2208.09</v>
      </c>
      <c r="I106" s="10" t="n">
        <v>4644.36</v>
      </c>
      <c r="J106" s="10" t="n">
        <v>2981.96</v>
      </c>
      <c r="K106" s="11" t="n">
        <v>0.6778</v>
      </c>
      <c r="L106" s="11" t="n">
        <v>0.4352</v>
      </c>
      <c r="M106" s="26" t="n">
        <v>34.48</v>
      </c>
    </row>
    <row r="107" customFormat="false" ht="15" hidden="false" customHeight="false" outlineLevel="0" collapsed="false">
      <c r="A107" s="27" t="n">
        <v>10288</v>
      </c>
      <c r="B107" s="12" t="s">
        <v>120</v>
      </c>
      <c r="C107" s="28" t="n">
        <v>5</v>
      </c>
      <c r="D107" s="28" t="n">
        <v>5</v>
      </c>
      <c r="E107" s="14" t="n">
        <v>0</v>
      </c>
      <c r="F107" s="14" t="n">
        <v>1499.8</v>
      </c>
      <c r="G107" s="14" t="n">
        <v>1499.8</v>
      </c>
      <c r="H107" s="14" t="n">
        <v>579.59</v>
      </c>
      <c r="I107" s="14" t="n">
        <v>920.21</v>
      </c>
      <c r="J107" s="14" t="n">
        <v>508.18</v>
      </c>
      <c r="K107" s="15" t="n">
        <v>0.6136</v>
      </c>
      <c r="L107" s="15" t="n">
        <v>0.3388</v>
      </c>
      <c r="M107" s="29" t="n">
        <v>40</v>
      </c>
    </row>
    <row r="108" customFormat="false" ht="15" hidden="false" customHeight="false" outlineLevel="0" collapsed="false">
      <c r="A108" s="24" t="n">
        <v>10296</v>
      </c>
      <c r="B108" s="8" t="s">
        <v>121</v>
      </c>
      <c r="C108" s="25" t="n">
        <v>260</v>
      </c>
      <c r="D108" s="25" t="n">
        <v>260</v>
      </c>
      <c r="E108" s="10" t="n">
        <v>0</v>
      </c>
      <c r="F108" s="10" t="n">
        <v>30421.3</v>
      </c>
      <c r="G108" s="10" t="n">
        <v>30421.3</v>
      </c>
      <c r="H108" s="10" t="n">
        <v>19921.3008</v>
      </c>
      <c r="I108" s="10" t="n">
        <v>10500</v>
      </c>
      <c r="J108" s="10" t="n">
        <v>2518.72</v>
      </c>
      <c r="K108" s="11" t="n">
        <v>0.3452</v>
      </c>
      <c r="L108" s="11" t="n">
        <v>0.0828</v>
      </c>
      <c r="M108" s="26" t="n">
        <v>50.48</v>
      </c>
    </row>
    <row r="109" customFormat="false" ht="15" hidden="false" customHeight="false" outlineLevel="0" collapsed="false">
      <c r="A109" s="27" t="n">
        <v>10299</v>
      </c>
      <c r="B109" s="12" t="s">
        <v>122</v>
      </c>
      <c r="C109" s="28" t="n">
        <v>48</v>
      </c>
      <c r="D109" s="28" t="n">
        <v>48</v>
      </c>
      <c r="E109" s="14" t="n">
        <v>0</v>
      </c>
      <c r="F109" s="14" t="n">
        <v>7569.9</v>
      </c>
      <c r="G109" s="14" t="n">
        <v>7569.9</v>
      </c>
      <c r="H109" s="14" t="n">
        <v>5276.5905</v>
      </c>
      <c r="I109" s="14" t="n">
        <v>2293.31</v>
      </c>
      <c r="J109" s="14" t="n">
        <v>456.85</v>
      </c>
      <c r="K109" s="15" t="n">
        <v>0.303</v>
      </c>
      <c r="L109" s="15" t="n">
        <v>0.0604</v>
      </c>
      <c r="M109" s="29" t="n">
        <v>34.73</v>
      </c>
    </row>
    <row r="110" customFormat="false" ht="15" hidden="false" customHeight="false" outlineLevel="0" collapsed="false">
      <c r="A110" s="24" t="n">
        <v>10300</v>
      </c>
      <c r="B110" s="8" t="s">
        <v>123</v>
      </c>
      <c r="C110" s="25" t="n">
        <v>45</v>
      </c>
      <c r="D110" s="25" t="n">
        <v>45</v>
      </c>
      <c r="E110" s="10" t="n">
        <v>0</v>
      </c>
      <c r="F110" s="10" t="n">
        <v>7078.8</v>
      </c>
      <c r="G110" s="10" t="n">
        <v>7078.8</v>
      </c>
      <c r="H110" s="10" t="n">
        <v>4847.069</v>
      </c>
      <c r="I110" s="10" t="n">
        <v>2231.73</v>
      </c>
      <c r="J110" s="10" t="n">
        <v>514.41</v>
      </c>
      <c r="K110" s="11" t="n">
        <v>0.3153</v>
      </c>
      <c r="L110" s="11" t="n">
        <v>0.0727</v>
      </c>
      <c r="M110" s="26" t="n">
        <v>34.37</v>
      </c>
    </row>
    <row r="111" customFormat="false" ht="15" hidden="false" customHeight="false" outlineLevel="0" collapsed="false">
      <c r="A111" s="27" t="n">
        <v>10301</v>
      </c>
      <c r="B111" s="12" t="s">
        <v>124</v>
      </c>
      <c r="C111" s="28" t="n">
        <v>60</v>
      </c>
      <c r="D111" s="28" t="n">
        <v>60</v>
      </c>
      <c r="E111" s="14" t="n">
        <v>0</v>
      </c>
      <c r="F111" s="14" t="n">
        <v>7426.2</v>
      </c>
      <c r="G111" s="14" t="n">
        <v>7426.2</v>
      </c>
      <c r="H111" s="14" t="n">
        <v>4779.7</v>
      </c>
      <c r="I111" s="14" t="n">
        <v>2646.5</v>
      </c>
      <c r="J111" s="14" t="n">
        <v>844.9</v>
      </c>
      <c r="K111" s="15" t="n">
        <v>0.3564</v>
      </c>
      <c r="L111" s="15" t="n">
        <v>0.1138</v>
      </c>
      <c r="M111" s="29" t="n">
        <v>35.67</v>
      </c>
    </row>
    <row r="112" customFormat="false" ht="15" hidden="false" customHeight="false" outlineLevel="0" collapsed="false">
      <c r="A112" s="24" t="n">
        <v>10304</v>
      </c>
      <c r="B112" s="8" t="s">
        <v>125</v>
      </c>
      <c r="C112" s="25" t="n">
        <v>33</v>
      </c>
      <c r="D112" s="25" t="n">
        <v>33</v>
      </c>
      <c r="E112" s="10" t="n">
        <v>0</v>
      </c>
      <c r="F112" s="10" t="n">
        <v>4084.41</v>
      </c>
      <c r="G112" s="10" t="n">
        <v>4084.41</v>
      </c>
      <c r="H112" s="10" t="n">
        <v>2532.76</v>
      </c>
      <c r="I112" s="10" t="n">
        <v>1551.65</v>
      </c>
      <c r="J112" s="10" t="n">
        <v>560.76</v>
      </c>
      <c r="K112" s="11" t="n">
        <v>0.3799</v>
      </c>
      <c r="L112" s="11" t="n">
        <v>0.1373</v>
      </c>
      <c r="M112" s="26" t="n">
        <v>37.55</v>
      </c>
    </row>
    <row r="113" customFormat="false" ht="15" hidden="false" customHeight="false" outlineLevel="0" collapsed="false">
      <c r="A113" s="27" t="n">
        <v>10325</v>
      </c>
      <c r="B113" s="12" t="s">
        <v>126</v>
      </c>
      <c r="C113" s="28" t="n">
        <v>60</v>
      </c>
      <c r="D113" s="28" t="n">
        <v>60</v>
      </c>
      <c r="E113" s="14" t="n">
        <v>0</v>
      </c>
      <c r="F113" s="14" t="n">
        <v>12460.2</v>
      </c>
      <c r="G113" s="14" t="n">
        <v>12460.2</v>
      </c>
      <c r="H113" s="14" t="n">
        <v>4708.29</v>
      </c>
      <c r="I113" s="14" t="n">
        <v>7751.91</v>
      </c>
      <c r="J113" s="14" t="n">
        <v>4328.84</v>
      </c>
      <c r="K113" s="15" t="n">
        <v>0.6221</v>
      </c>
      <c r="L113" s="15" t="n">
        <v>0.3474</v>
      </c>
      <c r="M113" s="29" t="n">
        <v>36.33</v>
      </c>
    </row>
    <row r="114" customFormat="false" ht="15" hidden="false" customHeight="false" outlineLevel="0" collapsed="false">
      <c r="A114" s="24" t="n">
        <v>10331</v>
      </c>
      <c r="B114" s="8" t="s">
        <v>127</v>
      </c>
      <c r="C114" s="25" t="n">
        <v>11</v>
      </c>
      <c r="D114" s="25" t="n">
        <v>11</v>
      </c>
      <c r="E114" s="10" t="n">
        <v>0</v>
      </c>
      <c r="F114" s="10" t="n">
        <v>401.28</v>
      </c>
      <c r="G114" s="10" t="n">
        <v>401.28</v>
      </c>
      <c r="H114" s="10" t="n">
        <v>171.3602</v>
      </c>
      <c r="I114" s="10" t="n">
        <v>229.92</v>
      </c>
      <c r="J114" s="10" t="n">
        <v>119.68</v>
      </c>
      <c r="K114" s="11" t="n">
        <v>0.573</v>
      </c>
      <c r="L114" s="11" t="n">
        <v>0.2982</v>
      </c>
      <c r="M114" s="26" t="n">
        <v>45</v>
      </c>
    </row>
    <row r="115" customFormat="false" ht="15" hidden="false" customHeight="false" outlineLevel="0" collapsed="false">
      <c r="A115" s="27" t="n">
        <v>10335</v>
      </c>
      <c r="B115" s="12" t="s">
        <v>96</v>
      </c>
      <c r="C115" s="28" t="n">
        <v>6</v>
      </c>
      <c r="D115" s="28" t="n">
        <v>6</v>
      </c>
      <c r="E115" s="14" t="n">
        <v>0</v>
      </c>
      <c r="F115" s="14" t="n">
        <v>1262.16</v>
      </c>
      <c r="G115" s="14" t="n">
        <v>1262.16</v>
      </c>
      <c r="H115" s="14" t="n">
        <v>840.49</v>
      </c>
      <c r="I115" s="14" t="n">
        <v>421.67</v>
      </c>
      <c r="J115" s="14" t="n">
        <v>74.93</v>
      </c>
      <c r="K115" s="15" t="n">
        <v>0.3341</v>
      </c>
      <c r="L115" s="15" t="n">
        <v>0.0594</v>
      </c>
      <c r="M115" s="29" t="n">
        <v>42.67</v>
      </c>
    </row>
    <row r="116" customFormat="false" ht="15" hidden="false" customHeight="false" outlineLevel="0" collapsed="false">
      <c r="A116" s="24" t="n">
        <v>10337</v>
      </c>
      <c r="B116" s="8" t="s">
        <v>96</v>
      </c>
      <c r="C116" s="25" t="n">
        <v>6</v>
      </c>
      <c r="D116" s="25" t="n">
        <v>6</v>
      </c>
      <c r="E116" s="10" t="n">
        <v>0</v>
      </c>
      <c r="F116" s="10" t="n">
        <v>3903.72</v>
      </c>
      <c r="G116" s="10" t="n">
        <v>3903.72</v>
      </c>
      <c r="H116" s="10" t="n">
        <v>1443.54</v>
      </c>
      <c r="I116" s="10" t="n">
        <v>2460.18</v>
      </c>
      <c r="J116" s="10" t="n">
        <v>1370.7</v>
      </c>
      <c r="K116" s="11" t="n">
        <v>0.6302</v>
      </c>
      <c r="L116" s="11" t="n">
        <v>0.3511</v>
      </c>
      <c r="M116" s="26" t="n">
        <v>45</v>
      </c>
    </row>
    <row r="117" customFormat="false" ht="15" hidden="false" customHeight="false" outlineLevel="0" collapsed="false">
      <c r="A117" s="27" t="n">
        <v>10340</v>
      </c>
      <c r="B117" s="12" t="s">
        <v>128</v>
      </c>
      <c r="C117" s="28" t="n">
        <v>122</v>
      </c>
      <c r="D117" s="28" t="n">
        <v>122</v>
      </c>
      <c r="E117" s="14" t="n">
        <v>0</v>
      </c>
      <c r="F117" s="14" t="n">
        <v>1047.53</v>
      </c>
      <c r="G117" s="14" t="n">
        <v>1047.53</v>
      </c>
      <c r="H117" s="14" t="n">
        <v>564.4522</v>
      </c>
      <c r="I117" s="14" t="n">
        <v>483.08</v>
      </c>
      <c r="J117" s="14" t="n">
        <v>210.27</v>
      </c>
      <c r="K117" s="15" t="n">
        <v>0.4612</v>
      </c>
      <c r="L117" s="15" t="n">
        <v>0.2007</v>
      </c>
      <c r="M117" s="29" t="n">
        <v>50</v>
      </c>
    </row>
    <row r="118" customFormat="false" ht="15" hidden="false" customHeight="false" outlineLevel="0" collapsed="false">
      <c r="A118" s="24" t="n">
        <v>10343</v>
      </c>
      <c r="B118" s="8" t="s">
        <v>129</v>
      </c>
      <c r="C118" s="25" t="n">
        <v>16</v>
      </c>
      <c r="D118" s="25" t="n">
        <v>16</v>
      </c>
      <c r="E118" s="10" t="n">
        <v>0</v>
      </c>
      <c r="F118" s="10" t="n">
        <v>3203.52</v>
      </c>
      <c r="G118" s="10" t="n">
        <v>3203.52</v>
      </c>
      <c r="H118" s="10" t="n">
        <v>1483.6302</v>
      </c>
      <c r="I118" s="10" t="n">
        <v>1719.89</v>
      </c>
      <c r="J118" s="10" t="n">
        <v>839.82</v>
      </c>
      <c r="K118" s="11" t="n">
        <v>0.5369</v>
      </c>
      <c r="L118" s="11" t="n">
        <v>0.2622</v>
      </c>
      <c r="M118" s="26" t="n">
        <v>40.38</v>
      </c>
    </row>
    <row r="119" customFormat="false" ht="15" hidden="false" customHeight="false" outlineLevel="0" collapsed="false">
      <c r="A119" s="27" t="n">
        <v>10346</v>
      </c>
      <c r="B119" s="12" t="s">
        <v>130</v>
      </c>
      <c r="C119" s="28" t="n">
        <v>133</v>
      </c>
      <c r="D119" s="28" t="n">
        <v>133</v>
      </c>
      <c r="E119" s="14" t="n">
        <v>0</v>
      </c>
      <c r="F119" s="14" t="n">
        <v>29497.04</v>
      </c>
      <c r="G119" s="14" t="n">
        <v>29497.04</v>
      </c>
      <c r="H119" s="14" t="n">
        <v>4371.9794</v>
      </c>
      <c r="I119" s="14" t="n">
        <v>25125.06</v>
      </c>
      <c r="J119" s="14" t="n">
        <v>16897.19</v>
      </c>
      <c r="K119" s="15" t="n">
        <v>0.8518</v>
      </c>
      <c r="L119" s="15" t="n">
        <v>0.5728</v>
      </c>
      <c r="M119" s="29" t="n">
        <v>27.22</v>
      </c>
    </row>
    <row r="120" customFormat="false" ht="15" hidden="false" customHeight="false" outlineLevel="0" collapsed="false">
      <c r="A120" s="24" t="n">
        <v>10361</v>
      </c>
      <c r="B120" s="8" t="s">
        <v>96</v>
      </c>
      <c r="C120" s="25" t="n">
        <v>58</v>
      </c>
      <c r="D120" s="25" t="n">
        <v>58</v>
      </c>
      <c r="E120" s="10" t="n">
        <v>0</v>
      </c>
      <c r="F120" s="10" t="n">
        <v>55251.21</v>
      </c>
      <c r="G120" s="10" t="n">
        <v>55251.21</v>
      </c>
      <c r="H120" s="10" t="n">
        <v>12214.8198</v>
      </c>
      <c r="I120" s="10" t="n">
        <v>43036.39</v>
      </c>
      <c r="J120" s="10" t="n">
        <v>27615.67</v>
      </c>
      <c r="K120" s="11" t="n">
        <v>0.7789</v>
      </c>
      <c r="L120" s="11" t="n">
        <v>0.4998</v>
      </c>
      <c r="M120" s="26" t="n">
        <v>28.18</v>
      </c>
    </row>
    <row r="121" customFormat="false" ht="15" hidden="false" customHeight="false" outlineLevel="0" collapsed="false">
      <c r="A121" s="27" t="n">
        <v>10362</v>
      </c>
      <c r="B121" s="12" t="s">
        <v>131</v>
      </c>
      <c r="C121" s="28" t="n">
        <v>77</v>
      </c>
      <c r="D121" s="28" t="n">
        <v>77</v>
      </c>
      <c r="E121" s="14" t="n">
        <v>0</v>
      </c>
      <c r="F121" s="14" t="n">
        <v>6140.72</v>
      </c>
      <c r="G121" s="14" t="n">
        <v>6140.72</v>
      </c>
      <c r="H121" s="14" t="n">
        <v>2416.0901</v>
      </c>
      <c r="I121" s="14" t="n">
        <v>3724.63</v>
      </c>
      <c r="J121" s="14" t="n">
        <v>2037.62</v>
      </c>
      <c r="K121" s="15" t="n">
        <v>0.6065</v>
      </c>
      <c r="L121" s="15" t="n">
        <v>0.3318</v>
      </c>
      <c r="M121" s="29" t="n">
        <v>41.78</v>
      </c>
    </row>
    <row r="122" customFormat="false" ht="15" hidden="false" customHeight="false" outlineLevel="0" collapsed="false">
      <c r="A122" s="24" t="n">
        <v>10363</v>
      </c>
      <c r="B122" s="8" t="s">
        <v>132</v>
      </c>
      <c r="C122" s="25" t="n">
        <v>162</v>
      </c>
      <c r="D122" s="25" t="n">
        <v>162</v>
      </c>
      <c r="E122" s="10" t="n">
        <v>0</v>
      </c>
      <c r="F122" s="10" t="n">
        <v>9511.4</v>
      </c>
      <c r="G122" s="10" t="n">
        <v>9511.4</v>
      </c>
      <c r="H122" s="10" t="n">
        <v>5998.3951</v>
      </c>
      <c r="I122" s="10" t="n">
        <v>3513.01</v>
      </c>
      <c r="J122" s="10" t="n">
        <v>1154.95</v>
      </c>
      <c r="K122" s="11" t="n">
        <v>0.3693</v>
      </c>
      <c r="L122" s="11" t="n">
        <v>0.1214</v>
      </c>
      <c r="M122" s="26" t="n">
        <v>44.62</v>
      </c>
    </row>
    <row r="123" customFormat="false" ht="15" hidden="false" customHeight="false" outlineLevel="0" collapsed="false">
      <c r="A123" s="27" t="n">
        <v>10375</v>
      </c>
      <c r="B123" s="12" t="s">
        <v>133</v>
      </c>
      <c r="C123" s="28" t="n">
        <v>6</v>
      </c>
      <c r="D123" s="28" t="n">
        <v>6</v>
      </c>
      <c r="E123" s="14" t="n">
        <v>0</v>
      </c>
      <c r="F123" s="14" t="n">
        <v>240.9</v>
      </c>
      <c r="G123" s="14" t="n">
        <v>240.9</v>
      </c>
      <c r="H123" s="14" t="n">
        <v>88.6098</v>
      </c>
      <c r="I123" s="14" t="n">
        <v>152.29</v>
      </c>
      <c r="J123" s="14" t="n">
        <v>86.11</v>
      </c>
      <c r="K123" s="15" t="n">
        <v>0.6322</v>
      </c>
      <c r="L123" s="15" t="n">
        <v>0.3575</v>
      </c>
      <c r="M123" s="29" t="n">
        <v>51</v>
      </c>
    </row>
    <row r="124" customFormat="false" ht="15" hidden="false" customHeight="false" outlineLevel="0" collapsed="false">
      <c r="A124" s="24" t="n">
        <v>10376</v>
      </c>
      <c r="B124" s="8" t="s">
        <v>264</v>
      </c>
      <c r="C124" s="25" t="n">
        <v>6</v>
      </c>
      <c r="D124" s="25" t="n">
        <v>6</v>
      </c>
      <c r="E124" s="10" t="n">
        <v>0</v>
      </c>
      <c r="F124" s="10" t="n">
        <v>240.9</v>
      </c>
      <c r="G124" s="10" t="n">
        <v>240.9</v>
      </c>
      <c r="H124" s="10" t="n">
        <v>153.6</v>
      </c>
      <c r="I124" s="10" t="n">
        <v>87.3</v>
      </c>
      <c r="J124" s="10" t="n">
        <v>32.72</v>
      </c>
      <c r="K124" s="11" t="n">
        <v>0.3624</v>
      </c>
      <c r="L124" s="11" t="n">
        <v>0.1358</v>
      </c>
      <c r="M124" s="26" t="n">
        <v>42</v>
      </c>
    </row>
    <row r="125" customFormat="false" ht="15" hidden="false" customHeight="false" outlineLevel="0" collapsed="false">
      <c r="A125" s="27" t="n">
        <v>10397</v>
      </c>
      <c r="B125" s="12" t="s">
        <v>134</v>
      </c>
      <c r="C125" s="28" t="n">
        <v>101</v>
      </c>
      <c r="D125" s="28" t="n">
        <v>101</v>
      </c>
      <c r="E125" s="14" t="n">
        <v>0</v>
      </c>
      <c r="F125" s="14" t="n">
        <v>15089.06</v>
      </c>
      <c r="G125" s="14" t="n">
        <v>15089.06</v>
      </c>
      <c r="H125" s="14" t="n">
        <v>3756.1311</v>
      </c>
      <c r="I125" s="14" t="n">
        <v>11332.93</v>
      </c>
      <c r="J125" s="14" t="n">
        <v>7187.72</v>
      </c>
      <c r="K125" s="15" t="n">
        <v>0.7511</v>
      </c>
      <c r="L125" s="15" t="n">
        <v>0.4764</v>
      </c>
      <c r="M125" s="29" t="n">
        <v>43.53</v>
      </c>
    </row>
    <row r="126" customFormat="false" ht="15" hidden="false" customHeight="false" outlineLevel="0" collapsed="false">
      <c r="A126" s="24" t="n">
        <v>10404</v>
      </c>
      <c r="B126" s="8" t="s">
        <v>96</v>
      </c>
      <c r="C126" s="25" t="n">
        <v>15</v>
      </c>
      <c r="D126" s="25" t="n">
        <v>15</v>
      </c>
      <c r="E126" s="10" t="n">
        <v>0</v>
      </c>
      <c r="F126" s="10" t="n">
        <v>3268.35</v>
      </c>
      <c r="G126" s="10" t="n">
        <v>3268.35</v>
      </c>
      <c r="H126" s="10" t="n">
        <v>1789.1505</v>
      </c>
      <c r="I126" s="10" t="n">
        <v>1479.2</v>
      </c>
      <c r="J126" s="10" t="n">
        <v>581.32</v>
      </c>
      <c r="K126" s="11" t="n">
        <v>0.4526</v>
      </c>
      <c r="L126" s="11" t="n">
        <v>0.1779</v>
      </c>
      <c r="M126" s="26" t="n">
        <v>41</v>
      </c>
    </row>
    <row r="127" customFormat="false" ht="15" hidden="false" customHeight="false" outlineLevel="0" collapsed="false">
      <c r="A127" s="27" t="n">
        <v>10406</v>
      </c>
      <c r="B127" s="12" t="s">
        <v>135</v>
      </c>
      <c r="C127" s="28" t="n">
        <v>15</v>
      </c>
      <c r="D127" s="28" t="n">
        <v>15</v>
      </c>
      <c r="E127" s="14" t="n">
        <v>0</v>
      </c>
      <c r="F127" s="14" t="n">
        <v>4556.85</v>
      </c>
      <c r="G127" s="14" t="n">
        <v>4556.85</v>
      </c>
      <c r="H127" s="14" t="n">
        <v>1394.69</v>
      </c>
      <c r="I127" s="14" t="n">
        <v>3162.16</v>
      </c>
      <c r="J127" s="14" t="n">
        <v>2056.67</v>
      </c>
      <c r="K127" s="15" t="n">
        <v>0.6939</v>
      </c>
      <c r="L127" s="15" t="n">
        <v>0.4513</v>
      </c>
      <c r="M127" s="29" t="n">
        <v>36</v>
      </c>
    </row>
    <row r="128" customFormat="false" ht="15" hidden="false" customHeight="false" outlineLevel="0" collapsed="false">
      <c r="A128" s="24" t="n">
        <v>10408</v>
      </c>
      <c r="B128" s="8" t="s">
        <v>136</v>
      </c>
      <c r="C128" s="25" t="n">
        <v>375</v>
      </c>
      <c r="D128" s="25" t="n">
        <v>375</v>
      </c>
      <c r="E128" s="10" t="n">
        <v>0</v>
      </c>
      <c r="F128" s="10" t="n">
        <v>106220.85</v>
      </c>
      <c r="G128" s="10" t="n">
        <v>106220.85</v>
      </c>
      <c r="H128" s="10" t="n">
        <v>56708.62</v>
      </c>
      <c r="I128" s="10" t="n">
        <v>49512.23</v>
      </c>
      <c r="J128" s="10" t="n">
        <v>20331.25</v>
      </c>
      <c r="K128" s="11" t="n">
        <v>0.4661</v>
      </c>
      <c r="L128" s="11" t="n">
        <v>0.1914</v>
      </c>
      <c r="M128" s="26" t="n">
        <v>50</v>
      </c>
    </row>
    <row r="129" customFormat="false" ht="15" hidden="false" customHeight="false" outlineLevel="0" collapsed="false">
      <c r="A129" s="27" t="n">
        <v>10410</v>
      </c>
      <c r="B129" s="12" t="s">
        <v>320</v>
      </c>
      <c r="C129" s="28" t="n">
        <v>1</v>
      </c>
      <c r="D129" s="28" t="n">
        <v>1</v>
      </c>
      <c r="E129" s="14" t="n">
        <v>0</v>
      </c>
      <c r="F129" s="14" t="n">
        <v>95.03</v>
      </c>
      <c r="G129" s="14" t="n">
        <v>95.03</v>
      </c>
      <c r="H129" s="14" t="n">
        <v>38.15</v>
      </c>
      <c r="I129" s="14" t="n">
        <v>56.88</v>
      </c>
      <c r="J129" s="14" t="n">
        <v>30.36</v>
      </c>
      <c r="K129" s="15" t="n">
        <v>0.5985</v>
      </c>
      <c r="L129" s="15" t="n">
        <v>0.3195</v>
      </c>
      <c r="M129" s="29" t="n">
        <v>28</v>
      </c>
    </row>
    <row r="130" customFormat="false" ht="15" hidden="false" customHeight="false" outlineLevel="0" collapsed="false">
      <c r="A130" s="24" t="n">
        <v>10412</v>
      </c>
      <c r="B130" s="8" t="s">
        <v>129</v>
      </c>
      <c r="C130" s="25" t="n">
        <v>84</v>
      </c>
      <c r="D130" s="25" t="n">
        <v>84</v>
      </c>
      <c r="E130" s="10" t="n">
        <v>0</v>
      </c>
      <c r="F130" s="10" t="n">
        <v>33097.32</v>
      </c>
      <c r="G130" s="10" t="n">
        <v>33097.32</v>
      </c>
      <c r="H130" s="10" t="n">
        <v>15793.9232</v>
      </c>
      <c r="I130" s="10" t="n">
        <v>17303.4</v>
      </c>
      <c r="J130" s="10" t="n">
        <v>8066</v>
      </c>
      <c r="K130" s="11" t="n">
        <v>0.5228</v>
      </c>
      <c r="L130" s="11" t="n">
        <v>0.2437</v>
      </c>
      <c r="M130" s="26" t="n">
        <v>28.68</v>
      </c>
    </row>
    <row r="131" customFormat="false" ht="15" hidden="false" customHeight="false" outlineLevel="0" collapsed="false">
      <c r="A131" s="27" t="n">
        <v>10414</v>
      </c>
      <c r="B131" s="12" t="s">
        <v>321</v>
      </c>
      <c r="C131" s="28" t="n">
        <v>17</v>
      </c>
      <c r="D131" s="28" t="n">
        <v>17</v>
      </c>
      <c r="E131" s="14" t="n">
        <v>0</v>
      </c>
      <c r="F131" s="14" t="n">
        <v>4518.7</v>
      </c>
      <c r="G131" s="14" t="n">
        <v>4518.7</v>
      </c>
      <c r="H131" s="14" t="n">
        <v>2123.7198</v>
      </c>
      <c r="I131" s="14" t="n">
        <v>2394.98</v>
      </c>
      <c r="J131" s="14" t="n">
        <v>1134.83</v>
      </c>
      <c r="K131" s="15" t="n">
        <v>0.53</v>
      </c>
      <c r="L131" s="15" t="n">
        <v>0.2511</v>
      </c>
      <c r="M131" s="29" t="n">
        <v>50</v>
      </c>
    </row>
    <row r="132" customFormat="false" ht="15" hidden="false" customHeight="false" outlineLevel="0" collapsed="false">
      <c r="A132" s="24" t="n">
        <v>10419</v>
      </c>
      <c r="B132" s="8" t="s">
        <v>138</v>
      </c>
      <c r="C132" s="25" t="n">
        <v>20</v>
      </c>
      <c r="D132" s="25" t="n">
        <v>20</v>
      </c>
      <c r="E132" s="10" t="n">
        <v>0</v>
      </c>
      <c r="F132" s="10" t="n">
        <v>1947</v>
      </c>
      <c r="G132" s="10" t="n">
        <v>1947</v>
      </c>
      <c r="H132" s="10" t="n">
        <v>510.58</v>
      </c>
      <c r="I132" s="10" t="n">
        <v>1436.42</v>
      </c>
      <c r="J132" s="10" t="n">
        <v>893.02</v>
      </c>
      <c r="K132" s="11" t="n">
        <v>0.7378</v>
      </c>
      <c r="L132" s="11" t="n">
        <v>0.4587</v>
      </c>
      <c r="M132" s="26" t="n">
        <v>28</v>
      </c>
    </row>
    <row r="133" customFormat="false" ht="15" hidden="false" customHeight="false" outlineLevel="0" collapsed="false">
      <c r="A133" s="27" t="n">
        <v>10422</v>
      </c>
      <c r="B133" s="12" t="s">
        <v>139</v>
      </c>
      <c r="C133" s="28" t="n">
        <v>50</v>
      </c>
      <c r="D133" s="28" t="n">
        <v>50</v>
      </c>
      <c r="E133" s="14" t="n">
        <v>0</v>
      </c>
      <c r="F133" s="14" t="n">
        <v>45226.76</v>
      </c>
      <c r="G133" s="14" t="n">
        <v>45226.76</v>
      </c>
      <c r="H133" s="14" t="n">
        <v>13556.0402</v>
      </c>
      <c r="I133" s="14" t="n">
        <v>31670.72</v>
      </c>
      <c r="J133" s="14" t="n">
        <v>19246.17</v>
      </c>
      <c r="K133" s="15" t="n">
        <v>0.7003</v>
      </c>
      <c r="L133" s="15" t="n">
        <v>0.4255</v>
      </c>
      <c r="M133" s="29" t="n">
        <v>28</v>
      </c>
    </row>
    <row r="134" customFormat="false" ht="15" hidden="false" customHeight="false" outlineLevel="0" collapsed="false">
      <c r="A134" s="24" t="n">
        <v>10427</v>
      </c>
      <c r="B134" s="8" t="s">
        <v>140</v>
      </c>
      <c r="C134" s="25" t="n">
        <v>1</v>
      </c>
      <c r="D134" s="25" t="n">
        <v>1</v>
      </c>
      <c r="E134" s="10" t="n">
        <v>0</v>
      </c>
      <c r="F134" s="10" t="n">
        <v>203.78</v>
      </c>
      <c r="G134" s="10" t="n">
        <v>203.78</v>
      </c>
      <c r="H134" s="10" t="n">
        <v>94.99</v>
      </c>
      <c r="I134" s="10" t="n">
        <v>108.79</v>
      </c>
      <c r="J134" s="10" t="n">
        <v>83.81</v>
      </c>
      <c r="K134" s="11" t="n">
        <v>0.5339</v>
      </c>
      <c r="L134" s="11" t="n">
        <v>0.4113</v>
      </c>
      <c r="M134" s="26" t="n">
        <v>30</v>
      </c>
    </row>
    <row r="135" customFormat="false" ht="15" hidden="false" customHeight="false" outlineLevel="0" collapsed="false">
      <c r="A135" s="27" t="n">
        <v>10428</v>
      </c>
      <c r="B135" s="12" t="s">
        <v>141</v>
      </c>
      <c r="C135" s="28" t="n">
        <v>27</v>
      </c>
      <c r="D135" s="28" t="n">
        <v>27</v>
      </c>
      <c r="E135" s="14" t="n">
        <v>0</v>
      </c>
      <c r="F135" s="14" t="n">
        <v>31628.61</v>
      </c>
      <c r="G135" s="14" t="n">
        <v>31628.61</v>
      </c>
      <c r="H135" s="14" t="n">
        <v>17691.48</v>
      </c>
      <c r="I135" s="14" t="n">
        <v>13937.13</v>
      </c>
      <c r="J135" s="14" t="n">
        <v>5109.57</v>
      </c>
      <c r="K135" s="15" t="n">
        <v>0.4406</v>
      </c>
      <c r="L135" s="15" t="n">
        <v>0.1615</v>
      </c>
      <c r="M135" s="29" t="n">
        <v>28</v>
      </c>
    </row>
    <row r="136" customFormat="false" ht="15" hidden="false" customHeight="false" outlineLevel="0" collapsed="false">
      <c r="A136" s="24" t="n">
        <v>10435</v>
      </c>
      <c r="B136" s="8" t="s">
        <v>450</v>
      </c>
      <c r="C136" s="25" t="n">
        <v>8</v>
      </c>
      <c r="D136" s="25" t="n">
        <v>8</v>
      </c>
      <c r="E136" s="10" t="n">
        <v>0</v>
      </c>
      <c r="F136" s="10" t="n">
        <v>222000</v>
      </c>
      <c r="G136" s="10" t="n">
        <v>222000</v>
      </c>
      <c r="H136" s="10" t="n">
        <v>0</v>
      </c>
      <c r="I136" s="10" t="n">
        <v>222000</v>
      </c>
      <c r="J136" s="10" t="n">
        <v>222000</v>
      </c>
      <c r="K136" s="11" t="n">
        <v>1</v>
      </c>
      <c r="L136" s="11" t="n">
        <v>1</v>
      </c>
      <c r="M136" s="26" t="n">
        <v>30</v>
      </c>
    </row>
    <row r="137" customFormat="false" ht="15" hidden="false" customHeight="false" outlineLevel="0" collapsed="false">
      <c r="A137" s="27" t="n">
        <v>10439</v>
      </c>
      <c r="B137" s="12" t="s">
        <v>141</v>
      </c>
      <c r="C137" s="28" t="n">
        <v>44</v>
      </c>
      <c r="D137" s="28" t="n">
        <v>44</v>
      </c>
      <c r="E137" s="14" t="n">
        <v>0</v>
      </c>
      <c r="F137" s="14" t="n">
        <v>62681.52</v>
      </c>
      <c r="G137" s="14" t="n">
        <v>62681.52</v>
      </c>
      <c r="H137" s="14" t="n">
        <v>21550.7303</v>
      </c>
      <c r="I137" s="14" t="n">
        <v>41130.79</v>
      </c>
      <c r="J137" s="14" t="n">
        <v>23636.36</v>
      </c>
      <c r="K137" s="15" t="n">
        <v>0.6562</v>
      </c>
      <c r="L137" s="15" t="n">
        <v>0.3771</v>
      </c>
      <c r="M137" s="29" t="n">
        <v>28.14</v>
      </c>
    </row>
    <row r="138" customFormat="false" ht="15" hidden="false" customHeight="false" outlineLevel="0" collapsed="false">
      <c r="A138" s="24" t="n">
        <v>10444</v>
      </c>
      <c r="B138" s="8" t="s">
        <v>143</v>
      </c>
      <c r="C138" s="25" t="n">
        <v>19</v>
      </c>
      <c r="D138" s="25" t="n">
        <v>19</v>
      </c>
      <c r="E138" s="10" t="n">
        <v>0</v>
      </c>
      <c r="F138" s="10" t="n">
        <v>8281.53</v>
      </c>
      <c r="G138" s="10" t="n">
        <v>8281.53</v>
      </c>
      <c r="H138" s="10" t="n">
        <v>3267.81</v>
      </c>
      <c r="I138" s="10" t="n">
        <v>5013.72</v>
      </c>
      <c r="J138" s="10" t="n">
        <v>2702.37</v>
      </c>
      <c r="K138" s="11" t="n">
        <v>0.6054</v>
      </c>
      <c r="L138" s="11" t="n">
        <v>0.3263</v>
      </c>
      <c r="M138" s="26" t="n">
        <v>28</v>
      </c>
    </row>
    <row r="139" customFormat="false" ht="15" hidden="false" customHeight="false" outlineLevel="0" collapsed="false">
      <c r="A139" s="27" t="n">
        <v>10445</v>
      </c>
      <c r="B139" s="12" t="s">
        <v>144</v>
      </c>
      <c r="C139" s="28" t="n">
        <v>55</v>
      </c>
      <c r="D139" s="28" t="n">
        <v>55</v>
      </c>
      <c r="E139" s="14" t="n">
        <v>0</v>
      </c>
      <c r="F139" s="14" t="n">
        <v>7740.67</v>
      </c>
      <c r="G139" s="14" t="n">
        <v>7740.67</v>
      </c>
      <c r="H139" s="14" t="n">
        <v>2595.8603</v>
      </c>
      <c r="I139" s="14" t="n">
        <v>5144.81</v>
      </c>
      <c r="J139" s="14" t="n">
        <v>2984.5</v>
      </c>
      <c r="K139" s="15" t="n">
        <v>0.6646</v>
      </c>
      <c r="L139" s="15" t="n">
        <v>0.3856</v>
      </c>
      <c r="M139" s="29" t="n">
        <v>28</v>
      </c>
    </row>
    <row r="140" customFormat="false" ht="15" hidden="false" customHeight="false" outlineLevel="0" collapsed="false">
      <c r="A140" s="24" t="n">
        <v>10446</v>
      </c>
      <c r="B140" s="8" t="s">
        <v>145</v>
      </c>
      <c r="C140" s="25" t="n">
        <v>120</v>
      </c>
      <c r="D140" s="25" t="n">
        <v>120</v>
      </c>
      <c r="E140" s="10" t="n">
        <v>0</v>
      </c>
      <c r="F140" s="10" t="n">
        <v>6459.6</v>
      </c>
      <c r="G140" s="10" t="n">
        <v>6459.6</v>
      </c>
      <c r="H140" s="10" t="n">
        <v>1609.74</v>
      </c>
      <c r="I140" s="10" t="n">
        <v>4849.86</v>
      </c>
      <c r="J140" s="10" t="n">
        <v>3046.98</v>
      </c>
      <c r="K140" s="11" t="n">
        <v>0.7508</v>
      </c>
      <c r="L140" s="11" t="n">
        <v>0.4717</v>
      </c>
      <c r="M140" s="26" t="n">
        <v>28</v>
      </c>
    </row>
    <row r="141" customFormat="false" ht="15" hidden="false" customHeight="false" outlineLevel="0" collapsed="false">
      <c r="A141" s="27" t="n">
        <v>10447</v>
      </c>
      <c r="B141" s="12" t="s">
        <v>146</v>
      </c>
      <c r="C141" s="28" t="n">
        <v>162</v>
      </c>
      <c r="D141" s="28" t="n">
        <v>162</v>
      </c>
      <c r="E141" s="14" t="n">
        <v>0</v>
      </c>
      <c r="F141" s="14" t="n">
        <v>1773.9</v>
      </c>
      <c r="G141" s="14" t="n">
        <v>1773.9</v>
      </c>
      <c r="H141" s="14" t="n">
        <v>340.773</v>
      </c>
      <c r="I141" s="14" t="n">
        <v>1433.13</v>
      </c>
      <c r="J141" s="14" t="n">
        <v>938.04</v>
      </c>
      <c r="K141" s="15" t="n">
        <v>0.8079</v>
      </c>
      <c r="L141" s="15" t="n">
        <v>0.5288</v>
      </c>
      <c r="M141" s="29" t="n">
        <v>28</v>
      </c>
    </row>
    <row r="142" customFormat="false" ht="15" hidden="false" customHeight="false" outlineLevel="0" collapsed="false">
      <c r="A142" s="24" t="n">
        <v>10448</v>
      </c>
      <c r="B142" s="8" t="s">
        <v>147</v>
      </c>
      <c r="C142" s="25" t="n">
        <v>350</v>
      </c>
      <c r="D142" s="25" t="n">
        <v>350</v>
      </c>
      <c r="E142" s="10" t="n">
        <v>0</v>
      </c>
      <c r="F142" s="10" t="n">
        <v>7923.6</v>
      </c>
      <c r="G142" s="10" t="n">
        <v>7923.6</v>
      </c>
      <c r="H142" s="10" t="n">
        <v>2302.882</v>
      </c>
      <c r="I142" s="10" t="n">
        <v>5620.72</v>
      </c>
      <c r="J142" s="10" t="n">
        <v>3795.66</v>
      </c>
      <c r="K142" s="11" t="n">
        <v>0.7094</v>
      </c>
      <c r="L142" s="11" t="n">
        <v>0.479</v>
      </c>
      <c r="M142" s="26" t="n">
        <v>37.06</v>
      </c>
    </row>
    <row r="143" customFormat="false" ht="15" hidden="false" customHeight="false" outlineLevel="0" collapsed="false">
      <c r="A143" s="27" t="n">
        <v>10475</v>
      </c>
      <c r="B143" s="12" t="s">
        <v>150</v>
      </c>
      <c r="C143" s="28" t="n">
        <v>78</v>
      </c>
      <c r="D143" s="28" t="n">
        <v>78</v>
      </c>
      <c r="E143" s="14" t="n">
        <v>0</v>
      </c>
      <c r="F143" s="14" t="n">
        <v>10489.15</v>
      </c>
      <c r="G143" s="14" t="n">
        <v>10489.15</v>
      </c>
      <c r="H143" s="14" t="n">
        <v>7415.0619</v>
      </c>
      <c r="I143" s="14" t="n">
        <v>3074.09</v>
      </c>
      <c r="J143" s="14" t="n">
        <v>192.5</v>
      </c>
      <c r="K143" s="15" t="n">
        <v>0.2931</v>
      </c>
      <c r="L143" s="15" t="n">
        <v>0.0184</v>
      </c>
      <c r="M143" s="29" t="n">
        <v>50.8</v>
      </c>
    </row>
    <row r="144" customFormat="false" ht="15" hidden="false" customHeight="false" outlineLevel="0" collapsed="false">
      <c r="A144" s="24" t="n">
        <v>10476</v>
      </c>
      <c r="B144" s="8" t="s">
        <v>151</v>
      </c>
      <c r="C144" s="25" t="n">
        <v>162</v>
      </c>
      <c r="D144" s="25" t="n">
        <v>162</v>
      </c>
      <c r="E144" s="10" t="n">
        <v>0</v>
      </c>
      <c r="F144" s="10" t="n">
        <v>24631.85</v>
      </c>
      <c r="G144" s="10" t="n">
        <v>24631.85</v>
      </c>
      <c r="H144" s="10" t="n">
        <v>14344.752</v>
      </c>
      <c r="I144" s="10" t="n">
        <v>10287.1</v>
      </c>
      <c r="J144" s="10" t="n">
        <v>3530.38</v>
      </c>
      <c r="K144" s="11" t="n">
        <v>0.4176</v>
      </c>
      <c r="L144" s="11" t="n">
        <v>0.1433</v>
      </c>
      <c r="M144" s="26" t="n">
        <v>49.7</v>
      </c>
    </row>
    <row r="145" customFormat="false" ht="15" hidden="false" customHeight="false" outlineLevel="0" collapsed="false">
      <c r="A145" s="27" t="n">
        <v>10477</v>
      </c>
      <c r="B145" s="12" t="s">
        <v>152</v>
      </c>
      <c r="C145" s="28" t="n">
        <v>112</v>
      </c>
      <c r="D145" s="28" t="n">
        <v>112</v>
      </c>
      <c r="E145" s="14" t="n">
        <v>0</v>
      </c>
      <c r="F145" s="14" t="n">
        <v>14792.83</v>
      </c>
      <c r="G145" s="14" t="n">
        <v>14792.83</v>
      </c>
      <c r="H145" s="14" t="n">
        <v>9355.101</v>
      </c>
      <c r="I145" s="14" t="n">
        <v>5437.73</v>
      </c>
      <c r="J145" s="14" t="n">
        <v>1382.3</v>
      </c>
      <c r="K145" s="15" t="n">
        <v>0.3676</v>
      </c>
      <c r="L145" s="15" t="n">
        <v>0.0934</v>
      </c>
      <c r="M145" s="29" t="n">
        <v>49.59</v>
      </c>
    </row>
    <row r="146" customFormat="false" ht="15" hidden="false" customHeight="false" outlineLevel="0" collapsed="false">
      <c r="A146" s="24" t="n">
        <v>10481</v>
      </c>
      <c r="B146" s="8" t="s">
        <v>74</v>
      </c>
      <c r="C146" s="25" t="n">
        <v>20</v>
      </c>
      <c r="D146" s="25" t="n">
        <v>20</v>
      </c>
      <c r="E146" s="10" t="n">
        <v>0</v>
      </c>
      <c r="F146" s="10" t="n">
        <v>4746.6</v>
      </c>
      <c r="G146" s="10" t="n">
        <v>4746.6</v>
      </c>
      <c r="H146" s="10" t="n">
        <v>2140.7504</v>
      </c>
      <c r="I146" s="10" t="n">
        <v>2605.85</v>
      </c>
      <c r="J146" s="10" t="n">
        <v>1301.85</v>
      </c>
      <c r="K146" s="11" t="n">
        <v>0.549</v>
      </c>
      <c r="L146" s="11" t="n">
        <v>0.2743</v>
      </c>
      <c r="M146" s="26" t="n">
        <v>28</v>
      </c>
    </row>
    <row r="147" customFormat="false" ht="15" hidden="false" customHeight="false" outlineLevel="0" collapsed="false">
      <c r="A147" s="27" t="n">
        <v>10485</v>
      </c>
      <c r="B147" s="12" t="s">
        <v>40</v>
      </c>
      <c r="C147" s="28" t="n">
        <v>286</v>
      </c>
      <c r="D147" s="28" t="n">
        <v>286</v>
      </c>
      <c r="E147" s="14" t="n">
        <v>0</v>
      </c>
      <c r="F147" s="14" t="n">
        <v>42129.2</v>
      </c>
      <c r="G147" s="14" t="n">
        <v>42129.2</v>
      </c>
      <c r="H147" s="14" t="n">
        <v>18768.2015</v>
      </c>
      <c r="I147" s="14" t="n">
        <v>23361</v>
      </c>
      <c r="J147" s="14" t="n">
        <v>12078.64</v>
      </c>
      <c r="K147" s="15" t="n">
        <v>0.5545</v>
      </c>
      <c r="L147" s="15" t="n">
        <v>0.2867</v>
      </c>
      <c r="M147" s="29" t="n">
        <v>49.82</v>
      </c>
    </row>
    <row r="148" customFormat="false" ht="15" hidden="false" customHeight="false" outlineLevel="0" collapsed="false">
      <c r="A148" s="24" t="n">
        <v>10488</v>
      </c>
      <c r="B148" s="8" t="s">
        <v>154</v>
      </c>
      <c r="C148" s="25" t="n">
        <v>73</v>
      </c>
      <c r="D148" s="25" t="n">
        <v>73</v>
      </c>
      <c r="E148" s="10" t="n">
        <v>0</v>
      </c>
      <c r="F148" s="10" t="n">
        <v>31453.29</v>
      </c>
      <c r="G148" s="10" t="n">
        <v>31453.29</v>
      </c>
      <c r="H148" s="10" t="n">
        <v>14402.0801</v>
      </c>
      <c r="I148" s="10" t="n">
        <v>17051.21</v>
      </c>
      <c r="J148" s="10" t="n">
        <v>10467.53</v>
      </c>
      <c r="K148" s="11" t="n">
        <v>0.5421</v>
      </c>
      <c r="L148" s="11" t="n">
        <v>0.3328</v>
      </c>
      <c r="M148" s="26" t="n">
        <v>39.9</v>
      </c>
    </row>
    <row r="149" customFormat="false" ht="15" hidden="false" customHeight="false" outlineLevel="0" collapsed="false">
      <c r="A149" s="27" t="n">
        <v>10493</v>
      </c>
      <c r="B149" s="12" t="s">
        <v>155</v>
      </c>
      <c r="C149" s="28" t="n">
        <v>30</v>
      </c>
      <c r="D149" s="28" t="n">
        <v>30</v>
      </c>
      <c r="E149" s="14" t="n">
        <v>0</v>
      </c>
      <c r="F149" s="14" t="n">
        <v>14277.6</v>
      </c>
      <c r="G149" s="14" t="n">
        <v>14277.6</v>
      </c>
      <c r="H149" s="14" t="n">
        <v>8368.32</v>
      </c>
      <c r="I149" s="14" t="n">
        <v>5909.28</v>
      </c>
      <c r="J149" s="14" t="n">
        <v>1986.94</v>
      </c>
      <c r="K149" s="15" t="n">
        <v>0.4139</v>
      </c>
      <c r="L149" s="15" t="n">
        <v>0.1392</v>
      </c>
      <c r="M149" s="29" t="n">
        <v>34.67</v>
      </c>
    </row>
    <row r="150" customFormat="false" ht="15" hidden="false" customHeight="false" outlineLevel="0" collapsed="false">
      <c r="A150" s="24" t="n">
        <v>10500</v>
      </c>
      <c r="B150" s="8" t="s">
        <v>265</v>
      </c>
      <c r="C150" s="25" t="n">
        <v>10</v>
      </c>
      <c r="D150" s="25" t="n">
        <v>10</v>
      </c>
      <c r="E150" s="10" t="n">
        <v>0</v>
      </c>
      <c r="F150" s="10" t="n">
        <v>1630</v>
      </c>
      <c r="G150" s="10" t="n">
        <v>1630</v>
      </c>
      <c r="H150" s="10" t="n">
        <v>1154.32</v>
      </c>
      <c r="I150" s="10" t="n">
        <v>475.68</v>
      </c>
      <c r="J150" s="10" t="n">
        <v>27.89</v>
      </c>
      <c r="K150" s="11" t="n">
        <v>0.2918</v>
      </c>
      <c r="L150" s="11" t="n">
        <v>0.0171</v>
      </c>
      <c r="M150" s="26" t="n">
        <v>46</v>
      </c>
    </row>
    <row r="151" customFormat="false" ht="15" hidden="false" customHeight="false" outlineLevel="0" collapsed="false">
      <c r="A151" s="27" t="n">
        <v>10504</v>
      </c>
      <c r="B151" s="12" t="s">
        <v>157</v>
      </c>
      <c r="C151" s="28" t="n">
        <v>1</v>
      </c>
      <c r="D151" s="28" t="n">
        <v>1</v>
      </c>
      <c r="E151" s="14" t="n">
        <v>0</v>
      </c>
      <c r="F151" s="14" t="n">
        <v>4810.9</v>
      </c>
      <c r="G151" s="14" t="n">
        <v>4810.9</v>
      </c>
      <c r="H151" s="14" t="n">
        <v>2864.98</v>
      </c>
      <c r="I151" s="14" t="n">
        <v>1945.92</v>
      </c>
      <c r="J151" s="14" t="n">
        <v>624.27</v>
      </c>
      <c r="K151" s="15" t="n">
        <v>0.4045</v>
      </c>
      <c r="L151" s="15" t="n">
        <v>0.1298</v>
      </c>
      <c r="M151" s="29" t="n">
        <v>32</v>
      </c>
    </row>
    <row r="152" customFormat="false" ht="15" hidden="false" customHeight="false" outlineLevel="0" collapsed="false">
      <c r="A152" s="24" t="n">
        <v>10509</v>
      </c>
      <c r="B152" s="8" t="s">
        <v>266</v>
      </c>
      <c r="C152" s="25" t="n">
        <v>7</v>
      </c>
      <c r="D152" s="25" t="n">
        <v>7</v>
      </c>
      <c r="E152" s="10" t="n">
        <v>0</v>
      </c>
      <c r="F152" s="10" t="n">
        <v>440.01</v>
      </c>
      <c r="G152" s="10" t="n">
        <v>440.01</v>
      </c>
      <c r="H152" s="10" t="n">
        <v>85.52</v>
      </c>
      <c r="I152" s="10" t="n">
        <v>354.49</v>
      </c>
      <c r="J152" s="10" t="n">
        <v>233.61</v>
      </c>
      <c r="K152" s="11" t="n">
        <v>0.8056</v>
      </c>
      <c r="L152" s="11" t="n">
        <v>0.5309</v>
      </c>
      <c r="M152" s="26" t="n">
        <v>59.72</v>
      </c>
    </row>
    <row r="153" customFormat="false" ht="15" hidden="false" customHeight="false" outlineLevel="0" collapsed="false">
      <c r="A153" s="27" t="n">
        <v>10535</v>
      </c>
      <c r="B153" s="12" t="s">
        <v>158</v>
      </c>
      <c r="C153" s="28" t="n">
        <v>20</v>
      </c>
      <c r="D153" s="28" t="n">
        <v>20</v>
      </c>
      <c r="E153" s="14" t="n">
        <v>0</v>
      </c>
      <c r="F153" s="14" t="n">
        <v>4040</v>
      </c>
      <c r="G153" s="14" t="n">
        <v>4040</v>
      </c>
      <c r="H153" s="14" t="n">
        <v>1696.48</v>
      </c>
      <c r="I153" s="14" t="n">
        <v>2343.52</v>
      </c>
      <c r="J153" s="14" t="n">
        <v>1233.65</v>
      </c>
      <c r="K153" s="15" t="n">
        <v>0.5801</v>
      </c>
      <c r="L153" s="15" t="n">
        <v>0.3054</v>
      </c>
      <c r="M153" s="29" t="n">
        <v>28</v>
      </c>
    </row>
    <row r="154" customFormat="false" ht="15" hidden="false" customHeight="false" outlineLevel="0" collapsed="false">
      <c r="A154" s="24" t="n">
        <v>10539</v>
      </c>
      <c r="B154" s="8" t="s">
        <v>159</v>
      </c>
      <c r="C154" s="25" t="n">
        <v>10</v>
      </c>
      <c r="D154" s="25" t="n">
        <v>10</v>
      </c>
      <c r="E154" s="10" t="n">
        <v>0</v>
      </c>
      <c r="F154" s="10" t="n">
        <v>5090.8</v>
      </c>
      <c r="G154" s="10" t="n">
        <v>5090.8</v>
      </c>
      <c r="H154" s="10" t="n">
        <v>5489.5801</v>
      </c>
      <c r="I154" s="10" t="n">
        <v>-398.78</v>
      </c>
      <c r="J154" s="10" t="n">
        <v>-1819.6</v>
      </c>
      <c r="K154" s="11" t="n">
        <v>-0.0783</v>
      </c>
      <c r="L154" s="11" t="n">
        <v>-0.3574</v>
      </c>
      <c r="M154" s="26" t="n">
        <v>28</v>
      </c>
    </row>
    <row r="155" customFormat="false" ht="15" hidden="false" customHeight="false" outlineLevel="0" collapsed="false">
      <c r="A155" s="27" t="n">
        <v>10544</v>
      </c>
      <c r="B155" s="12" t="s">
        <v>160</v>
      </c>
      <c r="C155" s="28" t="n">
        <v>20</v>
      </c>
      <c r="D155" s="28" t="n">
        <v>20</v>
      </c>
      <c r="E155" s="14" t="n">
        <v>0</v>
      </c>
      <c r="F155" s="14" t="n">
        <v>10008.4</v>
      </c>
      <c r="G155" s="14" t="n">
        <v>10008.4</v>
      </c>
      <c r="H155" s="14" t="n">
        <v>6770.86</v>
      </c>
      <c r="I155" s="14" t="n">
        <v>3237.54</v>
      </c>
      <c r="J155" s="14" t="n">
        <v>444.2</v>
      </c>
      <c r="K155" s="15" t="n">
        <v>0.3235</v>
      </c>
      <c r="L155" s="15" t="n">
        <v>0.0444</v>
      </c>
      <c r="M155" s="29" t="n">
        <v>28</v>
      </c>
    </row>
    <row r="156" customFormat="false" ht="15" hidden="false" customHeight="false" outlineLevel="0" collapsed="false">
      <c r="A156" s="24" t="n">
        <v>10554</v>
      </c>
      <c r="B156" s="8" t="s">
        <v>161</v>
      </c>
      <c r="C156" s="25" t="n">
        <v>42</v>
      </c>
      <c r="D156" s="25" t="n">
        <v>42</v>
      </c>
      <c r="E156" s="10" t="n">
        <v>0</v>
      </c>
      <c r="F156" s="10" t="n">
        <v>4310.88</v>
      </c>
      <c r="G156" s="10" t="n">
        <v>4310.88</v>
      </c>
      <c r="H156" s="10" t="n">
        <v>683.37</v>
      </c>
      <c r="I156" s="10" t="n">
        <v>3627.51</v>
      </c>
      <c r="J156" s="10" t="n">
        <v>2443.19</v>
      </c>
      <c r="K156" s="11" t="n">
        <v>0.8415</v>
      </c>
      <c r="L156" s="11" t="n">
        <v>0.5667</v>
      </c>
      <c r="M156" s="26" t="n">
        <v>50</v>
      </c>
    </row>
    <row r="157" customFormat="false" ht="15" hidden="false" customHeight="false" outlineLevel="0" collapsed="false">
      <c r="A157" s="27" t="n">
        <v>10555</v>
      </c>
      <c r="B157" s="12" t="s">
        <v>162</v>
      </c>
      <c r="C157" s="28" t="n">
        <v>8</v>
      </c>
      <c r="D157" s="28" t="n">
        <v>8</v>
      </c>
      <c r="E157" s="14" t="n">
        <v>0</v>
      </c>
      <c r="F157" s="14" t="n">
        <v>2502.35</v>
      </c>
      <c r="G157" s="14" t="n">
        <v>2502.35</v>
      </c>
      <c r="H157" s="14" t="n">
        <v>1496.72</v>
      </c>
      <c r="I157" s="14" t="n">
        <v>1005.63</v>
      </c>
      <c r="J157" s="14" t="n">
        <v>297.73</v>
      </c>
      <c r="K157" s="15" t="n">
        <v>0.4019</v>
      </c>
      <c r="L157" s="15" t="n">
        <v>0.119</v>
      </c>
      <c r="M157" s="29" t="n">
        <v>49.28</v>
      </c>
    </row>
    <row r="158" customFormat="false" ht="15" hidden="false" customHeight="false" outlineLevel="0" collapsed="false">
      <c r="A158" s="24" t="n">
        <v>10560</v>
      </c>
      <c r="B158" s="8" t="s">
        <v>158</v>
      </c>
      <c r="C158" s="25" t="n">
        <v>90</v>
      </c>
      <c r="D158" s="25" t="n">
        <v>90</v>
      </c>
      <c r="E158" s="10" t="n">
        <v>0</v>
      </c>
      <c r="F158" s="10" t="n">
        <v>18141.96</v>
      </c>
      <c r="G158" s="10" t="n">
        <v>18141.96</v>
      </c>
      <c r="H158" s="10" t="n">
        <v>9050.96</v>
      </c>
      <c r="I158" s="10" t="n">
        <v>9091</v>
      </c>
      <c r="J158" s="10" t="n">
        <v>4107.02</v>
      </c>
      <c r="K158" s="11" t="n">
        <v>0.5011</v>
      </c>
      <c r="L158" s="11" t="n">
        <v>0.2264</v>
      </c>
      <c r="M158" s="26" t="n">
        <v>50</v>
      </c>
    </row>
    <row r="159" customFormat="false" ht="15" hidden="false" customHeight="false" outlineLevel="0" collapsed="false">
      <c r="A159" s="27" t="n">
        <v>10563</v>
      </c>
      <c r="B159" s="12" t="s">
        <v>269</v>
      </c>
      <c r="C159" s="28" t="n">
        <v>10</v>
      </c>
      <c r="D159" s="28" t="n">
        <v>10</v>
      </c>
      <c r="E159" s="14" t="n">
        <v>0</v>
      </c>
      <c r="F159" s="14" t="n">
        <v>2180</v>
      </c>
      <c r="G159" s="14" t="n">
        <v>2180</v>
      </c>
      <c r="H159" s="14" t="n">
        <v>973.82</v>
      </c>
      <c r="I159" s="14" t="n">
        <v>1206.18</v>
      </c>
      <c r="J159" s="14" t="n">
        <v>607.29</v>
      </c>
      <c r="K159" s="15" t="n">
        <v>0.5533</v>
      </c>
      <c r="L159" s="15" t="n">
        <v>0.2786</v>
      </c>
      <c r="M159" s="29" t="n">
        <v>42</v>
      </c>
    </row>
    <row r="160" customFormat="false" ht="15" hidden="false" customHeight="false" outlineLevel="0" collapsed="false">
      <c r="A160" s="24" t="n">
        <v>10564</v>
      </c>
      <c r="B160" s="8" t="s">
        <v>163</v>
      </c>
      <c r="C160" s="25" t="n">
        <v>2</v>
      </c>
      <c r="D160" s="25" t="n">
        <v>2</v>
      </c>
      <c r="E160" s="10" t="n">
        <v>0</v>
      </c>
      <c r="F160" s="10" t="n">
        <v>378</v>
      </c>
      <c r="G160" s="10" t="n">
        <v>378</v>
      </c>
      <c r="H160" s="10" t="n">
        <v>183.16</v>
      </c>
      <c r="I160" s="10" t="n">
        <v>194.84</v>
      </c>
      <c r="J160" s="10" t="n">
        <v>90.99</v>
      </c>
      <c r="K160" s="11" t="n">
        <v>0.5154</v>
      </c>
      <c r="L160" s="11" t="n">
        <v>0.2407</v>
      </c>
      <c r="M160" s="26" t="n">
        <v>7</v>
      </c>
    </row>
    <row r="161" customFormat="false" ht="15" hidden="false" customHeight="false" outlineLevel="0" collapsed="false">
      <c r="A161" s="27" t="n">
        <v>10567</v>
      </c>
      <c r="B161" s="12" t="s">
        <v>164</v>
      </c>
      <c r="C161" s="28" t="n">
        <v>8</v>
      </c>
      <c r="D161" s="28" t="n">
        <v>8</v>
      </c>
      <c r="E161" s="14" t="n">
        <v>0</v>
      </c>
      <c r="F161" s="14" t="n">
        <v>347.44</v>
      </c>
      <c r="G161" s="14" t="n">
        <v>347.44</v>
      </c>
      <c r="H161" s="14" t="n">
        <v>140.56</v>
      </c>
      <c r="I161" s="14" t="n">
        <v>206.88</v>
      </c>
      <c r="J161" s="14" t="n">
        <v>109.89</v>
      </c>
      <c r="K161" s="15" t="n">
        <v>0.5954</v>
      </c>
      <c r="L161" s="15" t="n">
        <v>0.3163</v>
      </c>
      <c r="M161" s="29" t="n">
        <v>28</v>
      </c>
    </row>
    <row r="162" customFormat="false" ht="15" hidden="false" customHeight="false" outlineLevel="0" collapsed="false">
      <c r="A162" s="24" t="n">
        <v>10570</v>
      </c>
      <c r="B162" s="8" t="s">
        <v>323</v>
      </c>
      <c r="C162" s="25" t="n">
        <v>200</v>
      </c>
      <c r="D162" s="25" t="n">
        <v>200</v>
      </c>
      <c r="E162" s="10" t="n">
        <v>0</v>
      </c>
      <c r="F162" s="10" t="n">
        <v>6160</v>
      </c>
      <c r="G162" s="10" t="n">
        <v>6160</v>
      </c>
      <c r="H162" s="10" t="n">
        <v>2860.74</v>
      </c>
      <c r="I162" s="10" t="n">
        <v>3299.26</v>
      </c>
      <c r="J162" s="10" t="n">
        <v>1606.98</v>
      </c>
      <c r="K162" s="11" t="n">
        <v>0.5356</v>
      </c>
      <c r="L162" s="11" t="n">
        <v>0.2609</v>
      </c>
      <c r="M162" s="26" t="n">
        <v>46</v>
      </c>
    </row>
    <row r="163" customFormat="false" ht="15" hidden="false" customHeight="false" outlineLevel="0" collapsed="false">
      <c r="A163" s="27" t="n">
        <v>10576</v>
      </c>
      <c r="B163" s="12" t="s">
        <v>165</v>
      </c>
      <c r="C163" s="28" t="n">
        <v>90</v>
      </c>
      <c r="D163" s="28" t="n">
        <v>90</v>
      </c>
      <c r="E163" s="14" t="n">
        <v>0</v>
      </c>
      <c r="F163" s="14" t="n">
        <v>2329</v>
      </c>
      <c r="G163" s="14" t="n">
        <v>2329</v>
      </c>
      <c r="H163" s="14" t="n">
        <v>1364.44</v>
      </c>
      <c r="I163" s="14" t="n">
        <v>964.56</v>
      </c>
      <c r="J163" s="14" t="n">
        <v>314.54</v>
      </c>
      <c r="K163" s="15" t="n">
        <v>0.4142</v>
      </c>
      <c r="L163" s="15" t="n">
        <v>0.1351</v>
      </c>
      <c r="M163" s="29" t="n">
        <v>45</v>
      </c>
    </row>
    <row r="164" customFormat="false" ht="15" hidden="false" customHeight="false" outlineLevel="0" collapsed="false">
      <c r="A164" s="24" t="n">
        <v>10585</v>
      </c>
      <c r="B164" s="8" t="s">
        <v>166</v>
      </c>
      <c r="C164" s="25" t="n">
        <v>10</v>
      </c>
      <c r="D164" s="25" t="n">
        <v>10</v>
      </c>
      <c r="E164" s="10" t="n">
        <v>0</v>
      </c>
      <c r="F164" s="10" t="n">
        <v>5415.2</v>
      </c>
      <c r="G164" s="10" t="n">
        <v>5415.2</v>
      </c>
      <c r="H164" s="10" t="n">
        <v>1831.07</v>
      </c>
      <c r="I164" s="10" t="n">
        <v>3584.13</v>
      </c>
      <c r="J164" s="10" t="n">
        <v>2083.77</v>
      </c>
      <c r="K164" s="11" t="n">
        <v>0.6619</v>
      </c>
      <c r="L164" s="11" t="n">
        <v>0.3848</v>
      </c>
      <c r="M164" s="26" t="n">
        <v>51.97</v>
      </c>
    </row>
    <row r="165" customFormat="false" ht="15" hidden="false" customHeight="false" outlineLevel="0" collapsed="false">
      <c r="A165" s="27" t="n">
        <v>10588</v>
      </c>
      <c r="B165" s="12" t="s">
        <v>271</v>
      </c>
      <c r="C165" s="28" t="n">
        <v>34</v>
      </c>
      <c r="D165" s="28" t="n">
        <v>34</v>
      </c>
      <c r="E165" s="14" t="n">
        <v>0</v>
      </c>
      <c r="F165" s="14" t="n">
        <v>741.2</v>
      </c>
      <c r="G165" s="14" t="n">
        <v>741.2</v>
      </c>
      <c r="H165" s="14" t="n">
        <v>78.48</v>
      </c>
      <c r="I165" s="14" t="n">
        <v>662.72</v>
      </c>
      <c r="J165" s="14" t="n">
        <v>455.9</v>
      </c>
      <c r="K165" s="15" t="n">
        <v>0.8941</v>
      </c>
      <c r="L165" s="15" t="n">
        <v>0.6151</v>
      </c>
      <c r="M165" s="29" t="n">
        <v>50</v>
      </c>
    </row>
    <row r="166" customFormat="false" ht="15" hidden="false" customHeight="false" outlineLevel="0" collapsed="false">
      <c r="A166" s="24" t="n">
        <v>10589</v>
      </c>
      <c r="B166" s="8" t="s">
        <v>391</v>
      </c>
      <c r="C166" s="25" t="n">
        <v>594</v>
      </c>
      <c r="D166" s="25" t="n">
        <v>594</v>
      </c>
      <c r="E166" s="10" t="n">
        <v>0</v>
      </c>
      <c r="F166" s="10" t="n">
        <v>8862.48</v>
      </c>
      <c r="G166" s="10" t="n">
        <v>8862.48</v>
      </c>
      <c r="H166" s="10" t="n">
        <v>5125.4424</v>
      </c>
      <c r="I166" s="10" t="n">
        <v>3737.04</v>
      </c>
      <c r="J166" s="10" t="n">
        <v>1302.33</v>
      </c>
      <c r="K166" s="11" t="n">
        <v>0.4217</v>
      </c>
      <c r="L166" s="11" t="n">
        <v>0.1469</v>
      </c>
      <c r="M166" s="26" t="n">
        <v>65</v>
      </c>
    </row>
    <row r="167" customFormat="false" ht="15" hidden="false" customHeight="false" outlineLevel="0" collapsed="false">
      <c r="A167" s="27" t="n">
        <v>10590</v>
      </c>
      <c r="B167" s="12" t="s">
        <v>392</v>
      </c>
      <c r="C167" s="28" t="n">
        <v>210</v>
      </c>
      <c r="D167" s="28" t="n">
        <v>210</v>
      </c>
      <c r="E167" s="14" t="n">
        <v>0</v>
      </c>
      <c r="F167" s="14" t="n">
        <v>4389</v>
      </c>
      <c r="G167" s="14" t="n">
        <v>4389</v>
      </c>
      <c r="H167" s="14" t="n">
        <v>2306.1</v>
      </c>
      <c r="I167" s="14" t="n">
        <v>2082.9</v>
      </c>
      <c r="J167" s="14" t="n">
        <v>877.15</v>
      </c>
      <c r="K167" s="15" t="n">
        <v>0.4746</v>
      </c>
      <c r="L167" s="15" t="n">
        <v>0.1999</v>
      </c>
      <c r="M167" s="29" t="n">
        <v>65</v>
      </c>
    </row>
    <row r="168" customFormat="false" ht="15" hidden="false" customHeight="false" outlineLevel="0" collapsed="false">
      <c r="A168" s="24" t="n">
        <v>10591</v>
      </c>
      <c r="B168" s="8" t="s">
        <v>324</v>
      </c>
      <c r="C168" s="25" t="n">
        <v>1</v>
      </c>
      <c r="D168" s="25" t="n">
        <v>1</v>
      </c>
      <c r="E168" s="10" t="n">
        <v>0</v>
      </c>
      <c r="F168" s="10" t="n">
        <v>18835.7</v>
      </c>
      <c r="G168" s="10" t="n">
        <v>18835.7</v>
      </c>
      <c r="H168" s="10" t="n">
        <v>5468.08</v>
      </c>
      <c r="I168" s="10" t="n">
        <v>13367.62</v>
      </c>
      <c r="J168" s="10" t="n">
        <v>8193.08</v>
      </c>
      <c r="K168" s="11" t="n">
        <v>0.7097</v>
      </c>
      <c r="L168" s="11" t="n">
        <v>0.435</v>
      </c>
      <c r="M168" s="26" t="n">
        <v>0</v>
      </c>
    </row>
    <row r="169" customFormat="false" ht="15" hidden="false" customHeight="false" outlineLevel="0" collapsed="false">
      <c r="A169" s="27" t="n">
        <v>10592</v>
      </c>
      <c r="B169" s="12" t="s">
        <v>167</v>
      </c>
      <c r="C169" s="28" t="n">
        <v>8</v>
      </c>
      <c r="D169" s="28" t="n">
        <v>8</v>
      </c>
      <c r="E169" s="14" t="n">
        <v>0</v>
      </c>
      <c r="F169" s="14" t="n">
        <v>6384.14</v>
      </c>
      <c r="G169" s="14" t="n">
        <v>6384.14</v>
      </c>
      <c r="H169" s="14" t="n">
        <v>2095.62</v>
      </c>
      <c r="I169" s="14" t="n">
        <v>4288.52</v>
      </c>
      <c r="J169" s="14" t="n">
        <v>3116.06</v>
      </c>
      <c r="K169" s="15" t="n">
        <v>0.6717</v>
      </c>
      <c r="L169" s="15" t="n">
        <v>0.4881</v>
      </c>
      <c r="M169" s="29" t="n">
        <v>38.03</v>
      </c>
    </row>
    <row r="170" customFormat="false" ht="15" hidden="false" customHeight="false" outlineLevel="0" collapsed="false">
      <c r="A170" s="24" t="n">
        <v>10601</v>
      </c>
      <c r="B170" s="8" t="s">
        <v>169</v>
      </c>
      <c r="C170" s="25" t="n">
        <v>51</v>
      </c>
      <c r="D170" s="25" t="n">
        <v>51</v>
      </c>
      <c r="E170" s="10" t="n">
        <v>0</v>
      </c>
      <c r="F170" s="10" t="n">
        <v>4045.97</v>
      </c>
      <c r="G170" s="10" t="n">
        <v>4045.97</v>
      </c>
      <c r="H170" s="10" t="n">
        <v>1127.68</v>
      </c>
      <c r="I170" s="10" t="n">
        <v>2918.29</v>
      </c>
      <c r="J170" s="10" t="n">
        <v>1918.79</v>
      </c>
      <c r="K170" s="11" t="n">
        <v>0.7213</v>
      </c>
      <c r="L170" s="11" t="n">
        <v>0.4742</v>
      </c>
      <c r="M170" s="26" t="n">
        <v>43.56</v>
      </c>
    </row>
    <row r="171" customFormat="false" ht="15" hidden="false" customHeight="false" outlineLevel="0" collapsed="false">
      <c r="A171" s="27" t="n">
        <v>10602</v>
      </c>
      <c r="B171" s="12" t="s">
        <v>369</v>
      </c>
      <c r="C171" s="28" t="n">
        <v>20</v>
      </c>
      <c r="D171" s="28" t="n">
        <v>20</v>
      </c>
      <c r="E171" s="14" t="n">
        <v>0</v>
      </c>
      <c r="F171" s="14" t="n">
        <v>550.6</v>
      </c>
      <c r="G171" s="14" t="n">
        <v>550.6</v>
      </c>
      <c r="H171" s="14" t="n">
        <v>217.42</v>
      </c>
      <c r="I171" s="14" t="n">
        <v>333.18</v>
      </c>
      <c r="J171" s="14" t="n">
        <v>179.51</v>
      </c>
      <c r="K171" s="15" t="n">
        <v>0.6051</v>
      </c>
      <c r="L171" s="15" t="n">
        <v>0.326</v>
      </c>
      <c r="M171" s="29" t="n">
        <v>45</v>
      </c>
    </row>
    <row r="172" customFormat="false" ht="15" hidden="false" customHeight="false" outlineLevel="0" collapsed="false">
      <c r="A172" s="24" t="n">
        <v>10603</v>
      </c>
      <c r="B172" s="8" t="s">
        <v>272</v>
      </c>
      <c r="C172" s="25" t="n">
        <v>10</v>
      </c>
      <c r="D172" s="25" t="n">
        <v>10</v>
      </c>
      <c r="E172" s="10" t="n">
        <v>0</v>
      </c>
      <c r="F172" s="10" t="n">
        <v>2198.9</v>
      </c>
      <c r="G172" s="10" t="n">
        <v>2198.9</v>
      </c>
      <c r="H172" s="10" t="n">
        <v>1115.16</v>
      </c>
      <c r="I172" s="10" t="n">
        <v>1083.74</v>
      </c>
      <c r="J172" s="10" t="n">
        <v>479.66</v>
      </c>
      <c r="K172" s="11" t="n">
        <v>0.4929</v>
      </c>
      <c r="L172" s="11" t="n">
        <v>0.2181</v>
      </c>
      <c r="M172" s="26" t="n">
        <v>45</v>
      </c>
    </row>
    <row r="173" customFormat="false" ht="15" hidden="false" customHeight="false" outlineLevel="0" collapsed="false">
      <c r="A173" s="27" t="n">
        <v>10615</v>
      </c>
      <c r="B173" s="12" t="s">
        <v>171</v>
      </c>
      <c r="C173" s="28" t="n">
        <v>77</v>
      </c>
      <c r="D173" s="28" t="n">
        <v>77</v>
      </c>
      <c r="E173" s="14" t="n">
        <v>0</v>
      </c>
      <c r="F173" s="14" t="n">
        <v>12940.39</v>
      </c>
      <c r="G173" s="14" t="n">
        <v>12940.39</v>
      </c>
      <c r="H173" s="14" t="n">
        <v>7874.1601</v>
      </c>
      <c r="I173" s="14" t="n">
        <v>5066.23</v>
      </c>
      <c r="J173" s="14" t="n">
        <v>1511.24</v>
      </c>
      <c r="K173" s="15" t="n">
        <v>0.3915</v>
      </c>
      <c r="L173" s="15" t="n">
        <v>0.1168</v>
      </c>
      <c r="M173" s="29" t="n">
        <v>50</v>
      </c>
    </row>
    <row r="174" customFormat="false" ht="15" hidden="false" customHeight="false" outlineLevel="0" collapsed="false">
      <c r="A174" s="24" t="n">
        <v>10616</v>
      </c>
      <c r="B174" s="8" t="s">
        <v>172</v>
      </c>
      <c r="C174" s="25" t="n">
        <v>252</v>
      </c>
      <c r="D174" s="25" t="n">
        <v>252</v>
      </c>
      <c r="E174" s="10" t="n">
        <v>0</v>
      </c>
      <c r="F174" s="10" t="n">
        <v>54154.88</v>
      </c>
      <c r="G174" s="10" t="n">
        <v>54154.88</v>
      </c>
      <c r="H174" s="10" t="n">
        <v>27193.7035</v>
      </c>
      <c r="I174" s="10" t="n">
        <v>26961.18</v>
      </c>
      <c r="J174" s="10" t="n">
        <v>12083.74</v>
      </c>
      <c r="K174" s="11" t="n">
        <v>0.4979</v>
      </c>
      <c r="L174" s="11" t="n">
        <v>0.2231</v>
      </c>
      <c r="M174" s="26" t="n">
        <v>50</v>
      </c>
    </row>
    <row r="175" customFormat="false" ht="15" hidden="false" customHeight="false" outlineLevel="0" collapsed="false">
      <c r="A175" s="27" t="n">
        <v>10617</v>
      </c>
      <c r="B175" s="12" t="s">
        <v>173</v>
      </c>
      <c r="C175" s="28" t="n">
        <v>279</v>
      </c>
      <c r="D175" s="28" t="n">
        <v>279</v>
      </c>
      <c r="E175" s="14" t="n">
        <v>0</v>
      </c>
      <c r="F175" s="14" t="n">
        <v>29927.58</v>
      </c>
      <c r="G175" s="14" t="n">
        <v>29927.58</v>
      </c>
      <c r="H175" s="14" t="n">
        <v>9004.0131</v>
      </c>
      <c r="I175" s="14" t="n">
        <v>20923.57</v>
      </c>
      <c r="J175" s="14" t="n">
        <v>12575.1</v>
      </c>
      <c r="K175" s="15" t="n">
        <v>0.6991</v>
      </c>
      <c r="L175" s="15" t="n">
        <v>0.4202</v>
      </c>
      <c r="M175" s="29" t="n">
        <v>50</v>
      </c>
    </row>
    <row r="176" customFormat="false" ht="15" hidden="false" customHeight="false" outlineLevel="0" collapsed="false">
      <c r="A176" s="24" t="n">
        <v>10620</v>
      </c>
      <c r="B176" s="8" t="s">
        <v>174</v>
      </c>
      <c r="C176" s="25" t="n">
        <v>150</v>
      </c>
      <c r="D176" s="25" t="n">
        <v>150</v>
      </c>
      <c r="E176" s="10" t="n">
        <v>0</v>
      </c>
      <c r="F176" s="10" t="n">
        <v>11932.5</v>
      </c>
      <c r="G176" s="10" t="n">
        <v>11932.5</v>
      </c>
      <c r="H176" s="10" t="n">
        <v>5548.246</v>
      </c>
      <c r="I176" s="10" t="n">
        <v>6384.25</v>
      </c>
      <c r="J176" s="10" t="n">
        <v>3106.15</v>
      </c>
      <c r="K176" s="11" t="n">
        <v>0.535</v>
      </c>
      <c r="L176" s="11" t="n">
        <v>0.2603</v>
      </c>
      <c r="M176" s="26" t="n">
        <v>50</v>
      </c>
    </row>
    <row r="177" customFormat="false" ht="15" hidden="false" customHeight="false" outlineLevel="0" collapsed="false">
      <c r="A177" s="27" t="n">
        <v>10621</v>
      </c>
      <c r="B177" s="12" t="s">
        <v>175</v>
      </c>
      <c r="C177" s="28" t="n">
        <v>5</v>
      </c>
      <c r="D177" s="28" t="n">
        <v>5</v>
      </c>
      <c r="E177" s="14" t="n">
        <v>0</v>
      </c>
      <c r="F177" s="14" t="n">
        <v>2794.75</v>
      </c>
      <c r="G177" s="14" t="n">
        <v>2794.75</v>
      </c>
      <c r="H177" s="14" t="n">
        <v>289.39</v>
      </c>
      <c r="I177" s="14" t="n">
        <v>2505.36</v>
      </c>
      <c r="J177" s="14" t="n">
        <v>2162.72</v>
      </c>
      <c r="K177" s="15" t="n">
        <v>0.8965</v>
      </c>
      <c r="L177" s="15" t="n">
        <v>0.7739</v>
      </c>
      <c r="M177" s="29" t="n">
        <v>30</v>
      </c>
    </row>
    <row r="178" customFormat="false" ht="15" hidden="false" customHeight="false" outlineLevel="0" collapsed="false">
      <c r="A178" s="24" t="n">
        <v>10623</v>
      </c>
      <c r="B178" s="8" t="s">
        <v>451</v>
      </c>
      <c r="C178" s="25" t="n">
        <v>60</v>
      </c>
      <c r="D178" s="25" t="n">
        <v>60</v>
      </c>
      <c r="E178" s="10" t="n">
        <v>0</v>
      </c>
      <c r="F178" s="10" t="n">
        <v>5322</v>
      </c>
      <c r="G178" s="10" t="n">
        <v>5322</v>
      </c>
      <c r="H178" s="10" t="n">
        <v>2967.612</v>
      </c>
      <c r="I178" s="10" t="n">
        <v>2354.39</v>
      </c>
      <c r="J178" s="10" t="n">
        <v>892.33</v>
      </c>
      <c r="K178" s="11" t="n">
        <v>0.4424</v>
      </c>
      <c r="L178" s="11" t="n">
        <v>0.1677</v>
      </c>
      <c r="M178" s="26" t="n">
        <v>45</v>
      </c>
    </row>
    <row r="179" customFormat="false" ht="15" hidden="false" customHeight="false" outlineLevel="0" collapsed="false">
      <c r="A179" s="27" t="n">
        <v>10624</v>
      </c>
      <c r="B179" s="12" t="s">
        <v>176</v>
      </c>
      <c r="C179" s="28" t="n">
        <v>17</v>
      </c>
      <c r="D179" s="28" t="n">
        <v>17</v>
      </c>
      <c r="E179" s="14" t="n">
        <v>0</v>
      </c>
      <c r="F179" s="14" t="n">
        <v>223572.1</v>
      </c>
      <c r="G179" s="14" t="n">
        <v>223572.1</v>
      </c>
      <c r="H179" s="14" t="n">
        <v>122233.48</v>
      </c>
      <c r="I179" s="14" t="n">
        <v>101338.62</v>
      </c>
      <c r="J179" s="14" t="n">
        <v>39918.89</v>
      </c>
      <c r="K179" s="15" t="n">
        <v>0.4533</v>
      </c>
      <c r="L179" s="15" t="n">
        <v>0.1786</v>
      </c>
      <c r="M179" s="29" t="n">
        <v>45</v>
      </c>
    </row>
    <row r="180" customFormat="false" ht="15" hidden="false" customHeight="false" outlineLevel="0" collapsed="false">
      <c r="A180" s="24" t="n">
        <v>10627</v>
      </c>
      <c r="B180" s="8" t="s">
        <v>178</v>
      </c>
      <c r="C180" s="25" t="n">
        <v>140</v>
      </c>
      <c r="D180" s="25" t="n">
        <v>140</v>
      </c>
      <c r="E180" s="10" t="n">
        <v>0</v>
      </c>
      <c r="F180" s="10" t="n">
        <v>3959.2</v>
      </c>
      <c r="G180" s="10" t="n">
        <v>3959.2</v>
      </c>
      <c r="H180" s="10" t="n">
        <v>1050.46</v>
      </c>
      <c r="I180" s="10" t="n">
        <v>2908.74</v>
      </c>
      <c r="J180" s="10" t="n">
        <v>1821.07</v>
      </c>
      <c r="K180" s="11" t="n">
        <v>0.7347</v>
      </c>
      <c r="L180" s="11" t="n">
        <v>0.46</v>
      </c>
      <c r="M180" s="26" t="n">
        <v>50</v>
      </c>
    </row>
    <row r="181" customFormat="false" ht="15" hidden="false" customHeight="false" outlineLevel="0" collapsed="false">
      <c r="A181" s="27" t="n">
        <v>10628</v>
      </c>
      <c r="B181" s="12" t="s">
        <v>179</v>
      </c>
      <c r="C181" s="28" t="n">
        <v>5</v>
      </c>
      <c r="D181" s="28" t="n">
        <v>5</v>
      </c>
      <c r="E181" s="14" t="n">
        <v>0</v>
      </c>
      <c r="F181" s="14" t="n">
        <v>655</v>
      </c>
      <c r="G181" s="14" t="n">
        <v>655</v>
      </c>
      <c r="H181" s="14" t="n">
        <v>186.12</v>
      </c>
      <c r="I181" s="14" t="n">
        <v>468.88</v>
      </c>
      <c r="J181" s="14" t="n">
        <v>288.94</v>
      </c>
      <c r="K181" s="15" t="n">
        <v>0.7158</v>
      </c>
      <c r="L181" s="15" t="n">
        <v>0.4411</v>
      </c>
      <c r="M181" s="29" t="n">
        <v>46</v>
      </c>
    </row>
    <row r="182" customFormat="false" ht="15" hidden="false" customHeight="false" outlineLevel="0" collapsed="false">
      <c r="A182" s="24" t="n">
        <v>10635</v>
      </c>
      <c r="B182" s="8" t="s">
        <v>326</v>
      </c>
      <c r="C182" s="25" t="n">
        <v>54</v>
      </c>
      <c r="D182" s="25" t="n">
        <v>54</v>
      </c>
      <c r="E182" s="10" t="n">
        <v>0</v>
      </c>
      <c r="F182" s="10" t="n">
        <v>8307.9</v>
      </c>
      <c r="G182" s="10" t="n">
        <v>8307.9</v>
      </c>
      <c r="H182" s="10" t="n">
        <v>5593.73</v>
      </c>
      <c r="I182" s="10" t="n">
        <v>2714.17</v>
      </c>
      <c r="J182" s="10" t="n">
        <v>395.44</v>
      </c>
      <c r="K182" s="11" t="n">
        <v>0.3267</v>
      </c>
      <c r="L182" s="11" t="n">
        <v>0.0476</v>
      </c>
      <c r="M182" s="26" t="n">
        <v>50</v>
      </c>
    </row>
    <row r="183" customFormat="false" ht="15" hidden="false" customHeight="false" outlineLevel="0" collapsed="false">
      <c r="A183" s="27" t="n">
        <v>10636</v>
      </c>
      <c r="B183" s="12" t="s">
        <v>273</v>
      </c>
      <c r="C183" s="28" t="n">
        <v>70</v>
      </c>
      <c r="D183" s="28" t="n">
        <v>70</v>
      </c>
      <c r="E183" s="14" t="n">
        <v>0</v>
      </c>
      <c r="F183" s="14" t="n">
        <v>2894.5</v>
      </c>
      <c r="G183" s="14" t="n">
        <v>2894.5</v>
      </c>
      <c r="H183" s="14" t="n">
        <v>661.5699</v>
      </c>
      <c r="I183" s="14" t="n">
        <v>2232.93</v>
      </c>
      <c r="J183" s="14" t="n">
        <v>1425.06</v>
      </c>
      <c r="K183" s="15" t="n">
        <v>0.7714</v>
      </c>
      <c r="L183" s="15" t="n">
        <v>0.4923</v>
      </c>
      <c r="M183" s="29" t="n">
        <v>50</v>
      </c>
    </row>
    <row r="184" customFormat="false" ht="15" hidden="false" customHeight="false" outlineLevel="0" collapsed="false">
      <c r="A184" s="24" t="n">
        <v>10637</v>
      </c>
      <c r="B184" s="8" t="s">
        <v>180</v>
      </c>
      <c r="C184" s="25" t="n">
        <v>44</v>
      </c>
      <c r="D184" s="25" t="n">
        <v>44</v>
      </c>
      <c r="E184" s="10" t="n">
        <v>0</v>
      </c>
      <c r="F184" s="10" t="n">
        <v>41504.8</v>
      </c>
      <c r="G184" s="10" t="n">
        <v>41504.8</v>
      </c>
      <c r="H184" s="10" t="n">
        <v>13185.7247</v>
      </c>
      <c r="I184" s="10" t="n">
        <v>28319.07</v>
      </c>
      <c r="J184" s="10" t="n">
        <v>16735.13</v>
      </c>
      <c r="K184" s="11" t="n">
        <v>0.6823</v>
      </c>
      <c r="L184" s="11" t="n">
        <v>0.4032</v>
      </c>
      <c r="M184" s="26" t="n">
        <v>45.37</v>
      </c>
    </row>
    <row r="185" customFormat="false" ht="15" hidden="false" customHeight="false" outlineLevel="0" collapsed="false">
      <c r="A185" s="27" t="n">
        <v>10642</v>
      </c>
      <c r="B185" s="12" t="s">
        <v>182</v>
      </c>
      <c r="C185" s="28" t="n">
        <v>1</v>
      </c>
      <c r="D185" s="28" t="n">
        <v>1</v>
      </c>
      <c r="E185" s="14" t="n">
        <v>0</v>
      </c>
      <c r="F185" s="14" t="n">
        <v>262</v>
      </c>
      <c r="G185" s="14" t="n">
        <v>262</v>
      </c>
      <c r="H185" s="14" t="n">
        <v>287.64</v>
      </c>
      <c r="I185" s="14" t="n">
        <v>-25.64</v>
      </c>
      <c r="J185" s="14" t="n">
        <v>-116.55</v>
      </c>
      <c r="K185" s="15" t="n">
        <v>-0.0979</v>
      </c>
      <c r="L185" s="15" t="n">
        <v>-0.4448</v>
      </c>
      <c r="M185" s="29" t="n">
        <v>46</v>
      </c>
    </row>
    <row r="186" customFormat="false" ht="15" hidden="false" customHeight="false" outlineLevel="0" collapsed="false">
      <c r="A186" s="24" t="n">
        <v>10665</v>
      </c>
      <c r="B186" s="8" t="s">
        <v>274</v>
      </c>
      <c r="C186" s="25" t="n">
        <v>10</v>
      </c>
      <c r="D186" s="25" t="n">
        <v>10</v>
      </c>
      <c r="E186" s="10" t="n">
        <v>0</v>
      </c>
      <c r="F186" s="10" t="n">
        <v>1467.4</v>
      </c>
      <c r="G186" s="10" t="n">
        <v>1467.4</v>
      </c>
      <c r="H186" s="10" t="n">
        <v>1033.7</v>
      </c>
      <c r="I186" s="10" t="n">
        <v>433.7</v>
      </c>
      <c r="J186" s="10" t="n">
        <v>30.58</v>
      </c>
      <c r="K186" s="11" t="n">
        <v>0.2956</v>
      </c>
      <c r="L186" s="11" t="n">
        <v>0.0208</v>
      </c>
      <c r="M186" s="26" t="n">
        <v>50</v>
      </c>
    </row>
    <row r="187" customFormat="false" ht="15" hidden="false" customHeight="false" outlineLevel="0" collapsed="false">
      <c r="A187" s="27" t="n">
        <v>10669</v>
      </c>
      <c r="B187" s="12" t="s">
        <v>394</v>
      </c>
      <c r="C187" s="28" t="n">
        <v>11</v>
      </c>
      <c r="D187" s="28" t="n">
        <v>11</v>
      </c>
      <c r="E187" s="14" t="n">
        <v>0</v>
      </c>
      <c r="F187" s="14" t="n">
        <v>1119.7</v>
      </c>
      <c r="G187" s="14" t="n">
        <v>1119.7</v>
      </c>
      <c r="H187" s="14" t="n">
        <v>305.2</v>
      </c>
      <c r="I187" s="14" t="n">
        <v>814.5</v>
      </c>
      <c r="J187" s="14" t="n">
        <v>506.9</v>
      </c>
      <c r="K187" s="15" t="n">
        <v>0.7274</v>
      </c>
      <c r="L187" s="15" t="n">
        <v>0.4527</v>
      </c>
      <c r="M187" s="29" t="n">
        <v>50</v>
      </c>
    </row>
    <row r="188" customFormat="false" ht="15" hidden="false" customHeight="false" outlineLevel="0" collapsed="false">
      <c r="A188" s="24" t="n">
        <v>10673</v>
      </c>
      <c r="B188" s="8" t="s">
        <v>183</v>
      </c>
      <c r="C188" s="25" t="n">
        <v>4</v>
      </c>
      <c r="D188" s="25" t="n">
        <v>4</v>
      </c>
      <c r="E188" s="10" t="n">
        <v>0</v>
      </c>
      <c r="F188" s="10" t="n">
        <v>11266.16</v>
      </c>
      <c r="G188" s="10" t="n">
        <v>11266.16</v>
      </c>
      <c r="H188" s="10" t="n">
        <v>6202.4701</v>
      </c>
      <c r="I188" s="10" t="n">
        <v>5063.69</v>
      </c>
      <c r="J188" s="10" t="n">
        <v>1919.31</v>
      </c>
      <c r="K188" s="11" t="n">
        <v>0.4495</v>
      </c>
      <c r="L188" s="11" t="n">
        <v>0.1704</v>
      </c>
      <c r="M188" s="26" t="n">
        <v>28</v>
      </c>
    </row>
    <row r="189" customFormat="false" ht="15" hidden="false" customHeight="false" outlineLevel="0" collapsed="false">
      <c r="A189" s="27" t="n">
        <v>10674</v>
      </c>
      <c r="B189" s="12" t="s">
        <v>184</v>
      </c>
      <c r="C189" s="28" t="n">
        <v>235</v>
      </c>
      <c r="D189" s="28" t="n">
        <v>235</v>
      </c>
      <c r="E189" s="14" t="n">
        <v>0</v>
      </c>
      <c r="F189" s="14" t="n">
        <v>31006.95</v>
      </c>
      <c r="G189" s="14" t="n">
        <v>31006.95</v>
      </c>
      <c r="H189" s="14" t="n">
        <v>22818.8299</v>
      </c>
      <c r="I189" s="14" t="n">
        <v>8188.12</v>
      </c>
      <c r="J189" s="14" t="n">
        <v>-299.12</v>
      </c>
      <c r="K189" s="15" t="n">
        <v>0.2641</v>
      </c>
      <c r="L189" s="15" t="n">
        <v>-0.0096</v>
      </c>
      <c r="M189" s="29" t="n">
        <v>50.14</v>
      </c>
    </row>
    <row r="190" customFormat="false" ht="15" hidden="false" customHeight="false" outlineLevel="0" collapsed="false">
      <c r="A190" s="24" t="n">
        <v>10677</v>
      </c>
      <c r="B190" s="8" t="s">
        <v>371</v>
      </c>
      <c r="C190" s="25" t="n">
        <v>3</v>
      </c>
      <c r="D190" s="25" t="n">
        <v>3</v>
      </c>
      <c r="E190" s="10" t="n">
        <v>0</v>
      </c>
      <c r="F190" s="10" t="n">
        <v>225.96</v>
      </c>
      <c r="G190" s="10" t="n">
        <v>225.96</v>
      </c>
      <c r="H190" s="10" t="n">
        <v>102.69</v>
      </c>
      <c r="I190" s="10" t="n">
        <v>123.27</v>
      </c>
      <c r="J190" s="10" t="n">
        <v>61.2</v>
      </c>
      <c r="K190" s="11" t="n">
        <v>0.5455</v>
      </c>
      <c r="L190" s="11" t="n">
        <v>0.2708</v>
      </c>
      <c r="M190" s="26" t="n">
        <v>51</v>
      </c>
    </row>
    <row r="191" customFormat="false" ht="15" hidden="false" customHeight="false" outlineLevel="0" collapsed="false">
      <c r="A191" s="27" t="n">
        <v>10678</v>
      </c>
      <c r="B191" s="12" t="s">
        <v>185</v>
      </c>
      <c r="C191" s="28" t="n">
        <v>80</v>
      </c>
      <c r="D191" s="28" t="n">
        <v>80</v>
      </c>
      <c r="E191" s="14" t="n">
        <v>0</v>
      </c>
      <c r="F191" s="14" t="n">
        <v>7192</v>
      </c>
      <c r="G191" s="14" t="n">
        <v>7192</v>
      </c>
      <c r="H191" s="14" t="n">
        <v>2430.4085</v>
      </c>
      <c r="I191" s="14" t="n">
        <v>4761.59</v>
      </c>
      <c r="J191" s="14" t="n">
        <v>2785.8</v>
      </c>
      <c r="K191" s="15" t="n">
        <v>0.6621</v>
      </c>
      <c r="L191" s="15" t="n">
        <v>0.3873</v>
      </c>
      <c r="M191" s="29" t="n">
        <v>50</v>
      </c>
    </row>
    <row r="192" customFormat="false" ht="15" hidden="false" customHeight="false" outlineLevel="0" collapsed="false">
      <c r="A192" s="24" t="n">
        <v>10679</v>
      </c>
      <c r="B192" s="8" t="s">
        <v>158</v>
      </c>
      <c r="C192" s="25" t="n">
        <v>46</v>
      </c>
      <c r="D192" s="25" t="n">
        <v>46</v>
      </c>
      <c r="E192" s="10" t="n">
        <v>0</v>
      </c>
      <c r="F192" s="10" t="n">
        <v>5007.28</v>
      </c>
      <c r="G192" s="10" t="n">
        <v>5007.28</v>
      </c>
      <c r="H192" s="10" t="n">
        <v>4244.81</v>
      </c>
      <c r="I192" s="10" t="n">
        <v>762.47</v>
      </c>
      <c r="J192" s="10" t="n">
        <v>-485.65</v>
      </c>
      <c r="K192" s="11" t="n">
        <v>0.1523</v>
      </c>
      <c r="L192" s="11" t="n">
        <v>-0.097</v>
      </c>
      <c r="M192" s="26" t="n">
        <v>50</v>
      </c>
    </row>
    <row r="193" customFormat="false" ht="15" hidden="false" customHeight="false" outlineLevel="0" collapsed="false">
      <c r="A193" s="27" t="n">
        <v>10697</v>
      </c>
      <c r="B193" s="12" t="s">
        <v>186</v>
      </c>
      <c r="C193" s="28" t="n">
        <v>22</v>
      </c>
      <c r="D193" s="28" t="n">
        <v>22</v>
      </c>
      <c r="E193" s="14" t="n">
        <v>0</v>
      </c>
      <c r="F193" s="14" t="n">
        <v>5849.36</v>
      </c>
      <c r="G193" s="14" t="n">
        <v>5849.36</v>
      </c>
      <c r="H193" s="14" t="n">
        <v>1732.89</v>
      </c>
      <c r="I193" s="14" t="n">
        <v>4116.47</v>
      </c>
      <c r="J193" s="14" t="n">
        <v>2509.54</v>
      </c>
      <c r="K193" s="15" t="n">
        <v>0.7037</v>
      </c>
      <c r="L193" s="15" t="n">
        <v>0.429</v>
      </c>
      <c r="M193" s="29" t="n">
        <v>50</v>
      </c>
    </row>
    <row r="194" customFormat="false" ht="15" hidden="false" customHeight="false" outlineLevel="0" collapsed="false">
      <c r="A194" s="24" t="n">
        <v>10711</v>
      </c>
      <c r="B194" s="8" t="s">
        <v>276</v>
      </c>
      <c r="C194" s="25" t="n">
        <v>54</v>
      </c>
      <c r="D194" s="25" t="n">
        <v>54</v>
      </c>
      <c r="E194" s="10" t="n">
        <v>0</v>
      </c>
      <c r="F194" s="10" t="n">
        <v>11010.6</v>
      </c>
      <c r="G194" s="10" t="n">
        <v>11010.6</v>
      </c>
      <c r="H194" s="10" t="n">
        <v>6195.7006</v>
      </c>
      <c r="I194" s="10" t="n">
        <v>4814.9</v>
      </c>
      <c r="J194" s="10" t="n">
        <v>1790.06</v>
      </c>
      <c r="K194" s="11" t="n">
        <v>0.4373</v>
      </c>
      <c r="L194" s="11" t="n">
        <v>0.1626</v>
      </c>
      <c r="M194" s="26" t="n">
        <v>50</v>
      </c>
    </row>
    <row r="195" customFormat="false" ht="15" hidden="false" customHeight="false" outlineLevel="0" collapsed="false">
      <c r="A195" s="27" t="n">
        <v>10712</v>
      </c>
      <c r="B195" s="12" t="s">
        <v>189</v>
      </c>
      <c r="C195" s="28" t="n">
        <v>505</v>
      </c>
      <c r="D195" s="28" t="n">
        <v>505</v>
      </c>
      <c r="E195" s="14" t="n">
        <v>0</v>
      </c>
      <c r="F195" s="14" t="n">
        <v>2216.95</v>
      </c>
      <c r="G195" s="14" t="n">
        <v>2216.95</v>
      </c>
      <c r="H195" s="14" t="n">
        <v>1194.2653</v>
      </c>
      <c r="I195" s="14" t="n">
        <v>1022.68</v>
      </c>
      <c r="J195" s="14" t="n">
        <v>403.94</v>
      </c>
      <c r="K195" s="15" t="n">
        <v>0.4613</v>
      </c>
      <c r="L195" s="15" t="n">
        <v>0.1822</v>
      </c>
      <c r="M195" s="29" t="n">
        <v>45</v>
      </c>
    </row>
    <row r="196" customFormat="false" ht="15" hidden="false" customHeight="false" outlineLevel="0" collapsed="false">
      <c r="A196" s="24" t="n">
        <v>10716</v>
      </c>
      <c r="B196" s="8" t="s">
        <v>452</v>
      </c>
      <c r="C196" s="25" t="n">
        <v>6</v>
      </c>
      <c r="D196" s="25" t="n">
        <v>6</v>
      </c>
      <c r="E196" s="10" t="n">
        <v>0</v>
      </c>
      <c r="F196" s="10" t="n">
        <v>5035.38</v>
      </c>
      <c r="G196" s="10" t="n">
        <v>5035.38</v>
      </c>
      <c r="H196" s="10" t="n">
        <v>1128.27</v>
      </c>
      <c r="I196" s="10" t="n">
        <v>3907.11</v>
      </c>
      <c r="J196" s="10" t="n">
        <v>2523.79</v>
      </c>
      <c r="K196" s="11" t="n">
        <v>0.7759</v>
      </c>
      <c r="L196" s="11" t="n">
        <v>0.5012</v>
      </c>
      <c r="M196" s="26" t="n">
        <v>50</v>
      </c>
    </row>
    <row r="197" customFormat="false" ht="15" hidden="false" customHeight="false" outlineLevel="0" collapsed="false">
      <c r="A197" s="27" t="n">
        <v>10721</v>
      </c>
      <c r="B197" s="12" t="s">
        <v>190</v>
      </c>
      <c r="C197" s="28" t="n">
        <v>21</v>
      </c>
      <c r="D197" s="28" t="n">
        <v>21</v>
      </c>
      <c r="E197" s="14" t="n">
        <v>0</v>
      </c>
      <c r="F197" s="14" t="n">
        <v>262324.18</v>
      </c>
      <c r="G197" s="14" t="n">
        <v>262324.18</v>
      </c>
      <c r="H197" s="14" t="n">
        <v>153955.68</v>
      </c>
      <c r="I197" s="14" t="n">
        <v>108368.5</v>
      </c>
      <c r="J197" s="14" t="n">
        <v>44728.66</v>
      </c>
      <c r="K197" s="15" t="n">
        <v>0.4131</v>
      </c>
      <c r="L197" s="15" t="n">
        <v>0.1705</v>
      </c>
      <c r="M197" s="29" t="n">
        <v>35.86</v>
      </c>
    </row>
    <row r="198" customFormat="false" ht="15" hidden="false" customHeight="false" outlineLevel="0" collapsed="false">
      <c r="A198" s="24" t="n">
        <v>10722</v>
      </c>
      <c r="B198" s="8" t="s">
        <v>191</v>
      </c>
      <c r="C198" s="25" t="n">
        <v>18</v>
      </c>
      <c r="D198" s="25" t="n">
        <v>18</v>
      </c>
      <c r="E198" s="10" t="n">
        <v>0</v>
      </c>
      <c r="F198" s="10" t="n">
        <v>196444.1</v>
      </c>
      <c r="G198" s="10" t="n">
        <v>196444.1</v>
      </c>
      <c r="H198" s="10" t="n">
        <v>112469.8</v>
      </c>
      <c r="I198" s="10" t="n">
        <v>83974.3</v>
      </c>
      <c r="J198" s="10" t="n">
        <v>36316.97</v>
      </c>
      <c r="K198" s="11" t="n">
        <v>0.4275</v>
      </c>
      <c r="L198" s="11" t="n">
        <v>0.1849</v>
      </c>
      <c r="M198" s="26" t="n">
        <v>36.96</v>
      </c>
    </row>
    <row r="199" customFormat="false" ht="15" hidden="false" customHeight="false" outlineLevel="0" collapsed="false">
      <c r="A199" s="27" t="n">
        <v>10723</v>
      </c>
      <c r="B199" s="12" t="s">
        <v>192</v>
      </c>
      <c r="C199" s="28" t="n">
        <v>6</v>
      </c>
      <c r="D199" s="28" t="n">
        <v>6</v>
      </c>
      <c r="E199" s="14" t="n">
        <v>0</v>
      </c>
      <c r="F199" s="14" t="n">
        <v>8166</v>
      </c>
      <c r="G199" s="14" t="n">
        <v>8166</v>
      </c>
      <c r="H199" s="14" t="n">
        <v>2928</v>
      </c>
      <c r="I199" s="14" t="n">
        <v>5238</v>
      </c>
      <c r="J199" s="14" t="n">
        <v>2994.63</v>
      </c>
      <c r="K199" s="15" t="n">
        <v>0.6414</v>
      </c>
      <c r="L199" s="15" t="n">
        <v>0.3667</v>
      </c>
      <c r="M199" s="29" t="n">
        <v>50</v>
      </c>
    </row>
    <row r="200" customFormat="false" ht="15" hidden="false" customHeight="false" outlineLevel="0" collapsed="false">
      <c r="A200" s="24" t="n">
        <v>10728</v>
      </c>
      <c r="B200" s="8" t="s">
        <v>269</v>
      </c>
      <c r="C200" s="25" t="n">
        <v>1</v>
      </c>
      <c r="D200" s="25" t="n">
        <v>1</v>
      </c>
      <c r="E200" s="10" t="n">
        <v>0</v>
      </c>
      <c r="F200" s="10" t="n">
        <v>178.22</v>
      </c>
      <c r="G200" s="10" t="n">
        <v>178.22</v>
      </c>
      <c r="H200" s="10" t="n">
        <v>101.49</v>
      </c>
      <c r="I200" s="10" t="n">
        <v>76.73</v>
      </c>
      <c r="J200" s="10" t="n">
        <v>27.77</v>
      </c>
      <c r="K200" s="11" t="n">
        <v>0.4305</v>
      </c>
      <c r="L200" s="11" t="n">
        <v>0.1558</v>
      </c>
      <c r="M200" s="26" t="n">
        <v>28</v>
      </c>
    </row>
    <row r="201" customFormat="false" ht="15" hidden="false" customHeight="false" outlineLevel="0" collapsed="false">
      <c r="A201" s="27" t="n">
        <v>10729</v>
      </c>
      <c r="B201" s="12" t="s">
        <v>453</v>
      </c>
      <c r="C201" s="28" t="n">
        <v>74</v>
      </c>
      <c r="D201" s="28" t="n">
        <v>74</v>
      </c>
      <c r="E201" s="14" t="n">
        <v>0</v>
      </c>
      <c r="F201" s="14" t="n">
        <v>102200.66</v>
      </c>
      <c r="G201" s="14" t="n">
        <v>102200.66</v>
      </c>
      <c r="H201" s="14" t="n">
        <v>34240.7889</v>
      </c>
      <c r="I201" s="14" t="n">
        <v>67959.87</v>
      </c>
      <c r="J201" s="14" t="n">
        <v>39435.64</v>
      </c>
      <c r="K201" s="15" t="n">
        <v>0.665</v>
      </c>
      <c r="L201" s="15" t="n">
        <v>0.3859</v>
      </c>
      <c r="M201" s="29" t="n">
        <v>45.26</v>
      </c>
    </row>
    <row r="202" customFormat="false" ht="15" hidden="false" customHeight="false" outlineLevel="0" collapsed="false">
      <c r="A202" s="24" t="n">
        <v>10730</v>
      </c>
      <c r="B202" s="8" t="s">
        <v>193</v>
      </c>
      <c r="C202" s="25" t="n">
        <v>30</v>
      </c>
      <c r="D202" s="25" t="n">
        <v>30</v>
      </c>
      <c r="E202" s="10" t="n">
        <v>0</v>
      </c>
      <c r="F202" s="10" t="n">
        <v>435</v>
      </c>
      <c r="G202" s="10" t="n">
        <v>435</v>
      </c>
      <c r="H202" s="10" t="n">
        <v>168.36</v>
      </c>
      <c r="I202" s="10" t="n">
        <v>266.64</v>
      </c>
      <c r="J202" s="10" t="n">
        <v>147.15</v>
      </c>
      <c r="K202" s="11" t="n">
        <v>0.613</v>
      </c>
      <c r="L202" s="11" t="n">
        <v>0.3383</v>
      </c>
      <c r="M202" s="26" t="n">
        <v>28</v>
      </c>
    </row>
    <row r="203" customFormat="false" ht="15" hidden="false" customHeight="false" outlineLevel="0" collapsed="false">
      <c r="A203" s="27" t="n">
        <v>10731</v>
      </c>
      <c r="B203" s="12" t="s">
        <v>396</v>
      </c>
      <c r="C203" s="28" t="n">
        <v>391</v>
      </c>
      <c r="D203" s="28" t="n">
        <v>391</v>
      </c>
      <c r="E203" s="14" t="n">
        <v>0</v>
      </c>
      <c r="F203" s="14" t="n">
        <v>13990.4</v>
      </c>
      <c r="G203" s="14" t="n">
        <v>13990.4</v>
      </c>
      <c r="H203" s="14" t="n">
        <v>3692.5042</v>
      </c>
      <c r="I203" s="14" t="n">
        <v>10297.9</v>
      </c>
      <c r="J203" s="14" t="n">
        <v>6457.44</v>
      </c>
      <c r="K203" s="15" t="n">
        <v>0.7361</v>
      </c>
      <c r="L203" s="15" t="n">
        <v>0.4616</v>
      </c>
      <c r="M203" s="29" t="n">
        <v>44.84</v>
      </c>
    </row>
    <row r="204" customFormat="false" ht="15" hidden="false" customHeight="false" outlineLevel="0" collapsed="false">
      <c r="A204" s="24" t="n">
        <v>10732</v>
      </c>
      <c r="B204" s="8" t="s">
        <v>277</v>
      </c>
      <c r="C204" s="25" t="n">
        <v>23</v>
      </c>
      <c r="D204" s="25" t="n">
        <v>23</v>
      </c>
      <c r="E204" s="10" t="n">
        <v>0</v>
      </c>
      <c r="F204" s="10" t="n">
        <v>24449.46</v>
      </c>
      <c r="G204" s="10" t="n">
        <v>24449.46</v>
      </c>
      <c r="H204" s="10" t="n">
        <v>8082.6001</v>
      </c>
      <c r="I204" s="10" t="n">
        <v>16366.86</v>
      </c>
      <c r="J204" s="10" t="n">
        <v>9543.06</v>
      </c>
      <c r="K204" s="11" t="n">
        <v>0.6694</v>
      </c>
      <c r="L204" s="11" t="n">
        <v>0.3903</v>
      </c>
      <c r="M204" s="26" t="n">
        <v>28</v>
      </c>
    </row>
    <row r="205" customFormat="false" ht="15" hidden="false" customHeight="false" outlineLevel="0" collapsed="false">
      <c r="A205" s="27" t="n">
        <v>10737</v>
      </c>
      <c r="B205" s="12" t="s">
        <v>331</v>
      </c>
      <c r="C205" s="28" t="n">
        <v>27</v>
      </c>
      <c r="D205" s="28" t="n">
        <v>27</v>
      </c>
      <c r="E205" s="14" t="n">
        <v>0</v>
      </c>
      <c r="F205" s="14" t="n">
        <v>17163.72</v>
      </c>
      <c r="G205" s="14" t="n">
        <v>17163.72</v>
      </c>
      <c r="H205" s="14" t="n">
        <v>6934.2601</v>
      </c>
      <c r="I205" s="14" t="n">
        <v>10229.46</v>
      </c>
      <c r="J205" s="14" t="n">
        <v>5439.07</v>
      </c>
      <c r="K205" s="15" t="n">
        <v>0.596</v>
      </c>
      <c r="L205" s="15" t="n">
        <v>0.3169</v>
      </c>
      <c r="M205" s="29" t="n">
        <v>49.08</v>
      </c>
    </row>
    <row r="206" customFormat="false" ht="15" hidden="false" customHeight="false" outlineLevel="0" collapsed="false">
      <c r="A206" s="24" t="n">
        <v>10739</v>
      </c>
      <c r="B206" s="8" t="s">
        <v>431</v>
      </c>
      <c r="C206" s="25" t="n">
        <v>5</v>
      </c>
      <c r="D206" s="25" t="n">
        <v>5</v>
      </c>
      <c r="E206" s="10" t="n">
        <v>0</v>
      </c>
      <c r="F206" s="10" t="n">
        <v>1690</v>
      </c>
      <c r="G206" s="10" t="n">
        <v>1690</v>
      </c>
      <c r="H206" s="10" t="n">
        <v>711.59</v>
      </c>
      <c r="I206" s="10" t="n">
        <v>978.41</v>
      </c>
      <c r="J206" s="10" t="n">
        <v>771.21</v>
      </c>
      <c r="K206" s="11" t="n">
        <v>0.5789</v>
      </c>
      <c r="L206" s="11" t="n">
        <v>0.4563</v>
      </c>
      <c r="M206" s="26" t="n">
        <v>30</v>
      </c>
    </row>
    <row r="207" customFormat="false" ht="15" hidden="false" customHeight="false" outlineLevel="0" collapsed="false">
      <c r="A207" s="27" t="n">
        <v>10740</v>
      </c>
      <c r="B207" s="12" t="s">
        <v>432</v>
      </c>
      <c r="C207" s="28" t="n">
        <v>1</v>
      </c>
      <c r="D207" s="28" t="n">
        <v>1</v>
      </c>
      <c r="E207" s="14" t="n">
        <v>0</v>
      </c>
      <c r="F207" s="14" t="n">
        <v>187.74</v>
      </c>
      <c r="G207" s="14" t="n">
        <v>187.74</v>
      </c>
      <c r="H207" s="14" t="n">
        <v>157.96</v>
      </c>
      <c r="I207" s="14" t="n">
        <v>29.78</v>
      </c>
      <c r="J207" s="14" t="n">
        <v>-22.62</v>
      </c>
      <c r="K207" s="15" t="n">
        <v>0.1586</v>
      </c>
      <c r="L207" s="15" t="n">
        <v>-0.1205</v>
      </c>
      <c r="M207" s="29" t="n">
        <v>50</v>
      </c>
    </row>
    <row r="208" customFormat="false" ht="15" hidden="false" customHeight="false" outlineLevel="0" collapsed="false">
      <c r="A208" s="24" t="n">
        <v>10743</v>
      </c>
      <c r="B208" s="8" t="s">
        <v>454</v>
      </c>
      <c r="C208" s="25" t="n">
        <v>3</v>
      </c>
      <c r="D208" s="25" t="n">
        <v>3</v>
      </c>
      <c r="E208" s="10" t="n">
        <v>0</v>
      </c>
      <c r="F208" s="10" t="n">
        <v>636.27</v>
      </c>
      <c r="G208" s="10" t="n">
        <v>636.27</v>
      </c>
      <c r="H208" s="10" t="n">
        <v>303.63</v>
      </c>
      <c r="I208" s="10" t="n">
        <v>332.64</v>
      </c>
      <c r="J208" s="10" t="n">
        <v>157.85</v>
      </c>
      <c r="K208" s="11" t="n">
        <v>0.5228</v>
      </c>
      <c r="L208" s="11" t="n">
        <v>0.2481</v>
      </c>
      <c r="M208" s="26" t="n">
        <v>51</v>
      </c>
    </row>
    <row r="209" customFormat="false" ht="15" hidden="false" customHeight="false" outlineLevel="0" collapsed="false">
      <c r="A209" s="27" t="n">
        <v>40005</v>
      </c>
      <c r="B209" s="12" t="s">
        <v>195</v>
      </c>
      <c r="C209" s="28" t="n">
        <v>21</v>
      </c>
      <c r="D209" s="28" t="n">
        <v>21</v>
      </c>
      <c r="E209" s="14" t="n">
        <v>0</v>
      </c>
      <c r="F209" s="14" t="n">
        <v>6677.47</v>
      </c>
      <c r="G209" s="14" t="n">
        <v>6677.47</v>
      </c>
      <c r="H209" s="14" t="n">
        <v>3111.39</v>
      </c>
      <c r="I209" s="14" t="n">
        <v>3566.08</v>
      </c>
      <c r="J209" s="14" t="n">
        <v>1711.37</v>
      </c>
      <c r="K209" s="15" t="n">
        <v>0.534</v>
      </c>
      <c r="L209" s="15" t="n">
        <v>0.2563</v>
      </c>
      <c r="M209" s="29" t="n">
        <v>44.78</v>
      </c>
    </row>
    <row r="210" customFormat="false" ht="15" hidden="false" customHeight="false" outlineLevel="0" collapsed="false">
      <c r="A210" s="24" t="n">
        <v>40009</v>
      </c>
      <c r="B210" s="8" t="s">
        <v>279</v>
      </c>
      <c r="C210" s="25" t="n">
        <v>7</v>
      </c>
      <c r="D210" s="25" t="n">
        <v>7</v>
      </c>
      <c r="E210" s="10" t="n">
        <v>0</v>
      </c>
      <c r="F210" s="10" t="n">
        <v>382.62</v>
      </c>
      <c r="G210" s="10" t="n">
        <v>382.62</v>
      </c>
      <c r="H210" s="10" t="n">
        <v>73.25</v>
      </c>
      <c r="I210" s="10" t="n">
        <v>309.37</v>
      </c>
      <c r="J210" s="10" t="n">
        <v>204.26</v>
      </c>
      <c r="K210" s="11" t="n">
        <v>0.8086</v>
      </c>
      <c r="L210" s="11" t="n">
        <v>0.5338</v>
      </c>
      <c r="M210" s="26" t="n">
        <v>40</v>
      </c>
    </row>
    <row r="211" customFormat="false" ht="15" hidden="false" customHeight="false" outlineLevel="0" collapsed="false">
      <c r="A211" s="27" t="n">
        <v>50028</v>
      </c>
      <c r="B211" s="12" t="s">
        <v>372</v>
      </c>
      <c r="C211" s="28" t="n">
        <v>5</v>
      </c>
      <c r="D211" s="28" t="n">
        <v>5</v>
      </c>
      <c r="E211" s="14" t="n">
        <v>0</v>
      </c>
      <c r="F211" s="14" t="n">
        <v>141.25</v>
      </c>
      <c r="G211" s="14" t="n">
        <v>141.25</v>
      </c>
      <c r="H211" s="14" t="n">
        <v>4.48</v>
      </c>
      <c r="I211" s="14" t="n">
        <v>136.77</v>
      </c>
      <c r="J211" s="14" t="n">
        <v>97.96</v>
      </c>
      <c r="K211" s="15" t="n">
        <v>0.9683</v>
      </c>
      <c r="L211" s="15" t="n">
        <v>0.6935</v>
      </c>
      <c r="M211" s="29" t="n">
        <v>30</v>
      </c>
    </row>
    <row r="212" customFormat="false" ht="15" hidden="false" customHeight="false" outlineLevel="0" collapsed="false">
      <c r="A212" s="24" t="n">
        <v>50785</v>
      </c>
      <c r="B212" s="8" t="s">
        <v>455</v>
      </c>
      <c r="C212" s="25" t="n">
        <v>1</v>
      </c>
      <c r="D212" s="25" t="n">
        <v>1</v>
      </c>
      <c r="E212" s="10" t="n">
        <v>0</v>
      </c>
      <c r="F212" s="10" t="n">
        <v>29.63</v>
      </c>
      <c r="G212" s="10" t="n">
        <v>29.63</v>
      </c>
      <c r="H212" s="10" t="n">
        <v>5.85</v>
      </c>
      <c r="I212" s="10" t="n">
        <v>23.78</v>
      </c>
      <c r="J212" s="10" t="n">
        <v>15.64</v>
      </c>
      <c r="K212" s="11" t="n">
        <v>0.8026</v>
      </c>
      <c r="L212" s="11" t="n">
        <v>0.5278</v>
      </c>
      <c r="M212" s="26" t="n">
        <v>28</v>
      </c>
    </row>
    <row r="213" customFormat="false" ht="15" hidden="false" customHeight="false" outlineLevel="0" collapsed="false">
      <c r="A213" s="27" t="n">
        <v>50999</v>
      </c>
      <c r="B213" s="12" t="s">
        <v>197</v>
      </c>
      <c r="C213" s="28" t="n">
        <v>25</v>
      </c>
      <c r="D213" s="28" t="n">
        <v>25</v>
      </c>
      <c r="E213" s="14" t="n">
        <v>0</v>
      </c>
      <c r="F213" s="14" t="n">
        <v>3769.6</v>
      </c>
      <c r="G213" s="14" t="n">
        <v>3769.6</v>
      </c>
      <c r="H213" s="14" t="n">
        <v>898.65</v>
      </c>
      <c r="I213" s="14" t="n">
        <v>2870.95</v>
      </c>
      <c r="J213" s="14" t="n">
        <v>1835.37</v>
      </c>
      <c r="K213" s="15" t="n">
        <v>0.7616</v>
      </c>
      <c r="L213" s="15" t="n">
        <v>0.4869</v>
      </c>
      <c r="M213" s="29" t="n">
        <v>59.31</v>
      </c>
    </row>
    <row r="214" customFormat="false" ht="15" hidden="false" customHeight="false" outlineLevel="0" collapsed="false">
      <c r="A214" s="24" t="n">
        <v>51053</v>
      </c>
      <c r="B214" s="8" t="s">
        <v>198</v>
      </c>
      <c r="C214" s="25" t="n">
        <v>2</v>
      </c>
      <c r="D214" s="25" t="n">
        <v>2</v>
      </c>
      <c r="E214" s="10" t="n">
        <v>0</v>
      </c>
      <c r="F214" s="10" t="n">
        <v>352.62</v>
      </c>
      <c r="G214" s="10" t="n">
        <v>352.62</v>
      </c>
      <c r="H214" s="10" t="n">
        <v>162.87</v>
      </c>
      <c r="I214" s="10" t="n">
        <v>189.75</v>
      </c>
      <c r="J214" s="10" t="n">
        <v>92.88</v>
      </c>
      <c r="K214" s="11" t="n">
        <v>0.5381</v>
      </c>
      <c r="L214" s="11" t="n">
        <v>0.2634</v>
      </c>
      <c r="M214" s="26" t="n">
        <v>57</v>
      </c>
    </row>
    <row r="215" customFormat="false" ht="15" hidden="false" customHeight="false" outlineLevel="0" collapsed="false">
      <c r="A215" s="27" t="n">
        <v>51378</v>
      </c>
      <c r="B215" s="12" t="s">
        <v>200</v>
      </c>
      <c r="C215" s="28" t="n">
        <v>84</v>
      </c>
      <c r="D215" s="28" t="n">
        <v>84</v>
      </c>
      <c r="E215" s="14" t="n">
        <v>0</v>
      </c>
      <c r="F215" s="14" t="n">
        <v>15498.95</v>
      </c>
      <c r="G215" s="14" t="n">
        <v>15498.95</v>
      </c>
      <c r="H215" s="14" t="n">
        <v>5054.311</v>
      </c>
      <c r="I215" s="14" t="n">
        <v>10444.64</v>
      </c>
      <c r="J215" s="14" t="n">
        <v>8440.84</v>
      </c>
      <c r="K215" s="15" t="n">
        <v>0.6739</v>
      </c>
      <c r="L215" s="15" t="n">
        <v>0.5446</v>
      </c>
      <c r="M215" s="29" t="n">
        <v>36.61</v>
      </c>
    </row>
    <row r="216" customFormat="false" ht="15" hidden="false" customHeight="false" outlineLevel="0" collapsed="false">
      <c r="A216" s="24" t="n">
        <v>51380</v>
      </c>
      <c r="B216" s="8" t="s">
        <v>456</v>
      </c>
      <c r="C216" s="25" t="n">
        <v>25</v>
      </c>
      <c r="D216" s="25" t="n">
        <v>25</v>
      </c>
      <c r="E216" s="10" t="n">
        <v>0</v>
      </c>
      <c r="F216" s="10" t="n">
        <v>925</v>
      </c>
      <c r="G216" s="10" t="n">
        <v>925</v>
      </c>
      <c r="H216" s="10" t="n">
        <v>814</v>
      </c>
      <c r="I216" s="10" t="n">
        <v>111</v>
      </c>
      <c r="J216" s="10" t="n">
        <v>-143.12</v>
      </c>
      <c r="K216" s="11" t="n">
        <v>0.12</v>
      </c>
      <c r="L216" s="11" t="n">
        <v>-0.1547</v>
      </c>
      <c r="M216" s="26" t="n">
        <v>30</v>
      </c>
    </row>
    <row r="217" customFormat="false" ht="15" hidden="false" customHeight="false" outlineLevel="0" collapsed="false">
      <c r="A217" s="27" t="n">
        <v>51630</v>
      </c>
      <c r="B217" s="12" t="s">
        <v>202</v>
      </c>
      <c r="C217" s="28" t="n">
        <v>14</v>
      </c>
      <c r="D217" s="28" t="n">
        <v>14</v>
      </c>
      <c r="E217" s="14" t="n">
        <v>0</v>
      </c>
      <c r="F217" s="14" t="n">
        <v>479.92</v>
      </c>
      <c r="G217" s="14" t="n">
        <v>479.92</v>
      </c>
      <c r="H217" s="14" t="n">
        <v>73.05</v>
      </c>
      <c r="I217" s="14" t="n">
        <v>406.87</v>
      </c>
      <c r="J217" s="14" t="n">
        <v>275.07</v>
      </c>
      <c r="K217" s="15" t="n">
        <v>0.8478</v>
      </c>
      <c r="L217" s="15" t="n">
        <v>0.5732</v>
      </c>
      <c r="M217" s="29" t="n">
        <v>50</v>
      </c>
    </row>
    <row r="218" customFormat="false" ht="15" hidden="false" customHeight="false" outlineLevel="0" collapsed="false">
      <c r="A218" s="24" t="n">
        <v>52425</v>
      </c>
      <c r="B218" s="8" t="s">
        <v>374</v>
      </c>
      <c r="C218" s="25" t="n">
        <v>4</v>
      </c>
      <c r="D218" s="25" t="n">
        <v>4</v>
      </c>
      <c r="E218" s="10" t="n">
        <v>0</v>
      </c>
      <c r="F218" s="10" t="n">
        <v>177.16</v>
      </c>
      <c r="G218" s="10" t="n">
        <v>177.16</v>
      </c>
      <c r="H218" s="10" t="n">
        <v>56.04</v>
      </c>
      <c r="I218" s="10" t="n">
        <v>121.12</v>
      </c>
      <c r="J218" s="10" t="n">
        <v>71.68</v>
      </c>
      <c r="K218" s="11" t="n">
        <v>0.6837</v>
      </c>
      <c r="L218" s="11" t="n">
        <v>0.4046</v>
      </c>
      <c r="M218" s="26" t="n">
        <v>28</v>
      </c>
    </row>
    <row r="219" customFormat="false" ht="15" hidden="false" customHeight="false" outlineLevel="0" collapsed="false">
      <c r="A219" s="27" t="n">
        <v>52462</v>
      </c>
      <c r="B219" s="12" t="s">
        <v>457</v>
      </c>
      <c r="C219" s="28" t="n">
        <v>1</v>
      </c>
      <c r="D219" s="28" t="n">
        <v>1</v>
      </c>
      <c r="E219" s="14" t="n">
        <v>0</v>
      </c>
      <c r="F219" s="14" t="n">
        <v>120000</v>
      </c>
      <c r="G219" s="14" t="n">
        <v>120000</v>
      </c>
      <c r="H219" s="14" t="n">
        <v>104000</v>
      </c>
      <c r="I219" s="14" t="n">
        <v>16000</v>
      </c>
      <c r="J219" s="14" t="n">
        <v>1288</v>
      </c>
      <c r="K219" s="15" t="n">
        <v>0.1333</v>
      </c>
      <c r="L219" s="15" t="n">
        <v>0.0107</v>
      </c>
      <c r="M219" s="29" t="n">
        <v>0</v>
      </c>
    </row>
    <row r="220" customFormat="false" ht="15" hidden="false" customHeight="false" outlineLevel="0" collapsed="false">
      <c r="A220" s="24" t="n">
        <v>52566</v>
      </c>
      <c r="B220" s="8" t="s">
        <v>205</v>
      </c>
      <c r="C220" s="25" t="n">
        <v>3</v>
      </c>
      <c r="D220" s="25" t="n">
        <v>3</v>
      </c>
      <c r="E220" s="10" t="n">
        <v>0</v>
      </c>
      <c r="F220" s="10" t="n">
        <v>545.7</v>
      </c>
      <c r="G220" s="10" t="n">
        <v>545.7</v>
      </c>
      <c r="H220" s="10" t="n">
        <v>244.7601</v>
      </c>
      <c r="I220" s="10" t="n">
        <v>300.94</v>
      </c>
      <c r="J220" s="10" t="n">
        <v>151.03</v>
      </c>
      <c r="K220" s="11" t="n">
        <v>0.5515</v>
      </c>
      <c r="L220" s="11" t="n">
        <v>0.2768</v>
      </c>
      <c r="M220" s="26" t="n">
        <v>60</v>
      </c>
    </row>
    <row r="221" customFormat="false" ht="15" hidden="false" customHeight="false" outlineLevel="0" collapsed="false">
      <c r="A221" s="27" t="n">
        <v>52585</v>
      </c>
      <c r="B221" s="12" t="s">
        <v>284</v>
      </c>
      <c r="C221" s="28" t="n">
        <v>20</v>
      </c>
      <c r="D221" s="28" t="n">
        <v>20</v>
      </c>
      <c r="E221" s="14" t="n">
        <v>0</v>
      </c>
      <c r="F221" s="14" t="n">
        <v>1808.6</v>
      </c>
      <c r="G221" s="14" t="n">
        <v>1808.6</v>
      </c>
      <c r="H221" s="14" t="n">
        <v>274.74</v>
      </c>
      <c r="I221" s="14" t="n">
        <v>1533.86</v>
      </c>
      <c r="J221" s="14" t="n">
        <v>1037</v>
      </c>
      <c r="K221" s="15" t="n">
        <v>0.8481</v>
      </c>
      <c r="L221" s="15" t="n">
        <v>0.5734</v>
      </c>
      <c r="M221" s="29" t="n">
        <v>28</v>
      </c>
    </row>
    <row r="222" customFormat="false" ht="15" hidden="false" customHeight="false" outlineLevel="0" collapsed="false">
      <c r="A222" s="24" t="n">
        <v>52589</v>
      </c>
      <c r="B222" s="8" t="s">
        <v>285</v>
      </c>
      <c r="C222" s="25" t="n">
        <v>1</v>
      </c>
      <c r="D222" s="25" t="n">
        <v>1</v>
      </c>
      <c r="E222" s="10" t="n">
        <v>0</v>
      </c>
      <c r="F222" s="10" t="n">
        <v>475.2</v>
      </c>
      <c r="G222" s="10" t="n">
        <v>475.2</v>
      </c>
      <c r="H222" s="10" t="n">
        <v>157.98</v>
      </c>
      <c r="I222" s="10" t="n">
        <v>317.22</v>
      </c>
      <c r="J222" s="10" t="n">
        <v>258.96</v>
      </c>
      <c r="K222" s="11" t="n">
        <v>0.6676</v>
      </c>
      <c r="L222" s="11" t="n">
        <v>0.5449</v>
      </c>
      <c r="M222" s="26" t="n">
        <v>45</v>
      </c>
    </row>
    <row r="223" customFormat="false" ht="15" hidden="false" customHeight="false" outlineLevel="0" collapsed="false">
      <c r="A223" s="27" t="n">
        <v>52673</v>
      </c>
      <c r="B223" s="12" t="s">
        <v>206</v>
      </c>
      <c r="C223" s="28" t="n">
        <v>167</v>
      </c>
      <c r="D223" s="28" t="n">
        <v>167</v>
      </c>
      <c r="E223" s="14" t="n">
        <v>0</v>
      </c>
      <c r="F223" s="14" t="n">
        <v>467.6</v>
      </c>
      <c r="G223" s="14" t="n">
        <v>467.6</v>
      </c>
      <c r="H223" s="14" t="n">
        <v>167</v>
      </c>
      <c r="I223" s="14" t="n">
        <v>300.6</v>
      </c>
      <c r="J223" s="14" t="n">
        <v>172.14</v>
      </c>
      <c r="K223" s="15" t="n">
        <v>0.6429</v>
      </c>
      <c r="L223" s="15" t="n">
        <v>0.3681</v>
      </c>
      <c r="M223" s="29" t="n">
        <v>5</v>
      </c>
    </row>
    <row r="224" customFormat="false" ht="15" hidden="false" customHeight="false" outlineLevel="0" collapsed="false">
      <c r="A224" s="24" t="n">
        <v>52674</v>
      </c>
      <c r="B224" s="8" t="s">
        <v>207</v>
      </c>
      <c r="C224" s="25" t="n">
        <v>112</v>
      </c>
      <c r="D224" s="25" t="n">
        <v>112</v>
      </c>
      <c r="E224" s="10" t="n">
        <v>0</v>
      </c>
      <c r="F224" s="10" t="n">
        <v>392</v>
      </c>
      <c r="G224" s="10" t="n">
        <v>392</v>
      </c>
      <c r="H224" s="10" t="n">
        <v>313.6</v>
      </c>
      <c r="I224" s="10" t="n">
        <v>78.4</v>
      </c>
      <c r="J224" s="10" t="n">
        <v>-29.29</v>
      </c>
      <c r="K224" s="11" t="n">
        <v>0.2</v>
      </c>
      <c r="L224" s="11" t="n">
        <v>-0.0747</v>
      </c>
      <c r="M224" s="26" t="n">
        <v>5</v>
      </c>
    </row>
    <row r="225" customFormat="false" ht="15" hidden="false" customHeight="false" outlineLevel="0" collapsed="false">
      <c r="A225" s="27" t="n">
        <v>52675</v>
      </c>
      <c r="B225" s="12" t="s">
        <v>337</v>
      </c>
      <c r="C225" s="28" t="n">
        <v>106</v>
      </c>
      <c r="D225" s="28" t="n">
        <v>106</v>
      </c>
      <c r="E225" s="14" t="n">
        <v>0</v>
      </c>
      <c r="F225" s="14" t="n">
        <v>689</v>
      </c>
      <c r="G225" s="14" t="n">
        <v>689</v>
      </c>
      <c r="H225" s="14" t="n">
        <v>402.8</v>
      </c>
      <c r="I225" s="14" t="n">
        <v>286.2</v>
      </c>
      <c r="J225" s="14" t="n">
        <v>96.92</v>
      </c>
      <c r="K225" s="15" t="n">
        <v>0.4154</v>
      </c>
      <c r="L225" s="15" t="n">
        <v>0.1407</v>
      </c>
      <c r="M225" s="29" t="n">
        <v>5</v>
      </c>
    </row>
    <row r="226" customFormat="false" ht="15" hidden="false" customHeight="false" outlineLevel="0" collapsed="false">
      <c r="A226" s="24" t="n">
        <v>52676</v>
      </c>
      <c r="B226" s="8" t="s">
        <v>208</v>
      </c>
      <c r="C226" s="25" t="n">
        <v>636</v>
      </c>
      <c r="D226" s="25" t="n">
        <v>636</v>
      </c>
      <c r="E226" s="10" t="n">
        <v>0</v>
      </c>
      <c r="F226" s="10" t="n">
        <v>1590</v>
      </c>
      <c r="G226" s="10" t="n">
        <v>1590</v>
      </c>
      <c r="H226" s="10" t="n">
        <v>47.7</v>
      </c>
      <c r="I226" s="10" t="n">
        <v>1542.3</v>
      </c>
      <c r="J226" s="10" t="n">
        <v>1105.5</v>
      </c>
      <c r="K226" s="11" t="n">
        <v>0.97</v>
      </c>
      <c r="L226" s="11" t="n">
        <v>0.6953</v>
      </c>
      <c r="M226" s="26" t="n">
        <v>5</v>
      </c>
    </row>
    <row r="227" customFormat="false" ht="15" hidden="false" customHeight="false" outlineLevel="0" collapsed="false">
      <c r="A227" s="27" t="n">
        <v>52883</v>
      </c>
      <c r="B227" s="12" t="s">
        <v>209</v>
      </c>
      <c r="C227" s="28" t="n">
        <v>1</v>
      </c>
      <c r="D227" s="28" t="n">
        <v>1</v>
      </c>
      <c r="E227" s="14" t="n">
        <v>0</v>
      </c>
      <c r="F227" s="14" t="n">
        <v>40</v>
      </c>
      <c r="G227" s="14" t="n">
        <v>40</v>
      </c>
      <c r="H227" s="14" t="n">
        <v>14.03</v>
      </c>
      <c r="I227" s="14" t="n">
        <v>25.97</v>
      </c>
      <c r="J227" s="14" t="n">
        <v>16.91</v>
      </c>
      <c r="K227" s="15" t="n">
        <v>0.6492</v>
      </c>
      <c r="L227" s="15" t="n">
        <v>0.4227</v>
      </c>
      <c r="M227" s="29" t="n">
        <v>7</v>
      </c>
    </row>
    <row r="228" customFormat="false" ht="15" hidden="false" customHeight="false" outlineLevel="0" collapsed="false">
      <c r="A228" s="24" t="n">
        <v>53018</v>
      </c>
      <c r="B228" s="8" t="s">
        <v>339</v>
      </c>
      <c r="C228" s="25" t="n">
        <v>25</v>
      </c>
      <c r="D228" s="25" t="n">
        <v>25</v>
      </c>
      <c r="E228" s="10" t="n">
        <v>0</v>
      </c>
      <c r="F228" s="10" t="n">
        <v>925.15</v>
      </c>
      <c r="G228" s="10" t="n">
        <v>925.15</v>
      </c>
      <c r="H228" s="10" t="n">
        <v>317.91</v>
      </c>
      <c r="I228" s="10" t="n">
        <v>607.24</v>
      </c>
      <c r="J228" s="10" t="n">
        <v>493.82</v>
      </c>
      <c r="K228" s="11" t="n">
        <v>0.6564</v>
      </c>
      <c r="L228" s="11" t="n">
        <v>0.5338</v>
      </c>
      <c r="M228" s="26" t="n">
        <v>30</v>
      </c>
    </row>
    <row r="229" customFormat="false" ht="15" hidden="false" customHeight="false" outlineLevel="0" collapsed="false">
      <c r="A229" s="27" t="n">
        <v>54188</v>
      </c>
      <c r="B229" s="12" t="s">
        <v>398</v>
      </c>
      <c r="C229" s="28" t="n">
        <v>5</v>
      </c>
      <c r="D229" s="28" t="n">
        <v>5</v>
      </c>
      <c r="E229" s="14" t="n">
        <v>0</v>
      </c>
      <c r="F229" s="14" t="n">
        <v>825</v>
      </c>
      <c r="G229" s="14" t="n">
        <v>825</v>
      </c>
      <c r="H229" s="14" t="n">
        <v>5</v>
      </c>
      <c r="I229" s="14" t="n">
        <v>820</v>
      </c>
      <c r="J229" s="14" t="n">
        <v>666.49</v>
      </c>
      <c r="K229" s="15" t="n">
        <v>0.9939</v>
      </c>
      <c r="L229" s="15" t="n">
        <v>0.8079</v>
      </c>
      <c r="M229" s="29" t="n">
        <v>7</v>
      </c>
    </row>
    <row r="230" customFormat="false" ht="15" hidden="false" customHeight="false" outlineLevel="0" collapsed="false">
      <c r="A230" s="24" t="n">
        <v>54661</v>
      </c>
      <c r="B230" s="8" t="s">
        <v>400</v>
      </c>
      <c r="C230" s="25" t="n">
        <v>5</v>
      </c>
      <c r="D230" s="25" t="n">
        <v>5</v>
      </c>
      <c r="E230" s="10" t="n">
        <v>130.75</v>
      </c>
      <c r="F230" s="10" t="n">
        <v>0</v>
      </c>
      <c r="G230" s="10" t="n">
        <v>130.75</v>
      </c>
      <c r="H230" s="10" t="n">
        <v>61.15</v>
      </c>
      <c r="I230" s="10" t="n">
        <v>69.6</v>
      </c>
      <c r="J230" s="10" t="n">
        <v>22.64</v>
      </c>
      <c r="K230" s="11" t="n">
        <v>0.5323</v>
      </c>
      <c r="L230" s="11" t="n">
        <v>0.1732</v>
      </c>
      <c r="M230" s="26" t="n">
        <v>5</v>
      </c>
    </row>
    <row r="231" customFormat="false" ht="15" hidden="false" customHeight="false" outlineLevel="0" collapsed="false">
      <c r="A231" s="27" t="n">
        <v>54801</v>
      </c>
      <c r="B231" s="12" t="s">
        <v>213</v>
      </c>
      <c r="C231" s="28" t="n">
        <v>47</v>
      </c>
      <c r="D231" s="28" t="n">
        <v>47</v>
      </c>
      <c r="E231" s="14" t="n">
        <v>0</v>
      </c>
      <c r="F231" s="14" t="n">
        <v>18407.55</v>
      </c>
      <c r="G231" s="14" t="n">
        <v>18407.55</v>
      </c>
      <c r="H231" s="14" t="n">
        <v>8081.33</v>
      </c>
      <c r="I231" s="14" t="n">
        <v>10326.22</v>
      </c>
      <c r="J231" s="14" t="n">
        <v>5269.37</v>
      </c>
      <c r="K231" s="15" t="n">
        <v>0.561</v>
      </c>
      <c r="L231" s="15" t="n">
        <v>0.2863</v>
      </c>
      <c r="M231" s="29" t="n">
        <v>28</v>
      </c>
    </row>
    <row r="232" customFormat="false" ht="15" hidden="false" customHeight="false" outlineLevel="0" collapsed="false">
      <c r="A232" s="24" t="n">
        <v>55631</v>
      </c>
      <c r="B232" s="8" t="s">
        <v>217</v>
      </c>
      <c r="C232" s="25" t="n">
        <v>20</v>
      </c>
      <c r="D232" s="25" t="n">
        <v>20</v>
      </c>
      <c r="E232" s="10" t="n">
        <v>0</v>
      </c>
      <c r="F232" s="10" t="n">
        <v>3605.2</v>
      </c>
      <c r="G232" s="10" t="n">
        <v>3605.2</v>
      </c>
      <c r="H232" s="10" t="n">
        <v>1522.19</v>
      </c>
      <c r="I232" s="10" t="n">
        <v>2083.01</v>
      </c>
      <c r="J232" s="10" t="n">
        <v>1641.01</v>
      </c>
      <c r="K232" s="11" t="n">
        <v>0.5778</v>
      </c>
      <c r="L232" s="11" t="n">
        <v>0.4552</v>
      </c>
      <c r="M232" s="26" t="n">
        <v>42</v>
      </c>
    </row>
    <row r="233" customFormat="false" ht="15" hidden="false" customHeight="false" outlineLevel="0" collapsed="false">
      <c r="A233" s="27" t="n">
        <v>55635</v>
      </c>
      <c r="B233" s="12" t="s">
        <v>401</v>
      </c>
      <c r="C233" s="28" t="n">
        <v>265</v>
      </c>
      <c r="D233" s="28" t="n">
        <v>265</v>
      </c>
      <c r="E233" s="14" t="n">
        <v>0</v>
      </c>
      <c r="F233" s="14" t="n">
        <v>8779.4</v>
      </c>
      <c r="G233" s="14" t="n">
        <v>8779.4</v>
      </c>
      <c r="H233" s="14" t="n">
        <v>3097.768</v>
      </c>
      <c r="I233" s="14" t="n">
        <v>5681.64</v>
      </c>
      <c r="J233" s="14" t="n">
        <v>3273.37</v>
      </c>
      <c r="K233" s="15" t="n">
        <v>0.6472</v>
      </c>
      <c r="L233" s="15" t="n">
        <v>0.3728</v>
      </c>
      <c r="M233" s="29" t="n">
        <v>28.38</v>
      </c>
    </row>
    <row r="234" customFormat="false" ht="15" hidden="false" customHeight="false" outlineLevel="0" collapsed="false">
      <c r="A234" s="24" t="n">
        <v>56120</v>
      </c>
      <c r="B234" s="8" t="s">
        <v>345</v>
      </c>
      <c r="C234" s="25" t="n">
        <v>1</v>
      </c>
      <c r="D234" s="25" t="n">
        <v>1</v>
      </c>
      <c r="E234" s="10" t="n">
        <v>0</v>
      </c>
      <c r="F234" s="10" t="n">
        <v>100.65</v>
      </c>
      <c r="G234" s="10" t="n">
        <v>100.65</v>
      </c>
      <c r="H234" s="10" t="n">
        <v>13.89</v>
      </c>
      <c r="I234" s="10" t="n">
        <v>86.76</v>
      </c>
      <c r="J234" s="10" t="n">
        <v>59.11</v>
      </c>
      <c r="K234" s="11" t="n">
        <v>0.862</v>
      </c>
      <c r="L234" s="11" t="n">
        <v>0.5873</v>
      </c>
      <c r="M234" s="26" t="n">
        <v>30</v>
      </c>
    </row>
    <row r="235" customFormat="false" ht="15" hidden="false" customHeight="false" outlineLevel="0" collapsed="false">
      <c r="A235" s="27" t="n">
        <v>56376</v>
      </c>
      <c r="B235" s="12" t="s">
        <v>290</v>
      </c>
      <c r="C235" s="28" t="n">
        <v>2</v>
      </c>
      <c r="D235" s="28" t="n">
        <v>2</v>
      </c>
      <c r="E235" s="14" t="n">
        <v>0</v>
      </c>
      <c r="F235" s="14" t="n">
        <v>699.62</v>
      </c>
      <c r="G235" s="14" t="n">
        <v>699.62</v>
      </c>
      <c r="H235" s="14" t="n">
        <v>222.67</v>
      </c>
      <c r="I235" s="14" t="n">
        <v>476.95</v>
      </c>
      <c r="J235" s="14" t="n">
        <v>284.75</v>
      </c>
      <c r="K235" s="15" t="n">
        <v>0.6817</v>
      </c>
      <c r="L235" s="15" t="n">
        <v>0.407</v>
      </c>
      <c r="M235" s="29" t="n">
        <v>28</v>
      </c>
    </row>
    <row r="236" customFormat="false" ht="15" hidden="false" customHeight="false" outlineLevel="0" collapsed="false">
      <c r="A236" s="24" t="n">
        <v>56390</v>
      </c>
      <c r="B236" s="8" t="s">
        <v>219</v>
      </c>
      <c r="C236" s="25" t="n">
        <v>18</v>
      </c>
      <c r="D236" s="25" t="n">
        <v>18</v>
      </c>
      <c r="E236" s="10" t="n">
        <v>0</v>
      </c>
      <c r="F236" s="10" t="n">
        <v>15897.24</v>
      </c>
      <c r="G236" s="10" t="n">
        <v>15897.24</v>
      </c>
      <c r="H236" s="10" t="n">
        <v>11115.5103</v>
      </c>
      <c r="I236" s="10" t="n">
        <v>4781.73</v>
      </c>
      <c r="J236" s="10" t="n">
        <v>414.43</v>
      </c>
      <c r="K236" s="11" t="n">
        <v>0.3008</v>
      </c>
      <c r="L236" s="11" t="n">
        <v>0.0261</v>
      </c>
      <c r="M236" s="26" t="n">
        <v>37.67</v>
      </c>
    </row>
    <row r="237" customFormat="false" ht="15" hidden="false" customHeight="false" outlineLevel="0" collapsed="false">
      <c r="A237" s="27" t="n">
        <v>56391</v>
      </c>
      <c r="B237" s="12" t="s">
        <v>220</v>
      </c>
      <c r="C237" s="28" t="n">
        <v>9</v>
      </c>
      <c r="D237" s="28" t="n">
        <v>9</v>
      </c>
      <c r="E237" s="14" t="n">
        <v>0</v>
      </c>
      <c r="F237" s="14" t="n">
        <v>6907.77</v>
      </c>
      <c r="G237" s="14" t="n">
        <v>6907.77</v>
      </c>
      <c r="H237" s="14" t="n">
        <v>4940.0499</v>
      </c>
      <c r="I237" s="14" t="n">
        <v>1967.72</v>
      </c>
      <c r="J237" s="14" t="n">
        <v>70.02</v>
      </c>
      <c r="K237" s="15" t="n">
        <v>0.2849</v>
      </c>
      <c r="L237" s="15" t="n">
        <v>0.0101</v>
      </c>
      <c r="M237" s="29" t="n">
        <v>37.67</v>
      </c>
    </row>
    <row r="238" customFormat="false" ht="15" hidden="false" customHeight="false" outlineLevel="0" collapsed="false">
      <c r="A238" s="24" t="n">
        <v>56482</v>
      </c>
      <c r="B238" s="8" t="s">
        <v>221</v>
      </c>
      <c r="C238" s="25" t="n">
        <v>82</v>
      </c>
      <c r="D238" s="25" t="n">
        <v>82</v>
      </c>
      <c r="E238" s="10" t="n">
        <v>0</v>
      </c>
      <c r="F238" s="10" t="n">
        <v>4933.65</v>
      </c>
      <c r="G238" s="10" t="n">
        <v>4933.65</v>
      </c>
      <c r="H238" s="10" t="n">
        <v>1117.1</v>
      </c>
      <c r="I238" s="10" t="n">
        <v>3816.55</v>
      </c>
      <c r="J238" s="10" t="n">
        <v>2467.88</v>
      </c>
      <c r="K238" s="11" t="n">
        <v>0.7736</v>
      </c>
      <c r="L238" s="11" t="n">
        <v>0.5002</v>
      </c>
      <c r="M238" s="26" t="n">
        <v>55.7</v>
      </c>
    </row>
    <row r="239" customFormat="false" ht="15" hidden="false" customHeight="false" outlineLevel="0" collapsed="false">
      <c r="A239" s="27" t="n">
        <v>56490</v>
      </c>
      <c r="B239" s="12" t="s">
        <v>458</v>
      </c>
      <c r="C239" s="28" t="n">
        <v>3</v>
      </c>
      <c r="D239" s="28" t="n">
        <v>3</v>
      </c>
      <c r="E239" s="14" t="n">
        <v>0</v>
      </c>
      <c r="F239" s="14" t="n">
        <v>58.5</v>
      </c>
      <c r="G239" s="14" t="n">
        <v>58.5</v>
      </c>
      <c r="H239" s="14" t="n">
        <v>21.59</v>
      </c>
      <c r="I239" s="14" t="n">
        <v>36.91</v>
      </c>
      <c r="J239" s="14" t="n">
        <v>23.66</v>
      </c>
      <c r="K239" s="15" t="n">
        <v>0.6309</v>
      </c>
      <c r="L239" s="15" t="n">
        <v>0.4044</v>
      </c>
      <c r="M239" s="29" t="n">
        <v>15</v>
      </c>
    </row>
    <row r="240" customFormat="false" ht="15" hidden="false" customHeight="false" outlineLevel="0" collapsed="false">
      <c r="A240" s="24" t="n">
        <v>56512</v>
      </c>
      <c r="B240" s="8" t="s">
        <v>222</v>
      </c>
      <c r="C240" s="25" t="n">
        <v>91</v>
      </c>
      <c r="D240" s="25" t="n">
        <v>91</v>
      </c>
      <c r="E240" s="10" t="n">
        <v>0</v>
      </c>
      <c r="F240" s="10" t="n">
        <v>129914.33</v>
      </c>
      <c r="G240" s="10" t="n">
        <v>129914.33</v>
      </c>
      <c r="H240" s="10" t="n">
        <v>54652.4695</v>
      </c>
      <c r="I240" s="10" t="n">
        <v>75261.86</v>
      </c>
      <c r="J240" s="10" t="n">
        <v>39002.68</v>
      </c>
      <c r="K240" s="11" t="n">
        <v>0.5793</v>
      </c>
      <c r="L240" s="11" t="n">
        <v>0.3002</v>
      </c>
      <c r="M240" s="26" t="n">
        <v>28</v>
      </c>
    </row>
    <row r="241" customFormat="false" ht="15" hidden="false" customHeight="false" outlineLevel="0" collapsed="false">
      <c r="A241" s="27" t="n">
        <v>56529</v>
      </c>
      <c r="B241" s="12" t="s">
        <v>223</v>
      </c>
      <c r="C241" s="28" t="n">
        <v>80</v>
      </c>
      <c r="D241" s="28" t="n">
        <v>80</v>
      </c>
      <c r="E241" s="14" t="n">
        <v>0</v>
      </c>
      <c r="F241" s="14" t="n">
        <v>1352</v>
      </c>
      <c r="G241" s="14" t="n">
        <v>1352</v>
      </c>
      <c r="H241" s="14" t="n">
        <v>804.8</v>
      </c>
      <c r="I241" s="14" t="n">
        <v>547.2</v>
      </c>
      <c r="J241" s="14" t="n">
        <v>169.87</v>
      </c>
      <c r="K241" s="15" t="n">
        <v>0.4047</v>
      </c>
      <c r="L241" s="15" t="n">
        <v>0.1256</v>
      </c>
      <c r="M241" s="29" t="n">
        <v>45</v>
      </c>
    </row>
    <row r="242" customFormat="false" ht="15" hidden="false" customHeight="false" outlineLevel="0" collapsed="false">
      <c r="A242" s="24" t="n">
        <v>56539</v>
      </c>
      <c r="B242" s="8" t="s">
        <v>347</v>
      </c>
      <c r="C242" s="25" t="n">
        <v>77</v>
      </c>
      <c r="D242" s="25" t="n">
        <v>77</v>
      </c>
      <c r="E242" s="10" t="n">
        <v>0</v>
      </c>
      <c r="F242" s="10" t="n">
        <v>9933</v>
      </c>
      <c r="G242" s="10" t="n">
        <v>9933</v>
      </c>
      <c r="H242" s="10" t="n">
        <v>6519.2523</v>
      </c>
      <c r="I242" s="10" t="n">
        <v>3413.75</v>
      </c>
      <c r="J242" s="10" t="n">
        <v>684.95</v>
      </c>
      <c r="K242" s="11" t="n">
        <v>0.3437</v>
      </c>
      <c r="L242" s="11" t="n">
        <v>0.069</v>
      </c>
      <c r="M242" s="26" t="n">
        <v>47.56</v>
      </c>
    </row>
    <row r="243" customFormat="false" ht="15" hidden="false" customHeight="false" outlineLevel="0" collapsed="false">
      <c r="A243" s="27" t="n">
        <v>56540</v>
      </c>
      <c r="B243" s="12" t="s">
        <v>348</v>
      </c>
      <c r="C243" s="28" t="n">
        <v>77</v>
      </c>
      <c r="D243" s="28" t="n">
        <v>77</v>
      </c>
      <c r="E243" s="14" t="n">
        <v>0</v>
      </c>
      <c r="F243" s="14" t="n">
        <v>13332.55</v>
      </c>
      <c r="G243" s="14" t="n">
        <v>13332.55</v>
      </c>
      <c r="H243" s="14" t="n">
        <v>8887.6326</v>
      </c>
      <c r="I243" s="14" t="n">
        <v>4444.92</v>
      </c>
      <c r="J243" s="14" t="n">
        <v>782.21</v>
      </c>
      <c r="K243" s="15" t="n">
        <v>0.3334</v>
      </c>
      <c r="L243" s="15" t="n">
        <v>0.0587</v>
      </c>
      <c r="M243" s="29" t="n">
        <v>47.56</v>
      </c>
    </row>
    <row r="244" customFormat="false" ht="15" hidden="false" customHeight="false" outlineLevel="0" collapsed="false">
      <c r="A244" s="24" t="n">
        <v>56585</v>
      </c>
      <c r="B244" s="8" t="s">
        <v>459</v>
      </c>
      <c r="C244" s="25" t="n">
        <v>1</v>
      </c>
      <c r="D244" s="25" t="n">
        <v>1</v>
      </c>
      <c r="E244" s="10" t="n">
        <v>0</v>
      </c>
      <c r="F244" s="10" t="n">
        <v>95.63</v>
      </c>
      <c r="G244" s="10" t="n">
        <v>95.63</v>
      </c>
      <c r="H244" s="10" t="n">
        <v>1</v>
      </c>
      <c r="I244" s="10" t="n">
        <v>94.63</v>
      </c>
      <c r="J244" s="10" t="n">
        <v>82.91</v>
      </c>
      <c r="K244" s="11" t="n">
        <v>0.9895</v>
      </c>
      <c r="L244" s="11" t="n">
        <v>0.867</v>
      </c>
      <c r="M244" s="26" t="n">
        <v>34</v>
      </c>
    </row>
    <row r="245" customFormat="false" ht="15" hidden="false" customHeight="false" outlineLevel="0" collapsed="false">
      <c r="A245" s="27" t="n">
        <v>56595</v>
      </c>
      <c r="B245" s="12" t="s">
        <v>418</v>
      </c>
      <c r="C245" s="28" t="n">
        <v>5</v>
      </c>
      <c r="D245" s="28" t="n">
        <v>5</v>
      </c>
      <c r="E245" s="14" t="n">
        <v>0</v>
      </c>
      <c r="F245" s="14" t="n">
        <v>7681.7</v>
      </c>
      <c r="G245" s="14" t="n">
        <v>7681.7</v>
      </c>
      <c r="H245" s="14" t="n">
        <v>2793.75</v>
      </c>
      <c r="I245" s="14" t="n">
        <v>4887.95</v>
      </c>
      <c r="J245" s="14" t="n">
        <v>3946.18</v>
      </c>
      <c r="K245" s="15" t="n">
        <v>0.6363</v>
      </c>
      <c r="L245" s="15" t="n">
        <v>0.5137</v>
      </c>
      <c r="M245" s="29" t="n">
        <v>30</v>
      </c>
    </row>
    <row r="246" customFormat="false" ht="15" hidden="false" customHeight="false" outlineLevel="0" collapsed="false">
      <c r="A246" s="24" t="n">
        <v>56627</v>
      </c>
      <c r="B246" s="8" t="s">
        <v>419</v>
      </c>
      <c r="C246" s="25" t="n">
        <v>10</v>
      </c>
      <c r="D246" s="25" t="n">
        <v>10</v>
      </c>
      <c r="E246" s="10" t="n">
        <v>0</v>
      </c>
      <c r="F246" s="10" t="n">
        <v>1508.08</v>
      </c>
      <c r="G246" s="10" t="n">
        <v>1508.08</v>
      </c>
      <c r="H246" s="10" t="n">
        <v>339.1301</v>
      </c>
      <c r="I246" s="10" t="n">
        <v>1168.95</v>
      </c>
      <c r="J246" s="10" t="n">
        <v>762.24</v>
      </c>
      <c r="K246" s="11" t="n">
        <v>0.7751</v>
      </c>
      <c r="L246" s="11" t="n">
        <v>0.5054</v>
      </c>
      <c r="M246" s="26" t="n">
        <v>49.21</v>
      </c>
    </row>
    <row r="247" customFormat="false" ht="15" hidden="false" customHeight="false" outlineLevel="0" collapsed="false">
      <c r="A247" s="27" t="n">
        <v>56698</v>
      </c>
      <c r="B247" s="12" t="s">
        <v>292</v>
      </c>
      <c r="C247" s="28" t="n">
        <v>2</v>
      </c>
      <c r="D247" s="28" t="n">
        <v>2</v>
      </c>
      <c r="E247" s="14" t="n">
        <v>0</v>
      </c>
      <c r="F247" s="14" t="n">
        <v>1715.04</v>
      </c>
      <c r="G247" s="14" t="n">
        <v>1715.04</v>
      </c>
      <c r="H247" s="14" t="n">
        <v>1180.76</v>
      </c>
      <c r="I247" s="14" t="n">
        <v>534.28</v>
      </c>
      <c r="J247" s="14" t="n">
        <v>63.13</v>
      </c>
      <c r="K247" s="15" t="n">
        <v>0.3115</v>
      </c>
      <c r="L247" s="15" t="n">
        <v>0.0368</v>
      </c>
      <c r="M247" s="29" t="n">
        <v>40</v>
      </c>
    </row>
    <row r="248" customFormat="false" ht="15" hidden="false" customHeight="false" outlineLevel="0" collapsed="false">
      <c r="A248" s="24" t="n">
        <v>56699</v>
      </c>
      <c r="B248" s="8" t="s">
        <v>293</v>
      </c>
      <c r="C248" s="25" t="n">
        <v>4</v>
      </c>
      <c r="D248" s="25" t="n">
        <v>4</v>
      </c>
      <c r="E248" s="10" t="n">
        <v>0</v>
      </c>
      <c r="F248" s="10" t="n">
        <v>4781.09</v>
      </c>
      <c r="G248" s="10" t="n">
        <v>4781.09</v>
      </c>
      <c r="H248" s="10" t="n">
        <v>2923.68</v>
      </c>
      <c r="I248" s="10" t="n">
        <v>1857.41</v>
      </c>
      <c r="J248" s="10" t="n">
        <v>543.95</v>
      </c>
      <c r="K248" s="11" t="n">
        <v>0.3885</v>
      </c>
      <c r="L248" s="11" t="n">
        <v>0.1138</v>
      </c>
      <c r="M248" s="26" t="n">
        <v>40</v>
      </c>
    </row>
    <row r="249" customFormat="false" ht="15" hidden="false" customHeight="false" outlineLevel="0" collapsed="false">
      <c r="A249" s="27" t="n">
        <v>56744</v>
      </c>
      <c r="B249" s="12" t="s">
        <v>378</v>
      </c>
      <c r="C249" s="28" t="n">
        <v>42</v>
      </c>
      <c r="D249" s="28" t="n">
        <v>42</v>
      </c>
      <c r="E249" s="14" t="n">
        <v>0</v>
      </c>
      <c r="F249" s="14" t="n">
        <v>5399.94</v>
      </c>
      <c r="G249" s="14" t="n">
        <v>5399.94</v>
      </c>
      <c r="H249" s="14" t="n">
        <v>2012.4907</v>
      </c>
      <c r="I249" s="14" t="n">
        <v>3387.45</v>
      </c>
      <c r="J249" s="14" t="n">
        <v>1903.97</v>
      </c>
      <c r="K249" s="15" t="n">
        <v>0.6273</v>
      </c>
      <c r="L249" s="15" t="n">
        <v>0.3526</v>
      </c>
      <c r="M249" s="29" t="n">
        <v>50</v>
      </c>
    </row>
    <row r="250" customFormat="false" ht="15" hidden="false" customHeight="false" outlineLevel="0" collapsed="false">
      <c r="A250" s="24" t="n">
        <v>56764</v>
      </c>
      <c r="B250" s="8" t="s">
        <v>294</v>
      </c>
      <c r="C250" s="25" t="n">
        <v>73</v>
      </c>
      <c r="D250" s="25" t="n">
        <v>73</v>
      </c>
      <c r="E250" s="10" t="n">
        <v>0</v>
      </c>
      <c r="F250" s="10" t="n">
        <v>33114</v>
      </c>
      <c r="G250" s="10" t="n">
        <v>33114</v>
      </c>
      <c r="H250" s="10" t="n">
        <v>21549.96</v>
      </c>
      <c r="I250" s="10" t="n">
        <v>11564.04</v>
      </c>
      <c r="J250" s="10" t="n">
        <v>2466.98</v>
      </c>
      <c r="K250" s="11" t="n">
        <v>0.3492</v>
      </c>
      <c r="L250" s="11" t="n">
        <v>0.0745</v>
      </c>
      <c r="M250" s="26" t="n">
        <v>45.39</v>
      </c>
    </row>
    <row r="251" customFormat="false" ht="15" hidden="false" customHeight="false" outlineLevel="0" collapsed="false">
      <c r="A251" s="27" t="n">
        <v>57111</v>
      </c>
      <c r="B251" s="12" t="s">
        <v>438</v>
      </c>
      <c r="C251" s="28" t="n">
        <v>1</v>
      </c>
      <c r="D251" s="28" t="n">
        <v>1</v>
      </c>
      <c r="E251" s="14" t="n">
        <v>0</v>
      </c>
      <c r="F251" s="14" t="n">
        <v>198.74</v>
      </c>
      <c r="G251" s="14" t="n">
        <v>198.74</v>
      </c>
      <c r="H251" s="14" t="n">
        <v>45.07</v>
      </c>
      <c r="I251" s="14" t="n">
        <v>153.67</v>
      </c>
      <c r="J251" s="14" t="n">
        <v>98.2</v>
      </c>
      <c r="K251" s="15" t="n">
        <v>0.7732</v>
      </c>
      <c r="L251" s="15" t="n">
        <v>0.4941</v>
      </c>
      <c r="M251" s="29" t="n">
        <v>28</v>
      </c>
    </row>
    <row r="252" customFormat="false" ht="15" hidden="false" customHeight="false" outlineLevel="0" collapsed="false">
      <c r="A252" s="24" t="n">
        <v>57161</v>
      </c>
      <c r="B252" s="8" t="s">
        <v>231</v>
      </c>
      <c r="C252" s="25" t="n">
        <v>50</v>
      </c>
      <c r="D252" s="25" t="n">
        <v>50</v>
      </c>
      <c r="E252" s="10" t="n">
        <v>0</v>
      </c>
      <c r="F252" s="10" t="n">
        <v>586</v>
      </c>
      <c r="G252" s="10" t="n">
        <v>586</v>
      </c>
      <c r="H252" s="10" t="n">
        <v>0</v>
      </c>
      <c r="I252" s="10" t="n">
        <v>586</v>
      </c>
      <c r="J252" s="10" t="n">
        <v>586</v>
      </c>
      <c r="K252" s="11" t="n">
        <v>1</v>
      </c>
      <c r="L252" s="11" t="n">
        <v>1</v>
      </c>
      <c r="M252" s="26" t="n">
        <v>37.9</v>
      </c>
    </row>
    <row r="253" customFormat="false" ht="15" hidden="false" customHeight="false" outlineLevel="0" collapsed="false">
      <c r="A253" s="27" t="n">
        <v>57240</v>
      </c>
      <c r="B253" s="12" t="s">
        <v>232</v>
      </c>
      <c r="C253" s="28" t="n">
        <v>66</v>
      </c>
      <c r="D253" s="28" t="n">
        <v>66</v>
      </c>
      <c r="E253" s="14" t="n">
        <v>0</v>
      </c>
      <c r="F253" s="14" t="n">
        <v>1207.14</v>
      </c>
      <c r="G253" s="14" t="n">
        <v>1207.14</v>
      </c>
      <c r="H253" s="14" t="n">
        <v>194.3995</v>
      </c>
      <c r="I253" s="14" t="n">
        <v>1012.74</v>
      </c>
      <c r="J253" s="14" t="n">
        <v>719.9</v>
      </c>
      <c r="K253" s="15" t="n">
        <v>0.839</v>
      </c>
      <c r="L253" s="15" t="n">
        <v>0.5964</v>
      </c>
      <c r="M253" s="29" t="n">
        <v>36.33</v>
      </c>
    </row>
    <row r="254" customFormat="false" ht="15" hidden="false" customHeight="false" outlineLevel="0" collapsed="false">
      <c r="A254" s="24" t="n">
        <v>57242</v>
      </c>
      <c r="B254" s="8" t="s">
        <v>420</v>
      </c>
      <c r="C254" s="25" t="n">
        <v>319</v>
      </c>
      <c r="D254" s="25" t="n">
        <v>319</v>
      </c>
      <c r="E254" s="10" t="n">
        <v>0</v>
      </c>
      <c r="F254" s="10" t="n">
        <v>12587.74</v>
      </c>
      <c r="G254" s="10" t="n">
        <v>12587.74</v>
      </c>
      <c r="H254" s="10" t="n">
        <v>2998.6</v>
      </c>
      <c r="I254" s="10" t="n">
        <v>9589.14</v>
      </c>
      <c r="J254" s="10" t="n">
        <v>5221.41</v>
      </c>
      <c r="K254" s="11" t="n">
        <v>0.7618</v>
      </c>
      <c r="L254" s="11" t="n">
        <v>0.4148</v>
      </c>
      <c r="M254" s="26" t="n">
        <v>60</v>
      </c>
    </row>
    <row r="255" customFormat="false" ht="15" hidden="false" customHeight="false" outlineLevel="0" collapsed="false">
      <c r="A255" s="27" t="n">
        <v>57404</v>
      </c>
      <c r="B255" s="12" t="s">
        <v>233</v>
      </c>
      <c r="C255" s="28" t="n">
        <v>1</v>
      </c>
      <c r="D255" s="28" t="n">
        <v>1</v>
      </c>
      <c r="E255" s="14" t="n">
        <v>0</v>
      </c>
      <c r="F255" s="14" t="n">
        <v>365.47</v>
      </c>
      <c r="G255" s="14" t="n">
        <v>365.47</v>
      </c>
      <c r="H255" s="14" t="n">
        <v>103.01</v>
      </c>
      <c r="I255" s="14" t="n">
        <v>262.46</v>
      </c>
      <c r="J255" s="14" t="n">
        <v>160.46</v>
      </c>
      <c r="K255" s="15" t="n">
        <v>0.7181</v>
      </c>
      <c r="L255" s="15" t="n">
        <v>0.4391</v>
      </c>
      <c r="M255" s="29" t="n">
        <v>28</v>
      </c>
    </row>
    <row r="256" customFormat="false" ht="15" hidden="false" customHeight="false" outlineLevel="0" collapsed="false">
      <c r="A256" s="24" t="n">
        <v>57502</v>
      </c>
      <c r="B256" s="8" t="s">
        <v>234</v>
      </c>
      <c r="C256" s="25" t="n">
        <v>380</v>
      </c>
      <c r="D256" s="25" t="n">
        <v>380</v>
      </c>
      <c r="E256" s="10" t="n">
        <v>0</v>
      </c>
      <c r="F256" s="10" t="n">
        <v>152</v>
      </c>
      <c r="G256" s="10" t="n">
        <v>152</v>
      </c>
      <c r="H256" s="10" t="n">
        <v>0</v>
      </c>
      <c r="I256" s="10" t="n">
        <v>152</v>
      </c>
      <c r="J256" s="10" t="n">
        <v>152</v>
      </c>
      <c r="K256" s="11" t="n">
        <v>1</v>
      </c>
      <c r="L256" s="11" t="n">
        <v>1</v>
      </c>
      <c r="M256" s="26" t="n">
        <v>5</v>
      </c>
    </row>
    <row r="257" customFormat="false" ht="15" hidden="false" customHeight="false" outlineLevel="0" collapsed="false">
      <c r="A257" s="27" t="n">
        <v>57687</v>
      </c>
      <c r="B257" s="12" t="s">
        <v>460</v>
      </c>
      <c r="C257" s="28" t="n">
        <v>2</v>
      </c>
      <c r="D257" s="28" t="n">
        <v>2</v>
      </c>
      <c r="E257" s="14" t="n">
        <v>0</v>
      </c>
      <c r="F257" s="14" t="n">
        <v>200</v>
      </c>
      <c r="G257" s="14" t="n">
        <v>200</v>
      </c>
      <c r="H257" s="14" t="n">
        <v>260</v>
      </c>
      <c r="I257" s="14" t="n">
        <v>-60</v>
      </c>
      <c r="J257" s="14" t="n">
        <v>-129.4</v>
      </c>
      <c r="K257" s="15" t="n">
        <v>-0.3</v>
      </c>
      <c r="L257" s="15" t="n">
        <v>-0.647</v>
      </c>
      <c r="M257" s="29" t="n">
        <v>28</v>
      </c>
    </row>
    <row r="258" customFormat="false" ht="15" hidden="false" customHeight="false" outlineLevel="0" collapsed="false">
      <c r="A258" s="24" t="n">
        <v>80001</v>
      </c>
      <c r="B258" s="8" t="s">
        <v>439</v>
      </c>
      <c r="C258" s="25" t="n">
        <v>22</v>
      </c>
      <c r="D258" s="25" t="n">
        <v>22</v>
      </c>
      <c r="E258" s="10" t="n">
        <v>0</v>
      </c>
      <c r="F258" s="10" t="n">
        <v>1314.5</v>
      </c>
      <c r="G258" s="10" t="n">
        <v>1314.5</v>
      </c>
      <c r="H258" s="10" t="n">
        <v>696.7204</v>
      </c>
      <c r="I258" s="10" t="n">
        <v>617.78</v>
      </c>
      <c r="J258" s="10" t="n">
        <v>256.66</v>
      </c>
      <c r="K258" s="11" t="n">
        <v>0.47</v>
      </c>
      <c r="L258" s="11" t="n">
        <v>0.1953</v>
      </c>
      <c r="M258" s="26" t="n">
        <v>46</v>
      </c>
    </row>
    <row r="259" customFormat="false" ht="15" hidden="false" customHeight="false" outlineLevel="0" collapsed="false">
      <c r="A259" s="27" t="n">
        <v>80005</v>
      </c>
      <c r="B259" s="12" t="s">
        <v>440</v>
      </c>
      <c r="C259" s="28" t="n">
        <v>22</v>
      </c>
      <c r="D259" s="28" t="n">
        <v>22</v>
      </c>
      <c r="E259" s="14" t="n">
        <v>0</v>
      </c>
      <c r="F259" s="14" t="n">
        <v>1115.18</v>
      </c>
      <c r="G259" s="14" t="n">
        <v>1115.18</v>
      </c>
      <c r="H259" s="14" t="n">
        <v>575.5996</v>
      </c>
      <c r="I259" s="14" t="n">
        <v>539.58</v>
      </c>
      <c r="J259" s="14" t="n">
        <v>233.22</v>
      </c>
      <c r="K259" s="15" t="n">
        <v>0.4839</v>
      </c>
      <c r="L259" s="15" t="n">
        <v>0.2091</v>
      </c>
      <c r="M259" s="29" t="n">
        <v>46</v>
      </c>
    </row>
    <row r="260" customFormat="false" ht="15" hidden="false" customHeight="false" outlineLevel="0" collapsed="false">
      <c r="A260" s="24" t="n">
        <v>90252</v>
      </c>
      <c r="B260" s="8" t="s">
        <v>441</v>
      </c>
      <c r="C260" s="25" t="n">
        <v>10</v>
      </c>
      <c r="D260" s="25" t="n">
        <v>10</v>
      </c>
      <c r="E260" s="10" t="n">
        <v>0</v>
      </c>
      <c r="F260" s="10" t="n">
        <v>2884.6</v>
      </c>
      <c r="G260" s="10" t="n">
        <v>2884.6</v>
      </c>
      <c r="H260" s="10" t="n">
        <v>1163.84</v>
      </c>
      <c r="I260" s="10" t="n">
        <v>1720.76</v>
      </c>
      <c r="J260" s="10" t="n">
        <v>928.3</v>
      </c>
      <c r="K260" s="11" t="n">
        <v>0.5965</v>
      </c>
      <c r="L260" s="11" t="n">
        <v>0.3218</v>
      </c>
      <c r="M260" s="26" t="n">
        <v>60</v>
      </c>
    </row>
    <row r="261" customFormat="false" ht="15" hidden="false" customHeight="false" outlineLevel="0" collapsed="false">
      <c r="A261" s="27" t="n">
        <v>90325</v>
      </c>
      <c r="B261" s="12" t="s">
        <v>236</v>
      </c>
      <c r="C261" s="28" t="n">
        <v>6000</v>
      </c>
      <c r="D261" s="28" t="n">
        <v>6000</v>
      </c>
      <c r="E261" s="14" t="n">
        <v>0</v>
      </c>
      <c r="F261" s="14" t="n">
        <v>3940</v>
      </c>
      <c r="G261" s="14" t="n">
        <v>3940</v>
      </c>
      <c r="H261" s="14" t="n">
        <v>1287.6</v>
      </c>
      <c r="I261" s="14" t="n">
        <v>2652.4</v>
      </c>
      <c r="J261" s="14" t="n">
        <v>1570</v>
      </c>
      <c r="K261" s="15" t="n">
        <v>0.6732</v>
      </c>
      <c r="L261" s="15" t="n">
        <v>0.3985</v>
      </c>
      <c r="M261" s="29" t="n">
        <v>65</v>
      </c>
    </row>
    <row r="262" customFormat="false" ht="15" hidden="false" customHeight="false" outlineLevel="0" collapsed="false">
      <c r="A262" s="24" t="n">
        <v>90328</v>
      </c>
      <c r="B262" s="8" t="s">
        <v>237</v>
      </c>
      <c r="C262" s="25" t="n">
        <v>1320</v>
      </c>
      <c r="D262" s="25" t="n">
        <v>1320</v>
      </c>
      <c r="E262" s="10" t="n">
        <v>0</v>
      </c>
      <c r="F262" s="10" t="n">
        <v>10375.2</v>
      </c>
      <c r="G262" s="10" t="n">
        <v>10375.2</v>
      </c>
      <c r="H262" s="10" t="n">
        <v>4816.704</v>
      </c>
      <c r="I262" s="10" t="n">
        <v>5558.5</v>
      </c>
      <c r="J262" s="10" t="n">
        <v>2708.21</v>
      </c>
      <c r="K262" s="11" t="n">
        <v>0.5357</v>
      </c>
      <c r="L262" s="11" t="n">
        <v>0.261</v>
      </c>
      <c r="M262" s="26" t="n">
        <v>65</v>
      </c>
    </row>
    <row r="263" customFormat="false" ht="15" hidden="false" customHeight="false" outlineLevel="0" collapsed="false">
      <c r="A263" s="27" t="n">
        <v>90354</v>
      </c>
      <c r="B263" s="12" t="s">
        <v>238</v>
      </c>
      <c r="C263" s="28" t="n">
        <v>2814</v>
      </c>
      <c r="D263" s="28" t="n">
        <v>2814</v>
      </c>
      <c r="E263" s="14" t="n">
        <v>0</v>
      </c>
      <c r="F263" s="14" t="n">
        <v>23214.48</v>
      </c>
      <c r="G263" s="14" t="n">
        <v>23214.48</v>
      </c>
      <c r="H263" s="14" t="n">
        <v>8504.65</v>
      </c>
      <c r="I263" s="14" t="n">
        <v>14709.83</v>
      </c>
      <c r="J263" s="14" t="n">
        <v>8332.36</v>
      </c>
      <c r="K263" s="15" t="n">
        <v>0.6336</v>
      </c>
      <c r="L263" s="15" t="n">
        <v>0.3589</v>
      </c>
      <c r="M263" s="29" t="n">
        <v>52.51</v>
      </c>
    </row>
    <row r="264" customFormat="false" ht="15" hidden="false" customHeight="false" outlineLevel="0" collapsed="false">
      <c r="A264" s="24" t="n">
        <v>90419</v>
      </c>
      <c r="B264" s="8" t="s">
        <v>298</v>
      </c>
      <c r="C264" s="25" t="n">
        <v>50</v>
      </c>
      <c r="D264" s="25" t="n">
        <v>50</v>
      </c>
      <c r="E264" s="10" t="n">
        <v>0</v>
      </c>
      <c r="F264" s="10" t="n">
        <v>10756</v>
      </c>
      <c r="G264" s="10" t="n">
        <v>10756</v>
      </c>
      <c r="H264" s="10" t="n">
        <v>6867.7894</v>
      </c>
      <c r="I264" s="10" t="n">
        <v>3888.21</v>
      </c>
      <c r="J264" s="10" t="n">
        <v>933.32</v>
      </c>
      <c r="K264" s="11" t="n">
        <v>0.3615</v>
      </c>
      <c r="L264" s="11" t="n">
        <v>0.0868</v>
      </c>
      <c r="M264" s="26" t="n">
        <v>60</v>
      </c>
    </row>
    <row r="265" customFormat="false" ht="15" hidden="false" customHeight="false" outlineLevel="0" collapsed="false">
      <c r="A265" s="27" t="n">
        <v>90460</v>
      </c>
      <c r="B265" s="12" t="s">
        <v>356</v>
      </c>
      <c r="C265" s="28" t="n">
        <v>150</v>
      </c>
      <c r="D265" s="28" t="n">
        <v>150</v>
      </c>
      <c r="E265" s="14" t="n">
        <v>0</v>
      </c>
      <c r="F265" s="14" t="n">
        <v>10650</v>
      </c>
      <c r="G265" s="14" t="n">
        <v>10650</v>
      </c>
      <c r="H265" s="14" t="n">
        <v>1824.885</v>
      </c>
      <c r="I265" s="14" t="n">
        <v>8825.12</v>
      </c>
      <c r="J265" s="14" t="n">
        <v>5899.35</v>
      </c>
      <c r="K265" s="15" t="n">
        <v>0.8286</v>
      </c>
      <c r="L265" s="15" t="n">
        <v>0.5539</v>
      </c>
      <c r="M265" s="29" t="n">
        <v>59</v>
      </c>
    </row>
    <row r="266" customFormat="false" ht="15" hidden="false" customHeight="false" outlineLevel="0" collapsed="false">
      <c r="A266" s="24" t="n">
        <v>90481</v>
      </c>
      <c r="B266" s="8" t="s">
        <v>387</v>
      </c>
      <c r="C266" s="25" t="n">
        <v>20</v>
      </c>
      <c r="D266" s="25" t="n">
        <v>20</v>
      </c>
      <c r="E266" s="10" t="n">
        <v>0</v>
      </c>
      <c r="F266" s="10" t="n">
        <v>12600</v>
      </c>
      <c r="G266" s="10" t="n">
        <v>12600</v>
      </c>
      <c r="H266" s="10" t="n">
        <v>5423.52</v>
      </c>
      <c r="I266" s="10" t="n">
        <v>7176.48</v>
      </c>
      <c r="J266" s="10" t="n">
        <v>3715.01</v>
      </c>
      <c r="K266" s="11" t="n">
        <v>0.5696</v>
      </c>
      <c r="L266" s="11" t="n">
        <v>0.2948</v>
      </c>
      <c r="M266" s="26" t="n">
        <v>60</v>
      </c>
    </row>
    <row r="267" customFormat="false" ht="15" hidden="false" customHeight="false" outlineLevel="0" collapsed="false">
      <c r="A267" s="27" t="n">
        <v>90544</v>
      </c>
      <c r="B267" s="12" t="s">
        <v>246</v>
      </c>
      <c r="C267" s="28" t="n">
        <v>150</v>
      </c>
      <c r="D267" s="28" t="n">
        <v>150</v>
      </c>
      <c r="E267" s="14" t="n">
        <v>0</v>
      </c>
      <c r="F267" s="14" t="n">
        <v>48222</v>
      </c>
      <c r="G267" s="14" t="n">
        <v>48222</v>
      </c>
      <c r="H267" s="14" t="n">
        <v>23360.16</v>
      </c>
      <c r="I267" s="14" t="n">
        <v>24861.84</v>
      </c>
      <c r="J267" s="14" t="n">
        <v>11614.29</v>
      </c>
      <c r="K267" s="15" t="n">
        <v>0.5156</v>
      </c>
      <c r="L267" s="15" t="n">
        <v>0.2409</v>
      </c>
      <c r="M267" s="29" t="n">
        <v>60</v>
      </c>
    </row>
    <row r="268" customFormat="false" ht="15" hidden="false" customHeight="false" outlineLevel="0" collapsed="false">
      <c r="A268" s="24" t="n">
        <v>90564</v>
      </c>
      <c r="B268" s="8" t="s">
        <v>301</v>
      </c>
      <c r="C268" s="25" t="n">
        <v>1532</v>
      </c>
      <c r="D268" s="25" t="n">
        <v>1532</v>
      </c>
      <c r="E268" s="10" t="n">
        <v>0</v>
      </c>
      <c r="F268" s="10" t="n">
        <v>144008</v>
      </c>
      <c r="G268" s="10" t="n">
        <v>144008</v>
      </c>
      <c r="H268" s="10" t="n">
        <v>56871.5992</v>
      </c>
      <c r="I268" s="10" t="n">
        <v>87136.41</v>
      </c>
      <c r="J268" s="10" t="n">
        <v>47574.52</v>
      </c>
      <c r="K268" s="11" t="n">
        <v>0.6051</v>
      </c>
      <c r="L268" s="11" t="n">
        <v>0.3304</v>
      </c>
      <c r="M268" s="26" t="n">
        <v>37.27</v>
      </c>
    </row>
    <row r="269" customFormat="false" ht="15" hidden="false" customHeight="false" outlineLevel="0" collapsed="false">
      <c r="A269" s="27" t="n">
        <v>90570</v>
      </c>
      <c r="B269" s="12" t="s">
        <v>359</v>
      </c>
      <c r="C269" s="28" t="n">
        <v>25</v>
      </c>
      <c r="D269" s="28" t="n">
        <v>25</v>
      </c>
      <c r="E269" s="14" t="n">
        <v>0</v>
      </c>
      <c r="F269" s="14" t="n">
        <v>39102</v>
      </c>
      <c r="G269" s="14" t="n">
        <v>39102</v>
      </c>
      <c r="H269" s="14" t="n">
        <v>17131.46</v>
      </c>
      <c r="I269" s="14" t="n">
        <v>21970.54</v>
      </c>
      <c r="J269" s="14" t="n">
        <v>11228.44</v>
      </c>
      <c r="K269" s="15" t="n">
        <v>0.5619</v>
      </c>
      <c r="L269" s="15" t="n">
        <v>0.2872</v>
      </c>
      <c r="M269" s="29" t="n">
        <v>60</v>
      </c>
    </row>
    <row r="270" customFormat="false" ht="15" hidden="false" customHeight="false" outlineLevel="0" collapsed="false">
      <c r="A270" s="24" t="n">
        <v>90604</v>
      </c>
      <c r="B270" s="8" t="s">
        <v>302</v>
      </c>
      <c r="C270" s="25" t="n">
        <v>60</v>
      </c>
      <c r="D270" s="25" t="n">
        <v>60</v>
      </c>
      <c r="E270" s="10" t="n">
        <v>0</v>
      </c>
      <c r="F270" s="10" t="n">
        <v>8453.7</v>
      </c>
      <c r="G270" s="10" t="n">
        <v>8453.7</v>
      </c>
      <c r="H270" s="10" t="n">
        <v>597.459</v>
      </c>
      <c r="I270" s="10" t="n">
        <v>7856.24</v>
      </c>
      <c r="J270" s="10" t="n">
        <v>5533.84</v>
      </c>
      <c r="K270" s="11" t="n">
        <v>0.9293</v>
      </c>
      <c r="L270" s="11" t="n">
        <v>0.6546</v>
      </c>
      <c r="M270" s="26" t="n">
        <v>61.56</v>
      </c>
    </row>
    <row r="271" customFormat="false" ht="15" hidden="false" customHeight="false" outlineLevel="0" collapsed="false">
      <c r="A271" s="27" t="n">
        <v>90624</v>
      </c>
      <c r="B271" s="12" t="s">
        <v>360</v>
      </c>
      <c r="C271" s="28" t="n">
        <v>210</v>
      </c>
      <c r="D271" s="28" t="n">
        <v>210</v>
      </c>
      <c r="E271" s="14" t="n">
        <v>0</v>
      </c>
      <c r="F271" s="14" t="n">
        <v>18915.3</v>
      </c>
      <c r="G271" s="14" t="n">
        <v>18915.3</v>
      </c>
      <c r="H271" s="14" t="n">
        <v>8643.14</v>
      </c>
      <c r="I271" s="14" t="n">
        <v>10272.16</v>
      </c>
      <c r="J271" s="14" t="n">
        <v>5075.75</v>
      </c>
      <c r="K271" s="15" t="n">
        <v>0.5431</v>
      </c>
      <c r="L271" s="15" t="n">
        <v>0.2683</v>
      </c>
      <c r="M271" s="29" t="n">
        <v>58.33</v>
      </c>
    </row>
    <row r="272" customFormat="false" ht="15" hidden="false" customHeight="false" outlineLevel="0" collapsed="false">
      <c r="A272" s="24" t="n">
        <v>90632</v>
      </c>
      <c r="B272" s="8" t="s">
        <v>248</v>
      </c>
      <c r="C272" s="25" t="n">
        <v>1</v>
      </c>
      <c r="D272" s="25" t="n">
        <v>1</v>
      </c>
      <c r="E272" s="10" t="n">
        <v>0</v>
      </c>
      <c r="F272" s="10" t="n">
        <v>314</v>
      </c>
      <c r="G272" s="10" t="n">
        <v>314</v>
      </c>
      <c r="H272" s="10" t="n">
        <v>136.39</v>
      </c>
      <c r="I272" s="10" t="n">
        <v>177.61</v>
      </c>
      <c r="J272" s="10" t="n">
        <v>106.47</v>
      </c>
      <c r="K272" s="11" t="n">
        <v>0.5656</v>
      </c>
      <c r="L272" s="11" t="n">
        <v>0.3391</v>
      </c>
      <c r="M272" s="26" t="n">
        <v>5</v>
      </c>
    </row>
    <row r="273" customFormat="false" ht="15" hidden="false" customHeight="false" outlineLevel="0" collapsed="false">
      <c r="A273" s="27" t="n">
        <v>90745</v>
      </c>
      <c r="B273" s="12" t="s">
        <v>461</v>
      </c>
      <c r="C273" s="28" t="n">
        <v>60</v>
      </c>
      <c r="D273" s="28" t="n">
        <v>60</v>
      </c>
      <c r="E273" s="14" t="n">
        <v>0</v>
      </c>
      <c r="F273" s="14" t="n">
        <v>101552.4</v>
      </c>
      <c r="G273" s="14" t="n">
        <v>101552.4</v>
      </c>
      <c r="H273" s="14" t="n">
        <v>31562.58</v>
      </c>
      <c r="I273" s="14" t="n">
        <v>69989.82</v>
      </c>
      <c r="J273" s="14" t="n">
        <v>42091.34</v>
      </c>
      <c r="K273" s="15" t="n">
        <v>0.6892</v>
      </c>
      <c r="L273" s="15" t="n">
        <v>0.4145</v>
      </c>
      <c r="M273" s="29" t="n">
        <v>35</v>
      </c>
    </row>
    <row r="274" customFormat="false" ht="15" hidden="false" customHeight="false" outlineLevel="0" collapsed="false">
      <c r="A274" s="24" t="n">
        <v>90762</v>
      </c>
      <c r="B274" s="8" t="s">
        <v>462</v>
      </c>
      <c r="C274" s="25" t="n">
        <v>6</v>
      </c>
      <c r="D274" s="25" t="n">
        <v>6</v>
      </c>
      <c r="E274" s="10" t="n">
        <v>0</v>
      </c>
      <c r="F274" s="10" t="n">
        <v>681.84</v>
      </c>
      <c r="G274" s="10" t="n">
        <v>681.84</v>
      </c>
      <c r="H274" s="10" t="n">
        <v>14.3001</v>
      </c>
      <c r="I274" s="10" t="n">
        <v>667.54</v>
      </c>
      <c r="J274" s="10" t="n">
        <v>623.55</v>
      </c>
      <c r="K274" s="11" t="n">
        <v>0.979</v>
      </c>
      <c r="L274" s="11" t="n">
        <v>0.9145</v>
      </c>
      <c r="M274" s="26" t="n">
        <v>30</v>
      </c>
    </row>
    <row r="275" customFormat="false" ht="15" hidden="false" customHeight="false" outlineLevel="0" collapsed="false">
      <c r="A275" s="27" t="n">
        <v>90766</v>
      </c>
      <c r="B275" s="12" t="s">
        <v>423</v>
      </c>
      <c r="C275" s="28" t="n">
        <v>5</v>
      </c>
      <c r="D275" s="28" t="n">
        <v>5</v>
      </c>
      <c r="E275" s="14" t="n">
        <v>0</v>
      </c>
      <c r="F275" s="14" t="n">
        <v>1579.5</v>
      </c>
      <c r="G275" s="14" t="n">
        <v>1579.5</v>
      </c>
      <c r="H275" s="14" t="n">
        <v>440.57</v>
      </c>
      <c r="I275" s="14" t="n">
        <v>1138.93</v>
      </c>
      <c r="J275" s="14" t="n">
        <v>705.01</v>
      </c>
      <c r="K275" s="15" t="n">
        <v>0.7211</v>
      </c>
      <c r="L275" s="15" t="n">
        <v>0.4464</v>
      </c>
      <c r="M275" s="29" t="n">
        <v>46</v>
      </c>
    </row>
    <row r="276" customFormat="false" ht="15" hidden="false" customHeight="false" outlineLevel="0" collapsed="false">
      <c r="A276" s="16" t="s">
        <v>249</v>
      </c>
      <c r="B276" s="16" t="str">
        <f aca="false">COUNTA(A6:A275)&amp;" produtos"</f>
        <v>270 produtos</v>
      </c>
      <c r="C276" s="30" t="n">
        <f aca="false">SUM(C6:C275)</f>
        <v>41332</v>
      </c>
      <c r="D276" s="30" t="n">
        <f aca="false">SUM(D6:D275)</f>
        <v>41332</v>
      </c>
      <c r="E276" s="18" t="n">
        <f aca="false">SUM(E6:E275)</f>
        <v>2176.91</v>
      </c>
      <c r="F276" s="18" t="n">
        <f aca="false">SUM(F6:F275)</f>
        <v>4934281.78</v>
      </c>
      <c r="G276" s="18" t="n">
        <f aca="false">SUM(G6:G275)</f>
        <v>4936458.69</v>
      </c>
      <c r="H276" s="18" t="n">
        <f aca="false">SUM(H6:H275)</f>
        <v>2062445.9648</v>
      </c>
      <c r="I276" s="18" t="n">
        <f aca="false">SUM(I6:I275)</f>
        <v>2874012.85</v>
      </c>
      <c r="J276" s="18" t="n">
        <f aca="false">SUM(J6:J275)</f>
        <v>1663650.58</v>
      </c>
      <c r="K276" s="19" t="n">
        <f aca="false">IFERROR(I276/G276,0)</f>
        <v>0.582201337128986</v>
      </c>
      <c r="L276" s="19" t="n">
        <f aca="false">IFERROR(J276/G276,0)</f>
        <v>0.337012965057346</v>
      </c>
      <c r="M276" s="31" t="n">
        <f aca="false">IFERROR(SUMPRODUCT(M6:M275,G6:G275)/G276,0)</f>
        <v>40.0590924955152</v>
      </c>
    </row>
  </sheetData>
  <autoFilter ref="A5:M275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23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14</v>
      </c>
      <c r="D6" s="25" t="n">
        <v>14</v>
      </c>
      <c r="E6" s="10" t="n">
        <v>0</v>
      </c>
      <c r="F6" s="10" t="n">
        <v>3382</v>
      </c>
      <c r="G6" s="10" t="n">
        <v>3382</v>
      </c>
      <c r="H6" s="10" t="n">
        <v>2870.04</v>
      </c>
      <c r="I6" s="10" t="n">
        <v>511.96</v>
      </c>
      <c r="J6" s="10" t="n">
        <v>-431.91</v>
      </c>
      <c r="K6" s="11" t="n">
        <v>0.1514</v>
      </c>
      <c r="L6" s="11" t="n">
        <v>-0.1277</v>
      </c>
      <c r="M6" s="26" t="n">
        <v>45.78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753</v>
      </c>
      <c r="D7" s="28" t="n">
        <v>753</v>
      </c>
      <c r="E7" s="14" t="n">
        <v>0</v>
      </c>
      <c r="F7" s="14" t="n">
        <v>4641.6</v>
      </c>
      <c r="G7" s="14" t="n">
        <v>4641.6</v>
      </c>
      <c r="H7" s="14" t="n">
        <v>2334.8394</v>
      </c>
      <c r="I7" s="14" t="n">
        <v>2306.76</v>
      </c>
      <c r="J7" s="14" t="n">
        <v>1011.32</v>
      </c>
      <c r="K7" s="15" t="n">
        <v>0.497</v>
      </c>
      <c r="L7" s="15" t="n">
        <v>0.2179</v>
      </c>
      <c r="M7" s="29" t="n">
        <v>45.5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120</v>
      </c>
      <c r="D8" s="25" t="n">
        <v>120</v>
      </c>
      <c r="E8" s="10" t="n">
        <v>0</v>
      </c>
      <c r="F8" s="10" t="n">
        <v>1370</v>
      </c>
      <c r="G8" s="10" t="n">
        <v>1370</v>
      </c>
      <c r="H8" s="10" t="n">
        <v>675</v>
      </c>
      <c r="I8" s="10" t="n">
        <v>695</v>
      </c>
      <c r="J8" s="10" t="n">
        <v>312.68</v>
      </c>
      <c r="K8" s="11" t="n">
        <v>0.5073</v>
      </c>
      <c r="L8" s="11" t="n">
        <v>0.2282</v>
      </c>
      <c r="M8" s="26" t="n">
        <v>45.68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880</v>
      </c>
      <c r="D9" s="28" t="n">
        <v>880</v>
      </c>
      <c r="E9" s="14" t="n">
        <v>0</v>
      </c>
      <c r="F9" s="14" t="n">
        <v>19272</v>
      </c>
      <c r="G9" s="14" t="n">
        <v>19272</v>
      </c>
      <c r="H9" s="14" t="n">
        <v>1873.784</v>
      </c>
      <c r="I9" s="14" t="n">
        <v>17398.22</v>
      </c>
      <c r="J9" s="14" t="n">
        <v>12103.82</v>
      </c>
      <c r="K9" s="15" t="n">
        <v>0.9028</v>
      </c>
      <c r="L9" s="15" t="n">
        <v>0.6281</v>
      </c>
      <c r="M9" s="29" t="n">
        <v>28</v>
      </c>
    </row>
    <row r="10" customFormat="false" ht="15" hidden="false" customHeight="false" outlineLevel="0" collapsed="false">
      <c r="A10" s="24" t="n">
        <v>10704</v>
      </c>
      <c r="B10" s="8" t="s">
        <v>465</v>
      </c>
      <c r="C10" s="25" t="n">
        <v>50</v>
      </c>
      <c r="D10" s="25" t="n">
        <v>50</v>
      </c>
      <c r="E10" s="10" t="n">
        <v>0</v>
      </c>
      <c r="F10" s="10" t="n">
        <v>535</v>
      </c>
      <c r="G10" s="10" t="n">
        <v>535</v>
      </c>
      <c r="H10" s="10" t="n">
        <v>183.22</v>
      </c>
      <c r="I10" s="10" t="n">
        <v>351.78</v>
      </c>
      <c r="J10" s="10" t="n">
        <v>202.47</v>
      </c>
      <c r="K10" s="11" t="n">
        <v>0.6575</v>
      </c>
      <c r="L10" s="11" t="n">
        <v>0.3784</v>
      </c>
      <c r="M10" s="26" t="n">
        <v>47</v>
      </c>
    </row>
    <row r="11" customFormat="false" ht="15" hidden="false" customHeight="false" outlineLevel="0" collapsed="false">
      <c r="A11" s="27" t="n">
        <v>90006</v>
      </c>
      <c r="B11" s="12" t="s">
        <v>447</v>
      </c>
      <c r="C11" s="28" t="n">
        <v>14</v>
      </c>
      <c r="D11" s="28" t="n">
        <v>14</v>
      </c>
      <c r="E11" s="14" t="n">
        <v>0</v>
      </c>
      <c r="F11" s="14" t="n">
        <v>20441.2</v>
      </c>
      <c r="G11" s="14" t="n">
        <v>20441.2</v>
      </c>
      <c r="H11" s="14" t="n">
        <v>17875.11</v>
      </c>
      <c r="I11" s="14" t="n">
        <v>2566.09</v>
      </c>
      <c r="J11" s="14" t="n">
        <v>-117.35</v>
      </c>
      <c r="K11" s="15" t="n">
        <v>0.1255</v>
      </c>
      <c r="L11" s="15" t="n">
        <v>-0.0057</v>
      </c>
      <c r="M11" s="29" t="n">
        <v>53.63</v>
      </c>
    </row>
    <row r="12" customFormat="false" ht="15" hidden="false" customHeight="false" outlineLevel="0" collapsed="false">
      <c r="A12" s="24" t="n">
        <v>90026</v>
      </c>
      <c r="B12" s="8" t="s">
        <v>466</v>
      </c>
      <c r="C12" s="25" t="n">
        <v>29</v>
      </c>
      <c r="D12" s="25" t="n">
        <v>29</v>
      </c>
      <c r="E12" s="10" t="n">
        <v>0</v>
      </c>
      <c r="F12" s="10" t="n">
        <v>5220</v>
      </c>
      <c r="G12" s="10" t="n">
        <v>5220</v>
      </c>
      <c r="H12" s="10" t="n">
        <v>5220</v>
      </c>
      <c r="I12" s="10" t="n">
        <v>0</v>
      </c>
      <c r="J12" s="10" t="n">
        <v>-1112.15</v>
      </c>
      <c r="K12" s="11" t="n">
        <v>0</v>
      </c>
      <c r="L12" s="11" t="n">
        <v>-0.2131</v>
      </c>
      <c r="M12" s="26" t="n">
        <v>60</v>
      </c>
    </row>
    <row r="13" customFormat="false" ht="15" hidden="false" customHeight="false" outlineLevel="0" collapsed="false">
      <c r="A13" s="27" t="n">
        <v>90027</v>
      </c>
      <c r="B13" s="12" t="s">
        <v>467</v>
      </c>
      <c r="C13" s="28" t="n">
        <v>32</v>
      </c>
      <c r="D13" s="28" t="n">
        <v>32</v>
      </c>
      <c r="E13" s="14" t="n">
        <v>0</v>
      </c>
      <c r="F13" s="14" t="n">
        <v>6688</v>
      </c>
      <c r="G13" s="14" t="n">
        <v>6688</v>
      </c>
      <c r="H13" s="14" t="n">
        <v>7040</v>
      </c>
      <c r="I13" s="14" t="n">
        <v>-352</v>
      </c>
      <c r="J13" s="14" t="n">
        <v>-1776.92</v>
      </c>
      <c r="K13" s="15" t="n">
        <v>-0.0526</v>
      </c>
      <c r="L13" s="15" t="n">
        <v>-0.2657</v>
      </c>
      <c r="M13" s="29" t="n">
        <v>60</v>
      </c>
    </row>
    <row r="14" customFormat="false" ht="15" hidden="false" customHeight="false" outlineLevel="0" collapsed="false">
      <c r="A14" s="24" t="n">
        <v>90103</v>
      </c>
      <c r="B14" s="8" t="s">
        <v>468</v>
      </c>
      <c r="C14" s="25" t="n">
        <v>20</v>
      </c>
      <c r="D14" s="25" t="n">
        <v>20</v>
      </c>
      <c r="E14" s="10" t="n">
        <v>3874.78</v>
      </c>
      <c r="F14" s="10" t="n">
        <v>43081.12</v>
      </c>
      <c r="G14" s="10" t="n">
        <v>46955.9</v>
      </c>
      <c r="H14" s="10" t="n">
        <v>18034.6</v>
      </c>
      <c r="I14" s="10" t="n">
        <v>28921.3</v>
      </c>
      <c r="J14" s="10" t="n">
        <v>15532.29</v>
      </c>
      <c r="K14" s="11" t="n">
        <v>0.6159</v>
      </c>
      <c r="L14" s="11" t="n">
        <v>0.3308</v>
      </c>
      <c r="M14" s="26" t="n">
        <v>39.03</v>
      </c>
    </row>
    <row r="15" customFormat="false" ht="15" hidden="false" customHeight="false" outlineLevel="0" collapsed="false">
      <c r="A15" s="27" t="n">
        <v>90144</v>
      </c>
      <c r="B15" s="12" t="s">
        <v>469</v>
      </c>
      <c r="C15" s="28" t="n">
        <v>64</v>
      </c>
      <c r="D15" s="28" t="n">
        <v>64</v>
      </c>
      <c r="E15" s="14" t="n">
        <v>0</v>
      </c>
      <c r="F15" s="14" t="n">
        <v>4992</v>
      </c>
      <c r="G15" s="14" t="n">
        <v>4992</v>
      </c>
      <c r="H15" s="14" t="n">
        <v>2262.0032</v>
      </c>
      <c r="I15" s="14" t="n">
        <v>2730</v>
      </c>
      <c r="J15" s="14" t="n">
        <v>1666.43</v>
      </c>
      <c r="K15" s="15" t="n">
        <v>0.5469</v>
      </c>
      <c r="L15" s="15" t="n">
        <v>0.3338</v>
      </c>
      <c r="M15" s="29" t="n">
        <v>60</v>
      </c>
    </row>
    <row r="16" customFormat="false" ht="15" hidden="false" customHeight="false" outlineLevel="0" collapsed="false">
      <c r="A16" s="24" t="n">
        <v>90237</v>
      </c>
      <c r="B16" s="8" t="s">
        <v>470</v>
      </c>
      <c r="C16" s="25" t="n">
        <v>46</v>
      </c>
      <c r="D16" s="25" t="n">
        <v>46</v>
      </c>
      <c r="E16" s="10" t="n">
        <v>0</v>
      </c>
      <c r="F16" s="10" t="n">
        <v>6854</v>
      </c>
      <c r="G16" s="10" t="n">
        <v>6854</v>
      </c>
      <c r="H16" s="10" t="n">
        <v>6393.8896</v>
      </c>
      <c r="I16" s="10" t="n">
        <v>460.11</v>
      </c>
      <c r="J16" s="10" t="n">
        <v>-1422.83</v>
      </c>
      <c r="K16" s="11" t="n">
        <v>0.0671</v>
      </c>
      <c r="L16" s="11" t="n">
        <v>-0.2076</v>
      </c>
      <c r="M16" s="26" t="n">
        <v>30</v>
      </c>
    </row>
    <row r="17" customFormat="false" ht="15" hidden="false" customHeight="false" outlineLevel="0" collapsed="false">
      <c r="A17" s="27" t="n">
        <v>90238</v>
      </c>
      <c r="B17" s="12" t="s">
        <v>471</v>
      </c>
      <c r="C17" s="28" t="n">
        <v>500</v>
      </c>
      <c r="D17" s="28" t="n">
        <v>500</v>
      </c>
      <c r="E17" s="14" t="n">
        <v>0</v>
      </c>
      <c r="F17" s="14" t="n">
        <v>375</v>
      </c>
      <c r="G17" s="14" t="n">
        <v>375</v>
      </c>
      <c r="H17" s="14" t="n">
        <v>147012.2</v>
      </c>
      <c r="I17" s="14" t="n">
        <v>-146637.2</v>
      </c>
      <c r="J17" s="14" t="n">
        <v>-146740.22</v>
      </c>
      <c r="K17" s="15" t="n">
        <v>-391.0325</v>
      </c>
      <c r="L17" s="15" t="n">
        <v>-391.3073</v>
      </c>
      <c r="M17" s="29" t="n">
        <v>30</v>
      </c>
    </row>
    <row r="18" customFormat="false" ht="15" hidden="false" customHeight="false" outlineLevel="0" collapsed="false">
      <c r="A18" s="24" t="n">
        <v>90363</v>
      </c>
      <c r="B18" s="8" t="s">
        <v>472</v>
      </c>
      <c r="C18" s="25" t="n">
        <v>110</v>
      </c>
      <c r="D18" s="25" t="n">
        <v>110</v>
      </c>
      <c r="E18" s="10" t="n">
        <v>0</v>
      </c>
      <c r="F18" s="10" t="n">
        <v>30139.94</v>
      </c>
      <c r="G18" s="10" t="n">
        <v>30139.94</v>
      </c>
      <c r="H18" s="10" t="n">
        <v>37245.9312</v>
      </c>
      <c r="I18" s="10" t="n">
        <v>-7105.99</v>
      </c>
      <c r="J18" s="10" t="n">
        <v>-15386.04</v>
      </c>
      <c r="K18" s="11" t="n">
        <v>-0.2358</v>
      </c>
      <c r="L18" s="11" t="n">
        <v>-0.5105</v>
      </c>
      <c r="M18" s="26" t="n">
        <v>105</v>
      </c>
    </row>
    <row r="19" customFormat="false" ht="15" hidden="false" customHeight="false" outlineLevel="0" collapsed="false">
      <c r="A19" s="27" t="n">
        <v>90371</v>
      </c>
      <c r="B19" s="12" t="s">
        <v>473</v>
      </c>
      <c r="C19" s="28" t="n">
        <v>891</v>
      </c>
      <c r="D19" s="28" t="n">
        <v>891</v>
      </c>
      <c r="E19" s="14" t="n">
        <v>0</v>
      </c>
      <c r="F19" s="14" t="n">
        <v>8282.87</v>
      </c>
      <c r="G19" s="14" t="n">
        <v>8282.87</v>
      </c>
      <c r="H19" s="14" t="n">
        <v>3161.42</v>
      </c>
      <c r="I19" s="14" t="n">
        <v>5121.45</v>
      </c>
      <c r="J19" s="14" t="n">
        <v>2845.99</v>
      </c>
      <c r="K19" s="15" t="n">
        <v>0.6183</v>
      </c>
      <c r="L19" s="15" t="n">
        <v>0.3436</v>
      </c>
      <c r="M19" s="29" t="n">
        <v>44.36</v>
      </c>
    </row>
    <row r="20" customFormat="false" ht="15" hidden="false" customHeight="false" outlineLevel="0" collapsed="false">
      <c r="A20" s="24" t="n">
        <v>90385</v>
      </c>
      <c r="B20" s="8" t="s">
        <v>474</v>
      </c>
      <c r="C20" s="25" t="n">
        <v>3</v>
      </c>
      <c r="D20" s="25" t="n">
        <v>3</v>
      </c>
      <c r="E20" s="10" t="n">
        <v>0</v>
      </c>
      <c r="F20" s="10" t="n">
        <v>600</v>
      </c>
      <c r="G20" s="10" t="n">
        <v>600</v>
      </c>
      <c r="H20" s="10" t="n">
        <v>600</v>
      </c>
      <c r="I20" s="10" t="n">
        <v>0</v>
      </c>
      <c r="J20" s="10" t="n">
        <v>-164.83</v>
      </c>
      <c r="K20" s="11" t="n">
        <v>0</v>
      </c>
      <c r="L20" s="11" t="n">
        <v>-0.2747</v>
      </c>
      <c r="M20" s="26" t="n">
        <v>7</v>
      </c>
    </row>
    <row r="21" customFormat="false" ht="15" hidden="false" customHeight="false" outlineLevel="0" collapsed="false">
      <c r="A21" s="27" t="n">
        <v>90392</v>
      </c>
      <c r="B21" s="12" t="s">
        <v>475</v>
      </c>
      <c r="C21" s="28" t="n">
        <v>650</v>
      </c>
      <c r="D21" s="28" t="n">
        <v>650</v>
      </c>
      <c r="E21" s="14" t="n">
        <v>0</v>
      </c>
      <c r="F21" s="14" t="n">
        <v>11268.05</v>
      </c>
      <c r="G21" s="14" t="n">
        <v>11268.05</v>
      </c>
      <c r="H21" s="14" t="n">
        <v>37759.74</v>
      </c>
      <c r="I21" s="14" t="n">
        <v>-26491.69</v>
      </c>
      <c r="J21" s="14" t="n">
        <v>-29044.39</v>
      </c>
      <c r="K21" s="15" t="n">
        <v>-2.351</v>
      </c>
      <c r="L21" s="15" t="n">
        <v>-2.5776</v>
      </c>
      <c r="M21" s="29" t="n">
        <v>60</v>
      </c>
    </row>
    <row r="22" customFormat="false" ht="15" hidden="false" customHeight="false" outlineLevel="0" collapsed="false">
      <c r="A22" s="24" t="n">
        <v>90401</v>
      </c>
      <c r="B22" s="8" t="s">
        <v>473</v>
      </c>
      <c r="C22" s="25" t="n">
        <v>738</v>
      </c>
      <c r="D22" s="25" t="n">
        <v>738</v>
      </c>
      <c r="E22" s="10" t="n">
        <v>0</v>
      </c>
      <c r="F22" s="10" t="n">
        <v>55986.17</v>
      </c>
      <c r="G22" s="10" t="n">
        <v>55986.17</v>
      </c>
      <c r="H22" s="10" t="n">
        <v>27870.6528</v>
      </c>
      <c r="I22" s="10" t="n">
        <v>28115.52</v>
      </c>
      <c r="J22" s="10" t="n">
        <v>12735.12</v>
      </c>
      <c r="K22" s="11" t="n">
        <v>0.5022</v>
      </c>
      <c r="L22" s="11" t="n">
        <v>0.2275</v>
      </c>
      <c r="M22" s="26" t="n">
        <v>48.17</v>
      </c>
    </row>
    <row r="23" customFormat="false" ht="15" hidden="false" customHeight="false" outlineLevel="0" collapsed="false">
      <c r="A23" s="27" t="n">
        <v>90405</v>
      </c>
      <c r="B23" s="12" t="s">
        <v>476</v>
      </c>
      <c r="C23" s="28" t="n">
        <v>120</v>
      </c>
      <c r="D23" s="28" t="n">
        <v>120</v>
      </c>
      <c r="E23" s="14" t="n">
        <v>0</v>
      </c>
      <c r="F23" s="14" t="n">
        <v>10340</v>
      </c>
      <c r="G23" s="14" t="n">
        <v>10340</v>
      </c>
      <c r="H23" s="14" t="n">
        <v>3758.04</v>
      </c>
      <c r="I23" s="14" t="n">
        <v>6581.96</v>
      </c>
      <c r="J23" s="14" t="n">
        <v>3741.35</v>
      </c>
      <c r="K23" s="15" t="n">
        <v>0.6366</v>
      </c>
      <c r="L23" s="15" t="n">
        <v>0.3618</v>
      </c>
      <c r="M23" s="29" t="n">
        <v>55.13</v>
      </c>
    </row>
    <row r="24" customFormat="false" ht="15" hidden="false" customHeight="false" outlineLevel="0" collapsed="false">
      <c r="A24" s="24" t="n">
        <v>90413</v>
      </c>
      <c r="B24" s="8" t="s">
        <v>477</v>
      </c>
      <c r="C24" s="25" t="n">
        <v>46</v>
      </c>
      <c r="D24" s="25" t="n">
        <v>46</v>
      </c>
      <c r="E24" s="10" t="n">
        <v>0</v>
      </c>
      <c r="F24" s="10" t="n">
        <v>12420</v>
      </c>
      <c r="G24" s="10" t="n">
        <v>12420</v>
      </c>
      <c r="H24" s="10" t="n">
        <v>1380</v>
      </c>
      <c r="I24" s="10" t="n">
        <v>11040</v>
      </c>
      <c r="J24" s="10" t="n">
        <v>10820.44</v>
      </c>
      <c r="K24" s="11" t="n">
        <v>0.8889</v>
      </c>
      <c r="L24" s="11" t="n">
        <v>0.8712</v>
      </c>
      <c r="M24" s="26" t="n">
        <v>30</v>
      </c>
    </row>
    <row r="25" customFormat="false" ht="15" hidden="false" customHeight="false" outlineLevel="0" collapsed="false">
      <c r="A25" s="27" t="n">
        <v>90418</v>
      </c>
      <c r="B25" s="12" t="s">
        <v>478</v>
      </c>
      <c r="C25" s="28" t="n">
        <v>1168</v>
      </c>
      <c r="D25" s="28" t="n">
        <v>1168</v>
      </c>
      <c r="E25" s="14" t="n">
        <v>0</v>
      </c>
      <c r="F25" s="14" t="n">
        <v>3425.88</v>
      </c>
      <c r="G25" s="14" t="n">
        <v>3425.88</v>
      </c>
      <c r="H25" s="14" t="n">
        <v>0</v>
      </c>
      <c r="I25" s="14" t="n">
        <v>3425.88</v>
      </c>
      <c r="J25" s="14" t="n">
        <v>3425.88</v>
      </c>
      <c r="K25" s="15" t="n">
        <v>1</v>
      </c>
      <c r="L25" s="15" t="n">
        <v>1</v>
      </c>
      <c r="M25" s="29" t="n">
        <v>30</v>
      </c>
    </row>
    <row r="26" customFormat="false" ht="15" hidden="false" customHeight="false" outlineLevel="0" collapsed="false">
      <c r="A26" s="24" t="n">
        <v>90425</v>
      </c>
      <c r="B26" s="8" t="s">
        <v>479</v>
      </c>
      <c r="C26" s="25" t="n">
        <v>3533</v>
      </c>
      <c r="D26" s="25" t="n">
        <v>3533</v>
      </c>
      <c r="E26" s="10" t="n">
        <v>0</v>
      </c>
      <c r="F26" s="10" t="n">
        <v>61070.95</v>
      </c>
      <c r="G26" s="10" t="n">
        <v>61070.95</v>
      </c>
      <c r="H26" s="10" t="n">
        <v>50867.6891</v>
      </c>
      <c r="I26" s="10" t="n">
        <v>10203.26</v>
      </c>
      <c r="J26" s="10" t="n">
        <v>-6574.15</v>
      </c>
      <c r="K26" s="11" t="n">
        <v>0.1671</v>
      </c>
      <c r="L26" s="11" t="n">
        <v>-0.1076</v>
      </c>
      <c r="M26" s="26" t="n">
        <v>52.66</v>
      </c>
    </row>
    <row r="27" customFormat="false" ht="15" hidden="false" customHeight="false" outlineLevel="0" collapsed="false">
      <c r="A27" s="27" t="n">
        <v>90428</v>
      </c>
      <c r="B27" s="12" t="s">
        <v>480</v>
      </c>
      <c r="C27" s="28" t="n">
        <v>688</v>
      </c>
      <c r="D27" s="28" t="n">
        <v>688</v>
      </c>
      <c r="E27" s="14" t="n">
        <v>0</v>
      </c>
      <c r="F27" s="14" t="n">
        <v>16086.99</v>
      </c>
      <c r="G27" s="14" t="n">
        <v>16086.99</v>
      </c>
      <c r="H27" s="14" t="n">
        <v>43556.514</v>
      </c>
      <c r="I27" s="14" t="n">
        <v>-27469.52</v>
      </c>
      <c r="J27" s="14" t="n">
        <v>-31795.96</v>
      </c>
      <c r="K27" s="15" t="n">
        <v>-1.7076</v>
      </c>
      <c r="L27" s="15" t="n">
        <v>-1.9765</v>
      </c>
      <c r="M27" s="29" t="n">
        <v>58.81</v>
      </c>
    </row>
    <row r="28" customFormat="false" ht="15" hidden="false" customHeight="false" outlineLevel="0" collapsed="false">
      <c r="A28" s="24" t="n">
        <v>90436</v>
      </c>
      <c r="B28" s="8" t="s">
        <v>481</v>
      </c>
      <c r="C28" s="25" t="n">
        <v>376</v>
      </c>
      <c r="D28" s="25" t="n">
        <v>376</v>
      </c>
      <c r="E28" s="10" t="n">
        <v>0</v>
      </c>
      <c r="F28" s="10" t="n">
        <v>15212.51</v>
      </c>
      <c r="G28" s="10" t="n">
        <v>15212.51</v>
      </c>
      <c r="H28" s="10" t="n">
        <v>0</v>
      </c>
      <c r="I28" s="10" t="n">
        <v>15212.51</v>
      </c>
      <c r="J28" s="10" t="n">
        <v>15212.51</v>
      </c>
      <c r="K28" s="11" t="n">
        <v>1</v>
      </c>
      <c r="L28" s="11" t="n">
        <v>1</v>
      </c>
      <c r="M28" s="26" t="n">
        <v>46.65</v>
      </c>
    </row>
    <row r="29" customFormat="false" ht="15" hidden="false" customHeight="false" outlineLevel="0" collapsed="false">
      <c r="A29" s="27" t="n">
        <v>90440</v>
      </c>
      <c r="B29" s="12" t="s">
        <v>482</v>
      </c>
      <c r="C29" s="28" t="n">
        <v>180</v>
      </c>
      <c r="D29" s="28" t="n">
        <v>180</v>
      </c>
      <c r="E29" s="14" t="n">
        <v>0</v>
      </c>
      <c r="F29" s="14" t="n">
        <v>46453.4</v>
      </c>
      <c r="G29" s="14" t="n">
        <v>46453.4</v>
      </c>
      <c r="H29" s="14" t="n">
        <v>33644.122</v>
      </c>
      <c r="I29" s="14" t="n">
        <v>12809.28</v>
      </c>
      <c r="J29" s="14" t="n">
        <v>47.61</v>
      </c>
      <c r="K29" s="15" t="n">
        <v>0.2757</v>
      </c>
      <c r="L29" s="15" t="n">
        <v>0.001</v>
      </c>
      <c r="M29" s="29" t="n">
        <v>28</v>
      </c>
    </row>
    <row r="30" customFormat="false" ht="15" hidden="false" customHeight="false" outlineLevel="0" collapsed="false">
      <c r="A30" s="24" t="n">
        <v>90441</v>
      </c>
      <c r="B30" s="8" t="s">
        <v>483</v>
      </c>
      <c r="C30" s="25" t="n">
        <v>2900</v>
      </c>
      <c r="D30" s="25" t="n">
        <v>2900</v>
      </c>
      <c r="E30" s="10" t="n">
        <v>0</v>
      </c>
      <c r="F30" s="10" t="n">
        <v>19512</v>
      </c>
      <c r="G30" s="10" t="n">
        <v>19512</v>
      </c>
      <c r="H30" s="10" t="n">
        <v>5429.14</v>
      </c>
      <c r="I30" s="10" t="n">
        <v>14082.86</v>
      </c>
      <c r="J30" s="10" t="n">
        <v>8722.52</v>
      </c>
      <c r="K30" s="11" t="n">
        <v>0.7218</v>
      </c>
      <c r="L30" s="11" t="n">
        <v>0.447</v>
      </c>
      <c r="M30" s="26" t="n">
        <v>60</v>
      </c>
    </row>
    <row r="31" customFormat="false" ht="15" hidden="false" customHeight="false" outlineLevel="0" collapsed="false">
      <c r="A31" s="27" t="n">
        <v>90446</v>
      </c>
      <c r="B31" s="12" t="s">
        <v>484</v>
      </c>
      <c r="C31" s="28" t="n">
        <v>40</v>
      </c>
      <c r="D31" s="28" t="n">
        <v>40</v>
      </c>
      <c r="E31" s="14" t="n">
        <v>0</v>
      </c>
      <c r="F31" s="14" t="n">
        <v>392</v>
      </c>
      <c r="G31" s="14" t="n">
        <v>392</v>
      </c>
      <c r="H31" s="14" t="n">
        <v>24.94</v>
      </c>
      <c r="I31" s="14" t="n">
        <v>367.06</v>
      </c>
      <c r="J31" s="14" t="n">
        <v>259.37</v>
      </c>
      <c r="K31" s="15" t="n">
        <v>0.9364</v>
      </c>
      <c r="L31" s="15" t="n">
        <v>0.6617</v>
      </c>
      <c r="M31" s="29" t="n">
        <v>30</v>
      </c>
    </row>
    <row r="32" customFormat="false" ht="15" hidden="false" customHeight="false" outlineLevel="0" collapsed="false">
      <c r="A32" s="24" t="n">
        <v>90453</v>
      </c>
      <c r="B32" s="8" t="s">
        <v>485</v>
      </c>
      <c r="C32" s="25" t="n">
        <v>50</v>
      </c>
      <c r="D32" s="25" t="n">
        <v>50</v>
      </c>
      <c r="E32" s="10" t="n">
        <v>0</v>
      </c>
      <c r="F32" s="10" t="n">
        <v>719</v>
      </c>
      <c r="G32" s="10" t="n">
        <v>719</v>
      </c>
      <c r="H32" s="10" t="n">
        <v>133.49</v>
      </c>
      <c r="I32" s="10" t="n">
        <v>585.51</v>
      </c>
      <c r="J32" s="10" t="n">
        <v>387.99</v>
      </c>
      <c r="K32" s="11" t="n">
        <v>0.8143</v>
      </c>
      <c r="L32" s="11" t="n">
        <v>0.5396</v>
      </c>
      <c r="M32" s="26" t="n">
        <v>30</v>
      </c>
    </row>
    <row r="33" customFormat="false" ht="15" hidden="false" customHeight="false" outlineLevel="0" collapsed="false">
      <c r="A33" s="27" t="n">
        <v>90467</v>
      </c>
      <c r="B33" s="12" t="s">
        <v>486</v>
      </c>
      <c r="C33" s="28" t="n">
        <v>8</v>
      </c>
      <c r="D33" s="28" t="n">
        <v>8</v>
      </c>
      <c r="E33" s="14" t="n">
        <v>0</v>
      </c>
      <c r="F33" s="14" t="n">
        <v>424.46</v>
      </c>
      <c r="G33" s="14" t="n">
        <v>424.46</v>
      </c>
      <c r="H33" s="14" t="n">
        <v>112.52</v>
      </c>
      <c r="I33" s="14" t="n">
        <v>311.94</v>
      </c>
      <c r="J33" s="14" t="n">
        <v>195.33</v>
      </c>
      <c r="K33" s="15" t="n">
        <v>0.7349</v>
      </c>
      <c r="L33" s="15" t="n">
        <v>0.4602</v>
      </c>
      <c r="M33" s="29" t="n">
        <v>28</v>
      </c>
    </row>
    <row r="34" customFormat="false" ht="15" hidden="false" customHeight="false" outlineLevel="0" collapsed="false">
      <c r="A34" s="24" t="n">
        <v>90476</v>
      </c>
      <c r="B34" s="8" t="s">
        <v>477</v>
      </c>
      <c r="C34" s="25" t="n">
        <v>10</v>
      </c>
      <c r="D34" s="25" t="n">
        <v>10</v>
      </c>
      <c r="E34" s="10" t="n">
        <v>0</v>
      </c>
      <c r="F34" s="10" t="n">
        <v>210.6</v>
      </c>
      <c r="G34" s="10" t="n">
        <v>210.6</v>
      </c>
      <c r="H34" s="10" t="n">
        <v>24.16</v>
      </c>
      <c r="I34" s="10" t="n">
        <v>186.44</v>
      </c>
      <c r="J34" s="10" t="n">
        <v>128.58</v>
      </c>
      <c r="K34" s="11" t="n">
        <v>0.8853</v>
      </c>
      <c r="L34" s="11" t="n">
        <v>0.6105</v>
      </c>
      <c r="M34" s="26" t="n">
        <v>7</v>
      </c>
    </row>
    <row r="35" customFormat="false" ht="15" hidden="false" customHeight="false" outlineLevel="0" collapsed="false">
      <c r="A35" s="27" t="n">
        <v>90506</v>
      </c>
      <c r="B35" s="12" t="s">
        <v>473</v>
      </c>
      <c r="C35" s="28" t="n">
        <v>583</v>
      </c>
      <c r="D35" s="28" t="n">
        <v>583</v>
      </c>
      <c r="E35" s="14" t="n">
        <v>0</v>
      </c>
      <c r="F35" s="14" t="n">
        <v>14697.85</v>
      </c>
      <c r="G35" s="14" t="n">
        <v>14697.85</v>
      </c>
      <c r="H35" s="14" t="n">
        <v>3874.8416</v>
      </c>
      <c r="I35" s="14" t="n">
        <v>10823.01</v>
      </c>
      <c r="J35" s="14" t="n">
        <v>6785.23</v>
      </c>
      <c r="K35" s="15" t="n">
        <v>0.7364</v>
      </c>
      <c r="L35" s="15" t="n">
        <v>0.4616</v>
      </c>
      <c r="M35" s="29" t="n">
        <v>49</v>
      </c>
    </row>
    <row r="36" customFormat="false" ht="15" hidden="false" customHeight="false" outlineLevel="0" collapsed="false">
      <c r="A36" s="24" t="n">
        <v>90552</v>
      </c>
      <c r="B36" s="8" t="s">
        <v>487</v>
      </c>
      <c r="C36" s="25" t="n">
        <v>23</v>
      </c>
      <c r="D36" s="25" t="n">
        <v>23</v>
      </c>
      <c r="E36" s="10" t="n">
        <v>0</v>
      </c>
      <c r="F36" s="10" t="n">
        <v>2070</v>
      </c>
      <c r="G36" s="10" t="n">
        <v>2070</v>
      </c>
      <c r="H36" s="10" t="n">
        <v>473.6206</v>
      </c>
      <c r="I36" s="10" t="n">
        <v>1596.38</v>
      </c>
      <c r="J36" s="10" t="n">
        <v>1027.71</v>
      </c>
      <c r="K36" s="11" t="n">
        <v>0.7712</v>
      </c>
      <c r="L36" s="11" t="n">
        <v>0.4965</v>
      </c>
      <c r="M36" s="26" t="n">
        <v>30</v>
      </c>
    </row>
    <row r="37" customFormat="false" ht="15" hidden="false" customHeight="false" outlineLevel="0" collapsed="false">
      <c r="A37" s="27" t="n">
        <v>90554</v>
      </c>
      <c r="B37" s="12" t="s">
        <v>488</v>
      </c>
      <c r="C37" s="28" t="n">
        <v>275</v>
      </c>
      <c r="D37" s="28" t="n">
        <v>275</v>
      </c>
      <c r="E37" s="14" t="n">
        <v>0</v>
      </c>
      <c r="F37" s="14" t="n">
        <v>24847.5</v>
      </c>
      <c r="G37" s="14" t="n">
        <v>24847.5</v>
      </c>
      <c r="H37" s="14" t="n">
        <v>0</v>
      </c>
      <c r="I37" s="14" t="n">
        <v>24847.5</v>
      </c>
      <c r="J37" s="14" t="n">
        <v>24847.5</v>
      </c>
      <c r="K37" s="15" t="n">
        <v>1</v>
      </c>
      <c r="L37" s="15" t="n">
        <v>1</v>
      </c>
      <c r="M37" s="29" t="n">
        <v>53</v>
      </c>
    </row>
    <row r="38" customFormat="false" ht="15" hidden="false" customHeight="false" outlineLevel="0" collapsed="false">
      <c r="A38" s="24" t="n">
        <v>90584</v>
      </c>
      <c r="B38" s="8" t="s">
        <v>489</v>
      </c>
      <c r="C38" s="25" t="n">
        <v>20</v>
      </c>
      <c r="D38" s="25" t="n">
        <v>20</v>
      </c>
      <c r="E38" s="10" t="n">
        <v>0</v>
      </c>
      <c r="F38" s="10" t="n">
        <v>10374.48</v>
      </c>
      <c r="G38" s="10" t="n">
        <v>10374.48</v>
      </c>
      <c r="H38" s="10" t="n">
        <v>7194.15</v>
      </c>
      <c r="I38" s="10" t="n">
        <v>3180.33</v>
      </c>
      <c r="J38" s="10" t="n">
        <v>969.99</v>
      </c>
      <c r="K38" s="11" t="n">
        <v>0.3066</v>
      </c>
      <c r="L38" s="11" t="n">
        <v>0.0935</v>
      </c>
      <c r="M38" s="26" t="n">
        <v>25</v>
      </c>
    </row>
    <row r="39" customFormat="false" ht="15" hidden="false" customHeight="false" outlineLevel="0" collapsed="false">
      <c r="A39" s="27" t="n">
        <v>90605</v>
      </c>
      <c r="B39" s="12" t="s">
        <v>490</v>
      </c>
      <c r="C39" s="28" t="n">
        <v>34</v>
      </c>
      <c r="D39" s="28" t="n">
        <v>34</v>
      </c>
      <c r="E39" s="14" t="n">
        <v>0</v>
      </c>
      <c r="F39" s="14" t="n">
        <v>2740</v>
      </c>
      <c r="G39" s="14" t="n">
        <v>2740</v>
      </c>
      <c r="H39" s="14" t="n">
        <v>0</v>
      </c>
      <c r="I39" s="14" t="n">
        <v>2740</v>
      </c>
      <c r="J39" s="14" t="n">
        <v>2740</v>
      </c>
      <c r="K39" s="15" t="n">
        <v>1</v>
      </c>
      <c r="L39" s="15" t="n">
        <v>1</v>
      </c>
      <c r="M39" s="29" t="n">
        <v>53</v>
      </c>
    </row>
    <row r="40" customFormat="false" ht="15" hidden="false" customHeight="false" outlineLevel="0" collapsed="false">
      <c r="A40" s="24" t="n">
        <v>90611</v>
      </c>
      <c r="B40" s="8" t="s">
        <v>491</v>
      </c>
      <c r="C40" s="25" t="n">
        <v>15</v>
      </c>
      <c r="D40" s="25" t="n">
        <v>15</v>
      </c>
      <c r="E40" s="10" t="n">
        <v>0</v>
      </c>
      <c r="F40" s="10" t="n">
        <v>599.74</v>
      </c>
      <c r="G40" s="10" t="n">
        <v>599.74</v>
      </c>
      <c r="H40" s="10" t="n">
        <v>212.98</v>
      </c>
      <c r="I40" s="10" t="n">
        <v>386.76</v>
      </c>
      <c r="J40" s="10" t="n">
        <v>221.99</v>
      </c>
      <c r="K40" s="11" t="n">
        <v>0.6449</v>
      </c>
      <c r="L40" s="11" t="n">
        <v>0.3701</v>
      </c>
      <c r="M40" s="26" t="n">
        <v>30</v>
      </c>
    </row>
    <row r="41" customFormat="false" ht="15" hidden="false" customHeight="false" outlineLevel="0" collapsed="false">
      <c r="A41" s="27" t="n">
        <v>90617</v>
      </c>
      <c r="B41" s="12" t="s">
        <v>492</v>
      </c>
      <c r="C41" s="28" t="n">
        <v>952</v>
      </c>
      <c r="D41" s="28" t="n">
        <v>952</v>
      </c>
      <c r="E41" s="14" t="n">
        <v>0</v>
      </c>
      <c r="F41" s="14" t="n">
        <v>54088.96</v>
      </c>
      <c r="G41" s="14" t="n">
        <v>54088.96</v>
      </c>
      <c r="H41" s="14" t="n">
        <v>26332.3669</v>
      </c>
      <c r="I41" s="14" t="n">
        <v>27756.6</v>
      </c>
      <c r="J41" s="14" t="n">
        <v>12897.23</v>
      </c>
      <c r="K41" s="15" t="n">
        <v>0.5132</v>
      </c>
      <c r="L41" s="15" t="n">
        <v>0.2384</v>
      </c>
      <c r="M41" s="29" t="n">
        <v>54.81</v>
      </c>
    </row>
    <row r="42" customFormat="false" ht="15" hidden="false" customHeight="false" outlineLevel="0" collapsed="false">
      <c r="A42" s="24" t="n">
        <v>90623</v>
      </c>
      <c r="B42" s="8" t="s">
        <v>473</v>
      </c>
      <c r="C42" s="25" t="n">
        <v>204</v>
      </c>
      <c r="D42" s="25" t="n">
        <v>204</v>
      </c>
      <c r="E42" s="10" t="n">
        <v>0</v>
      </c>
      <c r="F42" s="10" t="n">
        <v>25923.84</v>
      </c>
      <c r="G42" s="10" t="n">
        <v>25923.84</v>
      </c>
      <c r="H42" s="10" t="n">
        <v>12331.0326</v>
      </c>
      <c r="I42" s="10" t="n">
        <v>13592.81</v>
      </c>
      <c r="J42" s="10" t="n">
        <v>6471.01</v>
      </c>
      <c r="K42" s="11" t="n">
        <v>0.5243</v>
      </c>
      <c r="L42" s="11" t="n">
        <v>0.2496</v>
      </c>
      <c r="M42" s="26" t="n">
        <v>50.85</v>
      </c>
    </row>
    <row r="43" customFormat="false" ht="15" hidden="false" customHeight="false" outlineLevel="0" collapsed="false">
      <c r="A43" s="27" t="n">
        <v>90625</v>
      </c>
      <c r="B43" s="12" t="s">
        <v>473</v>
      </c>
      <c r="C43" s="28" t="n">
        <v>889</v>
      </c>
      <c r="D43" s="28" t="n">
        <v>889</v>
      </c>
      <c r="E43" s="14" t="n">
        <v>0</v>
      </c>
      <c r="F43" s="14" t="n">
        <v>28030.46</v>
      </c>
      <c r="G43" s="14" t="n">
        <v>28030.46</v>
      </c>
      <c r="H43" s="14" t="n">
        <v>9014.256</v>
      </c>
      <c r="I43" s="14" t="n">
        <v>19016.2</v>
      </c>
      <c r="J43" s="14" t="n">
        <v>11315.64</v>
      </c>
      <c r="K43" s="15" t="n">
        <v>0.6784</v>
      </c>
      <c r="L43" s="15" t="n">
        <v>0.4037</v>
      </c>
      <c r="M43" s="29" t="n">
        <v>47.45</v>
      </c>
    </row>
    <row r="44" customFormat="false" ht="15" hidden="false" customHeight="false" outlineLevel="0" collapsed="false">
      <c r="A44" s="24" t="n">
        <v>90630</v>
      </c>
      <c r="B44" s="8" t="s">
        <v>493</v>
      </c>
      <c r="C44" s="25" t="n">
        <v>2</v>
      </c>
      <c r="D44" s="25" t="n">
        <v>2</v>
      </c>
      <c r="E44" s="10" t="n">
        <v>0</v>
      </c>
      <c r="F44" s="10" t="n">
        <v>165.56</v>
      </c>
      <c r="G44" s="10" t="n">
        <v>165.56</v>
      </c>
      <c r="H44" s="10" t="n">
        <v>38.59</v>
      </c>
      <c r="I44" s="10" t="n">
        <v>126.97</v>
      </c>
      <c r="J44" s="10" t="n">
        <v>81.48</v>
      </c>
      <c r="K44" s="11" t="n">
        <v>0.7669</v>
      </c>
      <c r="L44" s="11" t="n">
        <v>0.4921</v>
      </c>
      <c r="M44" s="26" t="n">
        <v>50</v>
      </c>
    </row>
    <row r="45" customFormat="false" ht="15" hidden="false" customHeight="false" outlineLevel="0" collapsed="false">
      <c r="A45" s="27" t="n">
        <v>90636</v>
      </c>
      <c r="B45" s="12" t="s">
        <v>494</v>
      </c>
      <c r="C45" s="28" t="n">
        <v>20</v>
      </c>
      <c r="D45" s="28" t="n">
        <v>20</v>
      </c>
      <c r="E45" s="14" t="n">
        <v>0</v>
      </c>
      <c r="F45" s="14" t="n">
        <v>888</v>
      </c>
      <c r="G45" s="14" t="n">
        <v>888</v>
      </c>
      <c r="H45" s="14" t="n">
        <v>888</v>
      </c>
      <c r="I45" s="14" t="n">
        <v>0</v>
      </c>
      <c r="J45" s="14" t="n">
        <v>-243.95</v>
      </c>
      <c r="K45" s="15" t="n">
        <v>0</v>
      </c>
      <c r="L45" s="15" t="n">
        <v>-0.2747</v>
      </c>
      <c r="M45" s="29" t="n">
        <v>30</v>
      </c>
    </row>
    <row r="46" customFormat="false" ht="15" hidden="false" customHeight="false" outlineLevel="0" collapsed="false">
      <c r="A46" s="24" t="n">
        <v>90640</v>
      </c>
      <c r="B46" s="8" t="s">
        <v>473</v>
      </c>
      <c r="C46" s="25" t="n">
        <v>9</v>
      </c>
      <c r="D46" s="25" t="n">
        <v>9</v>
      </c>
      <c r="E46" s="10" t="n">
        <v>0</v>
      </c>
      <c r="F46" s="10" t="n">
        <v>210.35</v>
      </c>
      <c r="G46" s="10" t="n">
        <v>210.35</v>
      </c>
      <c r="H46" s="10" t="n">
        <v>102.4401</v>
      </c>
      <c r="I46" s="10" t="n">
        <v>107.91</v>
      </c>
      <c r="J46" s="10" t="n">
        <v>50.13</v>
      </c>
      <c r="K46" s="11" t="n">
        <v>0.513</v>
      </c>
      <c r="L46" s="11" t="n">
        <v>0.2383</v>
      </c>
      <c r="M46" s="26" t="n">
        <v>51</v>
      </c>
    </row>
    <row r="47" customFormat="false" ht="15" hidden="false" customHeight="false" outlineLevel="0" collapsed="false">
      <c r="A47" s="27" t="n">
        <v>90645</v>
      </c>
      <c r="B47" s="12" t="s">
        <v>495</v>
      </c>
      <c r="C47" s="28" t="n">
        <v>3452</v>
      </c>
      <c r="D47" s="28" t="n">
        <v>3452</v>
      </c>
      <c r="E47" s="14" t="n">
        <v>0</v>
      </c>
      <c r="F47" s="14" t="n">
        <v>10641</v>
      </c>
      <c r="G47" s="14" t="n">
        <v>10641</v>
      </c>
      <c r="H47" s="14" t="n">
        <v>0</v>
      </c>
      <c r="I47" s="14" t="n">
        <v>10641</v>
      </c>
      <c r="J47" s="14" t="n">
        <v>10641</v>
      </c>
      <c r="K47" s="15" t="n">
        <v>1</v>
      </c>
      <c r="L47" s="15" t="n">
        <v>1</v>
      </c>
      <c r="M47" s="29" t="n">
        <v>28</v>
      </c>
    </row>
    <row r="48" customFormat="false" ht="15" hidden="false" customHeight="false" outlineLevel="0" collapsed="false">
      <c r="A48" s="24" t="n">
        <v>90664</v>
      </c>
      <c r="B48" s="8" t="s">
        <v>496</v>
      </c>
      <c r="C48" s="25" t="n">
        <v>35</v>
      </c>
      <c r="D48" s="25" t="n">
        <v>35</v>
      </c>
      <c r="E48" s="10" t="n">
        <v>18505.49</v>
      </c>
      <c r="F48" s="10" t="n">
        <v>82236.31</v>
      </c>
      <c r="G48" s="10" t="n">
        <v>100741.8</v>
      </c>
      <c r="H48" s="10" t="n">
        <v>24854.04</v>
      </c>
      <c r="I48" s="10" t="n">
        <v>75887.76</v>
      </c>
      <c r="J48" s="10" t="n">
        <v>48725.34</v>
      </c>
      <c r="K48" s="11" t="n">
        <v>0.7533</v>
      </c>
      <c r="L48" s="11" t="n">
        <v>0.4837</v>
      </c>
      <c r="M48" s="26" t="n">
        <v>45.91</v>
      </c>
    </row>
    <row r="49" customFormat="false" ht="15" hidden="false" customHeight="false" outlineLevel="0" collapsed="false">
      <c r="A49" s="27" t="n">
        <v>90665</v>
      </c>
      <c r="B49" s="12" t="s">
        <v>497</v>
      </c>
      <c r="C49" s="28" t="n">
        <v>3</v>
      </c>
      <c r="D49" s="28" t="n">
        <v>3</v>
      </c>
      <c r="E49" s="14" t="n">
        <v>0</v>
      </c>
      <c r="F49" s="14" t="n">
        <v>13519.61</v>
      </c>
      <c r="G49" s="14" t="n">
        <v>13519.61</v>
      </c>
      <c r="H49" s="14" t="n">
        <v>6053.19</v>
      </c>
      <c r="I49" s="14" t="n">
        <v>7466.42</v>
      </c>
      <c r="J49" s="14" t="n">
        <v>3752.32</v>
      </c>
      <c r="K49" s="15" t="n">
        <v>0.5523</v>
      </c>
      <c r="L49" s="15" t="n">
        <v>0.2775</v>
      </c>
      <c r="M49" s="29" t="n">
        <v>53.9</v>
      </c>
    </row>
    <row r="50" customFormat="false" ht="15" hidden="false" customHeight="false" outlineLevel="0" collapsed="false">
      <c r="A50" s="24" t="n">
        <v>90675</v>
      </c>
      <c r="B50" s="8" t="s">
        <v>498</v>
      </c>
      <c r="C50" s="25" t="n">
        <v>114</v>
      </c>
      <c r="D50" s="25" t="n">
        <v>114</v>
      </c>
      <c r="E50" s="10" t="n">
        <v>0</v>
      </c>
      <c r="F50" s="10" t="n">
        <v>3386.42</v>
      </c>
      <c r="G50" s="10" t="n">
        <v>3386.42</v>
      </c>
      <c r="H50" s="10" t="n">
        <v>2151.7316</v>
      </c>
      <c r="I50" s="10" t="n">
        <v>1234.69</v>
      </c>
      <c r="J50" s="10" t="n">
        <v>304.37</v>
      </c>
      <c r="K50" s="11" t="n">
        <v>0.3646</v>
      </c>
      <c r="L50" s="11" t="n">
        <v>0.0899</v>
      </c>
      <c r="M50" s="26" t="n">
        <v>53</v>
      </c>
    </row>
    <row r="51" customFormat="false" ht="15" hidden="false" customHeight="false" outlineLevel="0" collapsed="false">
      <c r="A51" s="27" t="n">
        <v>90692</v>
      </c>
      <c r="B51" s="12" t="s">
        <v>499</v>
      </c>
      <c r="C51" s="28" t="n">
        <v>30</v>
      </c>
      <c r="D51" s="28" t="n">
        <v>30</v>
      </c>
      <c r="E51" s="14" t="n">
        <v>0</v>
      </c>
      <c r="F51" s="14" t="n">
        <v>2652.28</v>
      </c>
      <c r="G51" s="14" t="n">
        <v>2652.28</v>
      </c>
      <c r="H51" s="14" t="n">
        <v>2592</v>
      </c>
      <c r="I51" s="14" t="n">
        <v>60.28</v>
      </c>
      <c r="J51" s="14" t="n">
        <v>-504.8</v>
      </c>
      <c r="K51" s="15" t="n">
        <v>0.0227</v>
      </c>
      <c r="L51" s="15" t="n">
        <v>-0.1903</v>
      </c>
      <c r="M51" s="29" t="n">
        <v>60</v>
      </c>
    </row>
    <row r="52" customFormat="false" ht="15" hidden="false" customHeight="false" outlineLevel="0" collapsed="false">
      <c r="A52" s="24" t="n">
        <v>90707</v>
      </c>
      <c r="B52" s="8" t="s">
        <v>500</v>
      </c>
      <c r="C52" s="25" t="n">
        <v>40</v>
      </c>
      <c r="D52" s="25" t="n">
        <v>40</v>
      </c>
      <c r="E52" s="10" t="n">
        <v>0</v>
      </c>
      <c r="F52" s="10" t="n">
        <v>3145.17</v>
      </c>
      <c r="G52" s="10" t="n">
        <v>3145.17</v>
      </c>
      <c r="H52" s="10" t="n">
        <v>2736</v>
      </c>
      <c r="I52" s="10" t="n">
        <v>409.17</v>
      </c>
      <c r="J52" s="10" t="n">
        <v>-260.92</v>
      </c>
      <c r="K52" s="11" t="n">
        <v>0.1301</v>
      </c>
      <c r="L52" s="11" t="n">
        <v>-0.083</v>
      </c>
      <c r="M52" s="26" t="n">
        <v>60</v>
      </c>
    </row>
    <row r="53" customFormat="false" ht="15" hidden="false" customHeight="false" outlineLevel="0" collapsed="false">
      <c r="A53" s="27" t="n">
        <v>90708</v>
      </c>
      <c r="B53" s="12" t="s">
        <v>501</v>
      </c>
      <c r="C53" s="28" t="n">
        <v>30</v>
      </c>
      <c r="D53" s="28" t="n">
        <v>30</v>
      </c>
      <c r="E53" s="14" t="n">
        <v>0</v>
      </c>
      <c r="F53" s="14" t="n">
        <v>3600</v>
      </c>
      <c r="G53" s="14" t="n">
        <v>3600</v>
      </c>
      <c r="H53" s="14" t="n">
        <v>1152.309</v>
      </c>
      <c r="I53" s="14" t="n">
        <v>2447.69</v>
      </c>
      <c r="J53" s="14" t="n">
        <v>1680.69</v>
      </c>
      <c r="K53" s="15" t="n">
        <v>0.6799</v>
      </c>
      <c r="L53" s="15" t="n">
        <v>0.4669</v>
      </c>
      <c r="M53" s="29" t="n">
        <v>60</v>
      </c>
    </row>
    <row r="54" customFormat="false" ht="15" hidden="false" customHeight="false" outlineLevel="0" collapsed="false">
      <c r="A54" s="24" t="n">
        <v>90709</v>
      </c>
      <c r="B54" s="8" t="s">
        <v>502</v>
      </c>
      <c r="C54" s="25" t="n">
        <v>50</v>
      </c>
      <c r="D54" s="25" t="n">
        <v>50</v>
      </c>
      <c r="E54" s="10" t="n">
        <v>0</v>
      </c>
      <c r="F54" s="10" t="n">
        <v>5625</v>
      </c>
      <c r="G54" s="10" t="n">
        <v>5625</v>
      </c>
      <c r="H54" s="10" t="n">
        <v>1800.48</v>
      </c>
      <c r="I54" s="10" t="n">
        <v>3824.52</v>
      </c>
      <c r="J54" s="10" t="n">
        <v>2626.08</v>
      </c>
      <c r="K54" s="11" t="n">
        <v>0.6799</v>
      </c>
      <c r="L54" s="11" t="n">
        <v>0.4669</v>
      </c>
      <c r="M54" s="26" t="n">
        <v>60</v>
      </c>
    </row>
    <row r="55" customFormat="false" ht="15" hidden="false" customHeight="false" outlineLevel="0" collapsed="false">
      <c r="A55" s="27" t="n">
        <v>90711</v>
      </c>
      <c r="B55" s="12" t="s">
        <v>503</v>
      </c>
      <c r="C55" s="28" t="n">
        <v>20</v>
      </c>
      <c r="D55" s="28" t="n">
        <v>20</v>
      </c>
      <c r="E55" s="14" t="n">
        <v>0</v>
      </c>
      <c r="F55" s="14" t="n">
        <v>1927.8</v>
      </c>
      <c r="G55" s="14" t="n">
        <v>1927.8</v>
      </c>
      <c r="H55" s="14" t="n">
        <v>644.37</v>
      </c>
      <c r="I55" s="14" t="n">
        <v>1283.43</v>
      </c>
      <c r="J55" s="14" t="n">
        <v>872.7</v>
      </c>
      <c r="K55" s="15" t="n">
        <v>0.6657</v>
      </c>
      <c r="L55" s="15" t="n">
        <v>0.4527</v>
      </c>
      <c r="M55" s="29" t="n">
        <v>60</v>
      </c>
    </row>
    <row r="56" customFormat="false" ht="15" hidden="false" customHeight="false" outlineLevel="0" collapsed="false">
      <c r="A56" s="24" t="n">
        <v>90712</v>
      </c>
      <c r="B56" s="8" t="s">
        <v>503</v>
      </c>
      <c r="C56" s="25" t="n">
        <v>20</v>
      </c>
      <c r="D56" s="25" t="n">
        <v>20</v>
      </c>
      <c r="E56" s="10" t="n">
        <v>0</v>
      </c>
      <c r="F56" s="10" t="n">
        <v>1875</v>
      </c>
      <c r="G56" s="10" t="n">
        <v>1875</v>
      </c>
      <c r="H56" s="10" t="n">
        <v>645.04</v>
      </c>
      <c r="I56" s="10" t="n">
        <v>1229.96</v>
      </c>
      <c r="J56" s="10" t="n">
        <v>830.48</v>
      </c>
      <c r="K56" s="11" t="n">
        <v>0.656</v>
      </c>
      <c r="L56" s="11" t="n">
        <v>0.4429</v>
      </c>
      <c r="M56" s="26" t="n">
        <v>60</v>
      </c>
    </row>
    <row r="57" customFormat="false" ht="15" hidden="false" customHeight="false" outlineLevel="0" collapsed="false">
      <c r="A57" s="27" t="n">
        <v>90713</v>
      </c>
      <c r="B57" s="12" t="s">
        <v>504</v>
      </c>
      <c r="C57" s="28" t="n">
        <v>20</v>
      </c>
      <c r="D57" s="28" t="n">
        <v>20</v>
      </c>
      <c r="E57" s="14" t="n">
        <v>0</v>
      </c>
      <c r="F57" s="14" t="n">
        <v>2175</v>
      </c>
      <c r="G57" s="14" t="n">
        <v>2175</v>
      </c>
      <c r="H57" s="14" t="n">
        <v>692.1</v>
      </c>
      <c r="I57" s="14" t="n">
        <v>1482.9</v>
      </c>
      <c r="J57" s="14" t="n">
        <v>1019.5</v>
      </c>
      <c r="K57" s="15" t="n">
        <v>0.6818</v>
      </c>
      <c r="L57" s="15" t="n">
        <v>0.4687</v>
      </c>
      <c r="M57" s="29" t="n">
        <v>60</v>
      </c>
    </row>
    <row r="58" customFormat="false" ht="15" hidden="false" customHeight="false" outlineLevel="0" collapsed="false">
      <c r="A58" s="24" t="n">
        <v>90714</v>
      </c>
      <c r="B58" s="8" t="s">
        <v>503</v>
      </c>
      <c r="C58" s="25" t="n">
        <v>35</v>
      </c>
      <c r="D58" s="25" t="n">
        <v>35</v>
      </c>
      <c r="E58" s="10" t="n">
        <v>0</v>
      </c>
      <c r="F58" s="10" t="n">
        <v>3806.25</v>
      </c>
      <c r="G58" s="10" t="n">
        <v>3806.25</v>
      </c>
      <c r="H58" s="10" t="n">
        <v>1309.43</v>
      </c>
      <c r="I58" s="10" t="n">
        <v>2496.82</v>
      </c>
      <c r="J58" s="10" t="n">
        <v>1685.88</v>
      </c>
      <c r="K58" s="11" t="n">
        <v>0.656</v>
      </c>
      <c r="L58" s="11" t="n">
        <v>0.4429</v>
      </c>
      <c r="M58" s="26" t="n">
        <v>60</v>
      </c>
    </row>
    <row r="59" customFormat="false" ht="15" hidden="false" customHeight="false" outlineLevel="0" collapsed="false">
      <c r="A59" s="16" t="s">
        <v>249</v>
      </c>
      <c r="B59" s="16" t="str">
        <f aca="false">COUNTA(A6:A58)&amp;" produtos"</f>
        <v>53 produtos</v>
      </c>
      <c r="C59" s="30" t="n">
        <f aca="false">SUM(C6:C58)</f>
        <v>20908</v>
      </c>
      <c r="D59" s="30" t="n">
        <f aca="false">SUM(D6:D58)</f>
        <v>20908</v>
      </c>
      <c r="E59" s="18" t="n">
        <f aca="false">SUM(E6:E58)</f>
        <v>22380.27</v>
      </c>
      <c r="F59" s="18" t="n">
        <f aca="false">SUM(F6:F58)</f>
        <v>708623.32</v>
      </c>
      <c r="G59" s="18" t="n">
        <f aca="false">SUM(G6:G58)</f>
        <v>731003.59</v>
      </c>
      <c r="H59" s="18" t="n">
        <f aca="false">SUM(H6:H58)</f>
        <v>562436.0137</v>
      </c>
      <c r="I59" s="18" t="n">
        <f aca="false">SUM(I6:I58)</f>
        <v>168567.6</v>
      </c>
      <c r="J59" s="18" t="n">
        <f aca="false">SUM(J6:J58)</f>
        <v>-6678.45</v>
      </c>
      <c r="K59" s="19" t="n">
        <f aca="false">IFERROR(I59/G59,0)</f>
        <v>0.230597499528012</v>
      </c>
      <c r="L59" s="19" t="n">
        <f aca="false">IFERROR(J59/G59,0)</f>
        <v>-0.00913600164398646</v>
      </c>
      <c r="M59" s="31" t="n">
        <f aca="false">IFERROR(SUMPRODUCT(M6:M58,G6:G58)/G59,0)</f>
        <v>49.2440876536598</v>
      </c>
    </row>
  </sheetData>
  <autoFilter ref="A5:M58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250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26</v>
      </c>
      <c r="D6" s="25" t="n">
        <v>26</v>
      </c>
      <c r="E6" s="10" t="n">
        <v>0</v>
      </c>
      <c r="F6" s="10" t="n">
        <v>7186.4</v>
      </c>
      <c r="G6" s="10" t="n">
        <v>7186.4</v>
      </c>
      <c r="H6" s="10" t="n">
        <v>4541.61</v>
      </c>
      <c r="I6" s="10" t="n">
        <v>2644.79</v>
      </c>
      <c r="J6" s="10" t="n">
        <v>639.12</v>
      </c>
      <c r="K6" s="11" t="n">
        <v>0.368</v>
      </c>
      <c r="L6" s="11" t="n">
        <v>0.0889</v>
      </c>
      <c r="M6" s="26" t="n">
        <v>45.45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1104</v>
      </c>
      <c r="D7" s="28" t="n">
        <v>1104</v>
      </c>
      <c r="E7" s="14" t="n">
        <v>0</v>
      </c>
      <c r="F7" s="14" t="n">
        <v>6596.8</v>
      </c>
      <c r="G7" s="14" t="n">
        <v>6596.8</v>
      </c>
      <c r="H7" s="14" t="n">
        <v>2500.2546</v>
      </c>
      <c r="I7" s="14" t="n">
        <v>4096.55</v>
      </c>
      <c r="J7" s="14" t="n">
        <v>2255.34</v>
      </c>
      <c r="K7" s="15" t="n">
        <v>0.621</v>
      </c>
      <c r="L7" s="15" t="n">
        <v>0.3419</v>
      </c>
      <c r="M7" s="29" t="n">
        <v>45.89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250</v>
      </c>
      <c r="D8" s="25" t="n">
        <v>250</v>
      </c>
      <c r="E8" s="10" t="n">
        <v>0</v>
      </c>
      <c r="F8" s="10" t="n">
        <v>2620</v>
      </c>
      <c r="G8" s="10" t="n">
        <v>2620</v>
      </c>
      <c r="H8" s="10" t="n">
        <v>2617.56</v>
      </c>
      <c r="I8" s="10" t="n">
        <v>2.44</v>
      </c>
      <c r="J8" s="10" t="n">
        <v>-728.74</v>
      </c>
      <c r="K8" s="11" t="n">
        <v>0.0009</v>
      </c>
      <c r="L8" s="11" t="n">
        <v>-0.2781</v>
      </c>
      <c r="M8" s="26" t="n">
        <v>45.59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4512</v>
      </c>
      <c r="D9" s="28" t="n">
        <v>4512</v>
      </c>
      <c r="E9" s="14" t="n">
        <v>0</v>
      </c>
      <c r="F9" s="14" t="n">
        <v>34357.54</v>
      </c>
      <c r="G9" s="14" t="n">
        <v>34357.54</v>
      </c>
      <c r="H9" s="14" t="n">
        <v>5290.2436</v>
      </c>
      <c r="I9" s="14" t="n">
        <v>29067.3</v>
      </c>
      <c r="J9" s="14" t="n">
        <v>19628.59</v>
      </c>
      <c r="K9" s="15" t="n">
        <v>0.846</v>
      </c>
      <c r="L9" s="15" t="n">
        <v>0.5713</v>
      </c>
      <c r="M9" s="29" t="n">
        <v>28</v>
      </c>
    </row>
    <row r="10" customFormat="false" ht="15" hidden="false" customHeight="false" outlineLevel="0" collapsed="false">
      <c r="A10" s="24" t="n">
        <v>10704</v>
      </c>
      <c r="B10" s="8" t="s">
        <v>465</v>
      </c>
      <c r="C10" s="25" t="n">
        <v>750</v>
      </c>
      <c r="D10" s="25" t="n">
        <v>750</v>
      </c>
      <c r="E10" s="10" t="n">
        <v>0</v>
      </c>
      <c r="F10" s="10" t="n">
        <v>8488</v>
      </c>
      <c r="G10" s="10" t="n">
        <v>8488</v>
      </c>
      <c r="H10" s="10" t="n">
        <v>2899.42</v>
      </c>
      <c r="I10" s="10" t="n">
        <v>5588.58</v>
      </c>
      <c r="J10" s="10" t="n">
        <v>3219.7</v>
      </c>
      <c r="K10" s="11" t="n">
        <v>0.6584</v>
      </c>
      <c r="L10" s="11" t="n">
        <v>0.3793</v>
      </c>
      <c r="M10" s="26" t="n">
        <v>47.54</v>
      </c>
    </row>
    <row r="11" customFormat="false" ht="15" hidden="false" customHeight="false" outlineLevel="0" collapsed="false">
      <c r="A11" s="27" t="n">
        <v>10706</v>
      </c>
      <c r="B11" s="12" t="s">
        <v>488</v>
      </c>
      <c r="C11" s="28" t="n">
        <v>6</v>
      </c>
      <c r="D11" s="28" t="n">
        <v>6</v>
      </c>
      <c r="E11" s="14" t="n">
        <v>0</v>
      </c>
      <c r="F11" s="14" t="n">
        <v>6105</v>
      </c>
      <c r="G11" s="14" t="n">
        <v>6105</v>
      </c>
      <c r="H11" s="14" t="n">
        <v>2001.6498</v>
      </c>
      <c r="I11" s="14" t="n">
        <v>4103.35</v>
      </c>
      <c r="J11" s="14" t="n">
        <v>2426.19</v>
      </c>
      <c r="K11" s="15" t="n">
        <v>0.6721</v>
      </c>
      <c r="L11" s="15" t="n">
        <v>0.3974</v>
      </c>
      <c r="M11" s="29" t="n">
        <v>45</v>
      </c>
    </row>
    <row r="12" customFormat="false" ht="15" hidden="false" customHeight="false" outlineLevel="0" collapsed="false">
      <c r="A12" s="24" t="n">
        <v>52674</v>
      </c>
      <c r="B12" s="8" t="s">
        <v>207</v>
      </c>
      <c r="C12" s="25" t="n">
        <v>2320.7</v>
      </c>
      <c r="D12" s="25" t="n">
        <v>2320.7</v>
      </c>
      <c r="E12" s="10" t="n">
        <v>8586.59</v>
      </c>
      <c r="F12" s="10" t="n">
        <v>0</v>
      </c>
      <c r="G12" s="10" t="n">
        <v>8586.59</v>
      </c>
      <c r="H12" s="10" t="n">
        <v>6497.96</v>
      </c>
      <c r="I12" s="10" t="n">
        <v>2088.63</v>
      </c>
      <c r="J12" s="10" t="n">
        <v>1035.91</v>
      </c>
      <c r="K12" s="11" t="n">
        <v>0.2432</v>
      </c>
      <c r="L12" s="11" t="n">
        <v>0.1206</v>
      </c>
      <c r="M12" s="26" t="n">
        <v>7</v>
      </c>
    </row>
    <row r="13" customFormat="false" ht="15" hidden="false" customHeight="false" outlineLevel="0" collapsed="false">
      <c r="A13" s="27" t="n">
        <v>52676</v>
      </c>
      <c r="B13" s="12" t="s">
        <v>208</v>
      </c>
      <c r="C13" s="28" t="n">
        <v>1470</v>
      </c>
      <c r="D13" s="28" t="n">
        <v>1470</v>
      </c>
      <c r="E13" s="14" t="n">
        <v>294</v>
      </c>
      <c r="F13" s="14" t="n">
        <v>0</v>
      </c>
      <c r="G13" s="14" t="n">
        <v>294</v>
      </c>
      <c r="H13" s="14" t="n">
        <v>73.5</v>
      </c>
      <c r="I13" s="14" t="n">
        <v>220.5</v>
      </c>
      <c r="J13" s="14" t="n">
        <v>184.45</v>
      </c>
      <c r="K13" s="15" t="n">
        <v>0.75</v>
      </c>
      <c r="L13" s="15" t="n">
        <v>0.6274</v>
      </c>
      <c r="M13" s="29" t="n">
        <v>7</v>
      </c>
    </row>
    <row r="14" customFormat="false" ht="15" hidden="false" customHeight="false" outlineLevel="0" collapsed="false">
      <c r="A14" s="24" t="n">
        <v>55954</v>
      </c>
      <c r="B14" s="8" t="s">
        <v>505</v>
      </c>
      <c r="C14" s="25" t="n">
        <v>100</v>
      </c>
      <c r="D14" s="25" t="n">
        <v>100</v>
      </c>
      <c r="E14" s="10" t="n">
        <v>0</v>
      </c>
      <c r="F14" s="10" t="n">
        <v>400</v>
      </c>
      <c r="G14" s="10" t="n">
        <v>400</v>
      </c>
      <c r="H14" s="10" t="n">
        <v>363.32</v>
      </c>
      <c r="I14" s="10" t="n">
        <v>36.68</v>
      </c>
      <c r="J14" s="10" t="n">
        <v>-73.21</v>
      </c>
      <c r="K14" s="11" t="n">
        <v>0.0917</v>
      </c>
      <c r="L14" s="11" t="n">
        <v>-0.183</v>
      </c>
      <c r="M14" s="26" t="n">
        <v>30</v>
      </c>
    </row>
    <row r="15" customFormat="false" ht="15" hidden="false" customHeight="false" outlineLevel="0" collapsed="false">
      <c r="A15" s="27" t="n">
        <v>56047</v>
      </c>
      <c r="B15" s="12" t="s">
        <v>506</v>
      </c>
      <c r="C15" s="28" t="n">
        <v>414</v>
      </c>
      <c r="D15" s="28" t="n">
        <v>414</v>
      </c>
      <c r="E15" s="14" t="n">
        <v>0</v>
      </c>
      <c r="F15" s="14" t="n">
        <v>1233.72</v>
      </c>
      <c r="G15" s="14" t="n">
        <v>1233.72</v>
      </c>
      <c r="H15" s="14" t="n">
        <v>674.1162</v>
      </c>
      <c r="I15" s="14" t="n">
        <v>559.6</v>
      </c>
      <c r="J15" s="14" t="n">
        <v>220.68</v>
      </c>
      <c r="K15" s="15" t="n">
        <v>0.4536</v>
      </c>
      <c r="L15" s="15" t="n">
        <v>0.1789</v>
      </c>
      <c r="M15" s="29" t="n">
        <v>44</v>
      </c>
    </row>
    <row r="16" customFormat="false" ht="15" hidden="false" customHeight="false" outlineLevel="0" collapsed="false">
      <c r="A16" s="24" t="n">
        <v>56365</v>
      </c>
      <c r="B16" s="8" t="s">
        <v>507</v>
      </c>
      <c r="C16" s="25" t="n">
        <v>24</v>
      </c>
      <c r="D16" s="25" t="n">
        <v>24</v>
      </c>
      <c r="E16" s="10" t="n">
        <v>0</v>
      </c>
      <c r="F16" s="10" t="n">
        <v>192</v>
      </c>
      <c r="G16" s="10" t="n">
        <v>192</v>
      </c>
      <c r="H16" s="10" t="n">
        <v>189.6696</v>
      </c>
      <c r="I16" s="10" t="n">
        <v>2.33</v>
      </c>
      <c r="J16" s="10" t="n">
        <v>-66.09</v>
      </c>
      <c r="K16" s="11" t="n">
        <v>0.0121</v>
      </c>
      <c r="L16" s="11" t="n">
        <v>-0.3442</v>
      </c>
      <c r="M16" s="26" t="n">
        <v>30</v>
      </c>
    </row>
    <row r="17" customFormat="false" ht="15" hidden="false" customHeight="false" outlineLevel="0" collapsed="false">
      <c r="A17" s="27" t="n">
        <v>57502</v>
      </c>
      <c r="B17" s="12" t="s">
        <v>234</v>
      </c>
      <c r="C17" s="28" t="n">
        <v>11312.6</v>
      </c>
      <c r="D17" s="28" t="n">
        <v>11312.6</v>
      </c>
      <c r="E17" s="14" t="n">
        <v>7918.82</v>
      </c>
      <c r="F17" s="14" t="n">
        <v>0</v>
      </c>
      <c r="G17" s="14" t="n">
        <v>7918.82</v>
      </c>
      <c r="H17" s="14" t="n">
        <v>0</v>
      </c>
      <c r="I17" s="14" t="n">
        <v>7918.82</v>
      </c>
      <c r="J17" s="14" t="n">
        <v>7918.82</v>
      </c>
      <c r="K17" s="15" t="n">
        <v>1</v>
      </c>
      <c r="L17" s="15" t="n">
        <v>1</v>
      </c>
      <c r="M17" s="29" t="n">
        <v>7</v>
      </c>
    </row>
    <row r="18" customFormat="false" ht="15" hidden="false" customHeight="false" outlineLevel="0" collapsed="false">
      <c r="A18" s="24" t="n">
        <v>90006</v>
      </c>
      <c r="B18" s="8" t="s">
        <v>447</v>
      </c>
      <c r="C18" s="25" t="n">
        <v>25</v>
      </c>
      <c r="D18" s="25" t="n">
        <v>25</v>
      </c>
      <c r="E18" s="10" t="n">
        <v>0</v>
      </c>
      <c r="F18" s="10" t="n">
        <v>61367.87</v>
      </c>
      <c r="G18" s="10" t="n">
        <v>61367.87</v>
      </c>
      <c r="H18" s="10" t="n">
        <v>40625.25</v>
      </c>
      <c r="I18" s="10" t="n">
        <v>20742.62</v>
      </c>
      <c r="J18" s="10" t="n">
        <v>10979.04</v>
      </c>
      <c r="K18" s="11" t="n">
        <v>0.338</v>
      </c>
      <c r="L18" s="11" t="n">
        <v>0.1789</v>
      </c>
      <c r="M18" s="26" t="n">
        <v>43.15</v>
      </c>
    </row>
    <row r="19" customFormat="false" ht="15" hidden="false" customHeight="false" outlineLevel="0" collapsed="false">
      <c r="A19" s="27" t="n">
        <v>90033</v>
      </c>
      <c r="B19" s="12" t="s">
        <v>508</v>
      </c>
      <c r="C19" s="28" t="n">
        <v>110</v>
      </c>
      <c r="D19" s="28" t="n">
        <v>110</v>
      </c>
      <c r="E19" s="14" t="n">
        <v>0</v>
      </c>
      <c r="F19" s="14" t="n">
        <v>3523.6</v>
      </c>
      <c r="G19" s="14" t="n">
        <v>3523.6</v>
      </c>
      <c r="H19" s="14" t="n">
        <v>5831.17</v>
      </c>
      <c r="I19" s="14" t="n">
        <v>-2307.57</v>
      </c>
      <c r="J19" s="14" t="n">
        <v>-3530.2</v>
      </c>
      <c r="K19" s="15" t="n">
        <v>-0.6549</v>
      </c>
      <c r="L19" s="15" t="n">
        <v>-1.0019</v>
      </c>
      <c r="M19" s="29" t="n">
        <v>57</v>
      </c>
    </row>
    <row r="20" customFormat="false" ht="15" hidden="false" customHeight="false" outlineLevel="0" collapsed="false">
      <c r="A20" s="24" t="n">
        <v>90103</v>
      </c>
      <c r="B20" s="8" t="s">
        <v>468</v>
      </c>
      <c r="C20" s="25" t="n">
        <v>21</v>
      </c>
      <c r="D20" s="25" t="n">
        <v>21</v>
      </c>
      <c r="E20" s="10" t="n">
        <v>7051.36</v>
      </c>
      <c r="F20" s="10" t="n">
        <v>78049.74</v>
      </c>
      <c r="G20" s="10" t="n">
        <v>85101.1</v>
      </c>
      <c r="H20" s="10" t="n">
        <v>37600.64</v>
      </c>
      <c r="I20" s="10" t="n">
        <v>47500.46</v>
      </c>
      <c r="J20" s="10" t="n">
        <v>23018.22</v>
      </c>
      <c r="K20" s="11" t="n">
        <v>0.5582</v>
      </c>
      <c r="L20" s="11" t="n">
        <v>0.2705</v>
      </c>
      <c r="M20" s="26" t="n">
        <v>29.04</v>
      </c>
    </row>
    <row r="21" customFormat="false" ht="15" hidden="false" customHeight="false" outlineLevel="0" collapsed="false">
      <c r="A21" s="27" t="n">
        <v>90237</v>
      </c>
      <c r="B21" s="12" t="s">
        <v>470</v>
      </c>
      <c r="C21" s="28" t="n">
        <v>12</v>
      </c>
      <c r="D21" s="28" t="n">
        <v>12</v>
      </c>
      <c r="E21" s="14" t="n">
        <v>0</v>
      </c>
      <c r="F21" s="14" t="n">
        <v>1788</v>
      </c>
      <c r="G21" s="14" t="n">
        <v>1788</v>
      </c>
      <c r="H21" s="14" t="n">
        <v>3746.61</v>
      </c>
      <c r="I21" s="14" t="n">
        <v>-1958.61</v>
      </c>
      <c r="J21" s="14" t="n">
        <v>-2579.01</v>
      </c>
      <c r="K21" s="15" t="n">
        <v>-1.0954</v>
      </c>
      <c r="L21" s="15" t="n">
        <v>-1.4424</v>
      </c>
      <c r="M21" s="29" t="n">
        <v>30</v>
      </c>
    </row>
    <row r="22" customFormat="false" ht="15" hidden="false" customHeight="false" outlineLevel="0" collapsed="false">
      <c r="A22" s="24" t="n">
        <v>90238</v>
      </c>
      <c r="B22" s="8" t="s">
        <v>471</v>
      </c>
      <c r="C22" s="25" t="n">
        <v>340</v>
      </c>
      <c r="D22" s="25" t="n">
        <v>340</v>
      </c>
      <c r="E22" s="10" t="n">
        <v>0</v>
      </c>
      <c r="F22" s="10" t="n">
        <v>1588</v>
      </c>
      <c r="G22" s="10" t="n">
        <v>1588</v>
      </c>
      <c r="H22" s="10" t="n">
        <v>123772.442</v>
      </c>
      <c r="I22" s="10" t="n">
        <v>-122184.44</v>
      </c>
      <c r="J22" s="10" t="n">
        <v>-122662.7</v>
      </c>
      <c r="K22" s="11" t="n">
        <v>-76.9423</v>
      </c>
      <c r="L22" s="11" t="n">
        <v>-77.2435</v>
      </c>
      <c r="M22" s="26" t="n">
        <v>30</v>
      </c>
    </row>
    <row r="23" customFormat="false" ht="15" hidden="false" customHeight="false" outlineLevel="0" collapsed="false">
      <c r="A23" s="27" t="n">
        <v>90297</v>
      </c>
      <c r="B23" s="12" t="s">
        <v>509</v>
      </c>
      <c r="C23" s="28" t="n">
        <v>116</v>
      </c>
      <c r="D23" s="28" t="n">
        <v>116</v>
      </c>
      <c r="E23" s="14" t="n">
        <v>0</v>
      </c>
      <c r="F23" s="14" t="n">
        <v>38280</v>
      </c>
      <c r="G23" s="14" t="n">
        <v>38280</v>
      </c>
      <c r="H23" s="14" t="n">
        <v>51241.192</v>
      </c>
      <c r="I23" s="14" t="n">
        <v>-12961.19</v>
      </c>
      <c r="J23" s="14" t="n">
        <v>-23477.47</v>
      </c>
      <c r="K23" s="15" t="n">
        <v>-0.3386</v>
      </c>
      <c r="L23" s="15" t="n">
        <v>-0.6133</v>
      </c>
      <c r="M23" s="29" t="n">
        <v>57.83</v>
      </c>
    </row>
    <row r="24" customFormat="false" ht="15" hidden="false" customHeight="false" outlineLevel="0" collapsed="false">
      <c r="A24" s="24" t="n">
        <v>90304</v>
      </c>
      <c r="B24" s="8" t="s">
        <v>488</v>
      </c>
      <c r="C24" s="25" t="n">
        <v>26</v>
      </c>
      <c r="D24" s="25" t="n">
        <v>26</v>
      </c>
      <c r="E24" s="10" t="n">
        <v>0</v>
      </c>
      <c r="F24" s="10" t="n">
        <v>10200</v>
      </c>
      <c r="G24" s="10" t="n">
        <v>10200</v>
      </c>
      <c r="H24" s="10" t="n">
        <v>6837.7598</v>
      </c>
      <c r="I24" s="10" t="n">
        <v>3362.24</v>
      </c>
      <c r="J24" s="10" t="n">
        <v>869.16</v>
      </c>
      <c r="K24" s="11" t="n">
        <v>0.3296</v>
      </c>
      <c r="L24" s="11" t="n">
        <v>0.0852</v>
      </c>
      <c r="M24" s="26" t="n">
        <v>60.32</v>
      </c>
    </row>
    <row r="25" customFormat="false" ht="15" hidden="false" customHeight="false" outlineLevel="0" collapsed="false">
      <c r="A25" s="27" t="n">
        <v>90331</v>
      </c>
      <c r="B25" s="12" t="s">
        <v>510</v>
      </c>
      <c r="C25" s="28" t="n">
        <v>50</v>
      </c>
      <c r="D25" s="28" t="n">
        <v>50</v>
      </c>
      <c r="E25" s="14" t="n">
        <v>0</v>
      </c>
      <c r="F25" s="14" t="n">
        <v>3325</v>
      </c>
      <c r="G25" s="14" t="n">
        <v>3325</v>
      </c>
      <c r="H25" s="14" t="n">
        <v>1050</v>
      </c>
      <c r="I25" s="14" t="n">
        <v>2275</v>
      </c>
      <c r="J25" s="14" t="n">
        <v>1361.56</v>
      </c>
      <c r="K25" s="15" t="n">
        <v>0.6842</v>
      </c>
      <c r="L25" s="15" t="n">
        <v>0.4095</v>
      </c>
      <c r="M25" s="29" t="n">
        <v>60</v>
      </c>
    </row>
    <row r="26" customFormat="false" ht="15" hidden="false" customHeight="false" outlineLevel="0" collapsed="false">
      <c r="A26" s="24" t="n">
        <v>90340</v>
      </c>
      <c r="B26" s="8" t="s">
        <v>468</v>
      </c>
      <c r="C26" s="25" t="n">
        <v>119</v>
      </c>
      <c r="D26" s="25" t="n">
        <v>119</v>
      </c>
      <c r="E26" s="10" t="n">
        <v>0</v>
      </c>
      <c r="F26" s="10" t="n">
        <v>4658.77</v>
      </c>
      <c r="G26" s="10" t="n">
        <v>4658.77</v>
      </c>
      <c r="H26" s="10" t="n">
        <v>6747.2302</v>
      </c>
      <c r="I26" s="10" t="n">
        <v>-2088.46</v>
      </c>
      <c r="J26" s="10" t="n">
        <v>-3368.3</v>
      </c>
      <c r="K26" s="11" t="n">
        <v>-0.4483</v>
      </c>
      <c r="L26" s="11" t="n">
        <v>-0.723</v>
      </c>
      <c r="M26" s="26" t="n">
        <v>44</v>
      </c>
    </row>
    <row r="27" customFormat="false" ht="15" hidden="false" customHeight="false" outlineLevel="0" collapsed="false">
      <c r="A27" s="27" t="n">
        <v>90343</v>
      </c>
      <c r="B27" s="12" t="s">
        <v>511</v>
      </c>
      <c r="C27" s="28" t="n">
        <v>50</v>
      </c>
      <c r="D27" s="28" t="n">
        <v>50</v>
      </c>
      <c r="E27" s="14" t="n">
        <v>0</v>
      </c>
      <c r="F27" s="14" t="n">
        <v>2850</v>
      </c>
      <c r="G27" s="14" t="n">
        <v>2850</v>
      </c>
      <c r="H27" s="14" t="n">
        <v>1869.54</v>
      </c>
      <c r="I27" s="14" t="n">
        <v>980.46</v>
      </c>
      <c r="J27" s="14" t="n">
        <v>197.51</v>
      </c>
      <c r="K27" s="15" t="n">
        <v>0.344</v>
      </c>
      <c r="L27" s="15" t="n">
        <v>0.0693</v>
      </c>
      <c r="M27" s="29" t="n">
        <v>60</v>
      </c>
    </row>
    <row r="28" customFormat="false" ht="15" hidden="false" customHeight="false" outlineLevel="0" collapsed="false">
      <c r="A28" s="24" t="n">
        <v>90363</v>
      </c>
      <c r="B28" s="8" t="s">
        <v>472</v>
      </c>
      <c r="C28" s="25" t="n">
        <v>681</v>
      </c>
      <c r="D28" s="25" t="n">
        <v>681</v>
      </c>
      <c r="E28" s="10" t="n">
        <v>0</v>
      </c>
      <c r="F28" s="10" t="n">
        <v>134868.73</v>
      </c>
      <c r="G28" s="10" t="n">
        <v>134868.73</v>
      </c>
      <c r="H28" s="10" t="n">
        <v>348241.6112</v>
      </c>
      <c r="I28" s="10" t="n">
        <v>-213372.88</v>
      </c>
      <c r="J28" s="10" t="n">
        <v>-250424.04</v>
      </c>
      <c r="K28" s="11" t="n">
        <v>-1.5821</v>
      </c>
      <c r="L28" s="11" t="n">
        <v>-1.8568</v>
      </c>
      <c r="M28" s="26" t="n">
        <v>104.36</v>
      </c>
    </row>
    <row r="29" customFormat="false" ht="15" hidden="false" customHeight="false" outlineLevel="0" collapsed="false">
      <c r="A29" s="27" t="n">
        <v>90371</v>
      </c>
      <c r="B29" s="12" t="s">
        <v>473</v>
      </c>
      <c r="C29" s="28" t="n">
        <v>7988</v>
      </c>
      <c r="D29" s="28" t="n">
        <v>7988</v>
      </c>
      <c r="E29" s="14" t="n">
        <v>0</v>
      </c>
      <c r="F29" s="14" t="n">
        <v>111949.99</v>
      </c>
      <c r="G29" s="14" t="n">
        <v>111949.99</v>
      </c>
      <c r="H29" s="14" t="n">
        <v>35780.6425</v>
      </c>
      <c r="I29" s="14" t="n">
        <v>76169.35</v>
      </c>
      <c r="J29" s="14" t="n">
        <v>45414.57</v>
      </c>
      <c r="K29" s="15" t="n">
        <v>0.6804</v>
      </c>
      <c r="L29" s="15" t="n">
        <v>0.4057</v>
      </c>
      <c r="M29" s="29" t="n">
        <v>51.39</v>
      </c>
    </row>
    <row r="30" customFormat="false" ht="15" hidden="false" customHeight="false" outlineLevel="0" collapsed="false">
      <c r="A30" s="24" t="n">
        <v>90385</v>
      </c>
      <c r="B30" s="8" t="s">
        <v>474</v>
      </c>
      <c r="C30" s="25" t="n">
        <v>4</v>
      </c>
      <c r="D30" s="25" t="n">
        <v>4</v>
      </c>
      <c r="E30" s="10" t="n">
        <v>800</v>
      </c>
      <c r="F30" s="10" t="n">
        <v>0</v>
      </c>
      <c r="G30" s="10" t="n">
        <v>800</v>
      </c>
      <c r="H30" s="10" t="n">
        <v>475.84</v>
      </c>
      <c r="I30" s="10" t="n">
        <v>324.16</v>
      </c>
      <c r="J30" s="10" t="n">
        <v>104.38</v>
      </c>
      <c r="K30" s="11" t="n">
        <v>0.4052</v>
      </c>
      <c r="L30" s="11" t="n">
        <v>0.1305</v>
      </c>
      <c r="M30" s="26" t="n">
        <v>7</v>
      </c>
    </row>
    <row r="31" customFormat="false" ht="15" hidden="false" customHeight="false" outlineLevel="0" collapsed="false">
      <c r="A31" s="27" t="n">
        <v>90392</v>
      </c>
      <c r="B31" s="12" t="s">
        <v>475</v>
      </c>
      <c r="C31" s="28" t="n">
        <v>740</v>
      </c>
      <c r="D31" s="28" t="n">
        <v>740</v>
      </c>
      <c r="E31" s="14" t="n">
        <v>0</v>
      </c>
      <c r="F31" s="14" t="n">
        <v>8111.8</v>
      </c>
      <c r="G31" s="14" t="n">
        <v>8111.8</v>
      </c>
      <c r="H31" s="14" t="n">
        <v>101356.34</v>
      </c>
      <c r="I31" s="14" t="n">
        <v>-93244.54</v>
      </c>
      <c r="J31" s="14" t="n">
        <v>-95082.23</v>
      </c>
      <c r="K31" s="15" t="n">
        <v>-11.4949</v>
      </c>
      <c r="L31" s="15" t="n">
        <v>-11.7215</v>
      </c>
      <c r="M31" s="29" t="n">
        <v>60</v>
      </c>
    </row>
    <row r="32" customFormat="false" ht="15" hidden="false" customHeight="false" outlineLevel="0" collapsed="false">
      <c r="A32" s="24" t="n">
        <v>90401</v>
      </c>
      <c r="B32" s="8" t="s">
        <v>473</v>
      </c>
      <c r="C32" s="25" t="n">
        <v>555</v>
      </c>
      <c r="D32" s="25" t="n">
        <v>555</v>
      </c>
      <c r="E32" s="10" t="n">
        <v>0</v>
      </c>
      <c r="F32" s="10" t="n">
        <v>31397.82</v>
      </c>
      <c r="G32" s="10" t="n">
        <v>31397.82</v>
      </c>
      <c r="H32" s="10" t="n">
        <v>19307.4251</v>
      </c>
      <c r="I32" s="10" t="n">
        <v>12090.4</v>
      </c>
      <c r="J32" s="10" t="n">
        <v>3464.8</v>
      </c>
      <c r="K32" s="11" t="n">
        <v>0.3851</v>
      </c>
      <c r="L32" s="11" t="n">
        <v>0.1104</v>
      </c>
      <c r="M32" s="26" t="n">
        <v>52.15</v>
      </c>
    </row>
    <row r="33" customFormat="false" ht="15" hidden="false" customHeight="false" outlineLevel="0" collapsed="false">
      <c r="A33" s="27" t="n">
        <v>90413</v>
      </c>
      <c r="B33" s="12" t="s">
        <v>477</v>
      </c>
      <c r="C33" s="28" t="n">
        <v>45</v>
      </c>
      <c r="D33" s="28" t="n">
        <v>45</v>
      </c>
      <c r="E33" s="14" t="n">
        <v>0</v>
      </c>
      <c r="F33" s="14" t="n">
        <v>13200</v>
      </c>
      <c r="G33" s="14" t="n">
        <v>13200</v>
      </c>
      <c r="H33" s="14" t="n">
        <v>1200</v>
      </c>
      <c r="I33" s="14" t="n">
        <v>12000</v>
      </c>
      <c r="J33" s="14" t="n">
        <v>11809.08</v>
      </c>
      <c r="K33" s="15" t="n">
        <v>0.9091</v>
      </c>
      <c r="L33" s="15" t="n">
        <v>0.8946</v>
      </c>
      <c r="M33" s="29" t="n">
        <v>30</v>
      </c>
    </row>
    <row r="34" customFormat="false" ht="15" hidden="false" customHeight="false" outlineLevel="0" collapsed="false">
      <c r="A34" s="24" t="n">
        <v>90425</v>
      </c>
      <c r="B34" s="8" t="s">
        <v>479</v>
      </c>
      <c r="C34" s="25" t="n">
        <v>4068</v>
      </c>
      <c r="D34" s="25" t="n">
        <v>4068</v>
      </c>
      <c r="E34" s="10" t="n">
        <v>0</v>
      </c>
      <c r="F34" s="10" t="n">
        <v>48025.97</v>
      </c>
      <c r="G34" s="10" t="n">
        <v>48025.97</v>
      </c>
      <c r="H34" s="10" t="n">
        <v>293652.1166</v>
      </c>
      <c r="I34" s="10" t="n">
        <v>-245626.15</v>
      </c>
      <c r="J34" s="10" t="n">
        <v>-258819.83</v>
      </c>
      <c r="K34" s="11" t="n">
        <v>-5.1144</v>
      </c>
      <c r="L34" s="11" t="n">
        <v>-5.3892</v>
      </c>
      <c r="M34" s="26" t="n">
        <v>52.38</v>
      </c>
    </row>
    <row r="35" customFormat="false" ht="15" hidden="false" customHeight="false" outlineLevel="0" collapsed="false">
      <c r="A35" s="27" t="n">
        <v>90428</v>
      </c>
      <c r="B35" s="12" t="s">
        <v>480</v>
      </c>
      <c r="C35" s="28" t="n">
        <v>1601</v>
      </c>
      <c r="D35" s="28" t="n">
        <v>1601</v>
      </c>
      <c r="E35" s="14" t="n">
        <v>0</v>
      </c>
      <c r="F35" s="14" t="n">
        <v>18987.05</v>
      </c>
      <c r="G35" s="14" t="n">
        <v>18987.05</v>
      </c>
      <c r="H35" s="14" t="n">
        <v>6135.0817</v>
      </c>
      <c r="I35" s="14" t="n">
        <v>12851.96</v>
      </c>
      <c r="J35" s="14" t="n">
        <v>7635.81</v>
      </c>
      <c r="K35" s="15" t="n">
        <v>0.6769</v>
      </c>
      <c r="L35" s="15" t="n">
        <v>0.4022</v>
      </c>
      <c r="M35" s="29" t="n">
        <v>52.15</v>
      </c>
    </row>
    <row r="36" customFormat="false" ht="15" hidden="false" customHeight="false" outlineLevel="0" collapsed="false">
      <c r="A36" s="24" t="n">
        <v>90436</v>
      </c>
      <c r="B36" s="8" t="s">
        <v>481</v>
      </c>
      <c r="C36" s="25" t="n">
        <v>11</v>
      </c>
      <c r="D36" s="25" t="n">
        <v>11</v>
      </c>
      <c r="E36" s="10" t="n">
        <v>0</v>
      </c>
      <c r="F36" s="10" t="n">
        <v>169.11</v>
      </c>
      <c r="G36" s="10" t="n">
        <v>169.11</v>
      </c>
      <c r="H36" s="10" t="n">
        <v>0</v>
      </c>
      <c r="I36" s="10" t="n">
        <v>169.11</v>
      </c>
      <c r="J36" s="10" t="n">
        <v>169.11</v>
      </c>
      <c r="K36" s="11" t="n">
        <v>1</v>
      </c>
      <c r="L36" s="11" t="n">
        <v>1</v>
      </c>
      <c r="M36" s="26" t="n">
        <v>28</v>
      </c>
    </row>
    <row r="37" customFormat="false" ht="15" hidden="false" customHeight="false" outlineLevel="0" collapsed="false">
      <c r="A37" s="27" t="n">
        <v>90440</v>
      </c>
      <c r="B37" s="12" t="s">
        <v>482</v>
      </c>
      <c r="C37" s="28" t="n">
        <v>862</v>
      </c>
      <c r="D37" s="28" t="n">
        <v>862</v>
      </c>
      <c r="E37" s="14" t="n">
        <v>0</v>
      </c>
      <c r="F37" s="14" t="n">
        <v>93848.42</v>
      </c>
      <c r="G37" s="14" t="n">
        <v>93848.42</v>
      </c>
      <c r="H37" s="14" t="n">
        <v>20665.4656</v>
      </c>
      <c r="I37" s="14" t="n">
        <v>73182.96</v>
      </c>
      <c r="J37" s="14" t="n">
        <v>47400.94</v>
      </c>
      <c r="K37" s="15" t="n">
        <v>0.7798</v>
      </c>
      <c r="L37" s="15" t="n">
        <v>0.5051</v>
      </c>
      <c r="M37" s="29" t="n">
        <v>28</v>
      </c>
    </row>
    <row r="38" customFormat="false" ht="15" hidden="false" customHeight="false" outlineLevel="0" collapsed="false">
      <c r="A38" s="24" t="n">
        <v>90446</v>
      </c>
      <c r="B38" s="8" t="s">
        <v>484</v>
      </c>
      <c r="C38" s="25" t="n">
        <v>60</v>
      </c>
      <c r="D38" s="25" t="n">
        <v>60</v>
      </c>
      <c r="E38" s="10" t="n">
        <v>0</v>
      </c>
      <c r="F38" s="10" t="n">
        <v>844.5</v>
      </c>
      <c r="G38" s="10" t="n">
        <v>844.5</v>
      </c>
      <c r="H38" s="10" t="n">
        <v>159</v>
      </c>
      <c r="I38" s="10" t="n">
        <v>685.5</v>
      </c>
      <c r="J38" s="10" t="n">
        <v>453.5</v>
      </c>
      <c r="K38" s="11" t="n">
        <v>0.8117</v>
      </c>
      <c r="L38" s="11" t="n">
        <v>0.537</v>
      </c>
      <c r="M38" s="26" t="n">
        <v>42</v>
      </c>
    </row>
    <row r="39" customFormat="false" ht="15" hidden="false" customHeight="false" outlineLevel="0" collapsed="false">
      <c r="A39" s="27" t="n">
        <v>90465</v>
      </c>
      <c r="B39" s="12" t="s">
        <v>512</v>
      </c>
      <c r="C39" s="28" t="n">
        <v>12</v>
      </c>
      <c r="D39" s="28" t="n">
        <v>12</v>
      </c>
      <c r="E39" s="14" t="n">
        <v>0</v>
      </c>
      <c r="F39" s="14" t="n">
        <v>192.75</v>
      </c>
      <c r="G39" s="14" t="n">
        <v>192.75</v>
      </c>
      <c r="H39" s="14" t="n">
        <v>51.24</v>
      </c>
      <c r="I39" s="14" t="n">
        <v>141.51</v>
      </c>
      <c r="J39" s="14" t="n">
        <v>88.59</v>
      </c>
      <c r="K39" s="15" t="n">
        <v>0.7342</v>
      </c>
      <c r="L39" s="15" t="n">
        <v>0.4596</v>
      </c>
      <c r="M39" s="29" t="n">
        <v>30</v>
      </c>
    </row>
    <row r="40" customFormat="false" ht="15" hidden="false" customHeight="false" outlineLevel="0" collapsed="false">
      <c r="A40" s="24" t="n">
        <v>90467</v>
      </c>
      <c r="B40" s="8" t="s">
        <v>486</v>
      </c>
      <c r="C40" s="25" t="n">
        <v>27</v>
      </c>
      <c r="D40" s="25" t="n">
        <v>27</v>
      </c>
      <c r="E40" s="10" t="n">
        <v>0</v>
      </c>
      <c r="F40" s="10" t="n">
        <v>299.47</v>
      </c>
      <c r="G40" s="10" t="n">
        <v>299.47</v>
      </c>
      <c r="H40" s="10" t="n">
        <v>72.0499</v>
      </c>
      <c r="I40" s="10" t="n">
        <v>227.42</v>
      </c>
      <c r="J40" s="10" t="n">
        <v>145.15</v>
      </c>
      <c r="K40" s="11" t="n">
        <v>0.7594</v>
      </c>
      <c r="L40" s="11" t="n">
        <v>0.4847</v>
      </c>
      <c r="M40" s="26" t="n">
        <v>28</v>
      </c>
    </row>
    <row r="41" customFormat="false" ht="15" hidden="false" customHeight="false" outlineLevel="0" collapsed="false">
      <c r="A41" s="27" t="n">
        <v>90476</v>
      </c>
      <c r="B41" s="12" t="s">
        <v>477</v>
      </c>
      <c r="C41" s="28" t="n">
        <v>30</v>
      </c>
      <c r="D41" s="28" t="n">
        <v>30</v>
      </c>
      <c r="E41" s="14" t="n">
        <v>1981.18</v>
      </c>
      <c r="F41" s="14" t="n">
        <v>0</v>
      </c>
      <c r="G41" s="14" t="n">
        <v>1981.18</v>
      </c>
      <c r="H41" s="14" t="n">
        <v>740.03</v>
      </c>
      <c r="I41" s="14" t="n">
        <v>1241.15</v>
      </c>
      <c r="J41" s="14" t="n">
        <v>696.88</v>
      </c>
      <c r="K41" s="15" t="n">
        <v>0.6265</v>
      </c>
      <c r="L41" s="15" t="n">
        <v>0.3517</v>
      </c>
      <c r="M41" s="29" t="n">
        <v>7</v>
      </c>
    </row>
    <row r="42" customFormat="false" ht="15" hidden="false" customHeight="false" outlineLevel="0" collapsed="false">
      <c r="A42" s="24" t="n">
        <v>90495</v>
      </c>
      <c r="B42" s="8" t="s">
        <v>513</v>
      </c>
      <c r="C42" s="25" t="n">
        <v>301</v>
      </c>
      <c r="D42" s="25" t="n">
        <v>301</v>
      </c>
      <c r="E42" s="10" t="n">
        <v>0</v>
      </c>
      <c r="F42" s="10" t="n">
        <v>8890.54</v>
      </c>
      <c r="G42" s="10" t="n">
        <v>8890.54</v>
      </c>
      <c r="H42" s="10" t="n">
        <v>15071.8932</v>
      </c>
      <c r="I42" s="10" t="n">
        <v>-6181.35</v>
      </c>
      <c r="J42" s="10" t="n">
        <v>-8623.79</v>
      </c>
      <c r="K42" s="11" t="n">
        <v>-0.6953</v>
      </c>
      <c r="L42" s="11" t="n">
        <v>-0.97</v>
      </c>
      <c r="M42" s="26" t="n">
        <v>55.62</v>
      </c>
    </row>
    <row r="43" customFormat="false" ht="15" hidden="false" customHeight="false" outlineLevel="0" collapsed="false">
      <c r="A43" s="27" t="n">
        <v>90506</v>
      </c>
      <c r="B43" s="12" t="s">
        <v>473</v>
      </c>
      <c r="C43" s="28" t="n">
        <v>3625</v>
      </c>
      <c r="D43" s="28" t="n">
        <v>3625</v>
      </c>
      <c r="E43" s="14" t="n">
        <v>0</v>
      </c>
      <c r="F43" s="14" t="n">
        <v>84753.06</v>
      </c>
      <c r="G43" s="14" t="n">
        <v>84753.06</v>
      </c>
      <c r="H43" s="14" t="n">
        <v>27868.4346</v>
      </c>
      <c r="I43" s="14" t="n">
        <v>56884.67</v>
      </c>
      <c r="J43" s="14" t="n">
        <v>33601.25</v>
      </c>
      <c r="K43" s="15" t="n">
        <v>0.6712</v>
      </c>
      <c r="L43" s="15" t="n">
        <v>0.3965</v>
      </c>
      <c r="M43" s="29" t="n">
        <v>54.82</v>
      </c>
    </row>
    <row r="44" customFormat="false" ht="15" hidden="false" customHeight="false" outlineLevel="0" collapsed="false">
      <c r="A44" s="24" t="n">
        <v>90517</v>
      </c>
      <c r="B44" s="8" t="s">
        <v>514</v>
      </c>
      <c r="C44" s="25" t="n">
        <v>40</v>
      </c>
      <c r="D44" s="25" t="n">
        <v>40</v>
      </c>
      <c r="E44" s="10" t="n">
        <v>0</v>
      </c>
      <c r="F44" s="10" t="n">
        <v>4753.18</v>
      </c>
      <c r="G44" s="10" t="n">
        <v>4753.18</v>
      </c>
      <c r="H44" s="10" t="n">
        <v>3942.95</v>
      </c>
      <c r="I44" s="10" t="n">
        <v>810.23</v>
      </c>
      <c r="J44" s="10" t="n">
        <v>-495.56</v>
      </c>
      <c r="K44" s="11" t="n">
        <v>0.1705</v>
      </c>
      <c r="L44" s="11" t="n">
        <v>-0.1043</v>
      </c>
      <c r="M44" s="26" t="n">
        <v>44</v>
      </c>
    </row>
    <row r="45" customFormat="false" ht="15" hidden="false" customHeight="false" outlineLevel="0" collapsed="false">
      <c r="A45" s="27" t="n">
        <v>90554</v>
      </c>
      <c r="B45" s="12" t="s">
        <v>488</v>
      </c>
      <c r="C45" s="28" t="n">
        <v>311</v>
      </c>
      <c r="D45" s="28" t="n">
        <v>311</v>
      </c>
      <c r="E45" s="14" t="n">
        <v>0</v>
      </c>
      <c r="F45" s="14" t="n">
        <v>25552.5</v>
      </c>
      <c r="G45" s="14" t="n">
        <v>25552.5</v>
      </c>
      <c r="H45" s="14" t="n">
        <v>0</v>
      </c>
      <c r="I45" s="14" t="n">
        <v>25552.5</v>
      </c>
      <c r="J45" s="14" t="n">
        <v>25552.5</v>
      </c>
      <c r="K45" s="15" t="n">
        <v>1</v>
      </c>
      <c r="L45" s="15" t="n">
        <v>1</v>
      </c>
      <c r="M45" s="29" t="n">
        <v>53</v>
      </c>
    </row>
    <row r="46" customFormat="false" ht="15" hidden="false" customHeight="false" outlineLevel="0" collapsed="false">
      <c r="A46" s="24" t="n">
        <v>90584</v>
      </c>
      <c r="B46" s="8" t="s">
        <v>489</v>
      </c>
      <c r="C46" s="25" t="n">
        <v>10</v>
      </c>
      <c r="D46" s="25" t="n">
        <v>10</v>
      </c>
      <c r="E46" s="10" t="n">
        <v>0</v>
      </c>
      <c r="F46" s="10" t="n">
        <v>6996.02</v>
      </c>
      <c r="G46" s="10" t="n">
        <v>6996.02</v>
      </c>
      <c r="H46" s="10" t="n">
        <v>4918.77</v>
      </c>
      <c r="I46" s="10" t="n">
        <v>2077.25</v>
      </c>
      <c r="J46" s="10" t="n">
        <v>586.71</v>
      </c>
      <c r="K46" s="11" t="n">
        <v>0.2969</v>
      </c>
      <c r="L46" s="11" t="n">
        <v>0.0839</v>
      </c>
      <c r="M46" s="26" t="n">
        <v>29.84</v>
      </c>
    </row>
    <row r="47" customFormat="false" ht="15" hidden="false" customHeight="false" outlineLevel="0" collapsed="false">
      <c r="A47" s="27" t="n">
        <v>90605</v>
      </c>
      <c r="B47" s="12" t="s">
        <v>490</v>
      </c>
      <c r="C47" s="28" t="n">
        <v>427</v>
      </c>
      <c r="D47" s="28" t="n">
        <v>427</v>
      </c>
      <c r="E47" s="14" t="n">
        <v>0</v>
      </c>
      <c r="F47" s="14" t="n">
        <v>32818</v>
      </c>
      <c r="G47" s="14" t="n">
        <v>32818</v>
      </c>
      <c r="H47" s="14" t="n">
        <v>0</v>
      </c>
      <c r="I47" s="14" t="n">
        <v>32818</v>
      </c>
      <c r="J47" s="14" t="n">
        <v>32818</v>
      </c>
      <c r="K47" s="15" t="n">
        <v>1</v>
      </c>
      <c r="L47" s="15" t="n">
        <v>1</v>
      </c>
      <c r="M47" s="29" t="n">
        <v>53</v>
      </c>
    </row>
    <row r="48" customFormat="false" ht="15" hidden="false" customHeight="false" outlineLevel="0" collapsed="false">
      <c r="A48" s="24" t="n">
        <v>90609</v>
      </c>
      <c r="B48" s="8" t="s">
        <v>515</v>
      </c>
      <c r="C48" s="25" t="n">
        <v>432</v>
      </c>
      <c r="D48" s="25" t="n">
        <v>432</v>
      </c>
      <c r="E48" s="10" t="n">
        <v>0</v>
      </c>
      <c r="F48" s="10" t="n">
        <v>6953.12</v>
      </c>
      <c r="G48" s="10" t="n">
        <v>6953.12</v>
      </c>
      <c r="H48" s="10" t="n">
        <v>2259.84</v>
      </c>
      <c r="I48" s="10" t="n">
        <v>4693.28</v>
      </c>
      <c r="J48" s="10" t="n">
        <v>2783.13</v>
      </c>
      <c r="K48" s="11" t="n">
        <v>0.675</v>
      </c>
      <c r="L48" s="11" t="n">
        <v>0.4003</v>
      </c>
      <c r="M48" s="26" t="n">
        <v>49</v>
      </c>
    </row>
    <row r="49" customFormat="false" ht="15" hidden="false" customHeight="false" outlineLevel="0" collapsed="false">
      <c r="A49" s="27" t="n">
        <v>90613</v>
      </c>
      <c r="B49" s="12" t="s">
        <v>516</v>
      </c>
      <c r="C49" s="28" t="n">
        <v>69</v>
      </c>
      <c r="D49" s="28" t="n">
        <v>69</v>
      </c>
      <c r="E49" s="14" t="n">
        <v>0</v>
      </c>
      <c r="F49" s="14" t="n">
        <v>962.01</v>
      </c>
      <c r="G49" s="14" t="n">
        <v>962.01</v>
      </c>
      <c r="H49" s="14" t="n">
        <v>0</v>
      </c>
      <c r="I49" s="14" t="n">
        <v>962.01</v>
      </c>
      <c r="J49" s="14" t="n">
        <v>962.01</v>
      </c>
      <c r="K49" s="15" t="n">
        <v>1</v>
      </c>
      <c r="L49" s="15" t="n">
        <v>1</v>
      </c>
      <c r="M49" s="29" t="n">
        <v>28</v>
      </c>
    </row>
    <row r="50" customFormat="false" ht="15" hidden="false" customHeight="false" outlineLevel="0" collapsed="false">
      <c r="A50" s="24" t="n">
        <v>90617</v>
      </c>
      <c r="B50" s="8" t="s">
        <v>492</v>
      </c>
      <c r="C50" s="25" t="n">
        <v>591</v>
      </c>
      <c r="D50" s="25" t="n">
        <v>591</v>
      </c>
      <c r="E50" s="10" t="n">
        <v>0</v>
      </c>
      <c r="F50" s="10" t="n">
        <v>35738.4</v>
      </c>
      <c r="G50" s="10" t="n">
        <v>35738.4</v>
      </c>
      <c r="H50" s="10" t="n">
        <v>16794.2543</v>
      </c>
      <c r="I50" s="10" t="n">
        <v>18944.15</v>
      </c>
      <c r="J50" s="10" t="n">
        <v>9126.07</v>
      </c>
      <c r="K50" s="11" t="n">
        <v>0.5301</v>
      </c>
      <c r="L50" s="11" t="n">
        <v>0.2554</v>
      </c>
      <c r="M50" s="26" t="n">
        <v>51.41</v>
      </c>
    </row>
    <row r="51" customFormat="false" ht="15" hidden="false" customHeight="false" outlineLevel="0" collapsed="false">
      <c r="A51" s="27" t="n">
        <v>90623</v>
      </c>
      <c r="B51" s="12" t="s">
        <v>473</v>
      </c>
      <c r="C51" s="28" t="n">
        <v>1076</v>
      </c>
      <c r="D51" s="28" t="n">
        <v>1076</v>
      </c>
      <c r="E51" s="14" t="n">
        <v>0</v>
      </c>
      <c r="F51" s="14" t="n">
        <v>132294.77</v>
      </c>
      <c r="G51" s="14" t="n">
        <v>132294.77</v>
      </c>
      <c r="H51" s="14" t="n">
        <v>64850.3605</v>
      </c>
      <c r="I51" s="14" t="n">
        <v>67444.41</v>
      </c>
      <c r="J51" s="14" t="n">
        <v>31100.49</v>
      </c>
      <c r="K51" s="15" t="n">
        <v>0.5098</v>
      </c>
      <c r="L51" s="15" t="n">
        <v>0.2351</v>
      </c>
      <c r="M51" s="29" t="n">
        <v>50.24</v>
      </c>
    </row>
    <row r="52" customFormat="false" ht="15" hidden="false" customHeight="false" outlineLevel="0" collapsed="false">
      <c r="A52" s="24" t="n">
        <v>90625</v>
      </c>
      <c r="B52" s="8" t="s">
        <v>473</v>
      </c>
      <c r="C52" s="25" t="n">
        <v>3667</v>
      </c>
      <c r="D52" s="25" t="n">
        <v>3667</v>
      </c>
      <c r="E52" s="10" t="n">
        <v>0</v>
      </c>
      <c r="F52" s="10" t="n">
        <v>118349.03</v>
      </c>
      <c r="G52" s="10" t="n">
        <v>118349.03</v>
      </c>
      <c r="H52" s="10" t="n">
        <v>42734.4553</v>
      </c>
      <c r="I52" s="10" t="n">
        <v>75614.58</v>
      </c>
      <c r="J52" s="10" t="n">
        <v>43101.74</v>
      </c>
      <c r="K52" s="11" t="n">
        <v>0.6389</v>
      </c>
      <c r="L52" s="11" t="n">
        <v>0.3642</v>
      </c>
      <c r="M52" s="26" t="n">
        <v>51.79</v>
      </c>
    </row>
    <row r="53" customFormat="false" ht="15" hidden="false" customHeight="false" outlineLevel="0" collapsed="false">
      <c r="A53" s="27" t="n">
        <v>90629</v>
      </c>
      <c r="B53" s="12" t="s">
        <v>517</v>
      </c>
      <c r="C53" s="28" t="n">
        <v>100</v>
      </c>
      <c r="D53" s="28" t="n">
        <v>100</v>
      </c>
      <c r="E53" s="14" t="n">
        <v>0</v>
      </c>
      <c r="F53" s="14" t="n">
        <v>1057</v>
      </c>
      <c r="G53" s="14" t="n">
        <v>1057</v>
      </c>
      <c r="H53" s="14" t="n">
        <v>64.42</v>
      </c>
      <c r="I53" s="14" t="n">
        <v>992.58</v>
      </c>
      <c r="J53" s="14" t="n">
        <v>702.2</v>
      </c>
      <c r="K53" s="15" t="n">
        <v>0.9391</v>
      </c>
      <c r="L53" s="15" t="n">
        <v>0.6643</v>
      </c>
      <c r="M53" s="29" t="n">
        <v>28</v>
      </c>
    </row>
    <row r="54" customFormat="false" ht="15" hidden="false" customHeight="false" outlineLevel="0" collapsed="false">
      <c r="A54" s="24" t="n">
        <v>90640</v>
      </c>
      <c r="B54" s="8" t="s">
        <v>473</v>
      </c>
      <c r="C54" s="25" t="n">
        <v>60</v>
      </c>
      <c r="D54" s="25" t="n">
        <v>60</v>
      </c>
      <c r="E54" s="10" t="n">
        <v>0</v>
      </c>
      <c r="F54" s="10" t="n">
        <v>1599.8</v>
      </c>
      <c r="G54" s="10" t="n">
        <v>1599.8</v>
      </c>
      <c r="H54" s="10" t="n">
        <v>653.5308</v>
      </c>
      <c r="I54" s="10" t="n">
        <v>946.27</v>
      </c>
      <c r="J54" s="10" t="n">
        <v>506.77</v>
      </c>
      <c r="K54" s="11" t="n">
        <v>0.5915</v>
      </c>
      <c r="L54" s="11" t="n">
        <v>0.3168</v>
      </c>
      <c r="M54" s="26" t="n">
        <v>49.1</v>
      </c>
    </row>
    <row r="55" customFormat="false" ht="15" hidden="false" customHeight="false" outlineLevel="0" collapsed="false">
      <c r="A55" s="27" t="n">
        <v>90643</v>
      </c>
      <c r="B55" s="12" t="s">
        <v>488</v>
      </c>
      <c r="C55" s="28" t="n">
        <v>6</v>
      </c>
      <c r="D55" s="28" t="n">
        <v>6</v>
      </c>
      <c r="E55" s="14" t="n">
        <v>0</v>
      </c>
      <c r="F55" s="14" t="n">
        <v>2376</v>
      </c>
      <c r="G55" s="14" t="n">
        <v>2376</v>
      </c>
      <c r="H55" s="14" t="n">
        <v>855.5202</v>
      </c>
      <c r="I55" s="14" t="n">
        <v>1520.48</v>
      </c>
      <c r="J55" s="14" t="n">
        <v>867.75</v>
      </c>
      <c r="K55" s="15" t="n">
        <v>0.6399</v>
      </c>
      <c r="L55" s="15" t="n">
        <v>0.3652</v>
      </c>
      <c r="M55" s="29" t="n">
        <v>28</v>
      </c>
    </row>
    <row r="56" customFormat="false" ht="15" hidden="false" customHeight="false" outlineLevel="0" collapsed="false">
      <c r="A56" s="24" t="n">
        <v>90664</v>
      </c>
      <c r="B56" s="8" t="s">
        <v>496</v>
      </c>
      <c r="C56" s="25" t="n">
        <v>67</v>
      </c>
      <c r="D56" s="25" t="n">
        <v>67</v>
      </c>
      <c r="E56" s="10" t="n">
        <v>23369.61</v>
      </c>
      <c r="F56" s="10" t="n">
        <v>252952.24</v>
      </c>
      <c r="G56" s="10" t="n">
        <v>276321.85</v>
      </c>
      <c r="H56" s="10" t="n">
        <v>94045.31</v>
      </c>
      <c r="I56" s="10" t="n">
        <v>182276.54</v>
      </c>
      <c r="J56" s="10" t="n">
        <v>103142.29</v>
      </c>
      <c r="K56" s="11" t="n">
        <v>0.6597</v>
      </c>
      <c r="L56" s="11" t="n">
        <v>0.3733</v>
      </c>
      <c r="M56" s="26" t="n">
        <v>37.02</v>
      </c>
    </row>
    <row r="57" customFormat="false" ht="15" hidden="false" customHeight="false" outlineLevel="0" collapsed="false">
      <c r="A57" s="27" t="n">
        <v>90665</v>
      </c>
      <c r="B57" s="12" t="s">
        <v>497</v>
      </c>
      <c r="C57" s="28" t="n">
        <v>7</v>
      </c>
      <c r="D57" s="28" t="n">
        <v>7</v>
      </c>
      <c r="E57" s="14" t="n">
        <v>0</v>
      </c>
      <c r="F57" s="14" t="n">
        <v>17297.67</v>
      </c>
      <c r="G57" s="14" t="n">
        <v>17297.67</v>
      </c>
      <c r="H57" s="14" t="n">
        <v>6798.58</v>
      </c>
      <c r="I57" s="14" t="n">
        <v>10499.09</v>
      </c>
      <c r="J57" s="14" t="n">
        <v>5747.09</v>
      </c>
      <c r="K57" s="15" t="n">
        <v>0.607</v>
      </c>
      <c r="L57" s="15" t="n">
        <v>0.3322</v>
      </c>
      <c r="M57" s="29" t="n">
        <v>29.34</v>
      </c>
    </row>
    <row r="58" customFormat="false" ht="15" hidden="false" customHeight="false" outlineLevel="0" collapsed="false">
      <c r="A58" s="24" t="n">
        <v>90666</v>
      </c>
      <c r="B58" s="8" t="s">
        <v>518</v>
      </c>
      <c r="C58" s="25" t="n">
        <v>52</v>
      </c>
      <c r="D58" s="25" t="n">
        <v>52</v>
      </c>
      <c r="E58" s="10" t="n">
        <v>0</v>
      </c>
      <c r="F58" s="10" t="n">
        <v>634.4</v>
      </c>
      <c r="G58" s="10" t="n">
        <v>634.4</v>
      </c>
      <c r="H58" s="10" t="n">
        <v>317.2208</v>
      </c>
      <c r="I58" s="10" t="n">
        <v>317.18</v>
      </c>
      <c r="J58" s="10" t="n">
        <v>91.09</v>
      </c>
      <c r="K58" s="11" t="n">
        <v>0.5</v>
      </c>
      <c r="L58" s="11" t="n">
        <v>0.1436</v>
      </c>
      <c r="M58" s="26" t="n">
        <v>30</v>
      </c>
    </row>
    <row r="59" customFormat="false" ht="15" hidden="false" customHeight="false" outlineLevel="0" collapsed="false">
      <c r="A59" s="27" t="n">
        <v>90675</v>
      </c>
      <c r="B59" s="12" t="s">
        <v>498</v>
      </c>
      <c r="C59" s="28" t="n">
        <v>30</v>
      </c>
      <c r="D59" s="28" t="n">
        <v>30</v>
      </c>
      <c r="E59" s="14" t="n">
        <v>0</v>
      </c>
      <c r="F59" s="14" t="n">
        <v>1135.7</v>
      </c>
      <c r="G59" s="14" t="n">
        <v>1135.7</v>
      </c>
      <c r="H59" s="14" t="n">
        <v>51.2</v>
      </c>
      <c r="I59" s="14" t="n">
        <v>1084.5</v>
      </c>
      <c r="J59" s="14" t="n">
        <v>772.5</v>
      </c>
      <c r="K59" s="15" t="n">
        <v>0.9549</v>
      </c>
      <c r="L59" s="15" t="n">
        <v>0.6802</v>
      </c>
      <c r="M59" s="29" t="n">
        <v>42</v>
      </c>
    </row>
    <row r="60" customFormat="false" ht="15" hidden="false" customHeight="false" outlineLevel="0" collapsed="false">
      <c r="A60" s="24" t="n">
        <v>90689</v>
      </c>
      <c r="B60" s="8" t="s">
        <v>519</v>
      </c>
      <c r="C60" s="25" t="n">
        <v>60</v>
      </c>
      <c r="D60" s="25" t="n">
        <v>60</v>
      </c>
      <c r="E60" s="10" t="n">
        <v>0</v>
      </c>
      <c r="F60" s="10" t="n">
        <v>8040</v>
      </c>
      <c r="G60" s="10" t="n">
        <v>8040</v>
      </c>
      <c r="H60" s="10" t="n">
        <v>4824.672</v>
      </c>
      <c r="I60" s="10" t="n">
        <v>3215.33</v>
      </c>
      <c r="J60" s="10" t="n">
        <v>1502.36</v>
      </c>
      <c r="K60" s="11" t="n">
        <v>0.3999</v>
      </c>
      <c r="L60" s="11" t="n">
        <v>0.1869</v>
      </c>
      <c r="M60" s="26" t="n">
        <v>60</v>
      </c>
    </row>
    <row r="61" customFormat="false" ht="15" hidden="false" customHeight="false" outlineLevel="0" collapsed="false">
      <c r="A61" s="27" t="n">
        <v>90692</v>
      </c>
      <c r="B61" s="12" t="s">
        <v>499</v>
      </c>
      <c r="C61" s="28" t="n">
        <v>30</v>
      </c>
      <c r="D61" s="28" t="n">
        <v>30</v>
      </c>
      <c r="E61" s="14" t="n">
        <v>0</v>
      </c>
      <c r="F61" s="14" t="n">
        <v>2712</v>
      </c>
      <c r="G61" s="14" t="n">
        <v>2712</v>
      </c>
      <c r="H61" s="14" t="n">
        <v>25823.739</v>
      </c>
      <c r="I61" s="14" t="n">
        <v>-23111.74</v>
      </c>
      <c r="J61" s="14" t="n">
        <v>-23689.54</v>
      </c>
      <c r="K61" s="15" t="n">
        <v>-8.522</v>
      </c>
      <c r="L61" s="15" t="n">
        <v>-8.7351</v>
      </c>
      <c r="M61" s="29" t="n">
        <v>60</v>
      </c>
    </row>
    <row r="62" customFormat="false" ht="15" hidden="false" customHeight="false" outlineLevel="0" collapsed="false">
      <c r="A62" s="24" t="n">
        <v>90700</v>
      </c>
      <c r="B62" s="8" t="s">
        <v>488</v>
      </c>
      <c r="C62" s="25" t="n">
        <v>113</v>
      </c>
      <c r="D62" s="25" t="n">
        <v>113</v>
      </c>
      <c r="E62" s="10" t="n">
        <v>0</v>
      </c>
      <c r="F62" s="10" t="n">
        <v>18896</v>
      </c>
      <c r="G62" s="10" t="n">
        <v>18896</v>
      </c>
      <c r="H62" s="10" t="n">
        <v>0</v>
      </c>
      <c r="I62" s="10" t="n">
        <v>18896</v>
      </c>
      <c r="J62" s="10" t="n">
        <v>18896</v>
      </c>
      <c r="K62" s="11" t="n">
        <v>1</v>
      </c>
      <c r="L62" s="11" t="n">
        <v>1</v>
      </c>
      <c r="M62" s="26" t="n">
        <v>28</v>
      </c>
    </row>
    <row r="63" customFormat="false" ht="15" hidden="false" customHeight="false" outlineLevel="0" collapsed="false">
      <c r="A63" s="27" t="n">
        <v>90701</v>
      </c>
      <c r="B63" s="12" t="s">
        <v>520</v>
      </c>
      <c r="C63" s="28" t="n">
        <v>20</v>
      </c>
      <c r="D63" s="28" t="n">
        <v>20</v>
      </c>
      <c r="E63" s="14" t="n">
        <v>0</v>
      </c>
      <c r="F63" s="14" t="n">
        <v>2944</v>
      </c>
      <c r="G63" s="14" t="n">
        <v>2944</v>
      </c>
      <c r="H63" s="14" t="n">
        <v>2086.82</v>
      </c>
      <c r="I63" s="14" t="n">
        <v>857.18</v>
      </c>
      <c r="J63" s="14" t="n">
        <v>229.95</v>
      </c>
      <c r="K63" s="15" t="n">
        <v>0.2912</v>
      </c>
      <c r="L63" s="15" t="n">
        <v>0.0781</v>
      </c>
      <c r="M63" s="29" t="n">
        <v>60</v>
      </c>
    </row>
    <row r="64" customFormat="false" ht="15" hidden="false" customHeight="false" outlineLevel="0" collapsed="false">
      <c r="A64" s="24" t="n">
        <v>90702</v>
      </c>
      <c r="B64" s="8" t="s">
        <v>521</v>
      </c>
      <c r="C64" s="25" t="n">
        <v>20</v>
      </c>
      <c r="D64" s="25" t="n">
        <v>20</v>
      </c>
      <c r="E64" s="10" t="n">
        <v>0</v>
      </c>
      <c r="F64" s="10" t="n">
        <v>2544</v>
      </c>
      <c r="G64" s="10" t="n">
        <v>2544</v>
      </c>
      <c r="H64" s="10" t="n">
        <v>1593.65</v>
      </c>
      <c r="I64" s="10" t="n">
        <v>950.35</v>
      </c>
      <c r="J64" s="10" t="n">
        <v>408.33</v>
      </c>
      <c r="K64" s="11" t="n">
        <v>0.3736</v>
      </c>
      <c r="L64" s="11" t="n">
        <v>0.1605</v>
      </c>
      <c r="M64" s="26" t="n">
        <v>60</v>
      </c>
    </row>
    <row r="65" customFormat="false" ht="15" hidden="false" customHeight="false" outlineLevel="0" collapsed="false">
      <c r="A65" s="27" t="n">
        <v>90705</v>
      </c>
      <c r="B65" s="12" t="s">
        <v>522</v>
      </c>
      <c r="C65" s="28" t="n">
        <v>10</v>
      </c>
      <c r="D65" s="28" t="n">
        <v>10</v>
      </c>
      <c r="E65" s="14" t="n">
        <v>0</v>
      </c>
      <c r="F65" s="14" t="n">
        <v>1520</v>
      </c>
      <c r="G65" s="14" t="n">
        <v>1520</v>
      </c>
      <c r="H65" s="14" t="n">
        <v>1002.49</v>
      </c>
      <c r="I65" s="14" t="n">
        <v>517.51</v>
      </c>
      <c r="J65" s="14" t="n">
        <v>193.66</v>
      </c>
      <c r="K65" s="15" t="n">
        <v>0.3405</v>
      </c>
      <c r="L65" s="15" t="n">
        <v>0.1274</v>
      </c>
      <c r="M65" s="29" t="n">
        <v>60</v>
      </c>
    </row>
    <row r="66" customFormat="false" ht="15" hidden="false" customHeight="false" outlineLevel="0" collapsed="false">
      <c r="A66" s="24" t="n">
        <v>90706</v>
      </c>
      <c r="B66" s="8" t="s">
        <v>523</v>
      </c>
      <c r="C66" s="25" t="n">
        <v>9</v>
      </c>
      <c r="D66" s="25" t="n">
        <v>9</v>
      </c>
      <c r="E66" s="10" t="n">
        <v>0</v>
      </c>
      <c r="F66" s="10" t="n">
        <v>1350</v>
      </c>
      <c r="G66" s="10" t="n">
        <v>1350</v>
      </c>
      <c r="H66" s="10" t="n">
        <v>892.08</v>
      </c>
      <c r="I66" s="10" t="n">
        <v>457.92</v>
      </c>
      <c r="J66" s="10" t="n">
        <v>170.3</v>
      </c>
      <c r="K66" s="11" t="n">
        <v>0.3392</v>
      </c>
      <c r="L66" s="11" t="n">
        <v>0.1261</v>
      </c>
      <c r="M66" s="26" t="n">
        <v>60</v>
      </c>
    </row>
    <row r="67" customFormat="false" ht="15" hidden="false" customHeight="false" outlineLevel="0" collapsed="false">
      <c r="A67" s="27" t="n">
        <v>90708</v>
      </c>
      <c r="B67" s="12" t="s">
        <v>501</v>
      </c>
      <c r="C67" s="28" t="n">
        <v>130</v>
      </c>
      <c r="D67" s="28" t="n">
        <v>130</v>
      </c>
      <c r="E67" s="14" t="n">
        <v>0</v>
      </c>
      <c r="F67" s="14" t="n">
        <v>17576</v>
      </c>
      <c r="G67" s="14" t="n">
        <v>17576</v>
      </c>
      <c r="H67" s="14" t="n">
        <v>144253.616</v>
      </c>
      <c r="I67" s="14" t="n">
        <v>-126677.61</v>
      </c>
      <c r="J67" s="14" t="n">
        <v>-130422.29</v>
      </c>
      <c r="K67" s="15" t="n">
        <v>-7.2074</v>
      </c>
      <c r="L67" s="15" t="n">
        <v>-7.4205</v>
      </c>
      <c r="M67" s="29" t="n">
        <v>60</v>
      </c>
    </row>
    <row r="68" customFormat="false" ht="15" hidden="false" customHeight="false" outlineLevel="0" collapsed="false">
      <c r="A68" s="24" t="n">
        <v>90709</v>
      </c>
      <c r="B68" s="8" t="s">
        <v>502</v>
      </c>
      <c r="C68" s="25" t="n">
        <v>105</v>
      </c>
      <c r="D68" s="25" t="n">
        <v>105</v>
      </c>
      <c r="E68" s="10" t="n">
        <v>0</v>
      </c>
      <c r="F68" s="10" t="n">
        <v>13440</v>
      </c>
      <c r="G68" s="10" t="n">
        <v>13440</v>
      </c>
      <c r="H68" s="10" t="n">
        <v>7561.008</v>
      </c>
      <c r="I68" s="10" t="n">
        <v>5878.99</v>
      </c>
      <c r="J68" s="10" t="n">
        <v>3015.52</v>
      </c>
      <c r="K68" s="11" t="n">
        <v>0.4374</v>
      </c>
      <c r="L68" s="11" t="n">
        <v>0.2244</v>
      </c>
      <c r="M68" s="26" t="n">
        <v>60</v>
      </c>
    </row>
    <row r="69" customFormat="false" ht="15" hidden="false" customHeight="false" outlineLevel="0" collapsed="false">
      <c r="A69" s="27" t="n">
        <v>90711</v>
      </c>
      <c r="B69" s="12" t="s">
        <v>503</v>
      </c>
      <c r="C69" s="28" t="n">
        <v>20</v>
      </c>
      <c r="D69" s="28" t="n">
        <v>20</v>
      </c>
      <c r="E69" s="14" t="n">
        <v>0</v>
      </c>
      <c r="F69" s="14" t="n">
        <v>2184</v>
      </c>
      <c r="G69" s="14" t="n">
        <v>2184</v>
      </c>
      <c r="H69" s="14" t="n">
        <v>1429.09</v>
      </c>
      <c r="I69" s="14" t="n">
        <v>754.91</v>
      </c>
      <c r="J69" s="14" t="n">
        <v>289.6</v>
      </c>
      <c r="K69" s="15" t="n">
        <v>0.3457</v>
      </c>
      <c r="L69" s="15" t="n">
        <v>0.1326</v>
      </c>
      <c r="M69" s="29" t="n">
        <v>60</v>
      </c>
    </row>
    <row r="70" customFormat="false" ht="15" hidden="false" customHeight="false" outlineLevel="0" collapsed="false">
      <c r="A70" s="24" t="n">
        <v>90712</v>
      </c>
      <c r="B70" s="8" t="s">
        <v>503</v>
      </c>
      <c r="C70" s="25" t="n">
        <v>30</v>
      </c>
      <c r="D70" s="25" t="n">
        <v>30</v>
      </c>
      <c r="E70" s="10" t="n">
        <v>0</v>
      </c>
      <c r="F70" s="10" t="n">
        <v>2940</v>
      </c>
      <c r="G70" s="10" t="n">
        <v>2940</v>
      </c>
      <c r="H70" s="10" t="n">
        <v>2004.279</v>
      </c>
      <c r="I70" s="10" t="n">
        <v>935.72</v>
      </c>
      <c r="J70" s="10" t="n">
        <v>309.34</v>
      </c>
      <c r="K70" s="11" t="n">
        <v>0.3183</v>
      </c>
      <c r="L70" s="11" t="n">
        <v>0.1052</v>
      </c>
      <c r="M70" s="26" t="n">
        <v>60</v>
      </c>
    </row>
    <row r="71" customFormat="false" ht="15" hidden="false" customHeight="false" outlineLevel="0" collapsed="false">
      <c r="A71" s="27" t="n">
        <v>90713</v>
      </c>
      <c r="B71" s="12" t="s">
        <v>504</v>
      </c>
      <c r="C71" s="28" t="n">
        <v>50</v>
      </c>
      <c r="D71" s="28" t="n">
        <v>50</v>
      </c>
      <c r="E71" s="14" t="n">
        <v>0</v>
      </c>
      <c r="F71" s="14" t="n">
        <v>5820</v>
      </c>
      <c r="G71" s="14" t="n">
        <v>5820</v>
      </c>
      <c r="H71" s="14" t="n">
        <v>3812.05</v>
      </c>
      <c r="I71" s="14" t="n">
        <v>2007.95</v>
      </c>
      <c r="J71" s="14" t="n">
        <v>767.97</v>
      </c>
      <c r="K71" s="15" t="n">
        <v>0.345</v>
      </c>
      <c r="L71" s="15" t="n">
        <v>0.132</v>
      </c>
      <c r="M71" s="29" t="n">
        <v>60</v>
      </c>
    </row>
    <row r="72" customFormat="false" ht="15" hidden="false" customHeight="false" outlineLevel="0" collapsed="false">
      <c r="A72" s="24" t="n">
        <v>90714</v>
      </c>
      <c r="B72" s="8" t="s">
        <v>503</v>
      </c>
      <c r="C72" s="25" t="n">
        <v>60</v>
      </c>
      <c r="D72" s="25" t="n">
        <v>60</v>
      </c>
      <c r="E72" s="10" t="n">
        <v>0</v>
      </c>
      <c r="F72" s="10" t="n">
        <v>6984</v>
      </c>
      <c r="G72" s="10" t="n">
        <v>6984</v>
      </c>
      <c r="H72" s="10" t="n">
        <v>5249.92</v>
      </c>
      <c r="I72" s="10" t="n">
        <v>1734.08</v>
      </c>
      <c r="J72" s="10" t="n">
        <v>246.1</v>
      </c>
      <c r="K72" s="11" t="n">
        <v>0.2483</v>
      </c>
      <c r="L72" s="11" t="n">
        <v>0.0352</v>
      </c>
      <c r="M72" s="26" t="n">
        <v>60</v>
      </c>
    </row>
    <row r="73" customFormat="false" ht="15" hidden="false" customHeight="false" outlineLevel="0" collapsed="false">
      <c r="A73" s="27" t="n">
        <v>90715</v>
      </c>
      <c r="B73" s="12" t="s">
        <v>524</v>
      </c>
      <c r="C73" s="28" t="n">
        <v>110</v>
      </c>
      <c r="D73" s="28" t="n">
        <v>110</v>
      </c>
      <c r="E73" s="14" t="n">
        <v>0</v>
      </c>
      <c r="F73" s="14" t="n">
        <v>15048</v>
      </c>
      <c r="G73" s="14" t="n">
        <v>15048</v>
      </c>
      <c r="H73" s="14" t="n">
        <v>12750.22</v>
      </c>
      <c r="I73" s="14" t="n">
        <v>2297.78</v>
      </c>
      <c r="J73" s="14" t="n">
        <v>-908.28</v>
      </c>
      <c r="K73" s="15" t="n">
        <v>0.1527</v>
      </c>
      <c r="L73" s="15" t="n">
        <v>-0.0604</v>
      </c>
      <c r="M73" s="29" t="n">
        <v>60</v>
      </c>
    </row>
    <row r="74" customFormat="false" ht="15" hidden="false" customHeight="false" outlineLevel="0" collapsed="false">
      <c r="A74" s="24" t="n">
        <v>90718</v>
      </c>
      <c r="B74" s="8" t="s">
        <v>525</v>
      </c>
      <c r="C74" s="25" t="n">
        <v>629</v>
      </c>
      <c r="D74" s="25" t="n">
        <v>629</v>
      </c>
      <c r="E74" s="10" t="n">
        <v>0</v>
      </c>
      <c r="F74" s="10" t="n">
        <v>64260.44</v>
      </c>
      <c r="G74" s="10" t="n">
        <v>64260.44</v>
      </c>
      <c r="H74" s="10" t="n">
        <v>45401.8391</v>
      </c>
      <c r="I74" s="10" t="n">
        <v>18858.6</v>
      </c>
      <c r="J74" s="10" t="n">
        <v>1204.98</v>
      </c>
      <c r="K74" s="11" t="n">
        <v>0.2935</v>
      </c>
      <c r="L74" s="11" t="n">
        <v>0.0188</v>
      </c>
      <c r="M74" s="26" t="n">
        <v>55.91</v>
      </c>
    </row>
    <row r="75" customFormat="false" ht="15" hidden="false" customHeight="false" outlineLevel="0" collapsed="false">
      <c r="A75" s="27" t="n">
        <v>90719</v>
      </c>
      <c r="B75" s="12" t="s">
        <v>526</v>
      </c>
      <c r="C75" s="28" t="n">
        <v>40</v>
      </c>
      <c r="D75" s="28" t="n">
        <v>40</v>
      </c>
      <c r="E75" s="14" t="n">
        <v>0</v>
      </c>
      <c r="F75" s="14" t="n">
        <v>4320</v>
      </c>
      <c r="G75" s="14" t="n">
        <v>4320</v>
      </c>
      <c r="H75" s="14" t="n">
        <v>4320</v>
      </c>
      <c r="I75" s="14" t="n">
        <v>0</v>
      </c>
      <c r="J75" s="14" t="n">
        <v>-920.4</v>
      </c>
      <c r="K75" s="15" t="n">
        <v>0</v>
      </c>
      <c r="L75" s="15" t="n">
        <v>-0.2131</v>
      </c>
      <c r="M75" s="29" t="n">
        <v>60</v>
      </c>
    </row>
    <row r="76" customFormat="false" ht="15" hidden="false" customHeight="false" outlineLevel="0" collapsed="false">
      <c r="A76" s="24" t="n">
        <v>90722</v>
      </c>
      <c r="B76" s="8" t="s">
        <v>527</v>
      </c>
      <c r="C76" s="25" t="n">
        <v>60</v>
      </c>
      <c r="D76" s="25" t="n">
        <v>60</v>
      </c>
      <c r="E76" s="10" t="n">
        <v>0</v>
      </c>
      <c r="F76" s="10" t="n">
        <v>9480</v>
      </c>
      <c r="G76" s="10" t="n">
        <v>9480</v>
      </c>
      <c r="H76" s="10" t="n">
        <v>215620.842</v>
      </c>
      <c r="I76" s="10" t="n">
        <v>-206140.84</v>
      </c>
      <c r="J76" s="10" t="n">
        <v>-208160.61</v>
      </c>
      <c r="K76" s="11" t="n">
        <v>-21.7448</v>
      </c>
      <c r="L76" s="11" t="n">
        <v>-21.9579</v>
      </c>
      <c r="M76" s="26" t="n">
        <v>60</v>
      </c>
    </row>
    <row r="77" customFormat="false" ht="15" hidden="false" customHeight="false" outlineLevel="0" collapsed="false">
      <c r="A77" s="27" t="n">
        <v>90723</v>
      </c>
      <c r="B77" s="12" t="s">
        <v>527</v>
      </c>
      <c r="C77" s="28" t="n">
        <v>50</v>
      </c>
      <c r="D77" s="28" t="n">
        <v>50</v>
      </c>
      <c r="E77" s="14" t="n">
        <v>0</v>
      </c>
      <c r="F77" s="14" t="n">
        <v>7600</v>
      </c>
      <c r="G77" s="14" t="n">
        <v>7600</v>
      </c>
      <c r="H77" s="14" t="n">
        <v>2626.541</v>
      </c>
      <c r="I77" s="14" t="n">
        <v>4973.46</v>
      </c>
      <c r="J77" s="14" t="n">
        <v>3354.23</v>
      </c>
      <c r="K77" s="15" t="n">
        <v>0.6544</v>
      </c>
      <c r="L77" s="15" t="n">
        <v>0.4413</v>
      </c>
      <c r="M77" s="29" t="n">
        <v>60</v>
      </c>
    </row>
    <row r="78" customFormat="false" ht="15" hidden="false" customHeight="false" outlineLevel="0" collapsed="false">
      <c r="A78" s="24" t="n">
        <v>90725</v>
      </c>
      <c r="B78" s="8" t="s">
        <v>528</v>
      </c>
      <c r="C78" s="25" t="n">
        <v>50</v>
      </c>
      <c r="D78" s="25" t="n">
        <v>50</v>
      </c>
      <c r="E78" s="10" t="n">
        <v>0</v>
      </c>
      <c r="F78" s="10" t="n">
        <v>5940</v>
      </c>
      <c r="G78" s="10" t="n">
        <v>5940</v>
      </c>
      <c r="H78" s="10" t="n">
        <v>3768.42</v>
      </c>
      <c r="I78" s="10" t="n">
        <v>2171.58</v>
      </c>
      <c r="J78" s="10" t="n">
        <v>906.03</v>
      </c>
      <c r="K78" s="11" t="n">
        <v>0.3656</v>
      </c>
      <c r="L78" s="11" t="n">
        <v>0.1525</v>
      </c>
      <c r="M78" s="26" t="n">
        <v>60</v>
      </c>
    </row>
    <row r="79" customFormat="false" ht="15" hidden="false" customHeight="false" outlineLevel="0" collapsed="false">
      <c r="A79" s="16" t="s">
        <v>249</v>
      </c>
      <c r="B79" s="16" t="str">
        <f aca="false">COUNTA(A6:A78)&amp;" produtos"</f>
        <v>73 produtos</v>
      </c>
      <c r="C79" s="30" t="n">
        <f aca="false">SUM(C6:C78)</f>
        <v>52309.3</v>
      </c>
      <c r="D79" s="30" t="n">
        <f aca="false">SUM(D6:D78)</f>
        <v>52309.3</v>
      </c>
      <c r="E79" s="18" t="n">
        <f aca="false">SUM(E6:E78)</f>
        <v>50001.56</v>
      </c>
      <c r="F79" s="18" t="n">
        <f aca="false">SUM(F6:F78)</f>
        <v>1663417.93</v>
      </c>
      <c r="G79" s="18" t="n">
        <f aca="false">SUM(G6:G78)</f>
        <v>1713419.49</v>
      </c>
      <c r="H79" s="18" t="n">
        <f aca="false">SUM(H6:H78)</f>
        <v>1901055.9962</v>
      </c>
      <c r="I79" s="18" t="n">
        <f aca="false">SUM(I6:I78)</f>
        <v>-187636.43</v>
      </c>
      <c r="J79" s="18" t="n">
        <f aca="false">SUM(J6:J78)</f>
        <v>-619739.23</v>
      </c>
      <c r="K79" s="19" t="n">
        <f aca="false">IFERROR(I79/G79,0)</f>
        <v>-0.109509919255091</v>
      </c>
      <c r="L79" s="19" t="n">
        <f aca="false">IFERROR(J79/G79,0)</f>
        <v>-0.361697315582654</v>
      </c>
      <c r="M79" s="31" t="n">
        <f aca="false">IFERROR(SUMPRODUCT(M6:M78,G6:G78)/G79,0)</f>
        <v>49.7950645367061</v>
      </c>
    </row>
  </sheetData>
  <autoFilter ref="A5:M78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308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37</v>
      </c>
      <c r="D6" s="25" t="n">
        <v>37</v>
      </c>
      <c r="E6" s="10" t="n">
        <v>0</v>
      </c>
      <c r="F6" s="10" t="n">
        <v>12006.6</v>
      </c>
      <c r="G6" s="10" t="n">
        <v>12006.6</v>
      </c>
      <c r="H6" s="10" t="n">
        <v>5086.2601</v>
      </c>
      <c r="I6" s="10" t="n">
        <v>6920.34</v>
      </c>
      <c r="J6" s="10" t="n">
        <v>3569.37</v>
      </c>
      <c r="K6" s="11" t="n">
        <v>0.5764</v>
      </c>
      <c r="L6" s="11" t="n">
        <v>0.2973</v>
      </c>
      <c r="M6" s="26" t="n">
        <v>46.01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1241</v>
      </c>
      <c r="D7" s="28" t="n">
        <v>1241</v>
      </c>
      <c r="E7" s="14" t="n">
        <v>0</v>
      </c>
      <c r="F7" s="14" t="n">
        <v>7079.45</v>
      </c>
      <c r="G7" s="14" t="n">
        <v>7079.45</v>
      </c>
      <c r="H7" s="14" t="n">
        <v>2275.5797</v>
      </c>
      <c r="I7" s="14" t="n">
        <v>4803.87</v>
      </c>
      <c r="J7" s="14" t="n">
        <v>2828.05</v>
      </c>
      <c r="K7" s="15" t="n">
        <v>0.6786</v>
      </c>
      <c r="L7" s="15" t="n">
        <v>0.3995</v>
      </c>
      <c r="M7" s="29" t="n">
        <v>46.11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440</v>
      </c>
      <c r="D8" s="25" t="n">
        <v>440</v>
      </c>
      <c r="E8" s="10" t="n">
        <v>0</v>
      </c>
      <c r="F8" s="10" t="n">
        <v>6483</v>
      </c>
      <c r="G8" s="10" t="n">
        <v>6483</v>
      </c>
      <c r="H8" s="10" t="n">
        <v>4098.5</v>
      </c>
      <c r="I8" s="10" t="n">
        <v>2384.5</v>
      </c>
      <c r="J8" s="10" t="n">
        <v>575.02</v>
      </c>
      <c r="K8" s="11" t="n">
        <v>0.3678</v>
      </c>
      <c r="L8" s="11" t="n">
        <v>0.0887</v>
      </c>
      <c r="M8" s="26" t="n">
        <v>46.15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1897</v>
      </c>
      <c r="D9" s="28" t="n">
        <v>1897</v>
      </c>
      <c r="E9" s="14" t="n">
        <v>0</v>
      </c>
      <c r="F9" s="14" t="n">
        <v>25984.66</v>
      </c>
      <c r="G9" s="14" t="n">
        <v>25984.66</v>
      </c>
      <c r="H9" s="14" t="n">
        <v>2944.1228</v>
      </c>
      <c r="I9" s="14" t="n">
        <v>23040.54</v>
      </c>
      <c r="J9" s="14" t="n">
        <v>15902.04</v>
      </c>
      <c r="K9" s="15" t="n">
        <v>0.8867</v>
      </c>
      <c r="L9" s="15" t="n">
        <v>0.612</v>
      </c>
      <c r="M9" s="29" t="n">
        <v>28</v>
      </c>
    </row>
    <row r="10" customFormat="false" ht="15" hidden="false" customHeight="false" outlineLevel="0" collapsed="false">
      <c r="A10" s="24" t="n">
        <v>10668</v>
      </c>
      <c r="B10" s="8" t="s">
        <v>529</v>
      </c>
      <c r="C10" s="25" t="n">
        <v>430</v>
      </c>
      <c r="D10" s="25" t="n">
        <v>430</v>
      </c>
      <c r="E10" s="10" t="n">
        <v>0</v>
      </c>
      <c r="F10" s="10" t="n">
        <v>1293.2</v>
      </c>
      <c r="G10" s="10" t="n">
        <v>1293.2</v>
      </c>
      <c r="H10" s="10" t="n">
        <v>136588.078</v>
      </c>
      <c r="I10" s="10" t="n">
        <v>-135294.88</v>
      </c>
      <c r="J10" s="10" t="n">
        <v>-135650.14</v>
      </c>
      <c r="K10" s="11" t="n">
        <v>-104.6202</v>
      </c>
      <c r="L10" s="11" t="n">
        <v>-104.8949</v>
      </c>
      <c r="M10" s="26" t="n">
        <v>38.74</v>
      </c>
    </row>
    <row r="11" customFormat="false" ht="15" hidden="false" customHeight="false" outlineLevel="0" collapsed="false">
      <c r="A11" s="27" t="n">
        <v>10704</v>
      </c>
      <c r="B11" s="12" t="s">
        <v>465</v>
      </c>
      <c r="C11" s="28" t="n">
        <v>882</v>
      </c>
      <c r="D11" s="28" t="n">
        <v>882</v>
      </c>
      <c r="E11" s="14" t="n">
        <v>0</v>
      </c>
      <c r="F11" s="14" t="n">
        <v>11419.68</v>
      </c>
      <c r="G11" s="14" t="n">
        <v>11419.68</v>
      </c>
      <c r="H11" s="14" t="n">
        <v>4520.9432</v>
      </c>
      <c r="I11" s="14" t="n">
        <v>6898.73</v>
      </c>
      <c r="J11" s="14" t="n">
        <v>3711.51</v>
      </c>
      <c r="K11" s="15" t="n">
        <v>0.6041</v>
      </c>
      <c r="L11" s="15" t="n">
        <v>0.325</v>
      </c>
      <c r="M11" s="29" t="n">
        <v>47.58</v>
      </c>
    </row>
    <row r="12" customFormat="false" ht="15" hidden="false" customHeight="false" outlineLevel="0" collapsed="false">
      <c r="A12" s="24" t="n">
        <v>10706</v>
      </c>
      <c r="B12" s="8" t="s">
        <v>488</v>
      </c>
      <c r="C12" s="25" t="n">
        <v>6</v>
      </c>
      <c r="D12" s="25" t="n">
        <v>6</v>
      </c>
      <c r="E12" s="10" t="n">
        <v>0</v>
      </c>
      <c r="F12" s="10" t="n">
        <v>5772</v>
      </c>
      <c r="G12" s="10" t="n">
        <v>5772</v>
      </c>
      <c r="H12" s="10" t="n">
        <v>1869.03</v>
      </c>
      <c r="I12" s="10" t="n">
        <v>3902.97</v>
      </c>
      <c r="J12" s="10" t="n">
        <v>2317.28</v>
      </c>
      <c r="K12" s="11" t="n">
        <v>0.6762</v>
      </c>
      <c r="L12" s="11" t="n">
        <v>0.4015</v>
      </c>
      <c r="M12" s="26" t="n">
        <v>47.1</v>
      </c>
    </row>
    <row r="13" customFormat="false" ht="15" hidden="false" customHeight="false" outlineLevel="0" collapsed="false">
      <c r="A13" s="27" t="n">
        <v>10729</v>
      </c>
      <c r="B13" s="12" t="s">
        <v>453</v>
      </c>
      <c r="C13" s="28" t="n">
        <v>3</v>
      </c>
      <c r="D13" s="28" t="n">
        <v>3</v>
      </c>
      <c r="E13" s="14" t="n">
        <v>0</v>
      </c>
      <c r="F13" s="14" t="n">
        <v>4143.27</v>
      </c>
      <c r="G13" s="14" t="n">
        <v>4143.27</v>
      </c>
      <c r="H13" s="14" t="n">
        <v>340.95</v>
      </c>
      <c r="I13" s="14" t="n">
        <v>3802.32</v>
      </c>
      <c r="J13" s="14" t="n">
        <v>2645.93</v>
      </c>
      <c r="K13" s="15" t="n">
        <v>0.9177</v>
      </c>
      <c r="L13" s="15" t="n">
        <v>0.6386</v>
      </c>
      <c r="M13" s="29" t="n">
        <v>45</v>
      </c>
    </row>
    <row r="14" customFormat="false" ht="15" hidden="false" customHeight="false" outlineLevel="0" collapsed="false">
      <c r="A14" s="24" t="n">
        <v>52674</v>
      </c>
      <c r="B14" s="8" t="s">
        <v>207</v>
      </c>
      <c r="C14" s="25" t="n">
        <v>2590</v>
      </c>
      <c r="D14" s="25" t="n">
        <v>2590</v>
      </c>
      <c r="E14" s="10" t="n">
        <v>9345</v>
      </c>
      <c r="F14" s="10" t="n">
        <v>0</v>
      </c>
      <c r="G14" s="10" t="n">
        <v>9345</v>
      </c>
      <c r="H14" s="10" t="n">
        <v>7252</v>
      </c>
      <c r="I14" s="10" t="n">
        <v>2093</v>
      </c>
      <c r="J14" s="10" t="n">
        <v>947.3</v>
      </c>
      <c r="K14" s="11" t="n">
        <v>0.224</v>
      </c>
      <c r="L14" s="11" t="n">
        <v>0.1014</v>
      </c>
      <c r="M14" s="26" t="n">
        <v>7</v>
      </c>
    </row>
    <row r="15" customFormat="false" ht="15" hidden="false" customHeight="false" outlineLevel="0" collapsed="false">
      <c r="A15" s="27" t="n">
        <v>53438</v>
      </c>
      <c r="B15" s="12" t="s">
        <v>96</v>
      </c>
      <c r="C15" s="28" t="n">
        <v>5</v>
      </c>
      <c r="D15" s="28" t="n">
        <v>5</v>
      </c>
      <c r="E15" s="14" t="n">
        <v>1270.7</v>
      </c>
      <c r="F15" s="14" t="n">
        <v>0</v>
      </c>
      <c r="G15" s="14" t="n">
        <v>1270.7</v>
      </c>
      <c r="H15" s="14" t="n">
        <v>478.13</v>
      </c>
      <c r="I15" s="14" t="n">
        <v>792.57</v>
      </c>
      <c r="J15" s="14" t="n">
        <v>443.49</v>
      </c>
      <c r="K15" s="15" t="n">
        <v>0.6237</v>
      </c>
      <c r="L15" s="15" t="n">
        <v>0.349</v>
      </c>
      <c r="M15" s="29" t="n">
        <v>7</v>
      </c>
    </row>
    <row r="16" customFormat="false" ht="15" hidden="false" customHeight="false" outlineLevel="0" collapsed="false">
      <c r="A16" s="24" t="n">
        <v>55954</v>
      </c>
      <c r="B16" s="8" t="s">
        <v>505</v>
      </c>
      <c r="C16" s="25" t="n">
        <v>16</v>
      </c>
      <c r="D16" s="25" t="n">
        <v>16</v>
      </c>
      <c r="E16" s="10" t="n">
        <v>0</v>
      </c>
      <c r="F16" s="10" t="n">
        <v>64</v>
      </c>
      <c r="G16" s="10" t="n">
        <v>64</v>
      </c>
      <c r="H16" s="10" t="n">
        <v>58.1296</v>
      </c>
      <c r="I16" s="10" t="n">
        <v>5.87</v>
      </c>
      <c r="J16" s="10" t="n">
        <v>-11.71</v>
      </c>
      <c r="K16" s="11" t="n">
        <v>0.0917</v>
      </c>
      <c r="L16" s="11" t="n">
        <v>-0.183</v>
      </c>
      <c r="M16" s="26" t="n">
        <v>30</v>
      </c>
    </row>
    <row r="17" customFormat="false" ht="15" hidden="false" customHeight="false" outlineLevel="0" collapsed="false">
      <c r="A17" s="27" t="n">
        <v>56047</v>
      </c>
      <c r="B17" s="12" t="s">
        <v>506</v>
      </c>
      <c r="C17" s="28" t="n">
        <v>1566</v>
      </c>
      <c r="D17" s="28" t="n">
        <v>1566</v>
      </c>
      <c r="E17" s="14" t="n">
        <v>0</v>
      </c>
      <c r="F17" s="14" t="n">
        <v>4648.32</v>
      </c>
      <c r="G17" s="14" t="n">
        <v>4648.32</v>
      </c>
      <c r="H17" s="14" t="n">
        <v>2609.892</v>
      </c>
      <c r="I17" s="14" t="n">
        <v>2038.43</v>
      </c>
      <c r="J17" s="14" t="n">
        <v>761.44</v>
      </c>
      <c r="K17" s="15" t="n">
        <v>0.4385</v>
      </c>
      <c r="L17" s="15" t="n">
        <v>0.1638</v>
      </c>
      <c r="M17" s="29" t="n">
        <v>51.3</v>
      </c>
    </row>
    <row r="18" customFormat="false" ht="15" hidden="false" customHeight="false" outlineLevel="0" collapsed="false">
      <c r="A18" s="24" t="n">
        <v>56365</v>
      </c>
      <c r="B18" s="8" t="s">
        <v>507</v>
      </c>
      <c r="C18" s="25" t="n">
        <v>80</v>
      </c>
      <c r="D18" s="25" t="n">
        <v>80</v>
      </c>
      <c r="E18" s="10" t="n">
        <v>0</v>
      </c>
      <c r="F18" s="10" t="n">
        <v>640</v>
      </c>
      <c r="G18" s="10" t="n">
        <v>640</v>
      </c>
      <c r="H18" s="10" t="n">
        <v>632.232</v>
      </c>
      <c r="I18" s="10" t="n">
        <v>7.77</v>
      </c>
      <c r="J18" s="10" t="n">
        <v>-168.05</v>
      </c>
      <c r="K18" s="11" t="n">
        <v>0.0121</v>
      </c>
      <c r="L18" s="11" t="n">
        <v>-0.2626</v>
      </c>
      <c r="M18" s="26" t="n">
        <v>30</v>
      </c>
    </row>
    <row r="19" customFormat="false" ht="15" hidden="false" customHeight="false" outlineLevel="0" collapsed="false">
      <c r="A19" s="27" t="n">
        <v>57502</v>
      </c>
      <c r="B19" s="12" t="s">
        <v>234</v>
      </c>
      <c r="C19" s="28" t="n">
        <v>10930</v>
      </c>
      <c r="D19" s="28" t="n">
        <v>10930</v>
      </c>
      <c r="E19" s="14" t="n">
        <v>7124</v>
      </c>
      <c r="F19" s="14" t="n">
        <v>0</v>
      </c>
      <c r="G19" s="14" t="n">
        <v>7124</v>
      </c>
      <c r="H19" s="14" t="n">
        <v>0</v>
      </c>
      <c r="I19" s="14" t="n">
        <v>7124</v>
      </c>
      <c r="J19" s="14" t="n">
        <v>7124</v>
      </c>
      <c r="K19" s="15" t="n">
        <v>1</v>
      </c>
      <c r="L19" s="15" t="n">
        <v>1</v>
      </c>
      <c r="M19" s="29" t="n">
        <v>7</v>
      </c>
    </row>
    <row r="20" customFormat="false" ht="15" hidden="false" customHeight="false" outlineLevel="0" collapsed="false">
      <c r="A20" s="24" t="n">
        <v>57510</v>
      </c>
      <c r="B20" s="8" t="s">
        <v>530</v>
      </c>
      <c r="C20" s="25" t="n">
        <v>60</v>
      </c>
      <c r="D20" s="25" t="n">
        <v>60</v>
      </c>
      <c r="E20" s="10" t="n">
        <v>0</v>
      </c>
      <c r="F20" s="10" t="n">
        <v>1764</v>
      </c>
      <c r="G20" s="10" t="n">
        <v>1764</v>
      </c>
      <c r="H20" s="10" t="n">
        <v>1571.4696</v>
      </c>
      <c r="I20" s="10" t="n">
        <v>192.53</v>
      </c>
      <c r="J20" s="10" t="n">
        <v>-292.08</v>
      </c>
      <c r="K20" s="11" t="n">
        <v>0.1091</v>
      </c>
      <c r="L20" s="11" t="n">
        <v>-0.1656</v>
      </c>
      <c r="M20" s="26" t="n">
        <v>30</v>
      </c>
    </row>
    <row r="21" customFormat="false" ht="15" hidden="false" customHeight="false" outlineLevel="0" collapsed="false">
      <c r="A21" s="27" t="n">
        <v>90006</v>
      </c>
      <c r="B21" s="12" t="s">
        <v>447</v>
      </c>
      <c r="C21" s="28" t="n">
        <v>18</v>
      </c>
      <c r="D21" s="28" t="n">
        <v>18</v>
      </c>
      <c r="E21" s="14" t="n">
        <v>188</v>
      </c>
      <c r="F21" s="14" t="n">
        <v>39777.21</v>
      </c>
      <c r="G21" s="14" t="n">
        <v>39965.21</v>
      </c>
      <c r="H21" s="14" t="n">
        <v>29250.18</v>
      </c>
      <c r="I21" s="14" t="n">
        <v>10715.03</v>
      </c>
      <c r="J21" s="14" t="n">
        <v>4356.61</v>
      </c>
      <c r="K21" s="15" t="n">
        <v>0.2681</v>
      </c>
      <c r="L21" s="15" t="n">
        <v>0.109</v>
      </c>
      <c r="M21" s="29" t="n">
        <v>29.77</v>
      </c>
    </row>
    <row r="22" customFormat="false" ht="15" hidden="false" customHeight="false" outlineLevel="0" collapsed="false">
      <c r="A22" s="24" t="n">
        <v>90027</v>
      </c>
      <c r="B22" s="8" t="s">
        <v>467</v>
      </c>
      <c r="C22" s="25" t="n">
        <v>44</v>
      </c>
      <c r="D22" s="25" t="n">
        <v>44</v>
      </c>
      <c r="E22" s="10" t="n">
        <v>0</v>
      </c>
      <c r="F22" s="10" t="n">
        <v>8712</v>
      </c>
      <c r="G22" s="10" t="n">
        <v>8712</v>
      </c>
      <c r="H22" s="10" t="n">
        <v>6068.5816</v>
      </c>
      <c r="I22" s="10" t="n">
        <v>2643.42</v>
      </c>
      <c r="J22" s="10" t="n">
        <v>787.28</v>
      </c>
      <c r="K22" s="11" t="n">
        <v>0.3034</v>
      </c>
      <c r="L22" s="11" t="n">
        <v>0.0904</v>
      </c>
      <c r="M22" s="26" t="n">
        <v>60</v>
      </c>
    </row>
    <row r="23" customFormat="false" ht="15" hidden="false" customHeight="false" outlineLevel="0" collapsed="false">
      <c r="A23" s="27" t="n">
        <v>90103</v>
      </c>
      <c r="B23" s="12" t="s">
        <v>468</v>
      </c>
      <c r="C23" s="28" t="n">
        <v>23</v>
      </c>
      <c r="D23" s="28" t="n">
        <v>23</v>
      </c>
      <c r="E23" s="14" t="n">
        <v>1797.17</v>
      </c>
      <c r="F23" s="14" t="n">
        <v>35488.56</v>
      </c>
      <c r="G23" s="14" t="n">
        <v>37285.73</v>
      </c>
      <c r="H23" s="14" t="n">
        <v>11551.63</v>
      </c>
      <c r="I23" s="14" t="n">
        <v>25734.1</v>
      </c>
      <c r="J23" s="14" t="n">
        <v>15333.41</v>
      </c>
      <c r="K23" s="15" t="n">
        <v>0.6902</v>
      </c>
      <c r="L23" s="15" t="n">
        <v>0.4112</v>
      </c>
      <c r="M23" s="29" t="n">
        <v>41.85</v>
      </c>
    </row>
    <row r="24" customFormat="false" ht="15" hidden="false" customHeight="false" outlineLevel="0" collapsed="false">
      <c r="A24" s="24" t="n">
        <v>90144</v>
      </c>
      <c r="B24" s="8" t="s">
        <v>469</v>
      </c>
      <c r="C24" s="25" t="n">
        <v>107</v>
      </c>
      <c r="D24" s="25" t="n">
        <v>107</v>
      </c>
      <c r="E24" s="10" t="n">
        <v>0</v>
      </c>
      <c r="F24" s="10" t="n">
        <v>7704</v>
      </c>
      <c r="G24" s="10" t="n">
        <v>7704</v>
      </c>
      <c r="H24" s="10" t="n">
        <v>5121.622</v>
      </c>
      <c r="I24" s="10" t="n">
        <v>2582.38</v>
      </c>
      <c r="J24" s="10" t="n">
        <v>941</v>
      </c>
      <c r="K24" s="11" t="n">
        <v>0.3352</v>
      </c>
      <c r="L24" s="11" t="n">
        <v>0.1221</v>
      </c>
      <c r="M24" s="26" t="n">
        <v>60</v>
      </c>
    </row>
    <row r="25" customFormat="false" ht="15" hidden="false" customHeight="false" outlineLevel="0" collapsed="false">
      <c r="A25" s="27" t="n">
        <v>90163</v>
      </c>
      <c r="B25" s="12" t="s">
        <v>468</v>
      </c>
      <c r="C25" s="28" t="n">
        <v>10</v>
      </c>
      <c r="D25" s="28" t="n">
        <v>10</v>
      </c>
      <c r="E25" s="14" t="n">
        <v>0</v>
      </c>
      <c r="F25" s="14" t="n">
        <v>337.6</v>
      </c>
      <c r="G25" s="14" t="n">
        <v>337.6</v>
      </c>
      <c r="H25" s="14" t="n">
        <v>9.44</v>
      </c>
      <c r="I25" s="14" t="n">
        <v>328.16</v>
      </c>
      <c r="J25" s="14" t="n">
        <v>207.85</v>
      </c>
      <c r="K25" s="15" t="n">
        <v>0.972</v>
      </c>
      <c r="L25" s="15" t="n">
        <v>0.6157</v>
      </c>
      <c r="M25" s="29" t="n">
        <v>30</v>
      </c>
    </row>
    <row r="26" customFormat="false" ht="15" hidden="false" customHeight="false" outlineLevel="0" collapsed="false">
      <c r="A26" s="24" t="n">
        <v>90172</v>
      </c>
      <c r="B26" s="8" t="s">
        <v>509</v>
      </c>
      <c r="C26" s="25" t="n">
        <v>4</v>
      </c>
      <c r="D26" s="25" t="n">
        <v>4</v>
      </c>
      <c r="E26" s="10" t="n">
        <v>1037.4</v>
      </c>
      <c r="F26" s="10" t="n">
        <v>0</v>
      </c>
      <c r="G26" s="10" t="n">
        <v>1037.4</v>
      </c>
      <c r="H26" s="10" t="n">
        <v>851.33</v>
      </c>
      <c r="I26" s="10" t="n">
        <v>186.07</v>
      </c>
      <c r="J26" s="10" t="n">
        <v>-173.89</v>
      </c>
      <c r="K26" s="11" t="n">
        <v>0.1794</v>
      </c>
      <c r="L26" s="11" t="n">
        <v>-0.1676</v>
      </c>
      <c r="M26" s="26" t="n">
        <v>7</v>
      </c>
    </row>
    <row r="27" customFormat="false" ht="15" hidden="false" customHeight="false" outlineLevel="0" collapsed="false">
      <c r="A27" s="27" t="n">
        <v>90238</v>
      </c>
      <c r="B27" s="12" t="s">
        <v>471</v>
      </c>
      <c r="C27" s="28" t="n">
        <v>360</v>
      </c>
      <c r="D27" s="28" t="n">
        <v>360</v>
      </c>
      <c r="E27" s="14" t="n">
        <v>0</v>
      </c>
      <c r="F27" s="14" t="n">
        <v>576</v>
      </c>
      <c r="G27" s="14" t="n">
        <v>576</v>
      </c>
      <c r="H27" s="14" t="n">
        <v>90253.188</v>
      </c>
      <c r="I27" s="14" t="n">
        <v>-89677.19</v>
      </c>
      <c r="J27" s="14" t="n">
        <v>-89835.43</v>
      </c>
      <c r="K27" s="15" t="n">
        <v>-155.6896</v>
      </c>
      <c r="L27" s="15" t="n">
        <v>-155.9643</v>
      </c>
      <c r="M27" s="29" t="n">
        <v>30</v>
      </c>
    </row>
    <row r="28" customFormat="false" ht="15" hidden="false" customHeight="false" outlineLevel="0" collapsed="false">
      <c r="A28" s="24" t="n">
        <v>90297</v>
      </c>
      <c r="B28" s="8" t="s">
        <v>509</v>
      </c>
      <c r="C28" s="25" t="n">
        <v>170</v>
      </c>
      <c r="D28" s="25" t="n">
        <v>170</v>
      </c>
      <c r="E28" s="10" t="n">
        <v>0</v>
      </c>
      <c r="F28" s="10" t="n">
        <v>56100</v>
      </c>
      <c r="G28" s="10" t="n">
        <v>56100</v>
      </c>
      <c r="H28" s="10" t="n">
        <v>1231380.296</v>
      </c>
      <c r="I28" s="10" t="n">
        <v>-1175280.3</v>
      </c>
      <c r="J28" s="10" t="n">
        <v>-1190692.09</v>
      </c>
      <c r="K28" s="11" t="n">
        <v>-20.9497</v>
      </c>
      <c r="L28" s="11" t="n">
        <v>-21.2245</v>
      </c>
      <c r="M28" s="26" t="n">
        <v>60.94</v>
      </c>
    </row>
    <row r="29" customFormat="false" ht="15" hidden="false" customHeight="false" outlineLevel="0" collapsed="false">
      <c r="A29" s="27" t="n">
        <v>90304</v>
      </c>
      <c r="B29" s="12" t="s">
        <v>488</v>
      </c>
      <c r="C29" s="28" t="n">
        <v>18</v>
      </c>
      <c r="D29" s="28" t="n">
        <v>18</v>
      </c>
      <c r="E29" s="14" t="n">
        <v>0</v>
      </c>
      <c r="F29" s="14" t="n">
        <v>6300</v>
      </c>
      <c r="G29" s="14" t="n">
        <v>6300</v>
      </c>
      <c r="H29" s="14" t="n">
        <v>4294.21</v>
      </c>
      <c r="I29" s="14" t="n">
        <v>2005.79</v>
      </c>
      <c r="J29" s="14" t="n">
        <v>275.05</v>
      </c>
      <c r="K29" s="15" t="n">
        <v>0.3184</v>
      </c>
      <c r="L29" s="15" t="n">
        <v>0.0437</v>
      </c>
      <c r="M29" s="29" t="n">
        <v>61.82</v>
      </c>
    </row>
    <row r="30" customFormat="false" ht="15" hidden="false" customHeight="false" outlineLevel="0" collapsed="false">
      <c r="A30" s="24" t="n">
        <v>90340</v>
      </c>
      <c r="B30" s="8" t="s">
        <v>468</v>
      </c>
      <c r="C30" s="25" t="n">
        <v>2</v>
      </c>
      <c r="D30" s="25" t="n">
        <v>2</v>
      </c>
      <c r="E30" s="10" t="n">
        <v>0</v>
      </c>
      <c r="F30" s="10" t="n">
        <v>422.36</v>
      </c>
      <c r="G30" s="10" t="n">
        <v>422.36</v>
      </c>
      <c r="H30" s="10" t="n">
        <v>13.27</v>
      </c>
      <c r="I30" s="10" t="n">
        <v>409.09</v>
      </c>
      <c r="J30" s="10" t="n">
        <v>293.06</v>
      </c>
      <c r="K30" s="11" t="n">
        <v>0.9686</v>
      </c>
      <c r="L30" s="11" t="n">
        <v>0.6939</v>
      </c>
      <c r="M30" s="26" t="n">
        <v>28</v>
      </c>
    </row>
    <row r="31" customFormat="false" ht="15" hidden="false" customHeight="false" outlineLevel="0" collapsed="false">
      <c r="A31" s="27" t="n">
        <v>90357</v>
      </c>
      <c r="B31" s="12" t="s">
        <v>531</v>
      </c>
      <c r="C31" s="28" t="n">
        <v>15</v>
      </c>
      <c r="D31" s="28" t="n">
        <v>15</v>
      </c>
      <c r="E31" s="14" t="n">
        <v>0</v>
      </c>
      <c r="F31" s="14" t="n">
        <v>23100</v>
      </c>
      <c r="G31" s="14" t="n">
        <v>23100</v>
      </c>
      <c r="H31" s="14" t="n">
        <v>14782.08</v>
      </c>
      <c r="I31" s="14" t="n">
        <v>8317.92</v>
      </c>
      <c r="J31" s="14" t="n">
        <v>3084.73</v>
      </c>
      <c r="K31" s="15" t="n">
        <v>0.3601</v>
      </c>
      <c r="L31" s="15" t="n">
        <v>0.1335</v>
      </c>
      <c r="M31" s="29" t="n">
        <v>48</v>
      </c>
    </row>
    <row r="32" customFormat="false" ht="15" hidden="false" customHeight="false" outlineLevel="0" collapsed="false">
      <c r="A32" s="24" t="n">
        <v>90363</v>
      </c>
      <c r="B32" s="8" t="s">
        <v>472</v>
      </c>
      <c r="C32" s="25" t="n">
        <v>713</v>
      </c>
      <c r="D32" s="25" t="n">
        <v>713</v>
      </c>
      <c r="E32" s="10" t="n">
        <v>0</v>
      </c>
      <c r="F32" s="10" t="n">
        <v>145961.68</v>
      </c>
      <c r="G32" s="10" t="n">
        <v>145961.68</v>
      </c>
      <c r="H32" s="10" t="n">
        <v>1100721.2923</v>
      </c>
      <c r="I32" s="10" t="n">
        <v>-954759.61</v>
      </c>
      <c r="J32" s="10" t="n">
        <v>-994858.17</v>
      </c>
      <c r="K32" s="11" t="n">
        <v>-6.5412</v>
      </c>
      <c r="L32" s="11" t="n">
        <v>-6.8159</v>
      </c>
      <c r="M32" s="26" t="n">
        <v>106.3</v>
      </c>
    </row>
    <row r="33" customFormat="false" ht="15" hidden="false" customHeight="false" outlineLevel="0" collapsed="false">
      <c r="A33" s="27" t="n">
        <v>90371</v>
      </c>
      <c r="B33" s="12" t="s">
        <v>473</v>
      </c>
      <c r="C33" s="28" t="n">
        <v>1858</v>
      </c>
      <c r="D33" s="28" t="n">
        <v>1858</v>
      </c>
      <c r="E33" s="14" t="n">
        <v>0</v>
      </c>
      <c r="F33" s="14" t="n">
        <v>27152.55</v>
      </c>
      <c r="G33" s="14" t="n">
        <v>27152.55</v>
      </c>
      <c r="H33" s="14" t="n">
        <v>9088.6686</v>
      </c>
      <c r="I33" s="14" t="n">
        <v>18063.88</v>
      </c>
      <c r="J33" s="14" t="n">
        <v>10604.58</v>
      </c>
      <c r="K33" s="15" t="n">
        <v>0.6653</v>
      </c>
      <c r="L33" s="15" t="n">
        <v>0.3906</v>
      </c>
      <c r="M33" s="29" t="n">
        <v>43.84</v>
      </c>
    </row>
    <row r="34" customFormat="false" ht="15" hidden="false" customHeight="false" outlineLevel="0" collapsed="false">
      <c r="A34" s="24" t="n">
        <v>90401</v>
      </c>
      <c r="B34" s="8" t="s">
        <v>473</v>
      </c>
      <c r="C34" s="25" t="n">
        <v>256</v>
      </c>
      <c r="D34" s="25" t="n">
        <v>256</v>
      </c>
      <c r="E34" s="10" t="n">
        <v>0</v>
      </c>
      <c r="F34" s="10" t="n">
        <v>34744.37</v>
      </c>
      <c r="G34" s="10" t="n">
        <v>34744.37</v>
      </c>
      <c r="H34" s="10" t="n">
        <v>9879.5701</v>
      </c>
      <c r="I34" s="10" t="n">
        <v>24864.8</v>
      </c>
      <c r="J34" s="10" t="n">
        <v>15319.82</v>
      </c>
      <c r="K34" s="11" t="n">
        <v>0.7156</v>
      </c>
      <c r="L34" s="11" t="n">
        <v>0.4409</v>
      </c>
      <c r="M34" s="26" t="n">
        <v>49.11</v>
      </c>
    </row>
    <row r="35" customFormat="false" ht="15" hidden="false" customHeight="false" outlineLevel="0" collapsed="false">
      <c r="A35" s="27" t="n">
        <v>90405</v>
      </c>
      <c r="B35" s="12" t="s">
        <v>476</v>
      </c>
      <c r="C35" s="28" t="n">
        <v>104</v>
      </c>
      <c r="D35" s="28" t="n">
        <v>104</v>
      </c>
      <c r="E35" s="14" t="n">
        <v>0</v>
      </c>
      <c r="F35" s="14" t="n">
        <v>7841.6</v>
      </c>
      <c r="G35" s="14" t="n">
        <v>7841.6</v>
      </c>
      <c r="H35" s="14" t="n">
        <v>6168.5602</v>
      </c>
      <c r="I35" s="14" t="n">
        <v>1673.04</v>
      </c>
      <c r="J35" s="14" t="n">
        <v>-481.21</v>
      </c>
      <c r="K35" s="15" t="n">
        <v>0.2134</v>
      </c>
      <c r="L35" s="15" t="n">
        <v>-0.0614</v>
      </c>
      <c r="M35" s="29" t="n">
        <v>60</v>
      </c>
    </row>
    <row r="36" customFormat="false" ht="15" hidden="false" customHeight="false" outlineLevel="0" collapsed="false">
      <c r="A36" s="24" t="n">
        <v>90413</v>
      </c>
      <c r="B36" s="8" t="s">
        <v>477</v>
      </c>
      <c r="C36" s="25" t="n">
        <v>58</v>
      </c>
      <c r="D36" s="25" t="n">
        <v>58</v>
      </c>
      <c r="E36" s="10" t="n">
        <v>0</v>
      </c>
      <c r="F36" s="10" t="n">
        <v>5520</v>
      </c>
      <c r="G36" s="10" t="n">
        <v>5520</v>
      </c>
      <c r="H36" s="10" t="n">
        <v>240</v>
      </c>
      <c r="I36" s="10" t="n">
        <v>5280</v>
      </c>
      <c r="J36" s="10" t="n">
        <v>5241.82</v>
      </c>
      <c r="K36" s="11" t="n">
        <v>0.9565</v>
      </c>
      <c r="L36" s="11" t="n">
        <v>0.9496</v>
      </c>
      <c r="M36" s="26" t="n">
        <v>30</v>
      </c>
    </row>
    <row r="37" customFormat="false" ht="15" hidden="false" customHeight="false" outlineLevel="0" collapsed="false">
      <c r="A37" s="27" t="n">
        <v>90425</v>
      </c>
      <c r="B37" s="12" t="s">
        <v>479</v>
      </c>
      <c r="C37" s="28" t="n">
        <v>6319</v>
      </c>
      <c r="D37" s="28" t="n">
        <v>6319</v>
      </c>
      <c r="E37" s="14" t="n">
        <v>0</v>
      </c>
      <c r="F37" s="14" t="n">
        <v>86594.77</v>
      </c>
      <c r="G37" s="14" t="n">
        <v>86594.77</v>
      </c>
      <c r="H37" s="14" t="n">
        <v>96906.529</v>
      </c>
      <c r="I37" s="14" t="n">
        <v>-10311.74</v>
      </c>
      <c r="J37" s="14" t="n">
        <v>-34101.01</v>
      </c>
      <c r="K37" s="15" t="n">
        <v>-0.1191</v>
      </c>
      <c r="L37" s="15" t="n">
        <v>-0.3938</v>
      </c>
      <c r="M37" s="29" t="n">
        <v>52.31</v>
      </c>
    </row>
    <row r="38" customFormat="false" ht="15" hidden="false" customHeight="false" outlineLevel="0" collapsed="false">
      <c r="A38" s="24" t="n">
        <v>90428</v>
      </c>
      <c r="B38" s="8" t="s">
        <v>480</v>
      </c>
      <c r="C38" s="25" t="n">
        <v>484</v>
      </c>
      <c r="D38" s="25" t="n">
        <v>484</v>
      </c>
      <c r="E38" s="10" t="n">
        <v>0</v>
      </c>
      <c r="F38" s="10" t="n">
        <v>30458.88</v>
      </c>
      <c r="G38" s="10" t="n">
        <v>30458.88</v>
      </c>
      <c r="H38" s="10" t="n">
        <v>34626.4263</v>
      </c>
      <c r="I38" s="10" t="n">
        <v>-4167.55</v>
      </c>
      <c r="J38" s="10" t="n">
        <v>-12342.69</v>
      </c>
      <c r="K38" s="11" t="n">
        <v>-0.1368</v>
      </c>
      <c r="L38" s="11" t="n">
        <v>-0.4052</v>
      </c>
      <c r="M38" s="26" t="n">
        <v>59.7</v>
      </c>
    </row>
    <row r="39" customFormat="false" ht="15" hidden="false" customHeight="false" outlineLevel="0" collapsed="false">
      <c r="A39" s="27" t="n">
        <v>90436</v>
      </c>
      <c r="B39" s="12" t="s">
        <v>481</v>
      </c>
      <c r="C39" s="28" t="n">
        <v>1199</v>
      </c>
      <c r="D39" s="28" t="n">
        <v>1199</v>
      </c>
      <c r="E39" s="14" t="n">
        <v>0</v>
      </c>
      <c r="F39" s="14" t="n">
        <v>33587.53</v>
      </c>
      <c r="G39" s="14" t="n">
        <v>33587.53</v>
      </c>
      <c r="H39" s="14" t="n">
        <v>0</v>
      </c>
      <c r="I39" s="14" t="n">
        <v>33587.53</v>
      </c>
      <c r="J39" s="14" t="n">
        <v>33587.53</v>
      </c>
      <c r="K39" s="15" t="n">
        <v>1</v>
      </c>
      <c r="L39" s="15" t="n">
        <v>1</v>
      </c>
      <c r="M39" s="29" t="n">
        <v>54.43</v>
      </c>
    </row>
    <row r="40" customFormat="false" ht="15" hidden="false" customHeight="false" outlineLevel="0" collapsed="false">
      <c r="A40" s="24" t="n">
        <v>90440</v>
      </c>
      <c r="B40" s="8" t="s">
        <v>482</v>
      </c>
      <c r="C40" s="25" t="n">
        <v>2563</v>
      </c>
      <c r="D40" s="25" t="n">
        <v>2563</v>
      </c>
      <c r="E40" s="10" t="n">
        <v>0</v>
      </c>
      <c r="F40" s="10" t="n">
        <v>159793.67</v>
      </c>
      <c r="G40" s="10" t="n">
        <v>159793.67</v>
      </c>
      <c r="H40" s="10" t="n">
        <v>33611.4916</v>
      </c>
      <c r="I40" s="10" t="n">
        <v>126182.18</v>
      </c>
      <c r="J40" s="10" t="n">
        <v>82283.69</v>
      </c>
      <c r="K40" s="11" t="n">
        <v>0.7897</v>
      </c>
      <c r="L40" s="11" t="n">
        <v>0.5149</v>
      </c>
      <c r="M40" s="26" t="n">
        <v>28</v>
      </c>
    </row>
    <row r="41" customFormat="false" ht="15" hidden="false" customHeight="false" outlineLevel="0" collapsed="false">
      <c r="A41" s="27" t="n">
        <v>90441</v>
      </c>
      <c r="B41" s="12" t="s">
        <v>483</v>
      </c>
      <c r="C41" s="28" t="n">
        <v>100</v>
      </c>
      <c r="D41" s="28" t="n">
        <v>100</v>
      </c>
      <c r="E41" s="14" t="n">
        <v>0</v>
      </c>
      <c r="F41" s="14" t="n">
        <v>1209.92</v>
      </c>
      <c r="G41" s="14" t="n">
        <v>1209.92</v>
      </c>
      <c r="H41" s="14" t="n">
        <v>205.3912</v>
      </c>
      <c r="I41" s="14" t="n">
        <v>1004.53</v>
      </c>
      <c r="J41" s="14" t="n">
        <v>812.03</v>
      </c>
      <c r="K41" s="15" t="n">
        <v>0.8302</v>
      </c>
      <c r="L41" s="15" t="n">
        <v>0.6711</v>
      </c>
      <c r="M41" s="29" t="n">
        <v>42</v>
      </c>
    </row>
    <row r="42" customFormat="false" ht="15" hidden="false" customHeight="false" outlineLevel="0" collapsed="false">
      <c r="A42" s="24" t="n">
        <v>90446</v>
      </c>
      <c r="B42" s="8" t="s">
        <v>484</v>
      </c>
      <c r="C42" s="25" t="n">
        <v>30</v>
      </c>
      <c r="D42" s="25" t="n">
        <v>30</v>
      </c>
      <c r="E42" s="10" t="n">
        <v>0</v>
      </c>
      <c r="F42" s="10" t="n">
        <v>861.1</v>
      </c>
      <c r="G42" s="10" t="n">
        <v>861.1</v>
      </c>
      <c r="H42" s="10" t="n">
        <v>278.72</v>
      </c>
      <c r="I42" s="10" t="n">
        <v>582.38</v>
      </c>
      <c r="J42" s="10" t="n">
        <v>345.82</v>
      </c>
      <c r="K42" s="11" t="n">
        <v>0.6763</v>
      </c>
      <c r="L42" s="11" t="n">
        <v>0.4016</v>
      </c>
      <c r="M42" s="26" t="n">
        <v>30</v>
      </c>
    </row>
    <row r="43" customFormat="false" ht="15" hidden="false" customHeight="false" outlineLevel="0" collapsed="false">
      <c r="A43" s="27" t="n">
        <v>90465</v>
      </c>
      <c r="B43" s="12" t="s">
        <v>512</v>
      </c>
      <c r="C43" s="28" t="n">
        <v>9</v>
      </c>
      <c r="D43" s="28" t="n">
        <v>9</v>
      </c>
      <c r="E43" s="14" t="n">
        <v>0</v>
      </c>
      <c r="F43" s="14" t="n">
        <v>1566.23</v>
      </c>
      <c r="G43" s="14" t="n">
        <v>1566.23</v>
      </c>
      <c r="H43" s="14" t="n">
        <v>790.2</v>
      </c>
      <c r="I43" s="14" t="n">
        <v>776.03</v>
      </c>
      <c r="J43" s="14" t="n">
        <v>345.74</v>
      </c>
      <c r="K43" s="15" t="n">
        <v>0.4955</v>
      </c>
      <c r="L43" s="15" t="n">
        <v>0.2207</v>
      </c>
      <c r="M43" s="29" t="n">
        <v>30</v>
      </c>
    </row>
    <row r="44" customFormat="false" ht="15" hidden="false" customHeight="false" outlineLevel="0" collapsed="false">
      <c r="A44" s="24" t="n">
        <v>90476</v>
      </c>
      <c r="B44" s="8" t="s">
        <v>477</v>
      </c>
      <c r="C44" s="25" t="n">
        <v>120</v>
      </c>
      <c r="D44" s="25" t="n">
        <v>120</v>
      </c>
      <c r="E44" s="10" t="n">
        <v>8962.47</v>
      </c>
      <c r="F44" s="10" t="n">
        <v>0</v>
      </c>
      <c r="G44" s="10" t="n">
        <v>8962.47</v>
      </c>
      <c r="H44" s="10" t="n">
        <v>3239.8684</v>
      </c>
      <c r="I44" s="10" t="n">
        <v>5722.6</v>
      </c>
      <c r="J44" s="10" t="n">
        <v>3260.44</v>
      </c>
      <c r="K44" s="11" t="n">
        <v>0.6385</v>
      </c>
      <c r="L44" s="11" t="n">
        <v>0.3638</v>
      </c>
      <c r="M44" s="26" t="n">
        <v>7</v>
      </c>
    </row>
    <row r="45" customFormat="false" ht="15" hidden="false" customHeight="false" outlineLevel="0" collapsed="false">
      <c r="A45" s="27" t="n">
        <v>90495</v>
      </c>
      <c r="B45" s="12" t="s">
        <v>513</v>
      </c>
      <c r="C45" s="28" t="n">
        <v>506</v>
      </c>
      <c r="D45" s="28" t="n">
        <v>506</v>
      </c>
      <c r="E45" s="14" t="n">
        <v>0</v>
      </c>
      <c r="F45" s="14" t="n">
        <v>11382.44</v>
      </c>
      <c r="G45" s="14" t="n">
        <v>11382.44</v>
      </c>
      <c r="H45" s="14" t="n">
        <v>15739.6348</v>
      </c>
      <c r="I45" s="14" t="n">
        <v>-4357.19</v>
      </c>
      <c r="J45" s="14" t="n">
        <v>-7484.16</v>
      </c>
      <c r="K45" s="15" t="n">
        <v>-0.3828</v>
      </c>
      <c r="L45" s="15" t="n">
        <v>-0.6575</v>
      </c>
      <c r="M45" s="29" t="n">
        <v>56.8</v>
      </c>
    </row>
    <row r="46" customFormat="false" ht="15" hidden="false" customHeight="false" outlineLevel="0" collapsed="false">
      <c r="A46" s="24" t="n">
        <v>90506</v>
      </c>
      <c r="B46" s="8" t="s">
        <v>473</v>
      </c>
      <c r="C46" s="25" t="n">
        <v>384</v>
      </c>
      <c r="D46" s="25" t="n">
        <v>384</v>
      </c>
      <c r="E46" s="10" t="n">
        <v>0</v>
      </c>
      <c r="F46" s="10" t="n">
        <v>13671.59</v>
      </c>
      <c r="G46" s="10" t="n">
        <v>13671.59</v>
      </c>
      <c r="H46" s="10" t="n">
        <v>5762.7619</v>
      </c>
      <c r="I46" s="10" t="n">
        <v>7908.83</v>
      </c>
      <c r="J46" s="10" t="n">
        <v>4153.01</v>
      </c>
      <c r="K46" s="11" t="n">
        <v>0.5785</v>
      </c>
      <c r="L46" s="11" t="n">
        <v>0.3038</v>
      </c>
      <c r="M46" s="26" t="n">
        <v>49.9</v>
      </c>
    </row>
    <row r="47" customFormat="false" ht="15" hidden="false" customHeight="false" outlineLevel="0" collapsed="false">
      <c r="A47" s="27" t="n">
        <v>90552</v>
      </c>
      <c r="B47" s="12" t="s">
        <v>487</v>
      </c>
      <c r="C47" s="28" t="n">
        <v>79</v>
      </c>
      <c r="D47" s="28" t="n">
        <v>79</v>
      </c>
      <c r="E47" s="14" t="n">
        <v>0</v>
      </c>
      <c r="F47" s="14" t="n">
        <v>7647.5</v>
      </c>
      <c r="G47" s="14" t="n">
        <v>7647.5</v>
      </c>
      <c r="H47" s="14" t="n">
        <v>1958.7004</v>
      </c>
      <c r="I47" s="14" t="n">
        <v>5688.8</v>
      </c>
      <c r="J47" s="14" t="n">
        <v>3587.87</v>
      </c>
      <c r="K47" s="15" t="n">
        <v>0.7439</v>
      </c>
      <c r="L47" s="15" t="n">
        <v>0.4692</v>
      </c>
      <c r="M47" s="29" t="n">
        <v>30</v>
      </c>
    </row>
    <row r="48" customFormat="false" ht="15" hidden="false" customHeight="false" outlineLevel="0" collapsed="false">
      <c r="A48" s="24" t="n">
        <v>90584</v>
      </c>
      <c r="B48" s="8" t="s">
        <v>489</v>
      </c>
      <c r="C48" s="25" t="n">
        <v>12</v>
      </c>
      <c r="D48" s="25" t="n">
        <v>12</v>
      </c>
      <c r="E48" s="10" t="n">
        <v>0</v>
      </c>
      <c r="F48" s="10" t="n">
        <v>5849.63</v>
      </c>
      <c r="G48" s="10" t="n">
        <v>5849.63</v>
      </c>
      <c r="H48" s="10" t="n">
        <v>4438.2</v>
      </c>
      <c r="I48" s="10" t="n">
        <v>1411.43</v>
      </c>
      <c r="J48" s="10" t="n">
        <v>165.14</v>
      </c>
      <c r="K48" s="11" t="n">
        <v>0.2413</v>
      </c>
      <c r="L48" s="11" t="n">
        <v>0.0282</v>
      </c>
      <c r="M48" s="26" t="n">
        <v>25</v>
      </c>
    </row>
    <row r="49" customFormat="false" ht="15" hidden="false" customHeight="false" outlineLevel="0" collapsed="false">
      <c r="A49" s="27" t="n">
        <v>90605</v>
      </c>
      <c r="B49" s="12" t="s">
        <v>490</v>
      </c>
      <c r="C49" s="28" t="n">
        <v>435</v>
      </c>
      <c r="D49" s="28" t="n">
        <v>435</v>
      </c>
      <c r="E49" s="14" t="n">
        <v>0</v>
      </c>
      <c r="F49" s="14" t="n">
        <v>35326.5</v>
      </c>
      <c r="G49" s="14" t="n">
        <v>35326.5</v>
      </c>
      <c r="H49" s="14" t="n">
        <v>0</v>
      </c>
      <c r="I49" s="14" t="n">
        <v>35326.5</v>
      </c>
      <c r="J49" s="14" t="n">
        <v>35326.5</v>
      </c>
      <c r="K49" s="15" t="n">
        <v>1</v>
      </c>
      <c r="L49" s="15" t="n">
        <v>1</v>
      </c>
      <c r="M49" s="29" t="n">
        <v>53</v>
      </c>
    </row>
    <row r="50" customFormat="false" ht="15" hidden="false" customHeight="false" outlineLevel="0" collapsed="false">
      <c r="A50" s="24" t="n">
        <v>90609</v>
      </c>
      <c r="B50" s="8" t="s">
        <v>515</v>
      </c>
      <c r="C50" s="25" t="n">
        <v>2</v>
      </c>
      <c r="D50" s="25" t="n">
        <v>2</v>
      </c>
      <c r="E50" s="10" t="n">
        <v>0</v>
      </c>
      <c r="F50" s="10" t="n">
        <v>572</v>
      </c>
      <c r="G50" s="10" t="n">
        <v>572</v>
      </c>
      <c r="H50" s="10" t="n">
        <v>174.33</v>
      </c>
      <c r="I50" s="10" t="n">
        <v>397.67</v>
      </c>
      <c r="J50" s="10" t="n">
        <v>240.53</v>
      </c>
      <c r="K50" s="11" t="n">
        <v>0.6952</v>
      </c>
      <c r="L50" s="11" t="n">
        <v>0.4205</v>
      </c>
      <c r="M50" s="26" t="n">
        <v>30</v>
      </c>
    </row>
    <row r="51" customFormat="false" ht="15" hidden="false" customHeight="false" outlineLevel="0" collapsed="false">
      <c r="A51" s="27" t="n">
        <v>90611</v>
      </c>
      <c r="B51" s="12" t="s">
        <v>491</v>
      </c>
      <c r="C51" s="28" t="n">
        <v>1</v>
      </c>
      <c r="D51" s="28" t="n">
        <v>1</v>
      </c>
      <c r="E51" s="14" t="n">
        <v>0</v>
      </c>
      <c r="F51" s="14" t="n">
        <v>81.97</v>
      </c>
      <c r="G51" s="14" t="n">
        <v>81.97</v>
      </c>
      <c r="H51" s="14" t="n">
        <v>0.18</v>
      </c>
      <c r="I51" s="14" t="n">
        <v>81.79</v>
      </c>
      <c r="J51" s="14" t="n">
        <v>59.27</v>
      </c>
      <c r="K51" s="15" t="n">
        <v>0.9978</v>
      </c>
      <c r="L51" s="15" t="n">
        <v>0.7231</v>
      </c>
      <c r="M51" s="29" t="n">
        <v>28</v>
      </c>
    </row>
    <row r="52" customFormat="false" ht="15" hidden="false" customHeight="false" outlineLevel="0" collapsed="false">
      <c r="A52" s="24" t="n">
        <v>90617</v>
      </c>
      <c r="B52" s="8" t="s">
        <v>492</v>
      </c>
      <c r="C52" s="25" t="n">
        <v>368</v>
      </c>
      <c r="D52" s="25" t="n">
        <v>368</v>
      </c>
      <c r="E52" s="10" t="n">
        <v>0</v>
      </c>
      <c r="F52" s="10" t="n">
        <v>21053.55</v>
      </c>
      <c r="G52" s="10" t="n">
        <v>21053.55</v>
      </c>
      <c r="H52" s="10" t="n">
        <v>9632.8618</v>
      </c>
      <c r="I52" s="10" t="n">
        <v>11420.69</v>
      </c>
      <c r="J52" s="10" t="n">
        <v>5636.77</v>
      </c>
      <c r="K52" s="11" t="n">
        <v>0.5425</v>
      </c>
      <c r="L52" s="11" t="n">
        <v>0.2677</v>
      </c>
      <c r="M52" s="26" t="n">
        <v>54.07</v>
      </c>
    </row>
    <row r="53" customFormat="false" ht="15" hidden="false" customHeight="false" outlineLevel="0" collapsed="false">
      <c r="A53" s="27" t="n">
        <v>90623</v>
      </c>
      <c r="B53" s="12" t="s">
        <v>473</v>
      </c>
      <c r="C53" s="28" t="n">
        <v>145</v>
      </c>
      <c r="D53" s="28" t="n">
        <v>145</v>
      </c>
      <c r="E53" s="14" t="n">
        <v>0</v>
      </c>
      <c r="F53" s="14" t="n">
        <v>17494.48</v>
      </c>
      <c r="G53" s="14" t="n">
        <v>17494.48</v>
      </c>
      <c r="H53" s="14" t="n">
        <v>8058.3102</v>
      </c>
      <c r="I53" s="14" t="n">
        <v>9436.17</v>
      </c>
      <c r="J53" s="14" t="n">
        <v>4630.09</v>
      </c>
      <c r="K53" s="15" t="n">
        <v>0.5394</v>
      </c>
      <c r="L53" s="15" t="n">
        <v>0.2647</v>
      </c>
      <c r="M53" s="29" t="n">
        <v>49.57</v>
      </c>
    </row>
    <row r="54" customFormat="false" ht="15" hidden="false" customHeight="false" outlineLevel="0" collapsed="false">
      <c r="A54" s="24" t="n">
        <v>90625</v>
      </c>
      <c r="B54" s="8" t="s">
        <v>473</v>
      </c>
      <c r="C54" s="25" t="n">
        <v>1234</v>
      </c>
      <c r="D54" s="25" t="n">
        <v>1234</v>
      </c>
      <c r="E54" s="10" t="n">
        <v>0</v>
      </c>
      <c r="F54" s="10" t="n">
        <v>73022.01</v>
      </c>
      <c r="G54" s="10" t="n">
        <v>73022.01</v>
      </c>
      <c r="H54" s="10" t="n">
        <v>26944.2246</v>
      </c>
      <c r="I54" s="10" t="n">
        <v>46077.79</v>
      </c>
      <c r="J54" s="10" t="n">
        <v>26017.28</v>
      </c>
      <c r="K54" s="11" t="n">
        <v>0.631</v>
      </c>
      <c r="L54" s="11" t="n">
        <v>0.3563</v>
      </c>
      <c r="M54" s="26" t="n">
        <v>51.37</v>
      </c>
    </row>
    <row r="55" customFormat="false" ht="15" hidden="false" customHeight="false" outlineLevel="0" collapsed="false">
      <c r="A55" s="27" t="n">
        <v>90629</v>
      </c>
      <c r="B55" s="12" t="s">
        <v>517</v>
      </c>
      <c r="C55" s="28" t="n">
        <v>150</v>
      </c>
      <c r="D55" s="28" t="n">
        <v>150</v>
      </c>
      <c r="E55" s="14" t="n">
        <v>0</v>
      </c>
      <c r="F55" s="14" t="n">
        <v>1593</v>
      </c>
      <c r="G55" s="14" t="n">
        <v>1593</v>
      </c>
      <c r="H55" s="14" t="n">
        <v>65.175</v>
      </c>
      <c r="I55" s="14" t="n">
        <v>1527.83</v>
      </c>
      <c r="J55" s="14" t="n">
        <v>1090.2</v>
      </c>
      <c r="K55" s="15" t="n">
        <v>0.9591</v>
      </c>
      <c r="L55" s="15" t="n">
        <v>0.6844</v>
      </c>
      <c r="M55" s="29" t="n">
        <v>28</v>
      </c>
    </row>
    <row r="56" customFormat="false" ht="15" hidden="false" customHeight="false" outlineLevel="0" collapsed="false">
      <c r="A56" s="24" t="n">
        <v>90630</v>
      </c>
      <c r="B56" s="8" t="s">
        <v>493</v>
      </c>
      <c r="C56" s="25" t="n">
        <v>4</v>
      </c>
      <c r="D56" s="25" t="n">
        <v>4</v>
      </c>
      <c r="E56" s="10" t="n">
        <v>0</v>
      </c>
      <c r="F56" s="10" t="n">
        <v>776.84</v>
      </c>
      <c r="G56" s="10" t="n">
        <v>776.84</v>
      </c>
      <c r="H56" s="10" t="n">
        <v>623.78</v>
      </c>
      <c r="I56" s="10" t="n">
        <v>153.06</v>
      </c>
      <c r="J56" s="10" t="n">
        <v>-60.34</v>
      </c>
      <c r="K56" s="11" t="n">
        <v>0.197</v>
      </c>
      <c r="L56" s="11" t="n">
        <v>-0.0777</v>
      </c>
      <c r="M56" s="26" t="n">
        <v>45.5</v>
      </c>
    </row>
    <row r="57" customFormat="false" ht="15" hidden="false" customHeight="false" outlineLevel="0" collapsed="false">
      <c r="A57" s="27" t="n">
        <v>90636</v>
      </c>
      <c r="B57" s="12" t="s">
        <v>494</v>
      </c>
      <c r="C57" s="28" t="n">
        <v>1000</v>
      </c>
      <c r="D57" s="28" t="n">
        <v>1000</v>
      </c>
      <c r="E57" s="14" t="n">
        <v>0</v>
      </c>
      <c r="F57" s="14" t="n">
        <v>3700</v>
      </c>
      <c r="G57" s="14" t="n">
        <v>3700</v>
      </c>
      <c r="H57" s="14" t="n">
        <v>665.1</v>
      </c>
      <c r="I57" s="14" t="n">
        <v>3034.9</v>
      </c>
      <c r="J57" s="14" t="n">
        <v>2018.44</v>
      </c>
      <c r="K57" s="15" t="n">
        <v>0.8202</v>
      </c>
      <c r="L57" s="15" t="n">
        <v>0.5455</v>
      </c>
      <c r="M57" s="29" t="n">
        <v>60</v>
      </c>
    </row>
    <row r="58" customFormat="false" ht="15" hidden="false" customHeight="false" outlineLevel="0" collapsed="false">
      <c r="A58" s="24" t="n">
        <v>90640</v>
      </c>
      <c r="B58" s="8" t="s">
        <v>473</v>
      </c>
      <c r="C58" s="25" t="n">
        <v>46</v>
      </c>
      <c r="D58" s="25" t="n">
        <v>46</v>
      </c>
      <c r="E58" s="10" t="n">
        <v>0</v>
      </c>
      <c r="F58" s="10" t="n">
        <v>1391.06</v>
      </c>
      <c r="G58" s="10" t="n">
        <v>1391.06</v>
      </c>
      <c r="H58" s="10" t="n">
        <v>555.5102</v>
      </c>
      <c r="I58" s="10" t="n">
        <v>835.55</v>
      </c>
      <c r="J58" s="10" t="n">
        <v>453.4</v>
      </c>
      <c r="K58" s="11" t="n">
        <v>0.6007</v>
      </c>
      <c r="L58" s="11" t="n">
        <v>0.3259</v>
      </c>
      <c r="M58" s="26" t="n">
        <v>32.15</v>
      </c>
    </row>
    <row r="59" customFormat="false" ht="15" hidden="false" customHeight="false" outlineLevel="0" collapsed="false">
      <c r="A59" s="27" t="n">
        <v>90649</v>
      </c>
      <c r="B59" s="12" t="s">
        <v>532</v>
      </c>
      <c r="C59" s="28" t="n">
        <v>12</v>
      </c>
      <c r="D59" s="28" t="n">
        <v>12</v>
      </c>
      <c r="E59" s="14" t="n">
        <v>0</v>
      </c>
      <c r="F59" s="14" t="n">
        <v>463.54</v>
      </c>
      <c r="G59" s="14" t="n">
        <v>463.54</v>
      </c>
      <c r="H59" s="14" t="n">
        <v>150.58</v>
      </c>
      <c r="I59" s="14" t="n">
        <v>312.96</v>
      </c>
      <c r="J59" s="14" t="n">
        <v>185.61</v>
      </c>
      <c r="K59" s="15" t="n">
        <v>0.6752</v>
      </c>
      <c r="L59" s="15" t="n">
        <v>0.4004</v>
      </c>
      <c r="M59" s="29" t="n">
        <v>28</v>
      </c>
    </row>
    <row r="60" customFormat="false" ht="15" hidden="false" customHeight="false" outlineLevel="0" collapsed="false">
      <c r="A60" s="24" t="n">
        <v>90664</v>
      </c>
      <c r="B60" s="8" t="s">
        <v>496</v>
      </c>
      <c r="C60" s="25" t="n">
        <v>98</v>
      </c>
      <c r="D60" s="25" t="n">
        <v>98</v>
      </c>
      <c r="E60" s="10" t="n">
        <v>25015.79</v>
      </c>
      <c r="F60" s="10" t="n">
        <v>145817.27</v>
      </c>
      <c r="G60" s="10" t="n">
        <v>170833.06</v>
      </c>
      <c r="H60" s="10" t="n">
        <v>52888.62</v>
      </c>
      <c r="I60" s="10" t="n">
        <v>117944.44</v>
      </c>
      <c r="J60" s="10" t="n">
        <v>68129.51</v>
      </c>
      <c r="K60" s="11" t="n">
        <v>0.6904</v>
      </c>
      <c r="L60" s="11" t="n">
        <v>0.3988</v>
      </c>
      <c r="M60" s="26" t="n">
        <v>42.6</v>
      </c>
    </row>
    <row r="61" customFormat="false" ht="15" hidden="false" customHeight="false" outlineLevel="0" collapsed="false">
      <c r="A61" s="27" t="n">
        <v>90665</v>
      </c>
      <c r="B61" s="12" t="s">
        <v>497</v>
      </c>
      <c r="C61" s="28" t="n">
        <v>9</v>
      </c>
      <c r="D61" s="28" t="n">
        <v>9</v>
      </c>
      <c r="E61" s="14" t="n">
        <v>0</v>
      </c>
      <c r="F61" s="14" t="n">
        <v>17656.66</v>
      </c>
      <c r="G61" s="14" t="n">
        <v>17656.66</v>
      </c>
      <c r="H61" s="14" t="n">
        <v>8818.21</v>
      </c>
      <c r="I61" s="14" t="n">
        <v>8838.45</v>
      </c>
      <c r="J61" s="14" t="n">
        <v>3987.81</v>
      </c>
      <c r="K61" s="15" t="n">
        <v>0.5006</v>
      </c>
      <c r="L61" s="15" t="n">
        <v>0.2259</v>
      </c>
      <c r="M61" s="29" t="n">
        <v>40.21</v>
      </c>
    </row>
    <row r="62" customFormat="false" ht="15" hidden="false" customHeight="false" outlineLevel="0" collapsed="false">
      <c r="A62" s="24" t="n">
        <v>90683</v>
      </c>
      <c r="B62" s="8" t="s">
        <v>533</v>
      </c>
      <c r="C62" s="25" t="n">
        <v>10</v>
      </c>
      <c r="D62" s="25" t="n">
        <v>10</v>
      </c>
      <c r="E62" s="10" t="n">
        <v>0</v>
      </c>
      <c r="F62" s="10" t="n">
        <v>2129.8</v>
      </c>
      <c r="G62" s="10" t="n">
        <v>2129.8</v>
      </c>
      <c r="H62" s="10" t="n">
        <v>838.28</v>
      </c>
      <c r="I62" s="10" t="n">
        <v>1291.52</v>
      </c>
      <c r="J62" s="10" t="n">
        <v>539.51</v>
      </c>
      <c r="K62" s="11" t="n">
        <v>0.6064</v>
      </c>
      <c r="L62" s="11" t="n">
        <v>0.2533</v>
      </c>
      <c r="M62" s="26" t="n">
        <v>30</v>
      </c>
    </row>
    <row r="63" customFormat="false" ht="15" hidden="false" customHeight="false" outlineLevel="0" collapsed="false">
      <c r="A63" s="27" t="n">
        <v>90689</v>
      </c>
      <c r="B63" s="12" t="s">
        <v>519</v>
      </c>
      <c r="C63" s="28" t="n">
        <v>80</v>
      </c>
      <c r="D63" s="28" t="n">
        <v>80</v>
      </c>
      <c r="E63" s="14" t="n">
        <v>0</v>
      </c>
      <c r="F63" s="14" t="n">
        <v>10720</v>
      </c>
      <c r="G63" s="14" t="n">
        <v>10720</v>
      </c>
      <c r="H63" s="14" t="n">
        <v>6563.488</v>
      </c>
      <c r="I63" s="14" t="n">
        <v>4156.51</v>
      </c>
      <c r="J63" s="14" t="n">
        <v>1872.55</v>
      </c>
      <c r="K63" s="15" t="n">
        <v>0.3877</v>
      </c>
      <c r="L63" s="15" t="n">
        <v>0.1747</v>
      </c>
      <c r="M63" s="29" t="n">
        <v>60</v>
      </c>
    </row>
    <row r="64" customFormat="false" ht="15" hidden="false" customHeight="false" outlineLevel="0" collapsed="false">
      <c r="A64" s="24" t="n">
        <v>90692</v>
      </c>
      <c r="B64" s="8" t="s">
        <v>499</v>
      </c>
      <c r="C64" s="25" t="n">
        <v>100</v>
      </c>
      <c r="D64" s="25" t="n">
        <v>100</v>
      </c>
      <c r="E64" s="10" t="n">
        <v>0</v>
      </c>
      <c r="F64" s="10" t="n">
        <v>9040</v>
      </c>
      <c r="G64" s="10" t="n">
        <v>9040</v>
      </c>
      <c r="H64" s="10" t="n">
        <v>86189.1004</v>
      </c>
      <c r="I64" s="10" t="n">
        <v>-77149.1</v>
      </c>
      <c r="J64" s="10" t="n">
        <v>-79075.14</v>
      </c>
      <c r="K64" s="11" t="n">
        <v>-8.5342</v>
      </c>
      <c r="L64" s="11" t="n">
        <v>-8.7473</v>
      </c>
      <c r="M64" s="26" t="n">
        <v>60</v>
      </c>
    </row>
    <row r="65" customFormat="false" ht="15" hidden="false" customHeight="false" outlineLevel="0" collapsed="false">
      <c r="A65" s="27" t="n">
        <v>90700</v>
      </c>
      <c r="B65" s="12" t="s">
        <v>488</v>
      </c>
      <c r="C65" s="28" t="n">
        <v>214</v>
      </c>
      <c r="D65" s="28" t="n">
        <v>214</v>
      </c>
      <c r="E65" s="14" t="n">
        <v>0</v>
      </c>
      <c r="F65" s="14" t="n">
        <v>36144</v>
      </c>
      <c r="G65" s="14" t="n">
        <v>36144</v>
      </c>
      <c r="H65" s="14" t="n">
        <v>0</v>
      </c>
      <c r="I65" s="14" t="n">
        <v>36144</v>
      </c>
      <c r="J65" s="14" t="n">
        <v>36144</v>
      </c>
      <c r="K65" s="15" t="n">
        <v>1</v>
      </c>
      <c r="L65" s="15" t="n">
        <v>1</v>
      </c>
      <c r="M65" s="29" t="n">
        <v>40.63</v>
      </c>
    </row>
    <row r="66" customFormat="false" ht="15" hidden="false" customHeight="false" outlineLevel="0" collapsed="false">
      <c r="A66" s="24" t="n">
        <v>90701</v>
      </c>
      <c r="B66" s="8" t="s">
        <v>520</v>
      </c>
      <c r="C66" s="25" t="n">
        <v>62</v>
      </c>
      <c r="D66" s="25" t="n">
        <v>62</v>
      </c>
      <c r="E66" s="10" t="n">
        <v>0</v>
      </c>
      <c r="F66" s="10" t="n">
        <v>9098.4</v>
      </c>
      <c r="G66" s="10" t="n">
        <v>9098.4</v>
      </c>
      <c r="H66" s="10" t="n">
        <v>58584.458</v>
      </c>
      <c r="I66" s="10" t="n">
        <v>-49486.06</v>
      </c>
      <c r="J66" s="10" t="n">
        <v>-51424.53</v>
      </c>
      <c r="K66" s="11" t="n">
        <v>-5.439</v>
      </c>
      <c r="L66" s="11" t="n">
        <v>-5.652</v>
      </c>
      <c r="M66" s="26" t="n">
        <v>60</v>
      </c>
    </row>
    <row r="67" customFormat="false" ht="15" hidden="false" customHeight="false" outlineLevel="0" collapsed="false">
      <c r="A67" s="27" t="n">
        <v>90702</v>
      </c>
      <c r="B67" s="12" t="s">
        <v>521</v>
      </c>
      <c r="C67" s="28" t="n">
        <v>70</v>
      </c>
      <c r="D67" s="28" t="n">
        <v>70</v>
      </c>
      <c r="E67" s="14" t="n">
        <v>0</v>
      </c>
      <c r="F67" s="14" t="n">
        <v>8904</v>
      </c>
      <c r="G67" s="14" t="n">
        <v>8904</v>
      </c>
      <c r="H67" s="14" t="n">
        <v>6052.172</v>
      </c>
      <c r="I67" s="14" t="n">
        <v>2851.83</v>
      </c>
      <c r="J67" s="14" t="n">
        <v>954.78</v>
      </c>
      <c r="K67" s="15" t="n">
        <v>0.3203</v>
      </c>
      <c r="L67" s="15" t="n">
        <v>0.1072</v>
      </c>
      <c r="M67" s="29" t="n">
        <v>60</v>
      </c>
    </row>
    <row r="68" customFormat="false" ht="15" hidden="false" customHeight="false" outlineLevel="0" collapsed="false">
      <c r="A68" s="24" t="n">
        <v>90705</v>
      </c>
      <c r="B68" s="8" t="s">
        <v>522</v>
      </c>
      <c r="C68" s="25" t="n">
        <v>27</v>
      </c>
      <c r="D68" s="25" t="n">
        <v>27</v>
      </c>
      <c r="E68" s="10" t="n">
        <v>0</v>
      </c>
      <c r="F68" s="10" t="n">
        <v>4104</v>
      </c>
      <c r="G68" s="10" t="n">
        <v>4104</v>
      </c>
      <c r="H68" s="10" t="n">
        <v>2706.7311</v>
      </c>
      <c r="I68" s="10" t="n">
        <v>1397.27</v>
      </c>
      <c r="J68" s="10" t="n">
        <v>522.89</v>
      </c>
      <c r="K68" s="11" t="n">
        <v>0.3405</v>
      </c>
      <c r="L68" s="11" t="n">
        <v>0.1274</v>
      </c>
      <c r="M68" s="26" t="n">
        <v>60</v>
      </c>
    </row>
    <row r="69" customFormat="false" ht="15" hidden="false" customHeight="false" outlineLevel="0" collapsed="false">
      <c r="A69" s="27" t="n">
        <v>90709</v>
      </c>
      <c r="B69" s="12" t="s">
        <v>502</v>
      </c>
      <c r="C69" s="28" t="n">
        <v>45</v>
      </c>
      <c r="D69" s="28" t="n">
        <v>45</v>
      </c>
      <c r="E69" s="14" t="n">
        <v>0</v>
      </c>
      <c r="F69" s="14" t="n">
        <v>5760</v>
      </c>
      <c r="G69" s="14" t="n">
        <v>5760</v>
      </c>
      <c r="H69" s="14" t="n">
        <v>3748.7115</v>
      </c>
      <c r="I69" s="14" t="n">
        <v>2011.29</v>
      </c>
      <c r="J69" s="14" t="n">
        <v>784.09</v>
      </c>
      <c r="K69" s="15" t="n">
        <v>0.3492</v>
      </c>
      <c r="L69" s="15" t="n">
        <v>0.1361</v>
      </c>
      <c r="M69" s="29" t="n">
        <v>60</v>
      </c>
    </row>
    <row r="70" customFormat="false" ht="15" hidden="false" customHeight="false" outlineLevel="0" collapsed="false">
      <c r="A70" s="24" t="n">
        <v>90715</v>
      </c>
      <c r="B70" s="8" t="s">
        <v>524</v>
      </c>
      <c r="C70" s="25" t="n">
        <v>89</v>
      </c>
      <c r="D70" s="25" t="n">
        <v>89</v>
      </c>
      <c r="E70" s="10" t="n">
        <v>0</v>
      </c>
      <c r="F70" s="10" t="n">
        <v>12175.2</v>
      </c>
      <c r="G70" s="10" t="n">
        <v>12175.2</v>
      </c>
      <c r="H70" s="10" t="n">
        <v>6690.6813</v>
      </c>
      <c r="I70" s="10" t="n">
        <v>5484.52</v>
      </c>
      <c r="J70" s="10" t="n">
        <v>2890.53</v>
      </c>
      <c r="K70" s="11" t="n">
        <v>0.4505</v>
      </c>
      <c r="L70" s="11" t="n">
        <v>0.2374</v>
      </c>
      <c r="M70" s="26" t="n">
        <v>60</v>
      </c>
    </row>
    <row r="71" customFormat="false" ht="15" hidden="false" customHeight="false" outlineLevel="0" collapsed="false">
      <c r="A71" s="27" t="n">
        <v>90718</v>
      </c>
      <c r="B71" s="12" t="s">
        <v>525</v>
      </c>
      <c r="C71" s="28" t="n">
        <v>595</v>
      </c>
      <c r="D71" s="28" t="n">
        <v>595</v>
      </c>
      <c r="E71" s="14" t="n">
        <v>0</v>
      </c>
      <c r="F71" s="14" t="n">
        <v>86818.7</v>
      </c>
      <c r="G71" s="14" t="n">
        <v>86818.7</v>
      </c>
      <c r="H71" s="14" t="n">
        <v>57250.1143</v>
      </c>
      <c r="I71" s="14" t="n">
        <v>29568.59</v>
      </c>
      <c r="J71" s="14" t="n">
        <v>5717.76</v>
      </c>
      <c r="K71" s="15" t="n">
        <v>0.3406</v>
      </c>
      <c r="L71" s="15" t="n">
        <v>0.0659</v>
      </c>
      <c r="M71" s="29" t="n">
        <v>59.96</v>
      </c>
    </row>
    <row r="72" customFormat="false" ht="15" hidden="false" customHeight="false" outlineLevel="0" collapsed="false">
      <c r="A72" s="24" t="n">
        <v>90719</v>
      </c>
      <c r="B72" s="8" t="s">
        <v>526</v>
      </c>
      <c r="C72" s="25" t="n">
        <v>60</v>
      </c>
      <c r="D72" s="25" t="n">
        <v>60</v>
      </c>
      <c r="E72" s="10" t="n">
        <v>0</v>
      </c>
      <c r="F72" s="10" t="n">
        <v>6480</v>
      </c>
      <c r="G72" s="10" t="n">
        <v>6480</v>
      </c>
      <c r="H72" s="10" t="n">
        <v>175617.072</v>
      </c>
      <c r="I72" s="10" t="n">
        <v>-169137.07</v>
      </c>
      <c r="J72" s="10" t="n">
        <v>-170517.67</v>
      </c>
      <c r="K72" s="11" t="n">
        <v>-26.1014</v>
      </c>
      <c r="L72" s="11" t="n">
        <v>-26.3145</v>
      </c>
      <c r="M72" s="26" t="n">
        <v>60</v>
      </c>
    </row>
    <row r="73" customFormat="false" ht="15" hidden="false" customHeight="false" outlineLevel="0" collapsed="false">
      <c r="A73" s="27" t="n">
        <v>90723</v>
      </c>
      <c r="B73" s="12" t="s">
        <v>527</v>
      </c>
      <c r="C73" s="28" t="n">
        <v>60</v>
      </c>
      <c r="D73" s="28" t="n">
        <v>60</v>
      </c>
      <c r="E73" s="14" t="n">
        <v>0</v>
      </c>
      <c r="F73" s="14" t="n">
        <v>9120</v>
      </c>
      <c r="G73" s="14" t="n">
        <v>9120</v>
      </c>
      <c r="H73" s="14" t="n">
        <v>3151.848</v>
      </c>
      <c r="I73" s="14" t="n">
        <v>5968.15</v>
      </c>
      <c r="J73" s="14" t="n">
        <v>4025.08</v>
      </c>
      <c r="K73" s="15" t="n">
        <v>0.6544</v>
      </c>
      <c r="L73" s="15" t="n">
        <v>0.4413</v>
      </c>
      <c r="M73" s="29" t="n">
        <v>60</v>
      </c>
    </row>
    <row r="74" customFormat="false" ht="15" hidden="false" customHeight="false" outlineLevel="0" collapsed="false">
      <c r="A74" s="24" t="n">
        <v>90725</v>
      </c>
      <c r="B74" s="8" t="s">
        <v>528</v>
      </c>
      <c r="C74" s="25" t="n">
        <v>140</v>
      </c>
      <c r="D74" s="25" t="n">
        <v>140</v>
      </c>
      <c r="E74" s="10" t="n">
        <v>0</v>
      </c>
      <c r="F74" s="10" t="n">
        <v>16632</v>
      </c>
      <c r="G74" s="10" t="n">
        <v>16632</v>
      </c>
      <c r="H74" s="10" t="n">
        <v>10284.662</v>
      </c>
      <c r="I74" s="10" t="n">
        <v>6347.34</v>
      </c>
      <c r="J74" s="10" t="n">
        <v>2803.8</v>
      </c>
      <c r="K74" s="11" t="n">
        <v>0.3816</v>
      </c>
      <c r="L74" s="11" t="n">
        <v>0.1686</v>
      </c>
      <c r="M74" s="26" t="n">
        <v>60</v>
      </c>
    </row>
    <row r="75" customFormat="false" ht="15" hidden="false" customHeight="false" outlineLevel="0" collapsed="false">
      <c r="A75" s="27" t="n">
        <v>90728</v>
      </c>
      <c r="B75" s="12" t="s">
        <v>477</v>
      </c>
      <c r="C75" s="28" t="n">
        <v>493</v>
      </c>
      <c r="D75" s="28" t="n">
        <v>493</v>
      </c>
      <c r="E75" s="14" t="n">
        <v>0</v>
      </c>
      <c r="F75" s="14" t="n">
        <v>17874.06</v>
      </c>
      <c r="G75" s="14" t="n">
        <v>17874.06</v>
      </c>
      <c r="H75" s="14" t="n">
        <v>6715.5904</v>
      </c>
      <c r="I75" s="14" t="n">
        <v>11158.47</v>
      </c>
      <c r="J75" s="14" t="n">
        <v>6248.07</v>
      </c>
      <c r="K75" s="15" t="n">
        <v>0.6243</v>
      </c>
      <c r="L75" s="15" t="n">
        <v>0.3496</v>
      </c>
      <c r="M75" s="29" t="n">
        <v>53.51</v>
      </c>
    </row>
    <row r="76" customFormat="false" ht="15" hidden="false" customHeight="false" outlineLevel="0" collapsed="false">
      <c r="A76" s="24" t="n">
        <v>90729</v>
      </c>
      <c r="B76" s="8" t="s">
        <v>534</v>
      </c>
      <c r="C76" s="25" t="n">
        <v>296</v>
      </c>
      <c r="D76" s="25" t="n">
        <v>296</v>
      </c>
      <c r="E76" s="10" t="n">
        <v>0</v>
      </c>
      <c r="F76" s="10" t="n">
        <v>4420.52</v>
      </c>
      <c r="G76" s="10" t="n">
        <v>4420.52</v>
      </c>
      <c r="H76" s="10" t="n">
        <v>0</v>
      </c>
      <c r="I76" s="10" t="n">
        <v>4420.52</v>
      </c>
      <c r="J76" s="10" t="n">
        <v>4420.52</v>
      </c>
      <c r="K76" s="11" t="n">
        <v>1</v>
      </c>
      <c r="L76" s="11" t="n">
        <v>1</v>
      </c>
      <c r="M76" s="26" t="n">
        <v>57.65</v>
      </c>
    </row>
    <row r="77" customFormat="false" ht="15" hidden="false" customHeight="false" outlineLevel="0" collapsed="false">
      <c r="A77" s="27" t="n">
        <v>90731</v>
      </c>
      <c r="B77" s="12" t="s">
        <v>535</v>
      </c>
      <c r="C77" s="28" t="n">
        <v>109</v>
      </c>
      <c r="D77" s="28" t="n">
        <v>109</v>
      </c>
      <c r="E77" s="14" t="n">
        <v>0</v>
      </c>
      <c r="F77" s="14" t="n">
        <v>7862.5</v>
      </c>
      <c r="G77" s="14" t="n">
        <v>7862.5</v>
      </c>
      <c r="H77" s="14" t="n">
        <v>0</v>
      </c>
      <c r="I77" s="14" t="n">
        <v>7862.5</v>
      </c>
      <c r="J77" s="14" t="n">
        <v>7862.5</v>
      </c>
      <c r="K77" s="15" t="n">
        <v>1</v>
      </c>
      <c r="L77" s="15" t="n">
        <v>1</v>
      </c>
      <c r="M77" s="29" t="n">
        <v>56.91</v>
      </c>
    </row>
    <row r="78" customFormat="false" ht="15" hidden="false" customHeight="false" outlineLevel="0" collapsed="false">
      <c r="A78" s="24" t="n">
        <v>90734</v>
      </c>
      <c r="B78" s="8" t="s">
        <v>536</v>
      </c>
      <c r="C78" s="25" t="n">
        <v>83</v>
      </c>
      <c r="D78" s="25" t="n">
        <v>83</v>
      </c>
      <c r="E78" s="10" t="n">
        <v>0</v>
      </c>
      <c r="F78" s="10" t="n">
        <v>2324</v>
      </c>
      <c r="G78" s="10" t="n">
        <v>2324</v>
      </c>
      <c r="H78" s="10" t="n">
        <v>0</v>
      </c>
      <c r="I78" s="10" t="n">
        <v>2324</v>
      </c>
      <c r="J78" s="10" t="n">
        <v>2324</v>
      </c>
      <c r="K78" s="11" t="n">
        <v>1</v>
      </c>
      <c r="L78" s="11" t="n">
        <v>1</v>
      </c>
      <c r="M78" s="26" t="n">
        <v>28</v>
      </c>
    </row>
    <row r="79" customFormat="false" ht="15" hidden="false" customHeight="false" outlineLevel="0" collapsed="false">
      <c r="A79" s="27" t="n">
        <v>90735</v>
      </c>
      <c r="B79" s="12" t="s">
        <v>537</v>
      </c>
      <c r="C79" s="28" t="n">
        <v>708</v>
      </c>
      <c r="D79" s="28" t="n">
        <v>708</v>
      </c>
      <c r="E79" s="14" t="n">
        <v>0</v>
      </c>
      <c r="F79" s="14" t="n">
        <v>3593.6</v>
      </c>
      <c r="G79" s="14" t="n">
        <v>3593.6</v>
      </c>
      <c r="H79" s="14" t="n">
        <v>0</v>
      </c>
      <c r="I79" s="14" t="n">
        <v>3593.6</v>
      </c>
      <c r="J79" s="14" t="n">
        <v>3593.6</v>
      </c>
      <c r="K79" s="15" t="n">
        <v>1</v>
      </c>
      <c r="L79" s="15" t="n">
        <v>1</v>
      </c>
      <c r="M79" s="29" t="n">
        <v>55.39</v>
      </c>
    </row>
    <row r="80" customFormat="false" ht="15" hidden="false" customHeight="false" outlineLevel="0" collapsed="false">
      <c r="A80" s="24" t="n">
        <v>90737</v>
      </c>
      <c r="B80" s="8" t="s">
        <v>538</v>
      </c>
      <c r="C80" s="25" t="n">
        <v>33</v>
      </c>
      <c r="D80" s="25" t="n">
        <v>33</v>
      </c>
      <c r="E80" s="10" t="n">
        <v>0</v>
      </c>
      <c r="F80" s="10" t="n">
        <v>4778.4</v>
      </c>
      <c r="G80" s="10" t="n">
        <v>4778.4</v>
      </c>
      <c r="H80" s="10" t="n">
        <v>1709.7003</v>
      </c>
      <c r="I80" s="10" t="n">
        <v>3068.7</v>
      </c>
      <c r="J80" s="10" t="n">
        <v>2050.63</v>
      </c>
      <c r="K80" s="11" t="n">
        <v>0.6422</v>
      </c>
      <c r="L80" s="11" t="n">
        <v>0.4291</v>
      </c>
      <c r="M80" s="26" t="n">
        <v>60</v>
      </c>
    </row>
    <row r="81" customFormat="false" ht="15" hidden="false" customHeight="false" outlineLevel="0" collapsed="false">
      <c r="A81" s="27" t="n">
        <v>90738</v>
      </c>
      <c r="B81" s="12" t="s">
        <v>539</v>
      </c>
      <c r="C81" s="28" t="n">
        <v>34</v>
      </c>
      <c r="D81" s="28" t="n">
        <v>34</v>
      </c>
      <c r="E81" s="14" t="n">
        <v>0</v>
      </c>
      <c r="F81" s="14" t="n">
        <v>3808</v>
      </c>
      <c r="G81" s="14" t="n">
        <v>3808</v>
      </c>
      <c r="H81" s="14" t="n">
        <v>1375.419</v>
      </c>
      <c r="I81" s="14" t="n">
        <v>2432.58</v>
      </c>
      <c r="J81" s="14" t="n">
        <v>1621.26</v>
      </c>
      <c r="K81" s="15" t="n">
        <v>0.6388</v>
      </c>
      <c r="L81" s="15" t="n">
        <v>0.4258</v>
      </c>
      <c r="M81" s="29" t="n">
        <v>60</v>
      </c>
    </row>
    <row r="82" customFormat="false" ht="15" hidden="false" customHeight="false" outlineLevel="0" collapsed="false">
      <c r="A82" s="24" t="n">
        <v>90740</v>
      </c>
      <c r="B82" s="8" t="s">
        <v>540</v>
      </c>
      <c r="C82" s="25" t="n">
        <v>6</v>
      </c>
      <c r="D82" s="25" t="n">
        <v>6</v>
      </c>
      <c r="E82" s="10" t="n">
        <v>0</v>
      </c>
      <c r="F82" s="10" t="n">
        <v>361.98</v>
      </c>
      <c r="G82" s="10" t="n">
        <v>361.98</v>
      </c>
      <c r="H82" s="10" t="n">
        <v>162.1698</v>
      </c>
      <c r="I82" s="10" t="n">
        <v>199.81</v>
      </c>
      <c r="J82" s="10" t="n">
        <v>100.36</v>
      </c>
      <c r="K82" s="11" t="n">
        <v>0.552</v>
      </c>
      <c r="L82" s="11" t="n">
        <v>0.2773</v>
      </c>
      <c r="M82" s="26" t="n">
        <v>30</v>
      </c>
    </row>
    <row r="83" customFormat="false" ht="15" hidden="false" customHeight="false" outlineLevel="0" collapsed="false">
      <c r="A83" s="16" t="s">
        <v>249</v>
      </c>
      <c r="B83" s="16" t="str">
        <f aca="false">COUNTA(A6:A82)&amp;" produtos"</f>
        <v>77 produtos</v>
      </c>
      <c r="C83" s="30" t="n">
        <f aca="false">SUM(C6:C82)</f>
        <v>42566</v>
      </c>
      <c r="D83" s="30" t="n">
        <f aca="false">SUM(D6:D82)</f>
        <v>42566</v>
      </c>
      <c r="E83" s="18" t="n">
        <f aca="false">SUM(E6:E82)</f>
        <v>54740.53</v>
      </c>
      <c r="F83" s="18" t="n">
        <f aca="false">SUM(F6:F82)</f>
        <v>1414757.41</v>
      </c>
      <c r="G83" s="18" t="n">
        <f aca="false">SUM(G6:G82)</f>
        <v>1469497.94</v>
      </c>
      <c r="H83" s="18" t="n">
        <f aca="false">SUM(H6:H82)</f>
        <v>3423774.2393</v>
      </c>
      <c r="I83" s="18" t="n">
        <f aca="false">SUM(I6:I82)</f>
        <v>-1954276.26</v>
      </c>
      <c r="J83" s="18" t="n">
        <f aca="false">SUM(J6:J82)</f>
        <v>-2309105.06</v>
      </c>
      <c r="K83" s="19" t="n">
        <f aca="false">IFERROR(I83/G83,0)</f>
        <v>-1.32989384115775</v>
      </c>
      <c r="L83" s="19" t="n">
        <f aca="false">IFERROR(J83/G83,0)</f>
        <v>-1.57135644572595</v>
      </c>
      <c r="M83" s="31" t="n">
        <f aca="false">IFERROR(SUMPRODUCT(M6:M82,G6:G82)/G83,0)</f>
        <v>51.9817495541368</v>
      </c>
    </row>
  </sheetData>
  <autoFilter ref="A5:M82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361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22</v>
      </c>
      <c r="D6" s="25" t="n">
        <v>22</v>
      </c>
      <c r="E6" s="10" t="n">
        <v>0</v>
      </c>
      <c r="F6" s="10" t="n">
        <v>5423</v>
      </c>
      <c r="G6" s="10" t="n">
        <v>5423</v>
      </c>
      <c r="H6" s="10" t="n">
        <v>3074.18</v>
      </c>
      <c r="I6" s="10" t="n">
        <v>2348.82</v>
      </c>
      <c r="J6" s="10" t="n">
        <v>835.26</v>
      </c>
      <c r="K6" s="11" t="n">
        <v>0.4331</v>
      </c>
      <c r="L6" s="11" t="n">
        <v>0.154</v>
      </c>
      <c r="M6" s="26" t="n">
        <v>46.29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1107</v>
      </c>
      <c r="D7" s="28" t="n">
        <v>1107</v>
      </c>
      <c r="E7" s="14" t="n">
        <v>0</v>
      </c>
      <c r="F7" s="14" t="n">
        <v>6212.15</v>
      </c>
      <c r="G7" s="14" t="n">
        <v>6212.15</v>
      </c>
      <c r="H7" s="14" t="n">
        <v>2243.6212</v>
      </c>
      <c r="I7" s="14" t="n">
        <v>3968.52</v>
      </c>
      <c r="J7" s="14" t="n">
        <v>2234.74</v>
      </c>
      <c r="K7" s="15" t="n">
        <v>0.6388</v>
      </c>
      <c r="L7" s="15" t="n">
        <v>0.3597</v>
      </c>
      <c r="M7" s="29" t="n">
        <v>46.41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310</v>
      </c>
      <c r="D8" s="25" t="n">
        <v>310</v>
      </c>
      <c r="E8" s="10" t="n">
        <v>0</v>
      </c>
      <c r="F8" s="10" t="n">
        <v>3992</v>
      </c>
      <c r="G8" s="10" t="n">
        <v>3992</v>
      </c>
      <c r="H8" s="10" t="n">
        <v>1698.82</v>
      </c>
      <c r="I8" s="10" t="n">
        <v>2293.18</v>
      </c>
      <c r="J8" s="10" t="n">
        <v>1179.13</v>
      </c>
      <c r="K8" s="11" t="n">
        <v>0.5744</v>
      </c>
      <c r="L8" s="11" t="n">
        <v>0.2954</v>
      </c>
      <c r="M8" s="26" t="n">
        <v>46.77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4081</v>
      </c>
      <c r="D9" s="28" t="n">
        <v>4081</v>
      </c>
      <c r="E9" s="14" t="n">
        <v>0</v>
      </c>
      <c r="F9" s="14" t="n">
        <v>28849.78</v>
      </c>
      <c r="G9" s="14" t="n">
        <v>28849.78</v>
      </c>
      <c r="H9" s="14" t="n">
        <v>4295.363</v>
      </c>
      <c r="I9" s="14" t="n">
        <v>24554.42</v>
      </c>
      <c r="J9" s="14" t="n">
        <v>16628.81</v>
      </c>
      <c r="K9" s="15" t="n">
        <v>0.8511</v>
      </c>
      <c r="L9" s="15" t="n">
        <v>0.5764</v>
      </c>
      <c r="M9" s="29" t="n">
        <v>28</v>
      </c>
    </row>
    <row r="10" customFormat="false" ht="15" hidden="false" customHeight="false" outlineLevel="0" collapsed="false">
      <c r="A10" s="24" t="n">
        <v>10704</v>
      </c>
      <c r="B10" s="8" t="s">
        <v>465</v>
      </c>
      <c r="C10" s="25" t="n">
        <v>1003</v>
      </c>
      <c r="D10" s="25" t="n">
        <v>1003</v>
      </c>
      <c r="E10" s="10" t="n">
        <v>0</v>
      </c>
      <c r="F10" s="10" t="n">
        <v>11612.33</v>
      </c>
      <c r="G10" s="10" t="n">
        <v>11612.33</v>
      </c>
      <c r="H10" s="10" t="n">
        <v>4496.1866</v>
      </c>
      <c r="I10" s="10" t="n">
        <v>7116.14</v>
      </c>
      <c r="J10" s="10" t="n">
        <v>3875.18</v>
      </c>
      <c r="K10" s="11" t="n">
        <v>0.6128</v>
      </c>
      <c r="L10" s="11" t="n">
        <v>0.3337</v>
      </c>
      <c r="M10" s="26" t="n">
        <v>47.81</v>
      </c>
    </row>
    <row r="11" customFormat="false" ht="15" hidden="false" customHeight="false" outlineLevel="0" collapsed="false">
      <c r="A11" s="27" t="n">
        <v>52674</v>
      </c>
      <c r="B11" s="12" t="s">
        <v>207</v>
      </c>
      <c r="C11" s="28" t="n">
        <v>2170</v>
      </c>
      <c r="D11" s="28" t="n">
        <v>2170</v>
      </c>
      <c r="E11" s="14" t="n">
        <v>8029</v>
      </c>
      <c r="F11" s="14" t="n">
        <v>0</v>
      </c>
      <c r="G11" s="14" t="n">
        <v>8029</v>
      </c>
      <c r="H11" s="14" t="n">
        <v>6076</v>
      </c>
      <c r="I11" s="14" t="n">
        <v>1953</v>
      </c>
      <c r="J11" s="14" t="n">
        <v>968.64</v>
      </c>
      <c r="K11" s="15" t="n">
        <v>0.2432</v>
      </c>
      <c r="L11" s="15" t="n">
        <v>0.1206</v>
      </c>
      <c r="M11" s="29" t="n">
        <v>7</v>
      </c>
    </row>
    <row r="12" customFormat="false" ht="15" hidden="false" customHeight="false" outlineLevel="0" collapsed="false">
      <c r="A12" s="24" t="n">
        <v>52676</v>
      </c>
      <c r="B12" s="8" t="s">
        <v>208</v>
      </c>
      <c r="C12" s="25" t="n">
        <v>1447.7</v>
      </c>
      <c r="D12" s="25" t="n">
        <v>1447.7</v>
      </c>
      <c r="E12" s="10" t="n">
        <v>289.54</v>
      </c>
      <c r="F12" s="10" t="n">
        <v>0</v>
      </c>
      <c r="G12" s="10" t="n">
        <v>289.54</v>
      </c>
      <c r="H12" s="10" t="n">
        <v>72.385</v>
      </c>
      <c r="I12" s="10" t="n">
        <v>217.16</v>
      </c>
      <c r="J12" s="10" t="n">
        <v>181.66</v>
      </c>
      <c r="K12" s="11" t="n">
        <v>0.75</v>
      </c>
      <c r="L12" s="11" t="n">
        <v>0.6274</v>
      </c>
      <c r="M12" s="26" t="n">
        <v>7</v>
      </c>
    </row>
    <row r="13" customFormat="false" ht="15" hidden="false" customHeight="false" outlineLevel="0" collapsed="false">
      <c r="A13" s="27" t="n">
        <v>55954</v>
      </c>
      <c r="B13" s="12" t="s">
        <v>505</v>
      </c>
      <c r="C13" s="28" t="n">
        <v>24</v>
      </c>
      <c r="D13" s="28" t="n">
        <v>24</v>
      </c>
      <c r="E13" s="14" t="n">
        <v>0</v>
      </c>
      <c r="F13" s="14" t="n">
        <v>96</v>
      </c>
      <c r="G13" s="14" t="n">
        <v>96</v>
      </c>
      <c r="H13" s="14" t="n">
        <v>87.1992</v>
      </c>
      <c r="I13" s="14" t="n">
        <v>8.8</v>
      </c>
      <c r="J13" s="14" t="n">
        <v>-17.57</v>
      </c>
      <c r="K13" s="15" t="n">
        <v>0.0917</v>
      </c>
      <c r="L13" s="15" t="n">
        <v>-0.183</v>
      </c>
      <c r="M13" s="29" t="n">
        <v>30</v>
      </c>
    </row>
    <row r="14" customFormat="false" ht="15" hidden="false" customHeight="false" outlineLevel="0" collapsed="false">
      <c r="A14" s="24" t="n">
        <v>56047</v>
      </c>
      <c r="B14" s="8" t="s">
        <v>506</v>
      </c>
      <c r="C14" s="25" t="n">
        <v>1089</v>
      </c>
      <c r="D14" s="25" t="n">
        <v>1089</v>
      </c>
      <c r="E14" s="10" t="n">
        <v>0</v>
      </c>
      <c r="F14" s="10" t="n">
        <v>3245.22</v>
      </c>
      <c r="G14" s="10" t="n">
        <v>3245.22</v>
      </c>
      <c r="H14" s="10" t="n">
        <v>1810.3536</v>
      </c>
      <c r="I14" s="10" t="n">
        <v>1434.87</v>
      </c>
      <c r="J14" s="10" t="n">
        <v>543.34</v>
      </c>
      <c r="K14" s="11" t="n">
        <v>0.4421</v>
      </c>
      <c r="L14" s="11" t="n">
        <v>0.1674</v>
      </c>
      <c r="M14" s="26" t="n">
        <v>49.69</v>
      </c>
    </row>
    <row r="15" customFormat="false" ht="15" hidden="false" customHeight="false" outlineLevel="0" collapsed="false">
      <c r="A15" s="27" t="n">
        <v>56365</v>
      </c>
      <c r="B15" s="12" t="s">
        <v>507</v>
      </c>
      <c r="C15" s="28" t="n">
        <v>24</v>
      </c>
      <c r="D15" s="28" t="n">
        <v>24</v>
      </c>
      <c r="E15" s="14" t="n">
        <v>0</v>
      </c>
      <c r="F15" s="14" t="n">
        <v>192</v>
      </c>
      <c r="G15" s="14" t="n">
        <v>192</v>
      </c>
      <c r="H15" s="14" t="n">
        <v>189.6696</v>
      </c>
      <c r="I15" s="14" t="n">
        <v>2.33</v>
      </c>
      <c r="J15" s="14" t="n">
        <v>-50.42</v>
      </c>
      <c r="K15" s="15" t="n">
        <v>0.0121</v>
      </c>
      <c r="L15" s="15" t="n">
        <v>-0.2626</v>
      </c>
      <c r="M15" s="29" t="n">
        <v>30</v>
      </c>
    </row>
    <row r="16" customFormat="false" ht="15" hidden="false" customHeight="false" outlineLevel="0" collapsed="false">
      <c r="A16" s="24" t="n">
        <v>57502</v>
      </c>
      <c r="B16" s="8" t="s">
        <v>234</v>
      </c>
      <c r="C16" s="25" t="n">
        <v>9857.1</v>
      </c>
      <c r="D16" s="25" t="n">
        <v>9857.1</v>
      </c>
      <c r="E16" s="10" t="n">
        <v>6324.95</v>
      </c>
      <c r="F16" s="10" t="n">
        <v>0</v>
      </c>
      <c r="G16" s="10" t="n">
        <v>6324.95</v>
      </c>
      <c r="H16" s="10" t="n">
        <v>0</v>
      </c>
      <c r="I16" s="10" t="n">
        <v>6324.95</v>
      </c>
      <c r="J16" s="10" t="n">
        <v>6324.95</v>
      </c>
      <c r="K16" s="11" t="n">
        <v>1</v>
      </c>
      <c r="L16" s="11" t="n">
        <v>1</v>
      </c>
      <c r="M16" s="26" t="n">
        <v>7</v>
      </c>
    </row>
    <row r="17" customFormat="false" ht="15" hidden="false" customHeight="false" outlineLevel="0" collapsed="false">
      <c r="A17" s="27" t="n">
        <v>57798</v>
      </c>
      <c r="B17" s="12" t="s">
        <v>541</v>
      </c>
      <c r="C17" s="28" t="n">
        <v>17</v>
      </c>
      <c r="D17" s="28" t="n">
        <v>17</v>
      </c>
      <c r="E17" s="14" t="n">
        <v>3024</v>
      </c>
      <c r="F17" s="14" t="n">
        <v>4320</v>
      </c>
      <c r="G17" s="14" t="n">
        <v>7344</v>
      </c>
      <c r="H17" s="14" t="n">
        <v>2160.2198</v>
      </c>
      <c r="I17" s="14" t="n">
        <v>5183.78</v>
      </c>
      <c r="J17" s="14" t="n">
        <v>2947.71</v>
      </c>
      <c r="K17" s="15" t="n">
        <v>0.7059</v>
      </c>
      <c r="L17" s="15" t="n">
        <v>0.4014</v>
      </c>
      <c r="M17" s="29" t="n">
        <v>38.24</v>
      </c>
    </row>
    <row r="18" customFormat="false" ht="15" hidden="false" customHeight="false" outlineLevel="0" collapsed="false">
      <c r="A18" s="24" t="n">
        <v>57799</v>
      </c>
      <c r="B18" s="8" t="s">
        <v>542</v>
      </c>
      <c r="C18" s="25" t="n">
        <v>17</v>
      </c>
      <c r="D18" s="25" t="n">
        <v>17</v>
      </c>
      <c r="E18" s="10" t="n">
        <v>642.6</v>
      </c>
      <c r="F18" s="10" t="n">
        <v>918</v>
      </c>
      <c r="G18" s="10" t="n">
        <v>1560.6</v>
      </c>
      <c r="H18" s="10" t="n">
        <v>386.5602</v>
      </c>
      <c r="I18" s="10" t="n">
        <v>1174.04</v>
      </c>
      <c r="J18" s="10" t="n">
        <v>698.87</v>
      </c>
      <c r="K18" s="11" t="n">
        <v>0.7523</v>
      </c>
      <c r="L18" s="11" t="n">
        <v>0.4478</v>
      </c>
      <c r="M18" s="26" t="n">
        <v>38.24</v>
      </c>
    </row>
    <row r="19" customFormat="false" ht="15" hidden="false" customHeight="false" outlineLevel="0" collapsed="false">
      <c r="A19" s="27" t="n">
        <v>90006</v>
      </c>
      <c r="B19" s="12" t="s">
        <v>447</v>
      </c>
      <c r="C19" s="28" t="n">
        <v>28</v>
      </c>
      <c r="D19" s="28" t="n">
        <v>28</v>
      </c>
      <c r="E19" s="14" t="n">
        <v>0</v>
      </c>
      <c r="F19" s="14" t="n">
        <v>80126.37</v>
      </c>
      <c r="G19" s="14" t="n">
        <v>80126.37</v>
      </c>
      <c r="H19" s="14" t="n">
        <v>42250.26</v>
      </c>
      <c r="I19" s="14" t="n">
        <v>37876.11</v>
      </c>
      <c r="J19" s="14" t="n">
        <v>25888.26</v>
      </c>
      <c r="K19" s="15" t="n">
        <v>0.4727</v>
      </c>
      <c r="L19" s="15" t="n">
        <v>0.3231</v>
      </c>
      <c r="M19" s="29" t="n">
        <v>47.19</v>
      </c>
    </row>
    <row r="20" customFormat="false" ht="15" hidden="false" customHeight="false" outlineLevel="0" collapsed="false">
      <c r="A20" s="24" t="n">
        <v>90027</v>
      </c>
      <c r="B20" s="8" t="s">
        <v>467</v>
      </c>
      <c r="C20" s="25" t="n">
        <v>22</v>
      </c>
      <c r="D20" s="25" t="n">
        <v>22</v>
      </c>
      <c r="E20" s="10" t="n">
        <v>0</v>
      </c>
      <c r="F20" s="10" t="n">
        <v>4840</v>
      </c>
      <c r="G20" s="10" t="n">
        <v>4840</v>
      </c>
      <c r="H20" s="10" t="n">
        <v>3034.2904</v>
      </c>
      <c r="I20" s="10" t="n">
        <v>1805.71</v>
      </c>
      <c r="J20" s="10" t="n">
        <v>774.52</v>
      </c>
      <c r="K20" s="11" t="n">
        <v>0.3731</v>
      </c>
      <c r="L20" s="11" t="n">
        <v>0.16</v>
      </c>
      <c r="M20" s="26" t="n">
        <v>58.64</v>
      </c>
    </row>
    <row r="21" customFormat="false" ht="15" hidden="false" customHeight="false" outlineLevel="0" collapsed="false">
      <c r="A21" s="27" t="n">
        <v>90103</v>
      </c>
      <c r="B21" s="12" t="s">
        <v>468</v>
      </c>
      <c r="C21" s="28" t="n">
        <v>19</v>
      </c>
      <c r="D21" s="28" t="n">
        <v>19</v>
      </c>
      <c r="E21" s="14" t="n">
        <v>714.44</v>
      </c>
      <c r="F21" s="14" t="n">
        <v>48883</v>
      </c>
      <c r="G21" s="14" t="n">
        <v>49597.44</v>
      </c>
      <c r="H21" s="14" t="n">
        <v>21255.05</v>
      </c>
      <c r="I21" s="14" t="n">
        <v>28342.39</v>
      </c>
      <c r="J21" s="14" t="n">
        <v>14824.67</v>
      </c>
      <c r="K21" s="15" t="n">
        <v>0.5714</v>
      </c>
      <c r="L21" s="15" t="n">
        <v>0.2989</v>
      </c>
      <c r="M21" s="29" t="n">
        <v>38.39</v>
      </c>
    </row>
    <row r="22" customFormat="false" ht="15" hidden="false" customHeight="false" outlineLevel="0" collapsed="false">
      <c r="A22" s="24" t="n">
        <v>90144</v>
      </c>
      <c r="B22" s="8" t="s">
        <v>469</v>
      </c>
      <c r="C22" s="25" t="n">
        <v>30</v>
      </c>
      <c r="D22" s="25" t="n">
        <v>30</v>
      </c>
      <c r="E22" s="10" t="n">
        <v>0</v>
      </c>
      <c r="F22" s="10" t="n">
        <v>3180</v>
      </c>
      <c r="G22" s="10" t="n">
        <v>3180</v>
      </c>
      <c r="H22" s="10" t="n">
        <v>1504.611</v>
      </c>
      <c r="I22" s="10" t="n">
        <v>1675.39</v>
      </c>
      <c r="J22" s="10" t="n">
        <v>997.87</v>
      </c>
      <c r="K22" s="11" t="n">
        <v>0.5269</v>
      </c>
      <c r="L22" s="11" t="n">
        <v>0.3138</v>
      </c>
      <c r="M22" s="26" t="n">
        <v>60</v>
      </c>
    </row>
    <row r="23" customFormat="false" ht="15" hidden="false" customHeight="false" outlineLevel="0" collapsed="false">
      <c r="A23" s="27" t="n">
        <v>90172</v>
      </c>
      <c r="B23" s="12" t="s">
        <v>509</v>
      </c>
      <c r="C23" s="28" t="n">
        <v>4</v>
      </c>
      <c r="D23" s="28" t="n">
        <v>4</v>
      </c>
      <c r="E23" s="14" t="n">
        <v>292</v>
      </c>
      <c r="F23" s="14" t="n">
        <v>0</v>
      </c>
      <c r="G23" s="14" t="n">
        <v>292</v>
      </c>
      <c r="H23" s="14" t="n">
        <v>173.81</v>
      </c>
      <c r="I23" s="14" t="n">
        <v>118.19</v>
      </c>
      <c r="J23" s="14" t="n">
        <v>37.97</v>
      </c>
      <c r="K23" s="15" t="n">
        <v>0.4048</v>
      </c>
      <c r="L23" s="15" t="n">
        <v>0.13</v>
      </c>
      <c r="M23" s="29" t="n">
        <v>7</v>
      </c>
    </row>
    <row r="24" customFormat="false" ht="15" hidden="false" customHeight="false" outlineLevel="0" collapsed="false">
      <c r="A24" s="24" t="n">
        <v>90173</v>
      </c>
      <c r="B24" s="8" t="s">
        <v>543</v>
      </c>
      <c r="C24" s="25" t="n">
        <v>62</v>
      </c>
      <c r="D24" s="25" t="n">
        <v>62</v>
      </c>
      <c r="E24" s="10" t="n">
        <v>3001.22</v>
      </c>
      <c r="F24" s="10" t="n">
        <v>453.5</v>
      </c>
      <c r="G24" s="10" t="n">
        <v>3454.72</v>
      </c>
      <c r="H24" s="10" t="n">
        <v>2474.5705</v>
      </c>
      <c r="I24" s="10" t="n">
        <v>980.15</v>
      </c>
      <c r="J24" s="10" t="n">
        <v>-214.01</v>
      </c>
      <c r="K24" s="11" t="n">
        <v>0.2837</v>
      </c>
      <c r="L24" s="11" t="n">
        <v>-0.0619</v>
      </c>
      <c r="M24" s="26" t="n">
        <v>55.14</v>
      </c>
    </row>
    <row r="25" customFormat="false" ht="15" hidden="false" customHeight="false" outlineLevel="0" collapsed="false">
      <c r="A25" s="27" t="n">
        <v>90238</v>
      </c>
      <c r="B25" s="12" t="s">
        <v>471</v>
      </c>
      <c r="C25" s="28" t="n">
        <v>610</v>
      </c>
      <c r="D25" s="28" t="n">
        <v>610</v>
      </c>
      <c r="E25" s="14" t="n">
        <v>0</v>
      </c>
      <c r="F25" s="14" t="n">
        <v>1849</v>
      </c>
      <c r="G25" s="14" t="n">
        <v>1849</v>
      </c>
      <c r="H25" s="14" t="n">
        <v>148806.79</v>
      </c>
      <c r="I25" s="14" t="n">
        <v>-146957.79</v>
      </c>
      <c r="J25" s="14" t="n">
        <v>-147465.75</v>
      </c>
      <c r="K25" s="15" t="n">
        <v>-79.4796</v>
      </c>
      <c r="L25" s="15" t="n">
        <v>-79.7543</v>
      </c>
      <c r="M25" s="29" t="n">
        <v>30</v>
      </c>
    </row>
    <row r="26" customFormat="false" ht="15" hidden="false" customHeight="false" outlineLevel="0" collapsed="false">
      <c r="A26" s="24" t="n">
        <v>90297</v>
      </c>
      <c r="B26" s="8" t="s">
        <v>509</v>
      </c>
      <c r="C26" s="25" t="n">
        <v>121</v>
      </c>
      <c r="D26" s="25" t="n">
        <v>121</v>
      </c>
      <c r="E26" s="10" t="n">
        <v>0</v>
      </c>
      <c r="F26" s="10" t="n">
        <v>51779.2</v>
      </c>
      <c r="G26" s="10" t="n">
        <v>51779.2</v>
      </c>
      <c r="H26" s="10" t="n">
        <v>30556.7421</v>
      </c>
      <c r="I26" s="10" t="n">
        <v>21222.46</v>
      </c>
      <c r="J26" s="10" t="n">
        <v>6997.68</v>
      </c>
      <c r="K26" s="11" t="n">
        <v>0.4099</v>
      </c>
      <c r="L26" s="11" t="n">
        <v>0.1351</v>
      </c>
      <c r="M26" s="26" t="n">
        <v>55.44</v>
      </c>
    </row>
    <row r="27" customFormat="false" ht="15" hidden="false" customHeight="false" outlineLevel="0" collapsed="false">
      <c r="A27" s="27" t="n">
        <v>90304</v>
      </c>
      <c r="B27" s="12" t="s">
        <v>488</v>
      </c>
      <c r="C27" s="28" t="n">
        <v>2</v>
      </c>
      <c r="D27" s="28" t="n">
        <v>2</v>
      </c>
      <c r="E27" s="14" t="n">
        <v>0</v>
      </c>
      <c r="F27" s="14" t="n">
        <v>486</v>
      </c>
      <c r="G27" s="14" t="n">
        <v>486</v>
      </c>
      <c r="H27" s="14" t="n">
        <v>255.61</v>
      </c>
      <c r="I27" s="14" t="n">
        <v>230.39</v>
      </c>
      <c r="J27" s="14" t="n">
        <v>96.88</v>
      </c>
      <c r="K27" s="15" t="n">
        <v>0.4741</v>
      </c>
      <c r="L27" s="15" t="n">
        <v>0.1993</v>
      </c>
      <c r="M27" s="29" t="n">
        <v>53</v>
      </c>
    </row>
    <row r="28" customFormat="false" ht="15" hidden="false" customHeight="false" outlineLevel="0" collapsed="false">
      <c r="A28" s="24" t="n">
        <v>90363</v>
      </c>
      <c r="B28" s="8" t="s">
        <v>472</v>
      </c>
      <c r="C28" s="25" t="n">
        <v>127</v>
      </c>
      <c r="D28" s="25" t="n">
        <v>127</v>
      </c>
      <c r="E28" s="10" t="n">
        <v>0</v>
      </c>
      <c r="F28" s="10" t="n">
        <v>48421</v>
      </c>
      <c r="G28" s="10" t="n">
        <v>48421</v>
      </c>
      <c r="H28" s="10" t="n">
        <v>355399.8282</v>
      </c>
      <c r="I28" s="10" t="n">
        <v>-306978.83</v>
      </c>
      <c r="J28" s="10" t="n">
        <v>-320281.04</v>
      </c>
      <c r="K28" s="11" t="n">
        <v>-6.3398</v>
      </c>
      <c r="L28" s="11" t="n">
        <v>-6.6145</v>
      </c>
      <c r="M28" s="26" t="n">
        <v>75</v>
      </c>
    </row>
    <row r="29" customFormat="false" ht="15" hidden="false" customHeight="false" outlineLevel="0" collapsed="false">
      <c r="A29" s="27" t="n">
        <v>90371</v>
      </c>
      <c r="B29" s="12" t="s">
        <v>473</v>
      </c>
      <c r="C29" s="28" t="n">
        <v>2283</v>
      </c>
      <c r="D29" s="28" t="n">
        <v>2283</v>
      </c>
      <c r="E29" s="14" t="n">
        <v>0</v>
      </c>
      <c r="F29" s="14" t="n">
        <v>9324.81</v>
      </c>
      <c r="G29" s="14" t="n">
        <v>9324.81</v>
      </c>
      <c r="H29" s="14" t="n">
        <v>2842.9606</v>
      </c>
      <c r="I29" s="14" t="n">
        <v>6481.85</v>
      </c>
      <c r="J29" s="14" t="n">
        <v>3920.17</v>
      </c>
      <c r="K29" s="15" t="n">
        <v>0.6951</v>
      </c>
      <c r="L29" s="15" t="n">
        <v>0.4204</v>
      </c>
      <c r="M29" s="29" t="n">
        <v>38.78</v>
      </c>
    </row>
    <row r="30" customFormat="false" ht="15" hidden="false" customHeight="false" outlineLevel="0" collapsed="false">
      <c r="A30" s="24" t="n">
        <v>90377</v>
      </c>
      <c r="B30" s="8" t="s">
        <v>544</v>
      </c>
      <c r="C30" s="25" t="n">
        <v>10</v>
      </c>
      <c r="D30" s="25" t="n">
        <v>10</v>
      </c>
      <c r="E30" s="10" t="n">
        <v>0</v>
      </c>
      <c r="F30" s="10" t="n">
        <v>1603.5</v>
      </c>
      <c r="G30" s="10" t="n">
        <v>1603.5</v>
      </c>
      <c r="H30" s="10" t="n">
        <v>164.43</v>
      </c>
      <c r="I30" s="10" t="n">
        <v>1439.07</v>
      </c>
      <c r="J30" s="10" t="n">
        <v>998.56</v>
      </c>
      <c r="K30" s="11" t="n">
        <v>0.8975</v>
      </c>
      <c r="L30" s="11" t="n">
        <v>0.6227</v>
      </c>
      <c r="M30" s="26" t="n">
        <v>40</v>
      </c>
    </row>
    <row r="31" customFormat="false" ht="15" hidden="false" customHeight="false" outlineLevel="0" collapsed="false">
      <c r="A31" s="27" t="n">
        <v>90385</v>
      </c>
      <c r="B31" s="12" t="s">
        <v>474</v>
      </c>
      <c r="C31" s="28" t="n">
        <v>5</v>
      </c>
      <c r="D31" s="28" t="n">
        <v>5</v>
      </c>
      <c r="E31" s="14" t="n">
        <v>1000</v>
      </c>
      <c r="F31" s="14" t="n">
        <v>0</v>
      </c>
      <c r="G31" s="14" t="n">
        <v>1000</v>
      </c>
      <c r="H31" s="14" t="n">
        <v>651.12</v>
      </c>
      <c r="I31" s="14" t="n">
        <v>348.88</v>
      </c>
      <c r="J31" s="14" t="n">
        <v>74.16</v>
      </c>
      <c r="K31" s="15" t="n">
        <v>0.3489</v>
      </c>
      <c r="L31" s="15" t="n">
        <v>0.0742</v>
      </c>
      <c r="M31" s="29" t="n">
        <v>7</v>
      </c>
    </row>
    <row r="32" customFormat="false" ht="15" hidden="false" customHeight="false" outlineLevel="0" collapsed="false">
      <c r="A32" s="24" t="n">
        <v>90392</v>
      </c>
      <c r="B32" s="8" t="s">
        <v>475</v>
      </c>
      <c r="C32" s="25" t="n">
        <v>120</v>
      </c>
      <c r="D32" s="25" t="n">
        <v>120</v>
      </c>
      <c r="E32" s="10" t="n">
        <v>0</v>
      </c>
      <c r="F32" s="10" t="n">
        <v>5533.95</v>
      </c>
      <c r="G32" s="10" t="n">
        <v>5533.95</v>
      </c>
      <c r="H32" s="10" t="n">
        <v>2565.72</v>
      </c>
      <c r="I32" s="10" t="n">
        <v>2968.23</v>
      </c>
      <c r="J32" s="10" t="n">
        <v>1714.55</v>
      </c>
      <c r="K32" s="11" t="n">
        <v>0.5364</v>
      </c>
      <c r="L32" s="11" t="n">
        <v>0.3098</v>
      </c>
      <c r="M32" s="26" t="n">
        <v>60</v>
      </c>
    </row>
    <row r="33" customFormat="false" ht="15" hidden="false" customHeight="false" outlineLevel="0" collapsed="false">
      <c r="A33" s="27" t="n">
        <v>90401</v>
      </c>
      <c r="B33" s="12" t="s">
        <v>473</v>
      </c>
      <c r="C33" s="28" t="n">
        <v>1048</v>
      </c>
      <c r="D33" s="28" t="n">
        <v>1048</v>
      </c>
      <c r="E33" s="14" t="n">
        <v>0</v>
      </c>
      <c r="F33" s="14" t="n">
        <v>29684.48</v>
      </c>
      <c r="G33" s="14" t="n">
        <v>29684.48</v>
      </c>
      <c r="H33" s="14" t="n">
        <v>7869.4374</v>
      </c>
      <c r="I33" s="14" t="n">
        <v>21815.05</v>
      </c>
      <c r="J33" s="14" t="n">
        <v>13660.07</v>
      </c>
      <c r="K33" s="15" t="n">
        <v>0.7349</v>
      </c>
      <c r="L33" s="15" t="n">
        <v>0.4602</v>
      </c>
      <c r="M33" s="29" t="n">
        <v>49.52</v>
      </c>
    </row>
    <row r="34" customFormat="false" ht="15" hidden="false" customHeight="false" outlineLevel="0" collapsed="false">
      <c r="A34" s="24" t="n">
        <v>90405</v>
      </c>
      <c r="B34" s="8" t="s">
        <v>476</v>
      </c>
      <c r="C34" s="25" t="n">
        <v>204</v>
      </c>
      <c r="D34" s="25" t="n">
        <v>204</v>
      </c>
      <c r="E34" s="10" t="n">
        <v>0</v>
      </c>
      <c r="F34" s="10" t="n">
        <v>20160.8</v>
      </c>
      <c r="G34" s="10" t="n">
        <v>20160.8</v>
      </c>
      <c r="H34" s="10" t="n">
        <v>15494.6978</v>
      </c>
      <c r="I34" s="10" t="n">
        <v>4666.1</v>
      </c>
      <c r="J34" s="10" t="n">
        <v>-872.47</v>
      </c>
      <c r="K34" s="11" t="n">
        <v>0.2314</v>
      </c>
      <c r="L34" s="11" t="n">
        <v>-0.0433</v>
      </c>
      <c r="M34" s="26" t="n">
        <v>60</v>
      </c>
    </row>
    <row r="35" customFormat="false" ht="15" hidden="false" customHeight="false" outlineLevel="0" collapsed="false">
      <c r="A35" s="27" t="n">
        <v>90413</v>
      </c>
      <c r="B35" s="12" t="s">
        <v>477</v>
      </c>
      <c r="C35" s="28" t="n">
        <v>24</v>
      </c>
      <c r="D35" s="28" t="n">
        <v>24</v>
      </c>
      <c r="E35" s="14" t="n">
        <v>0</v>
      </c>
      <c r="F35" s="14" t="n">
        <v>3571.2</v>
      </c>
      <c r="G35" s="14" t="n">
        <v>3571.2</v>
      </c>
      <c r="H35" s="14" t="n">
        <v>360</v>
      </c>
      <c r="I35" s="14" t="n">
        <v>3211.2</v>
      </c>
      <c r="J35" s="14" t="n">
        <v>3153.92</v>
      </c>
      <c r="K35" s="15" t="n">
        <v>0.8992</v>
      </c>
      <c r="L35" s="15" t="n">
        <v>0.8832</v>
      </c>
      <c r="M35" s="29" t="n">
        <v>30</v>
      </c>
    </row>
    <row r="36" customFormat="false" ht="15" hidden="false" customHeight="false" outlineLevel="0" collapsed="false">
      <c r="A36" s="24" t="n">
        <v>90418</v>
      </c>
      <c r="B36" s="8" t="s">
        <v>478</v>
      </c>
      <c r="C36" s="25" t="n">
        <v>100</v>
      </c>
      <c r="D36" s="25" t="n">
        <v>100</v>
      </c>
      <c r="E36" s="10" t="n">
        <v>0</v>
      </c>
      <c r="F36" s="10" t="n">
        <v>451.5</v>
      </c>
      <c r="G36" s="10" t="n">
        <v>451.5</v>
      </c>
      <c r="H36" s="10" t="n">
        <v>0</v>
      </c>
      <c r="I36" s="10" t="n">
        <v>451.5</v>
      </c>
      <c r="J36" s="10" t="n">
        <v>451.5</v>
      </c>
      <c r="K36" s="11" t="n">
        <v>1</v>
      </c>
      <c r="L36" s="11" t="n">
        <v>1</v>
      </c>
      <c r="M36" s="26" t="n">
        <v>30</v>
      </c>
    </row>
    <row r="37" customFormat="false" ht="15" hidden="false" customHeight="false" outlineLevel="0" collapsed="false">
      <c r="A37" s="27" t="n">
        <v>90425</v>
      </c>
      <c r="B37" s="12" t="s">
        <v>479</v>
      </c>
      <c r="C37" s="28" t="n">
        <v>806</v>
      </c>
      <c r="D37" s="28" t="n">
        <v>806</v>
      </c>
      <c r="E37" s="14" t="n">
        <v>0</v>
      </c>
      <c r="F37" s="14" t="n">
        <v>36342.86</v>
      </c>
      <c r="G37" s="14" t="n">
        <v>36342.86</v>
      </c>
      <c r="H37" s="14" t="n">
        <v>14564.4274</v>
      </c>
      <c r="I37" s="14" t="n">
        <v>21778.43</v>
      </c>
      <c r="J37" s="14" t="n">
        <v>11794.32</v>
      </c>
      <c r="K37" s="15" t="n">
        <v>0.5992</v>
      </c>
      <c r="L37" s="15" t="n">
        <v>0.3245</v>
      </c>
      <c r="M37" s="29" t="n">
        <v>48.49</v>
      </c>
    </row>
    <row r="38" customFormat="false" ht="15" hidden="false" customHeight="false" outlineLevel="0" collapsed="false">
      <c r="A38" s="24" t="n">
        <v>90428</v>
      </c>
      <c r="B38" s="8" t="s">
        <v>480</v>
      </c>
      <c r="C38" s="25" t="n">
        <v>45</v>
      </c>
      <c r="D38" s="25" t="n">
        <v>45</v>
      </c>
      <c r="E38" s="10" t="n">
        <v>0</v>
      </c>
      <c r="F38" s="10" t="n">
        <v>1439.83</v>
      </c>
      <c r="G38" s="10" t="n">
        <v>1439.83</v>
      </c>
      <c r="H38" s="10" t="n">
        <v>363.0699</v>
      </c>
      <c r="I38" s="10" t="n">
        <v>1076.76</v>
      </c>
      <c r="J38" s="10" t="n">
        <v>681.22</v>
      </c>
      <c r="K38" s="11" t="n">
        <v>0.7478</v>
      </c>
      <c r="L38" s="11" t="n">
        <v>0.4731</v>
      </c>
      <c r="M38" s="26" t="n">
        <v>29.81</v>
      </c>
    </row>
    <row r="39" customFormat="false" ht="15" hidden="false" customHeight="false" outlineLevel="0" collapsed="false">
      <c r="A39" s="27" t="n">
        <v>90436</v>
      </c>
      <c r="B39" s="12" t="s">
        <v>481</v>
      </c>
      <c r="C39" s="28" t="n">
        <v>1243</v>
      </c>
      <c r="D39" s="28" t="n">
        <v>1243</v>
      </c>
      <c r="E39" s="14" t="n">
        <v>0</v>
      </c>
      <c r="F39" s="14" t="n">
        <v>40865.16</v>
      </c>
      <c r="G39" s="14" t="n">
        <v>40865.16</v>
      </c>
      <c r="H39" s="14" t="n">
        <v>0</v>
      </c>
      <c r="I39" s="14" t="n">
        <v>40865.16</v>
      </c>
      <c r="J39" s="14" t="n">
        <v>40865.16</v>
      </c>
      <c r="K39" s="15" t="n">
        <v>1</v>
      </c>
      <c r="L39" s="15" t="n">
        <v>1</v>
      </c>
      <c r="M39" s="29" t="n">
        <v>53.85</v>
      </c>
    </row>
    <row r="40" customFormat="false" ht="15" hidden="false" customHeight="false" outlineLevel="0" collapsed="false">
      <c r="A40" s="24" t="n">
        <v>90440</v>
      </c>
      <c r="B40" s="8" t="s">
        <v>482</v>
      </c>
      <c r="C40" s="25" t="n">
        <v>5599</v>
      </c>
      <c r="D40" s="25" t="n">
        <v>5599</v>
      </c>
      <c r="E40" s="10" t="n">
        <v>0</v>
      </c>
      <c r="F40" s="10" t="n">
        <v>87877.14</v>
      </c>
      <c r="G40" s="10" t="n">
        <v>87877.14</v>
      </c>
      <c r="H40" s="10" t="n">
        <v>16597.2428</v>
      </c>
      <c r="I40" s="10" t="n">
        <v>71279.91</v>
      </c>
      <c r="J40" s="10" t="n">
        <v>47138.29</v>
      </c>
      <c r="K40" s="11" t="n">
        <v>0.8111</v>
      </c>
      <c r="L40" s="11" t="n">
        <v>0.5364</v>
      </c>
      <c r="M40" s="26" t="n">
        <v>29.39</v>
      </c>
    </row>
    <row r="41" customFormat="false" ht="15" hidden="false" customHeight="false" outlineLevel="0" collapsed="false">
      <c r="A41" s="27" t="n">
        <v>90446</v>
      </c>
      <c r="B41" s="12" t="s">
        <v>484</v>
      </c>
      <c r="C41" s="28" t="n">
        <v>460</v>
      </c>
      <c r="D41" s="28" t="n">
        <v>460</v>
      </c>
      <c r="E41" s="14" t="n">
        <v>0</v>
      </c>
      <c r="F41" s="14" t="n">
        <v>1784.8</v>
      </c>
      <c r="G41" s="14" t="n">
        <v>1784.8</v>
      </c>
      <c r="H41" s="14" t="n">
        <v>24414.66</v>
      </c>
      <c r="I41" s="14" t="n">
        <v>-22629.86</v>
      </c>
      <c r="J41" s="14" t="n">
        <v>-23120.18</v>
      </c>
      <c r="K41" s="15" t="n">
        <v>-12.6792</v>
      </c>
      <c r="L41" s="15" t="n">
        <v>-12.9539</v>
      </c>
      <c r="M41" s="29" t="n">
        <v>42.96</v>
      </c>
    </row>
    <row r="42" customFormat="false" ht="15" hidden="false" customHeight="false" outlineLevel="0" collapsed="false">
      <c r="A42" s="24" t="n">
        <v>90453</v>
      </c>
      <c r="B42" s="8" t="s">
        <v>485</v>
      </c>
      <c r="C42" s="25" t="n">
        <v>50</v>
      </c>
      <c r="D42" s="25" t="n">
        <v>50</v>
      </c>
      <c r="E42" s="10" t="n">
        <v>0</v>
      </c>
      <c r="F42" s="10" t="n">
        <v>236.5</v>
      </c>
      <c r="G42" s="10" t="n">
        <v>236.5</v>
      </c>
      <c r="H42" s="10" t="n">
        <v>46.16</v>
      </c>
      <c r="I42" s="10" t="n">
        <v>190.34</v>
      </c>
      <c r="J42" s="10" t="n">
        <v>125.37</v>
      </c>
      <c r="K42" s="11" t="n">
        <v>0.8048</v>
      </c>
      <c r="L42" s="11" t="n">
        <v>0.5301</v>
      </c>
      <c r="M42" s="26" t="n">
        <v>21</v>
      </c>
    </row>
    <row r="43" customFormat="false" ht="15" hidden="false" customHeight="false" outlineLevel="0" collapsed="false">
      <c r="A43" s="27" t="n">
        <v>90476</v>
      </c>
      <c r="B43" s="12" t="s">
        <v>477</v>
      </c>
      <c r="C43" s="28" t="n">
        <v>317</v>
      </c>
      <c r="D43" s="28" t="n">
        <v>317</v>
      </c>
      <c r="E43" s="14" t="n">
        <v>1846.51</v>
      </c>
      <c r="F43" s="14" t="n">
        <v>13807.5</v>
      </c>
      <c r="G43" s="14" t="n">
        <v>15654.01</v>
      </c>
      <c r="H43" s="14" t="n">
        <v>3848.79</v>
      </c>
      <c r="I43" s="14" t="n">
        <v>11805.22</v>
      </c>
      <c r="J43" s="14" t="n">
        <v>7504.76</v>
      </c>
      <c r="K43" s="15" t="n">
        <v>0.7541</v>
      </c>
      <c r="L43" s="15" t="n">
        <v>0.4794</v>
      </c>
      <c r="M43" s="29" t="n">
        <v>7</v>
      </c>
    </row>
    <row r="44" customFormat="false" ht="15" hidden="false" customHeight="false" outlineLevel="0" collapsed="false">
      <c r="A44" s="24" t="n">
        <v>90480</v>
      </c>
      <c r="B44" s="8" t="s">
        <v>545</v>
      </c>
      <c r="C44" s="25" t="n">
        <v>1000</v>
      </c>
      <c r="D44" s="25" t="n">
        <v>1000</v>
      </c>
      <c r="E44" s="10" t="n">
        <v>0</v>
      </c>
      <c r="F44" s="10" t="n">
        <v>2310</v>
      </c>
      <c r="G44" s="10" t="n">
        <v>2310</v>
      </c>
      <c r="H44" s="10" t="n">
        <v>1346.4</v>
      </c>
      <c r="I44" s="10" t="n">
        <v>963.6</v>
      </c>
      <c r="J44" s="10" t="n">
        <v>329</v>
      </c>
      <c r="K44" s="11" t="n">
        <v>0.4171</v>
      </c>
      <c r="L44" s="11" t="n">
        <v>0.1424</v>
      </c>
      <c r="M44" s="26" t="n">
        <v>60</v>
      </c>
    </row>
    <row r="45" customFormat="false" ht="15" hidden="false" customHeight="false" outlineLevel="0" collapsed="false">
      <c r="A45" s="27" t="n">
        <v>90506</v>
      </c>
      <c r="B45" s="12" t="s">
        <v>473</v>
      </c>
      <c r="C45" s="28" t="n">
        <v>980</v>
      </c>
      <c r="D45" s="28" t="n">
        <v>980</v>
      </c>
      <c r="E45" s="14" t="n">
        <v>0</v>
      </c>
      <c r="F45" s="14" t="n">
        <v>30689.42</v>
      </c>
      <c r="G45" s="14" t="n">
        <v>30689.42</v>
      </c>
      <c r="H45" s="14" t="n">
        <v>11402.4277</v>
      </c>
      <c r="I45" s="14" t="n">
        <v>19287</v>
      </c>
      <c r="J45" s="14" t="n">
        <v>10855.99</v>
      </c>
      <c r="K45" s="15" t="n">
        <v>0.6285</v>
      </c>
      <c r="L45" s="15" t="n">
        <v>0.3537</v>
      </c>
      <c r="M45" s="29" t="n">
        <v>49.16</v>
      </c>
    </row>
    <row r="46" customFormat="false" ht="15" hidden="false" customHeight="false" outlineLevel="0" collapsed="false">
      <c r="A46" s="24" t="n">
        <v>90552</v>
      </c>
      <c r="B46" s="8" t="s">
        <v>487</v>
      </c>
      <c r="C46" s="25" t="n">
        <v>97</v>
      </c>
      <c r="D46" s="25" t="n">
        <v>97</v>
      </c>
      <c r="E46" s="10" t="n">
        <v>0</v>
      </c>
      <c r="F46" s="10" t="n">
        <v>9942.5</v>
      </c>
      <c r="G46" s="10" t="n">
        <v>9942.5</v>
      </c>
      <c r="H46" s="10" t="n">
        <v>3050.52</v>
      </c>
      <c r="I46" s="10" t="n">
        <v>6891.98</v>
      </c>
      <c r="J46" s="10" t="n">
        <v>4160.57</v>
      </c>
      <c r="K46" s="11" t="n">
        <v>0.6932</v>
      </c>
      <c r="L46" s="11" t="n">
        <v>0.4185</v>
      </c>
      <c r="M46" s="26" t="n">
        <v>30</v>
      </c>
    </row>
    <row r="47" customFormat="false" ht="15" hidden="false" customHeight="false" outlineLevel="0" collapsed="false">
      <c r="A47" s="27" t="n">
        <v>90584</v>
      </c>
      <c r="B47" s="12" t="s">
        <v>489</v>
      </c>
      <c r="C47" s="28" t="n">
        <v>13</v>
      </c>
      <c r="D47" s="28" t="n">
        <v>13</v>
      </c>
      <c r="E47" s="14" t="n">
        <v>0</v>
      </c>
      <c r="F47" s="14" t="n">
        <v>3047.58</v>
      </c>
      <c r="G47" s="14" t="n">
        <v>3047.58</v>
      </c>
      <c r="H47" s="14" t="n">
        <v>2900.09</v>
      </c>
      <c r="I47" s="14" t="n">
        <v>147.49</v>
      </c>
      <c r="J47" s="14" t="n">
        <v>-501.82</v>
      </c>
      <c r="K47" s="15" t="n">
        <v>0.0484</v>
      </c>
      <c r="L47" s="15" t="n">
        <v>-0.1647</v>
      </c>
      <c r="M47" s="29" t="n">
        <v>27.03</v>
      </c>
    </row>
    <row r="48" customFormat="false" ht="15" hidden="false" customHeight="false" outlineLevel="0" collapsed="false">
      <c r="A48" s="24" t="n">
        <v>90605</v>
      </c>
      <c r="B48" s="8" t="s">
        <v>490</v>
      </c>
      <c r="C48" s="25" t="n">
        <v>506</v>
      </c>
      <c r="D48" s="25" t="n">
        <v>506</v>
      </c>
      <c r="E48" s="10" t="n">
        <v>0</v>
      </c>
      <c r="F48" s="10" t="n">
        <v>41035</v>
      </c>
      <c r="G48" s="10" t="n">
        <v>41035</v>
      </c>
      <c r="H48" s="10" t="n">
        <v>0</v>
      </c>
      <c r="I48" s="10" t="n">
        <v>41035</v>
      </c>
      <c r="J48" s="10" t="n">
        <v>41035</v>
      </c>
      <c r="K48" s="11" t="n">
        <v>1</v>
      </c>
      <c r="L48" s="11" t="n">
        <v>1</v>
      </c>
      <c r="M48" s="26" t="n">
        <v>53</v>
      </c>
    </row>
    <row r="49" customFormat="false" ht="15" hidden="false" customHeight="false" outlineLevel="0" collapsed="false">
      <c r="A49" s="27" t="n">
        <v>90606</v>
      </c>
      <c r="B49" s="12" t="s">
        <v>546</v>
      </c>
      <c r="C49" s="28" t="n">
        <v>21</v>
      </c>
      <c r="D49" s="28" t="n">
        <v>21</v>
      </c>
      <c r="E49" s="14" t="n">
        <v>0</v>
      </c>
      <c r="F49" s="14" t="n">
        <v>195.93</v>
      </c>
      <c r="G49" s="14" t="n">
        <v>195.93</v>
      </c>
      <c r="H49" s="14" t="n">
        <v>0</v>
      </c>
      <c r="I49" s="14" t="n">
        <v>195.93</v>
      </c>
      <c r="J49" s="14" t="n">
        <v>195.93</v>
      </c>
      <c r="K49" s="15" t="n">
        <v>1</v>
      </c>
      <c r="L49" s="15" t="n">
        <v>1</v>
      </c>
      <c r="M49" s="29" t="n">
        <v>28</v>
      </c>
    </row>
    <row r="50" customFormat="false" ht="15" hidden="false" customHeight="false" outlineLevel="0" collapsed="false">
      <c r="A50" s="24" t="n">
        <v>90613</v>
      </c>
      <c r="B50" s="8" t="s">
        <v>516</v>
      </c>
      <c r="C50" s="25" t="n">
        <v>1509</v>
      </c>
      <c r="D50" s="25" t="n">
        <v>1509</v>
      </c>
      <c r="E50" s="10" t="n">
        <v>0</v>
      </c>
      <c r="F50" s="10" t="n">
        <v>4117.28</v>
      </c>
      <c r="G50" s="10" t="n">
        <v>4117.28</v>
      </c>
      <c r="H50" s="10" t="n">
        <v>0</v>
      </c>
      <c r="I50" s="10" t="n">
        <v>4117.28</v>
      </c>
      <c r="J50" s="10" t="n">
        <v>4117.28</v>
      </c>
      <c r="K50" s="11" t="n">
        <v>1</v>
      </c>
      <c r="L50" s="11" t="n">
        <v>1</v>
      </c>
      <c r="M50" s="26" t="n">
        <v>46.47</v>
      </c>
    </row>
    <row r="51" customFormat="false" ht="15" hidden="false" customHeight="false" outlineLevel="0" collapsed="false">
      <c r="A51" s="27" t="n">
        <v>90617</v>
      </c>
      <c r="B51" s="12" t="s">
        <v>492</v>
      </c>
      <c r="C51" s="28" t="n">
        <v>978</v>
      </c>
      <c r="D51" s="28" t="n">
        <v>978</v>
      </c>
      <c r="E51" s="14" t="n">
        <v>0</v>
      </c>
      <c r="F51" s="14" t="n">
        <v>43399.81</v>
      </c>
      <c r="G51" s="14" t="n">
        <v>43399.81</v>
      </c>
      <c r="H51" s="14" t="n">
        <v>22873.5891</v>
      </c>
      <c r="I51" s="14" t="n">
        <v>20526.23</v>
      </c>
      <c r="J51" s="14" t="n">
        <v>8603.45</v>
      </c>
      <c r="K51" s="15" t="n">
        <v>0.473</v>
      </c>
      <c r="L51" s="15" t="n">
        <v>0.1982</v>
      </c>
      <c r="M51" s="29" t="n">
        <v>55.29</v>
      </c>
    </row>
    <row r="52" customFormat="false" ht="15" hidden="false" customHeight="false" outlineLevel="0" collapsed="false">
      <c r="A52" s="24" t="n">
        <v>90623</v>
      </c>
      <c r="B52" s="8" t="s">
        <v>473</v>
      </c>
      <c r="C52" s="25" t="n">
        <v>24</v>
      </c>
      <c r="D52" s="25" t="n">
        <v>24</v>
      </c>
      <c r="E52" s="10" t="n">
        <v>0</v>
      </c>
      <c r="F52" s="10" t="n">
        <v>313.64</v>
      </c>
      <c r="G52" s="10" t="n">
        <v>313.64</v>
      </c>
      <c r="H52" s="10" t="n">
        <v>99.37</v>
      </c>
      <c r="I52" s="10" t="n">
        <v>214.27</v>
      </c>
      <c r="J52" s="10" t="n">
        <v>128.11</v>
      </c>
      <c r="K52" s="11" t="n">
        <v>0.6832</v>
      </c>
      <c r="L52" s="11" t="n">
        <v>0.4085</v>
      </c>
      <c r="M52" s="26" t="n">
        <v>31.83</v>
      </c>
    </row>
    <row r="53" customFormat="false" ht="15" hidden="false" customHeight="false" outlineLevel="0" collapsed="false">
      <c r="A53" s="27" t="n">
        <v>90625</v>
      </c>
      <c r="B53" s="12" t="s">
        <v>473</v>
      </c>
      <c r="C53" s="28" t="n">
        <v>805</v>
      </c>
      <c r="D53" s="28" t="n">
        <v>805</v>
      </c>
      <c r="E53" s="14" t="n">
        <v>0</v>
      </c>
      <c r="F53" s="14" t="n">
        <v>17214.38</v>
      </c>
      <c r="G53" s="14" t="n">
        <v>17214.38</v>
      </c>
      <c r="H53" s="14" t="n">
        <v>5376.9326</v>
      </c>
      <c r="I53" s="14" t="n">
        <v>11837.45</v>
      </c>
      <c r="J53" s="14" t="n">
        <v>7108.34</v>
      </c>
      <c r="K53" s="15" t="n">
        <v>0.6876</v>
      </c>
      <c r="L53" s="15" t="n">
        <v>0.4129</v>
      </c>
      <c r="M53" s="29" t="n">
        <v>48.72</v>
      </c>
    </row>
    <row r="54" customFormat="false" ht="15" hidden="false" customHeight="false" outlineLevel="0" collapsed="false">
      <c r="A54" s="24" t="n">
        <v>90629</v>
      </c>
      <c r="B54" s="8" t="s">
        <v>517</v>
      </c>
      <c r="C54" s="25" t="n">
        <v>100</v>
      </c>
      <c r="D54" s="25" t="n">
        <v>100</v>
      </c>
      <c r="E54" s="10" t="n">
        <v>0</v>
      </c>
      <c r="F54" s="10" t="n">
        <v>1062</v>
      </c>
      <c r="G54" s="10" t="n">
        <v>1062</v>
      </c>
      <c r="H54" s="10" t="n">
        <v>43.61</v>
      </c>
      <c r="I54" s="10" t="n">
        <v>1018.39</v>
      </c>
      <c r="J54" s="10" t="n">
        <v>726.64</v>
      </c>
      <c r="K54" s="11" t="n">
        <v>0.9589</v>
      </c>
      <c r="L54" s="11" t="n">
        <v>0.6842</v>
      </c>
      <c r="M54" s="26" t="n">
        <v>28</v>
      </c>
    </row>
    <row r="55" customFormat="false" ht="15" hidden="false" customHeight="false" outlineLevel="0" collapsed="false">
      <c r="A55" s="27" t="n">
        <v>90630</v>
      </c>
      <c r="B55" s="12" t="s">
        <v>493</v>
      </c>
      <c r="C55" s="28" t="n">
        <v>540</v>
      </c>
      <c r="D55" s="28" t="n">
        <v>540</v>
      </c>
      <c r="E55" s="14" t="n">
        <v>0</v>
      </c>
      <c r="F55" s="14" t="n">
        <v>4800.6</v>
      </c>
      <c r="G55" s="14" t="n">
        <v>4800.6</v>
      </c>
      <c r="H55" s="14" t="n">
        <v>207.36</v>
      </c>
      <c r="I55" s="14" t="n">
        <v>4593.24</v>
      </c>
      <c r="J55" s="14" t="n">
        <v>3274.42</v>
      </c>
      <c r="K55" s="15" t="n">
        <v>0.9568</v>
      </c>
      <c r="L55" s="15" t="n">
        <v>0.6821</v>
      </c>
      <c r="M55" s="29" t="n">
        <v>35</v>
      </c>
    </row>
    <row r="56" customFormat="false" ht="15" hidden="false" customHeight="false" outlineLevel="0" collapsed="false">
      <c r="A56" s="24" t="n">
        <v>90636</v>
      </c>
      <c r="B56" s="8" t="s">
        <v>494</v>
      </c>
      <c r="C56" s="25" t="n">
        <v>25</v>
      </c>
      <c r="D56" s="25" t="n">
        <v>25</v>
      </c>
      <c r="E56" s="10" t="n">
        <v>0</v>
      </c>
      <c r="F56" s="10" t="n">
        <v>1620</v>
      </c>
      <c r="G56" s="10" t="n">
        <v>1620</v>
      </c>
      <c r="H56" s="10" t="n">
        <v>125.88</v>
      </c>
      <c r="I56" s="10" t="n">
        <v>1494.12</v>
      </c>
      <c r="J56" s="10" t="n">
        <v>1049.08</v>
      </c>
      <c r="K56" s="11" t="n">
        <v>0.9223</v>
      </c>
      <c r="L56" s="11" t="n">
        <v>0.6476</v>
      </c>
      <c r="M56" s="26" t="n">
        <v>60</v>
      </c>
    </row>
    <row r="57" customFormat="false" ht="15" hidden="false" customHeight="false" outlineLevel="0" collapsed="false">
      <c r="A57" s="27" t="n">
        <v>90640</v>
      </c>
      <c r="B57" s="12" t="s">
        <v>473</v>
      </c>
      <c r="C57" s="28" t="n">
        <v>1</v>
      </c>
      <c r="D57" s="28" t="n">
        <v>1</v>
      </c>
      <c r="E57" s="14" t="n">
        <v>0</v>
      </c>
      <c r="F57" s="14" t="n">
        <v>51.03</v>
      </c>
      <c r="G57" s="14" t="n">
        <v>51.03</v>
      </c>
      <c r="H57" s="14" t="n">
        <v>11.77</v>
      </c>
      <c r="I57" s="14" t="n">
        <v>39.26</v>
      </c>
      <c r="J57" s="14" t="n">
        <v>25.24</v>
      </c>
      <c r="K57" s="15" t="n">
        <v>0.7694</v>
      </c>
      <c r="L57" s="15" t="n">
        <v>0.4946</v>
      </c>
      <c r="M57" s="29" t="n">
        <v>36</v>
      </c>
    </row>
    <row r="58" customFormat="false" ht="15" hidden="false" customHeight="false" outlineLevel="0" collapsed="false">
      <c r="A58" s="24" t="n">
        <v>90647</v>
      </c>
      <c r="B58" s="8" t="s">
        <v>547</v>
      </c>
      <c r="C58" s="25" t="n">
        <v>11</v>
      </c>
      <c r="D58" s="25" t="n">
        <v>11</v>
      </c>
      <c r="E58" s="10" t="n">
        <v>0</v>
      </c>
      <c r="F58" s="10" t="n">
        <v>2833.59</v>
      </c>
      <c r="G58" s="10" t="n">
        <v>2833.59</v>
      </c>
      <c r="H58" s="10" t="n">
        <v>893.41</v>
      </c>
      <c r="I58" s="10" t="n">
        <v>1940.18</v>
      </c>
      <c r="J58" s="10" t="n">
        <v>1161.74</v>
      </c>
      <c r="K58" s="11" t="n">
        <v>0.6847</v>
      </c>
      <c r="L58" s="11" t="n">
        <v>0.41</v>
      </c>
      <c r="M58" s="26" t="n">
        <v>58</v>
      </c>
    </row>
    <row r="59" customFormat="false" ht="15" hidden="false" customHeight="false" outlineLevel="0" collapsed="false">
      <c r="A59" s="27" t="n">
        <v>90649</v>
      </c>
      <c r="B59" s="12" t="s">
        <v>532</v>
      </c>
      <c r="C59" s="28" t="n">
        <v>29</v>
      </c>
      <c r="D59" s="28" t="n">
        <v>29</v>
      </c>
      <c r="E59" s="14" t="n">
        <v>0</v>
      </c>
      <c r="F59" s="14" t="n">
        <v>846.12</v>
      </c>
      <c r="G59" s="14" t="n">
        <v>846.12</v>
      </c>
      <c r="H59" s="14" t="n">
        <v>89.9998</v>
      </c>
      <c r="I59" s="14" t="n">
        <v>756.12</v>
      </c>
      <c r="J59" s="14" t="n">
        <v>523.71</v>
      </c>
      <c r="K59" s="15" t="n">
        <v>0.8936</v>
      </c>
      <c r="L59" s="15" t="n">
        <v>0.619</v>
      </c>
      <c r="M59" s="29" t="n">
        <v>42</v>
      </c>
    </row>
    <row r="60" customFormat="false" ht="15" hidden="false" customHeight="false" outlineLevel="0" collapsed="false">
      <c r="A60" s="24" t="n">
        <v>90664</v>
      </c>
      <c r="B60" s="8" t="s">
        <v>496</v>
      </c>
      <c r="C60" s="25" t="n">
        <v>95</v>
      </c>
      <c r="D60" s="25" t="n">
        <v>95</v>
      </c>
      <c r="E60" s="10" t="n">
        <v>32066.84</v>
      </c>
      <c r="F60" s="10" t="n">
        <v>163462.17</v>
      </c>
      <c r="G60" s="10" t="n">
        <v>195529.01</v>
      </c>
      <c r="H60" s="10" t="n">
        <v>69987.02</v>
      </c>
      <c r="I60" s="10" t="n">
        <v>125541.99</v>
      </c>
      <c r="J60" s="10" t="n">
        <v>72933.61</v>
      </c>
      <c r="K60" s="11" t="n">
        <v>0.6421</v>
      </c>
      <c r="L60" s="11" t="n">
        <v>0.373</v>
      </c>
      <c r="M60" s="26" t="n">
        <v>43.75</v>
      </c>
    </row>
    <row r="61" customFormat="false" ht="15" hidden="false" customHeight="false" outlineLevel="0" collapsed="false">
      <c r="A61" s="27" t="n">
        <v>90665</v>
      </c>
      <c r="B61" s="12" t="s">
        <v>497</v>
      </c>
      <c r="C61" s="28" t="n">
        <v>7</v>
      </c>
      <c r="D61" s="28" t="n">
        <v>7</v>
      </c>
      <c r="E61" s="14" t="n">
        <v>0</v>
      </c>
      <c r="F61" s="14" t="n">
        <v>7165.75</v>
      </c>
      <c r="G61" s="14" t="n">
        <v>7165.75</v>
      </c>
      <c r="H61" s="14" t="n">
        <v>6892.69</v>
      </c>
      <c r="I61" s="14" t="n">
        <v>273.06</v>
      </c>
      <c r="J61" s="14" t="n">
        <v>-1695.51</v>
      </c>
      <c r="K61" s="15" t="n">
        <v>0.0381</v>
      </c>
      <c r="L61" s="15" t="n">
        <v>-0.2366</v>
      </c>
      <c r="M61" s="29" t="n">
        <v>29.07</v>
      </c>
    </row>
    <row r="62" customFormat="false" ht="15" hidden="false" customHeight="false" outlineLevel="0" collapsed="false">
      <c r="A62" s="24" t="n">
        <v>90675</v>
      </c>
      <c r="B62" s="8" t="s">
        <v>498</v>
      </c>
      <c r="C62" s="25" t="n">
        <v>70</v>
      </c>
      <c r="D62" s="25" t="n">
        <v>70</v>
      </c>
      <c r="E62" s="10" t="n">
        <v>0</v>
      </c>
      <c r="F62" s="10" t="n">
        <v>2510.8</v>
      </c>
      <c r="G62" s="10" t="n">
        <v>2510.8</v>
      </c>
      <c r="H62" s="10" t="n">
        <v>756.2</v>
      </c>
      <c r="I62" s="10" t="n">
        <v>1754.6</v>
      </c>
      <c r="J62" s="10" t="n">
        <v>1064.82</v>
      </c>
      <c r="K62" s="11" t="n">
        <v>0.6988</v>
      </c>
      <c r="L62" s="11" t="n">
        <v>0.4241</v>
      </c>
      <c r="M62" s="26" t="n">
        <v>52</v>
      </c>
    </row>
    <row r="63" customFormat="false" ht="15" hidden="false" customHeight="false" outlineLevel="0" collapsed="false">
      <c r="A63" s="27" t="n">
        <v>90679</v>
      </c>
      <c r="B63" s="12" t="s">
        <v>548</v>
      </c>
      <c r="C63" s="28" t="n">
        <v>10</v>
      </c>
      <c r="D63" s="28" t="n">
        <v>10</v>
      </c>
      <c r="E63" s="14" t="n">
        <v>0</v>
      </c>
      <c r="F63" s="14" t="n">
        <v>2160</v>
      </c>
      <c r="G63" s="14" t="n">
        <v>2160</v>
      </c>
      <c r="H63" s="14" t="n">
        <v>675.73</v>
      </c>
      <c r="I63" s="14" t="n">
        <v>1484.27</v>
      </c>
      <c r="J63" s="14" t="n">
        <v>721.59</v>
      </c>
      <c r="K63" s="15" t="n">
        <v>0.6872</v>
      </c>
      <c r="L63" s="15" t="n">
        <v>0.3341</v>
      </c>
      <c r="M63" s="29" t="n">
        <v>35</v>
      </c>
    </row>
    <row r="64" customFormat="false" ht="15" hidden="false" customHeight="false" outlineLevel="0" collapsed="false">
      <c r="A64" s="24" t="n">
        <v>90683</v>
      </c>
      <c r="B64" s="8" t="s">
        <v>533</v>
      </c>
      <c r="C64" s="25" t="n">
        <v>18</v>
      </c>
      <c r="D64" s="25" t="n">
        <v>18</v>
      </c>
      <c r="E64" s="10" t="n">
        <v>0</v>
      </c>
      <c r="F64" s="10" t="n">
        <v>3616.14</v>
      </c>
      <c r="G64" s="10" t="n">
        <v>3616.14</v>
      </c>
      <c r="H64" s="10" t="n">
        <v>743.9304</v>
      </c>
      <c r="I64" s="10" t="n">
        <v>2872.21</v>
      </c>
      <c r="J64" s="10" t="n">
        <v>1595.39</v>
      </c>
      <c r="K64" s="11" t="n">
        <v>0.7943</v>
      </c>
      <c r="L64" s="11" t="n">
        <v>0.4412</v>
      </c>
      <c r="M64" s="26" t="n">
        <v>31</v>
      </c>
    </row>
    <row r="65" customFormat="false" ht="15" hidden="false" customHeight="false" outlineLevel="0" collapsed="false">
      <c r="A65" s="27" t="n">
        <v>90689</v>
      </c>
      <c r="B65" s="12" t="s">
        <v>519</v>
      </c>
      <c r="C65" s="28" t="n">
        <v>40</v>
      </c>
      <c r="D65" s="28" t="n">
        <v>40</v>
      </c>
      <c r="E65" s="14" t="n">
        <v>0</v>
      </c>
      <c r="F65" s="14" t="n">
        <v>6270</v>
      </c>
      <c r="G65" s="14" t="n">
        <v>6270</v>
      </c>
      <c r="H65" s="14" t="n">
        <v>3281.74</v>
      </c>
      <c r="I65" s="14" t="n">
        <v>2988.26</v>
      </c>
      <c r="J65" s="14" t="n">
        <v>1652.4</v>
      </c>
      <c r="K65" s="15" t="n">
        <v>0.4766</v>
      </c>
      <c r="L65" s="15" t="n">
        <v>0.2635</v>
      </c>
      <c r="M65" s="29" t="n">
        <v>60</v>
      </c>
    </row>
    <row r="66" customFormat="false" ht="15" hidden="false" customHeight="false" outlineLevel="0" collapsed="false">
      <c r="A66" s="24" t="n">
        <v>90692</v>
      </c>
      <c r="B66" s="8" t="s">
        <v>499</v>
      </c>
      <c r="C66" s="25" t="n">
        <v>142</v>
      </c>
      <c r="D66" s="25" t="n">
        <v>142</v>
      </c>
      <c r="E66" s="10" t="n">
        <v>0</v>
      </c>
      <c r="F66" s="10" t="n">
        <v>15192</v>
      </c>
      <c r="G66" s="10" t="n">
        <v>15192</v>
      </c>
      <c r="H66" s="10" t="n">
        <v>122388.5258</v>
      </c>
      <c r="I66" s="10" t="n">
        <v>-107196.53</v>
      </c>
      <c r="J66" s="10" t="n">
        <v>-110433.27</v>
      </c>
      <c r="K66" s="11" t="n">
        <v>-7.0561</v>
      </c>
      <c r="L66" s="11" t="n">
        <v>-7.2692</v>
      </c>
      <c r="M66" s="26" t="n">
        <v>60</v>
      </c>
    </row>
    <row r="67" customFormat="false" ht="15" hidden="false" customHeight="false" outlineLevel="0" collapsed="false">
      <c r="A67" s="27" t="n">
        <v>90700</v>
      </c>
      <c r="B67" s="12" t="s">
        <v>488</v>
      </c>
      <c r="C67" s="28" t="n">
        <v>205</v>
      </c>
      <c r="D67" s="28" t="n">
        <v>205</v>
      </c>
      <c r="E67" s="14" t="n">
        <v>0</v>
      </c>
      <c r="F67" s="14" t="n">
        <v>33888</v>
      </c>
      <c r="G67" s="14" t="n">
        <v>33888</v>
      </c>
      <c r="H67" s="14" t="n">
        <v>0</v>
      </c>
      <c r="I67" s="14" t="n">
        <v>33888</v>
      </c>
      <c r="J67" s="14" t="n">
        <v>33888</v>
      </c>
      <c r="K67" s="15" t="n">
        <v>1</v>
      </c>
      <c r="L67" s="15" t="n">
        <v>1</v>
      </c>
      <c r="M67" s="29" t="n">
        <v>28</v>
      </c>
    </row>
    <row r="68" customFormat="false" ht="15" hidden="false" customHeight="false" outlineLevel="0" collapsed="false">
      <c r="A68" s="24" t="n">
        <v>90701</v>
      </c>
      <c r="B68" s="8" t="s">
        <v>520</v>
      </c>
      <c r="C68" s="25" t="n">
        <v>60</v>
      </c>
      <c r="D68" s="25" t="n">
        <v>60</v>
      </c>
      <c r="E68" s="10" t="n">
        <v>0</v>
      </c>
      <c r="F68" s="10" t="n">
        <v>10275</v>
      </c>
      <c r="G68" s="10" t="n">
        <v>10275</v>
      </c>
      <c r="H68" s="10" t="n">
        <v>56690.652</v>
      </c>
      <c r="I68" s="10" t="n">
        <v>-46415.65</v>
      </c>
      <c r="J68" s="10" t="n">
        <v>-48604.8</v>
      </c>
      <c r="K68" s="11" t="n">
        <v>-4.5173</v>
      </c>
      <c r="L68" s="11" t="n">
        <v>-4.7304</v>
      </c>
      <c r="M68" s="26" t="n">
        <v>60</v>
      </c>
    </row>
    <row r="69" customFormat="false" ht="15" hidden="false" customHeight="false" outlineLevel="0" collapsed="false">
      <c r="A69" s="27" t="n">
        <v>90702</v>
      </c>
      <c r="B69" s="12" t="s">
        <v>521</v>
      </c>
      <c r="C69" s="28" t="n">
        <v>70</v>
      </c>
      <c r="D69" s="28" t="n">
        <v>70</v>
      </c>
      <c r="E69" s="14" t="n">
        <v>0</v>
      </c>
      <c r="F69" s="14" t="n">
        <v>10360</v>
      </c>
      <c r="G69" s="14" t="n">
        <v>10360</v>
      </c>
      <c r="H69" s="14" t="n">
        <v>6158.607</v>
      </c>
      <c r="I69" s="14" t="n">
        <v>4201.39</v>
      </c>
      <c r="J69" s="14" t="n">
        <v>1994.13</v>
      </c>
      <c r="K69" s="15" t="n">
        <v>0.4055</v>
      </c>
      <c r="L69" s="15" t="n">
        <v>0.1925</v>
      </c>
      <c r="M69" s="29" t="n">
        <v>60</v>
      </c>
    </row>
    <row r="70" customFormat="false" ht="15" hidden="false" customHeight="false" outlineLevel="0" collapsed="false">
      <c r="A70" s="24" t="n">
        <v>90705</v>
      </c>
      <c r="B70" s="8" t="s">
        <v>522</v>
      </c>
      <c r="C70" s="25" t="n">
        <v>65</v>
      </c>
      <c r="D70" s="25" t="n">
        <v>65</v>
      </c>
      <c r="E70" s="10" t="n">
        <v>0</v>
      </c>
      <c r="F70" s="10" t="n">
        <v>10720</v>
      </c>
      <c r="G70" s="10" t="n">
        <v>10720</v>
      </c>
      <c r="H70" s="10" t="n">
        <v>4455.7495</v>
      </c>
      <c r="I70" s="10" t="n">
        <v>6264.25</v>
      </c>
      <c r="J70" s="10" t="n">
        <v>4435.38</v>
      </c>
      <c r="K70" s="11" t="n">
        <v>0.5844</v>
      </c>
      <c r="L70" s="11" t="n">
        <v>0.4137</v>
      </c>
      <c r="M70" s="26" t="n">
        <v>60</v>
      </c>
    </row>
    <row r="71" customFormat="false" ht="15" hidden="false" customHeight="false" outlineLevel="0" collapsed="false">
      <c r="A71" s="27" t="n">
        <v>90706</v>
      </c>
      <c r="B71" s="12" t="s">
        <v>523</v>
      </c>
      <c r="C71" s="28" t="n">
        <v>128</v>
      </c>
      <c r="D71" s="28" t="n">
        <v>128</v>
      </c>
      <c r="E71" s="14" t="n">
        <v>0</v>
      </c>
      <c r="F71" s="14" t="n">
        <v>25408</v>
      </c>
      <c r="G71" s="14" t="n">
        <v>25408</v>
      </c>
      <c r="H71" s="14" t="n">
        <v>13502.019</v>
      </c>
      <c r="I71" s="14" t="n">
        <v>11905.98</v>
      </c>
      <c r="J71" s="14" t="n">
        <v>6492.65</v>
      </c>
      <c r="K71" s="15" t="n">
        <v>0.4686</v>
      </c>
      <c r="L71" s="15" t="n">
        <v>0.2555</v>
      </c>
      <c r="M71" s="29" t="n">
        <v>60</v>
      </c>
    </row>
    <row r="72" customFormat="false" ht="15" hidden="false" customHeight="false" outlineLevel="0" collapsed="false">
      <c r="A72" s="24" t="n">
        <v>90707</v>
      </c>
      <c r="B72" s="8" t="s">
        <v>500</v>
      </c>
      <c r="C72" s="25" t="n">
        <v>40</v>
      </c>
      <c r="D72" s="25" t="n">
        <v>40</v>
      </c>
      <c r="E72" s="10" t="n">
        <v>0</v>
      </c>
      <c r="F72" s="10" t="n">
        <v>3630</v>
      </c>
      <c r="G72" s="10" t="n">
        <v>3630</v>
      </c>
      <c r="H72" s="10" t="n">
        <v>63145.952</v>
      </c>
      <c r="I72" s="10" t="n">
        <v>-59515.95</v>
      </c>
      <c r="J72" s="10" t="n">
        <v>-60289.34</v>
      </c>
      <c r="K72" s="11" t="n">
        <v>-16.3956</v>
      </c>
      <c r="L72" s="11" t="n">
        <v>-16.6086</v>
      </c>
      <c r="M72" s="26" t="n">
        <v>60</v>
      </c>
    </row>
    <row r="73" customFormat="false" ht="15" hidden="false" customHeight="false" outlineLevel="0" collapsed="false">
      <c r="A73" s="27" t="n">
        <v>90709</v>
      </c>
      <c r="B73" s="12" t="s">
        <v>502</v>
      </c>
      <c r="C73" s="28" t="n">
        <v>50</v>
      </c>
      <c r="D73" s="28" t="n">
        <v>50</v>
      </c>
      <c r="E73" s="14" t="n">
        <v>0</v>
      </c>
      <c r="F73" s="14" t="n">
        <v>9025</v>
      </c>
      <c r="G73" s="14" t="n">
        <v>9025</v>
      </c>
      <c r="H73" s="14" t="n">
        <v>4235.19</v>
      </c>
      <c r="I73" s="14" t="n">
        <v>4789.81</v>
      </c>
      <c r="J73" s="14" t="n">
        <v>2866.98</v>
      </c>
      <c r="K73" s="15" t="n">
        <v>0.5307</v>
      </c>
      <c r="L73" s="15" t="n">
        <v>0.3177</v>
      </c>
      <c r="M73" s="29" t="n">
        <v>60</v>
      </c>
    </row>
    <row r="74" customFormat="false" ht="15" hidden="false" customHeight="false" outlineLevel="0" collapsed="false">
      <c r="A74" s="24" t="n">
        <v>90713</v>
      </c>
      <c r="B74" s="8" t="s">
        <v>504</v>
      </c>
      <c r="C74" s="25" t="n">
        <v>20</v>
      </c>
      <c r="D74" s="25" t="n">
        <v>20</v>
      </c>
      <c r="E74" s="10" t="n">
        <v>0</v>
      </c>
      <c r="F74" s="10" t="n">
        <v>3343</v>
      </c>
      <c r="G74" s="10" t="n">
        <v>3343</v>
      </c>
      <c r="H74" s="10" t="n">
        <v>35711.35</v>
      </c>
      <c r="I74" s="10" t="n">
        <v>-32368.35</v>
      </c>
      <c r="J74" s="10" t="n">
        <v>-33080.59</v>
      </c>
      <c r="K74" s="11" t="n">
        <v>-9.6824</v>
      </c>
      <c r="L74" s="11" t="n">
        <v>-9.8955</v>
      </c>
      <c r="M74" s="26" t="n">
        <v>60</v>
      </c>
    </row>
    <row r="75" customFormat="false" ht="15" hidden="false" customHeight="false" outlineLevel="0" collapsed="false">
      <c r="A75" s="27" t="n">
        <v>90714</v>
      </c>
      <c r="B75" s="12" t="s">
        <v>503</v>
      </c>
      <c r="C75" s="28" t="n">
        <v>20</v>
      </c>
      <c r="D75" s="28" t="n">
        <v>20</v>
      </c>
      <c r="E75" s="14" t="n">
        <v>0</v>
      </c>
      <c r="F75" s="14" t="n">
        <v>2705.2</v>
      </c>
      <c r="G75" s="14" t="n">
        <v>2705.2</v>
      </c>
      <c r="H75" s="14" t="n">
        <v>1607.35</v>
      </c>
      <c r="I75" s="14" t="n">
        <v>1097.85</v>
      </c>
      <c r="J75" s="14" t="n">
        <v>521.49</v>
      </c>
      <c r="K75" s="15" t="n">
        <v>0.4058</v>
      </c>
      <c r="L75" s="15" t="n">
        <v>0.1928</v>
      </c>
      <c r="M75" s="29" t="n">
        <v>60</v>
      </c>
    </row>
    <row r="76" customFormat="false" ht="15" hidden="false" customHeight="false" outlineLevel="0" collapsed="false">
      <c r="A76" s="24" t="n">
        <v>90715</v>
      </c>
      <c r="B76" s="8" t="s">
        <v>524</v>
      </c>
      <c r="C76" s="25" t="n">
        <v>41</v>
      </c>
      <c r="D76" s="25" t="n">
        <v>41</v>
      </c>
      <c r="E76" s="10" t="n">
        <v>0</v>
      </c>
      <c r="F76" s="10" t="n">
        <v>5880.5</v>
      </c>
      <c r="G76" s="10" t="n">
        <v>5880.5</v>
      </c>
      <c r="H76" s="10" t="n">
        <v>2934.99</v>
      </c>
      <c r="I76" s="10" t="n">
        <v>2945.51</v>
      </c>
      <c r="J76" s="10" t="n">
        <v>1692.63</v>
      </c>
      <c r="K76" s="11" t="n">
        <v>0.5009</v>
      </c>
      <c r="L76" s="11" t="n">
        <v>0.2878</v>
      </c>
      <c r="M76" s="26" t="n">
        <v>60</v>
      </c>
    </row>
    <row r="77" customFormat="false" ht="15" hidden="false" customHeight="false" outlineLevel="0" collapsed="false">
      <c r="A77" s="27" t="n">
        <v>90718</v>
      </c>
      <c r="B77" s="12" t="s">
        <v>525</v>
      </c>
      <c r="C77" s="28" t="n">
        <v>277</v>
      </c>
      <c r="D77" s="28" t="n">
        <v>277</v>
      </c>
      <c r="E77" s="14" t="n">
        <v>0</v>
      </c>
      <c r="F77" s="14" t="n">
        <v>41250.3</v>
      </c>
      <c r="G77" s="14" t="n">
        <v>41250.3</v>
      </c>
      <c r="H77" s="14" t="n">
        <v>25812.944</v>
      </c>
      <c r="I77" s="14" t="n">
        <v>15437.36</v>
      </c>
      <c r="J77" s="14" t="n">
        <v>4105.1</v>
      </c>
      <c r="K77" s="15" t="n">
        <v>0.3742</v>
      </c>
      <c r="L77" s="15" t="n">
        <v>0.0995</v>
      </c>
      <c r="M77" s="29" t="n">
        <v>65.41</v>
      </c>
    </row>
    <row r="78" customFormat="false" ht="15" hidden="false" customHeight="false" outlineLevel="0" collapsed="false">
      <c r="A78" s="24" t="n">
        <v>90722</v>
      </c>
      <c r="B78" s="8" t="s">
        <v>527</v>
      </c>
      <c r="C78" s="25" t="n">
        <v>70</v>
      </c>
      <c r="D78" s="25" t="n">
        <v>70</v>
      </c>
      <c r="E78" s="10" t="n">
        <v>0</v>
      </c>
      <c r="F78" s="10" t="n">
        <v>15960</v>
      </c>
      <c r="G78" s="10" t="n">
        <v>15960</v>
      </c>
      <c r="H78" s="10" t="n">
        <v>251552.847</v>
      </c>
      <c r="I78" s="10" t="n">
        <v>-235592.85</v>
      </c>
      <c r="J78" s="10" t="n">
        <v>-238993.22</v>
      </c>
      <c r="K78" s="11" t="n">
        <v>-14.7615</v>
      </c>
      <c r="L78" s="11" t="n">
        <v>-14.9745</v>
      </c>
      <c r="M78" s="26" t="n">
        <v>60</v>
      </c>
    </row>
    <row r="79" customFormat="false" ht="15" hidden="false" customHeight="false" outlineLevel="0" collapsed="false">
      <c r="A79" s="27" t="n">
        <v>90723</v>
      </c>
      <c r="B79" s="12" t="s">
        <v>527</v>
      </c>
      <c r="C79" s="28" t="n">
        <v>80</v>
      </c>
      <c r="D79" s="28" t="n">
        <v>80</v>
      </c>
      <c r="E79" s="14" t="n">
        <v>0</v>
      </c>
      <c r="F79" s="14" t="n">
        <v>14240</v>
      </c>
      <c r="G79" s="14" t="n">
        <v>14240</v>
      </c>
      <c r="H79" s="14" t="n">
        <v>4351.712</v>
      </c>
      <c r="I79" s="14" t="n">
        <v>9888.29</v>
      </c>
      <c r="J79" s="14" t="n">
        <v>6854.37</v>
      </c>
      <c r="K79" s="15" t="n">
        <v>0.6944</v>
      </c>
      <c r="L79" s="15" t="n">
        <v>0.4813</v>
      </c>
      <c r="M79" s="29" t="n">
        <v>60</v>
      </c>
    </row>
    <row r="80" customFormat="false" ht="15" hidden="false" customHeight="false" outlineLevel="0" collapsed="false">
      <c r="A80" s="24" t="n">
        <v>90725</v>
      </c>
      <c r="B80" s="8" t="s">
        <v>528</v>
      </c>
      <c r="C80" s="25" t="n">
        <v>131</v>
      </c>
      <c r="D80" s="25" t="n">
        <v>131</v>
      </c>
      <c r="E80" s="10" t="n">
        <v>0</v>
      </c>
      <c r="F80" s="10" t="n">
        <v>19517.8</v>
      </c>
      <c r="G80" s="10" t="n">
        <v>19517.8</v>
      </c>
      <c r="H80" s="10" t="n">
        <v>10112.0805</v>
      </c>
      <c r="I80" s="10" t="n">
        <v>9405.72</v>
      </c>
      <c r="J80" s="10" t="n">
        <v>5247.35</v>
      </c>
      <c r="K80" s="11" t="n">
        <v>0.4819</v>
      </c>
      <c r="L80" s="11" t="n">
        <v>0.2688</v>
      </c>
      <c r="M80" s="26" t="n">
        <v>60</v>
      </c>
    </row>
    <row r="81" customFormat="false" ht="15" hidden="false" customHeight="false" outlineLevel="0" collapsed="false">
      <c r="A81" s="27" t="n">
        <v>90728</v>
      </c>
      <c r="B81" s="12" t="s">
        <v>477</v>
      </c>
      <c r="C81" s="28" t="n">
        <v>426</v>
      </c>
      <c r="D81" s="28" t="n">
        <v>426</v>
      </c>
      <c r="E81" s="14" t="n">
        <v>0</v>
      </c>
      <c r="F81" s="14" t="n">
        <v>19981.49</v>
      </c>
      <c r="G81" s="14" t="n">
        <v>19981.49</v>
      </c>
      <c r="H81" s="14" t="n">
        <v>8413.0813</v>
      </c>
      <c r="I81" s="14" t="n">
        <v>11568.41</v>
      </c>
      <c r="J81" s="14" t="n">
        <v>6174</v>
      </c>
      <c r="K81" s="15" t="n">
        <v>0.579</v>
      </c>
      <c r="L81" s="15" t="n">
        <v>0.309</v>
      </c>
      <c r="M81" s="29" t="n">
        <v>57.69</v>
      </c>
    </row>
    <row r="82" customFormat="false" ht="15" hidden="false" customHeight="false" outlineLevel="0" collapsed="false">
      <c r="A82" s="24" t="n">
        <v>90734</v>
      </c>
      <c r="B82" s="8" t="s">
        <v>536</v>
      </c>
      <c r="C82" s="25" t="n">
        <v>124</v>
      </c>
      <c r="D82" s="25" t="n">
        <v>124</v>
      </c>
      <c r="E82" s="10" t="n">
        <v>0</v>
      </c>
      <c r="F82" s="10" t="n">
        <v>3472</v>
      </c>
      <c r="G82" s="10" t="n">
        <v>3472</v>
      </c>
      <c r="H82" s="10" t="n">
        <v>0</v>
      </c>
      <c r="I82" s="10" t="n">
        <v>3472</v>
      </c>
      <c r="J82" s="10" t="n">
        <v>3472</v>
      </c>
      <c r="K82" s="11" t="n">
        <v>1</v>
      </c>
      <c r="L82" s="11" t="n">
        <v>1</v>
      </c>
      <c r="M82" s="26" t="n">
        <v>28</v>
      </c>
    </row>
    <row r="83" customFormat="false" ht="15" hidden="false" customHeight="false" outlineLevel="0" collapsed="false">
      <c r="A83" s="27" t="n">
        <v>90735</v>
      </c>
      <c r="B83" s="12" t="s">
        <v>537</v>
      </c>
      <c r="C83" s="28" t="n">
        <v>523</v>
      </c>
      <c r="D83" s="28" t="n">
        <v>523</v>
      </c>
      <c r="E83" s="14" t="n">
        <v>0</v>
      </c>
      <c r="F83" s="14" t="n">
        <v>4936.05</v>
      </c>
      <c r="G83" s="14" t="n">
        <v>4936.05</v>
      </c>
      <c r="H83" s="14" t="n">
        <v>0</v>
      </c>
      <c r="I83" s="14" t="n">
        <v>4936.05</v>
      </c>
      <c r="J83" s="14" t="n">
        <v>4936.05</v>
      </c>
      <c r="K83" s="15" t="n">
        <v>1</v>
      </c>
      <c r="L83" s="15" t="n">
        <v>1</v>
      </c>
      <c r="M83" s="29" t="n">
        <v>54</v>
      </c>
    </row>
    <row r="84" customFormat="false" ht="15" hidden="false" customHeight="false" outlineLevel="0" collapsed="false">
      <c r="A84" s="24" t="n">
        <v>90743</v>
      </c>
      <c r="B84" s="8" t="s">
        <v>549</v>
      </c>
      <c r="C84" s="25" t="n">
        <v>844</v>
      </c>
      <c r="D84" s="25" t="n">
        <v>844</v>
      </c>
      <c r="E84" s="10" t="n">
        <v>0</v>
      </c>
      <c r="F84" s="10" t="n">
        <v>2006.58</v>
      </c>
      <c r="G84" s="10" t="n">
        <v>2006.58</v>
      </c>
      <c r="H84" s="10" t="n">
        <v>0</v>
      </c>
      <c r="I84" s="10" t="n">
        <v>2006.58</v>
      </c>
      <c r="J84" s="10" t="n">
        <v>2006.58</v>
      </c>
      <c r="K84" s="11" t="n">
        <v>1</v>
      </c>
      <c r="L84" s="11" t="n">
        <v>1</v>
      </c>
      <c r="M84" s="26" t="n">
        <v>53</v>
      </c>
    </row>
    <row r="85" customFormat="false" ht="15" hidden="false" customHeight="false" outlineLevel="0" collapsed="false">
      <c r="A85" s="27" t="n">
        <v>90747</v>
      </c>
      <c r="B85" s="12" t="s">
        <v>550</v>
      </c>
      <c r="C85" s="28" t="n">
        <v>150</v>
      </c>
      <c r="D85" s="28" t="n">
        <v>150</v>
      </c>
      <c r="E85" s="14" t="n">
        <v>0</v>
      </c>
      <c r="F85" s="14" t="n">
        <v>3174</v>
      </c>
      <c r="G85" s="14" t="n">
        <v>3174</v>
      </c>
      <c r="H85" s="14" t="n">
        <v>1425.6</v>
      </c>
      <c r="I85" s="14" t="n">
        <v>1748.4</v>
      </c>
      <c r="J85" s="14" t="n">
        <v>876.44</v>
      </c>
      <c r="K85" s="15" t="n">
        <v>0.5509</v>
      </c>
      <c r="L85" s="15" t="n">
        <v>0.2761</v>
      </c>
      <c r="M85" s="29" t="n">
        <v>30</v>
      </c>
    </row>
    <row r="86" customFormat="false" ht="15" hidden="false" customHeight="false" outlineLevel="0" collapsed="false">
      <c r="A86" s="16" t="s">
        <v>249</v>
      </c>
      <c r="B86" s="16" t="str">
        <f aca="false">COUNTA(A6:A85)&amp;" produtos"</f>
        <v>80 produtos</v>
      </c>
      <c r="C86" s="30" t="n">
        <f aca="false">SUM(C6:C85)</f>
        <v>44852.8</v>
      </c>
      <c r="D86" s="30" t="n">
        <f aca="false">SUM(D6:D85)</f>
        <v>44852.8</v>
      </c>
      <c r="E86" s="18" t="n">
        <f aca="false">SUM(E6:E85)</f>
        <v>57231.1</v>
      </c>
      <c r="F86" s="18" t="n">
        <f aca="false">SUM(F6:F85)</f>
        <v>1161191.24</v>
      </c>
      <c r="G86" s="18" t="n">
        <f aca="false">SUM(G6:G85)</f>
        <v>1218422.34</v>
      </c>
      <c r="H86" s="18" t="n">
        <f aca="false">SUM(H6:H85)</f>
        <v>1465342.156</v>
      </c>
      <c r="I86" s="18" t="n">
        <f aca="false">SUM(I6:I85)</f>
        <v>-246919.78</v>
      </c>
      <c r="J86" s="18" t="n">
        <f aca="false">SUM(J6:J85)</f>
        <v>-520676.34</v>
      </c>
      <c r="K86" s="19" t="n">
        <f aca="false">IFERROR(I86/G86,0)</f>
        <v>-0.20265532885748</v>
      </c>
      <c r="L86" s="19" t="n">
        <f aca="false">IFERROR(J86/G86,0)</f>
        <v>-0.427336501397373</v>
      </c>
      <c r="M86" s="31" t="n">
        <f aca="false">IFERROR(SUMPRODUCT(M6:M85,G6:G85)/G86,0)</f>
        <v>47.3766276035287</v>
      </c>
    </row>
  </sheetData>
  <autoFilter ref="A5:M85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388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22</v>
      </c>
      <c r="D6" s="25" t="n">
        <v>22</v>
      </c>
      <c r="E6" s="10" t="n">
        <v>0</v>
      </c>
      <c r="F6" s="10" t="n">
        <v>5645.2</v>
      </c>
      <c r="G6" s="10" t="n">
        <v>5645.2</v>
      </c>
      <c r="H6" s="10" t="n">
        <v>3385.5</v>
      </c>
      <c r="I6" s="10" t="n">
        <v>2259.7</v>
      </c>
      <c r="J6" s="10" t="n">
        <v>684.12</v>
      </c>
      <c r="K6" s="11" t="n">
        <v>0.4003</v>
      </c>
      <c r="L6" s="11" t="n">
        <v>0.1212</v>
      </c>
      <c r="M6" s="26" t="n">
        <v>45.12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1159</v>
      </c>
      <c r="D7" s="28" t="n">
        <v>1159</v>
      </c>
      <c r="E7" s="14" t="n">
        <v>0</v>
      </c>
      <c r="F7" s="14" t="n">
        <v>6905.05</v>
      </c>
      <c r="G7" s="14" t="n">
        <v>6905.05</v>
      </c>
      <c r="H7" s="14" t="n">
        <v>2692.9869</v>
      </c>
      <c r="I7" s="14" t="n">
        <v>4212.06</v>
      </c>
      <c r="J7" s="14" t="n">
        <v>2284.89</v>
      </c>
      <c r="K7" s="15" t="n">
        <v>0.61</v>
      </c>
      <c r="L7" s="15" t="n">
        <v>0.3309</v>
      </c>
      <c r="M7" s="29" t="n">
        <v>45.41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300</v>
      </c>
      <c r="D8" s="25" t="n">
        <v>300</v>
      </c>
      <c r="E8" s="10" t="n">
        <v>0</v>
      </c>
      <c r="F8" s="10" t="n">
        <v>3949</v>
      </c>
      <c r="G8" s="10" t="n">
        <v>3949</v>
      </c>
      <c r="H8" s="10" t="n">
        <v>2705.39</v>
      </c>
      <c r="I8" s="10" t="n">
        <v>1243.61</v>
      </c>
      <c r="J8" s="10" t="n">
        <v>141.38</v>
      </c>
      <c r="K8" s="11" t="n">
        <v>0.3149</v>
      </c>
      <c r="L8" s="11" t="n">
        <v>0.0358</v>
      </c>
      <c r="M8" s="26" t="n">
        <v>45.36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2868</v>
      </c>
      <c r="D9" s="28" t="n">
        <v>2868</v>
      </c>
      <c r="E9" s="14" t="n">
        <v>0</v>
      </c>
      <c r="F9" s="14" t="n">
        <v>21354.8</v>
      </c>
      <c r="G9" s="14" t="n">
        <v>21354.8</v>
      </c>
      <c r="H9" s="14" t="n">
        <v>3077.6938</v>
      </c>
      <c r="I9" s="14" t="n">
        <v>18277.11</v>
      </c>
      <c r="J9" s="14" t="n">
        <v>12410.51</v>
      </c>
      <c r="K9" s="15" t="n">
        <v>0.8559</v>
      </c>
      <c r="L9" s="15" t="n">
        <v>0.5812</v>
      </c>
      <c r="M9" s="29" t="n">
        <v>28</v>
      </c>
    </row>
    <row r="10" customFormat="false" ht="15" hidden="false" customHeight="false" outlineLevel="0" collapsed="false">
      <c r="A10" s="24" t="n">
        <v>10704</v>
      </c>
      <c r="B10" s="8" t="s">
        <v>465</v>
      </c>
      <c r="C10" s="25" t="n">
        <v>250</v>
      </c>
      <c r="D10" s="25" t="n">
        <v>250</v>
      </c>
      <c r="E10" s="10" t="n">
        <v>0</v>
      </c>
      <c r="F10" s="10" t="n">
        <v>2675</v>
      </c>
      <c r="G10" s="10" t="n">
        <v>2675</v>
      </c>
      <c r="H10" s="10" t="n">
        <v>762.21</v>
      </c>
      <c r="I10" s="10" t="n">
        <v>1912.79</v>
      </c>
      <c r="J10" s="10" t="n">
        <v>1166.2</v>
      </c>
      <c r="K10" s="11" t="n">
        <v>0.7151</v>
      </c>
      <c r="L10" s="11" t="n">
        <v>0.436</v>
      </c>
      <c r="M10" s="26" t="n">
        <v>46.2</v>
      </c>
    </row>
    <row r="11" customFormat="false" ht="15" hidden="false" customHeight="false" outlineLevel="0" collapsed="false">
      <c r="A11" s="27" t="n">
        <v>52674</v>
      </c>
      <c r="B11" s="12" t="s">
        <v>207</v>
      </c>
      <c r="C11" s="28" t="n">
        <v>2350</v>
      </c>
      <c r="D11" s="28" t="n">
        <v>2350</v>
      </c>
      <c r="E11" s="14" t="n">
        <v>8695</v>
      </c>
      <c r="F11" s="14" t="n">
        <v>0</v>
      </c>
      <c r="G11" s="14" t="n">
        <v>8695</v>
      </c>
      <c r="H11" s="14" t="n">
        <v>6580</v>
      </c>
      <c r="I11" s="14" t="n">
        <v>2115</v>
      </c>
      <c r="J11" s="14" t="n">
        <v>1049</v>
      </c>
      <c r="K11" s="15" t="n">
        <v>0.2432</v>
      </c>
      <c r="L11" s="15" t="n">
        <v>0.1206</v>
      </c>
      <c r="M11" s="29" t="n">
        <v>7</v>
      </c>
    </row>
    <row r="12" customFormat="false" ht="15" hidden="false" customHeight="false" outlineLevel="0" collapsed="false">
      <c r="A12" s="24" t="n">
        <v>52676</v>
      </c>
      <c r="B12" s="8" t="s">
        <v>208</v>
      </c>
      <c r="C12" s="25" t="n">
        <v>3190</v>
      </c>
      <c r="D12" s="25" t="n">
        <v>3190</v>
      </c>
      <c r="E12" s="10" t="n">
        <v>638</v>
      </c>
      <c r="F12" s="10" t="n">
        <v>0</v>
      </c>
      <c r="G12" s="10" t="n">
        <v>638</v>
      </c>
      <c r="H12" s="10" t="n">
        <v>159.5</v>
      </c>
      <c r="I12" s="10" t="n">
        <v>478.5</v>
      </c>
      <c r="J12" s="10" t="n">
        <v>400.28</v>
      </c>
      <c r="K12" s="11" t="n">
        <v>0.75</v>
      </c>
      <c r="L12" s="11" t="n">
        <v>0.6274</v>
      </c>
      <c r="M12" s="26" t="n">
        <v>7</v>
      </c>
    </row>
    <row r="13" customFormat="false" ht="15" hidden="false" customHeight="false" outlineLevel="0" collapsed="false">
      <c r="A13" s="27" t="n">
        <v>55954</v>
      </c>
      <c r="B13" s="12" t="s">
        <v>505</v>
      </c>
      <c r="C13" s="28" t="n">
        <v>148</v>
      </c>
      <c r="D13" s="28" t="n">
        <v>148</v>
      </c>
      <c r="E13" s="14" t="n">
        <v>0</v>
      </c>
      <c r="F13" s="14" t="n">
        <v>592</v>
      </c>
      <c r="G13" s="14" t="n">
        <v>592</v>
      </c>
      <c r="H13" s="14" t="n">
        <v>537.7188</v>
      </c>
      <c r="I13" s="14" t="n">
        <v>54.28</v>
      </c>
      <c r="J13" s="14" t="n">
        <v>-108.35</v>
      </c>
      <c r="K13" s="15" t="n">
        <v>0.0917</v>
      </c>
      <c r="L13" s="15" t="n">
        <v>-0.183</v>
      </c>
      <c r="M13" s="29" t="n">
        <v>30</v>
      </c>
    </row>
    <row r="14" customFormat="false" ht="15" hidden="false" customHeight="false" outlineLevel="0" collapsed="false">
      <c r="A14" s="24" t="n">
        <v>56047</v>
      </c>
      <c r="B14" s="8" t="s">
        <v>506</v>
      </c>
      <c r="C14" s="25" t="n">
        <v>351</v>
      </c>
      <c r="D14" s="25" t="n">
        <v>351</v>
      </c>
      <c r="E14" s="10" t="n">
        <v>0</v>
      </c>
      <c r="F14" s="10" t="n">
        <v>1045.98</v>
      </c>
      <c r="G14" s="10" t="n">
        <v>1045.98</v>
      </c>
      <c r="H14" s="10" t="n">
        <v>583.5024</v>
      </c>
      <c r="I14" s="10" t="n">
        <v>462.48</v>
      </c>
      <c r="J14" s="10" t="n">
        <v>175.13</v>
      </c>
      <c r="K14" s="11" t="n">
        <v>0.4421</v>
      </c>
      <c r="L14" s="11" t="n">
        <v>0.1674</v>
      </c>
      <c r="M14" s="26" t="n">
        <v>29.23</v>
      </c>
    </row>
    <row r="15" customFormat="false" ht="15" hidden="false" customHeight="false" outlineLevel="0" collapsed="false">
      <c r="A15" s="27" t="n">
        <v>56365</v>
      </c>
      <c r="B15" s="12" t="s">
        <v>507</v>
      </c>
      <c r="C15" s="28" t="n">
        <v>216</v>
      </c>
      <c r="D15" s="28" t="n">
        <v>216</v>
      </c>
      <c r="E15" s="14" t="n">
        <v>0</v>
      </c>
      <c r="F15" s="14" t="n">
        <v>1728</v>
      </c>
      <c r="G15" s="14" t="n">
        <v>1728</v>
      </c>
      <c r="H15" s="14" t="n">
        <v>1707.0264</v>
      </c>
      <c r="I15" s="14" t="n">
        <v>20.97</v>
      </c>
      <c r="J15" s="14" t="n">
        <v>-453.74</v>
      </c>
      <c r="K15" s="15" t="n">
        <v>0.0121</v>
      </c>
      <c r="L15" s="15" t="n">
        <v>-0.2626</v>
      </c>
      <c r="M15" s="29" t="n">
        <v>30</v>
      </c>
    </row>
    <row r="16" customFormat="false" ht="15" hidden="false" customHeight="false" outlineLevel="0" collapsed="false">
      <c r="A16" s="24" t="n">
        <v>57502</v>
      </c>
      <c r="B16" s="8" t="s">
        <v>234</v>
      </c>
      <c r="C16" s="25" t="n">
        <v>9700</v>
      </c>
      <c r="D16" s="25" t="n">
        <v>9700</v>
      </c>
      <c r="E16" s="10" t="n">
        <v>6790</v>
      </c>
      <c r="F16" s="10" t="n">
        <v>0</v>
      </c>
      <c r="G16" s="10" t="n">
        <v>6790</v>
      </c>
      <c r="H16" s="10" t="n">
        <v>0</v>
      </c>
      <c r="I16" s="10" t="n">
        <v>6790</v>
      </c>
      <c r="J16" s="10" t="n">
        <v>6790</v>
      </c>
      <c r="K16" s="11" t="n">
        <v>1</v>
      </c>
      <c r="L16" s="11" t="n">
        <v>1</v>
      </c>
      <c r="M16" s="26" t="n">
        <v>7</v>
      </c>
    </row>
    <row r="17" customFormat="false" ht="15" hidden="false" customHeight="false" outlineLevel="0" collapsed="false">
      <c r="A17" s="27" t="n">
        <v>57510</v>
      </c>
      <c r="B17" s="12" t="s">
        <v>530</v>
      </c>
      <c r="C17" s="28" t="n">
        <v>300</v>
      </c>
      <c r="D17" s="28" t="n">
        <v>300</v>
      </c>
      <c r="E17" s="14" t="n">
        <v>0</v>
      </c>
      <c r="F17" s="14" t="n">
        <v>1431</v>
      </c>
      <c r="G17" s="14" t="n">
        <v>1431</v>
      </c>
      <c r="H17" s="14" t="n">
        <v>1413.18</v>
      </c>
      <c r="I17" s="14" t="n">
        <v>17.82</v>
      </c>
      <c r="J17" s="14" t="n">
        <v>-375.3</v>
      </c>
      <c r="K17" s="15" t="n">
        <v>0.0125</v>
      </c>
      <c r="L17" s="15" t="n">
        <v>-0.2623</v>
      </c>
      <c r="M17" s="29" t="n">
        <v>30</v>
      </c>
    </row>
    <row r="18" customFormat="false" ht="15" hidden="false" customHeight="false" outlineLevel="0" collapsed="false">
      <c r="A18" s="24" t="n">
        <v>90006</v>
      </c>
      <c r="B18" s="8" t="s">
        <v>447</v>
      </c>
      <c r="C18" s="25" t="n">
        <v>28</v>
      </c>
      <c r="D18" s="25" t="n">
        <v>28</v>
      </c>
      <c r="E18" s="10" t="n">
        <v>7200</v>
      </c>
      <c r="F18" s="10" t="n">
        <v>91985.17</v>
      </c>
      <c r="G18" s="10" t="n">
        <v>99185.17</v>
      </c>
      <c r="H18" s="10" t="n">
        <v>43875.27</v>
      </c>
      <c r="I18" s="10" t="n">
        <v>55309.9</v>
      </c>
      <c r="J18" s="10" t="n">
        <v>39758.94</v>
      </c>
      <c r="K18" s="11" t="n">
        <v>0.5576</v>
      </c>
      <c r="L18" s="11" t="n">
        <v>0.4009</v>
      </c>
      <c r="M18" s="26" t="n">
        <v>48.7</v>
      </c>
    </row>
    <row r="19" customFormat="false" ht="15" hidden="false" customHeight="false" outlineLevel="0" collapsed="false">
      <c r="A19" s="27" t="n">
        <v>90103</v>
      </c>
      <c r="B19" s="12" t="s">
        <v>468</v>
      </c>
      <c r="C19" s="28" t="n">
        <v>11</v>
      </c>
      <c r="D19" s="28" t="n">
        <v>11</v>
      </c>
      <c r="E19" s="14" t="n">
        <v>7144.59</v>
      </c>
      <c r="F19" s="14" t="n">
        <v>30067.19</v>
      </c>
      <c r="G19" s="14" t="n">
        <v>37211.78</v>
      </c>
      <c r="H19" s="14" t="n">
        <v>26595.51</v>
      </c>
      <c r="I19" s="14" t="n">
        <v>10616.27</v>
      </c>
      <c r="J19" s="14" t="n">
        <v>306.6</v>
      </c>
      <c r="K19" s="15" t="n">
        <v>0.2853</v>
      </c>
      <c r="L19" s="15" t="n">
        <v>0.0082</v>
      </c>
      <c r="M19" s="29" t="n">
        <v>40.91</v>
      </c>
    </row>
    <row r="20" customFormat="false" ht="15" hidden="false" customHeight="false" outlineLevel="0" collapsed="false">
      <c r="A20" s="24" t="n">
        <v>90237</v>
      </c>
      <c r="B20" s="8" t="s">
        <v>470</v>
      </c>
      <c r="C20" s="25" t="n">
        <v>1</v>
      </c>
      <c r="D20" s="25" t="n">
        <v>1</v>
      </c>
      <c r="E20" s="10" t="n">
        <v>0</v>
      </c>
      <c r="F20" s="10" t="n">
        <v>594</v>
      </c>
      <c r="G20" s="10" t="n">
        <v>594</v>
      </c>
      <c r="H20" s="10" t="n">
        <v>266.56</v>
      </c>
      <c r="I20" s="10" t="n">
        <v>327.44</v>
      </c>
      <c r="J20" s="10" t="n">
        <v>164.26</v>
      </c>
      <c r="K20" s="11" t="n">
        <v>0.5512</v>
      </c>
      <c r="L20" s="11" t="n">
        <v>0.2765</v>
      </c>
      <c r="M20" s="26" t="n">
        <v>30</v>
      </c>
    </row>
    <row r="21" customFormat="false" ht="15" hidden="false" customHeight="false" outlineLevel="0" collapsed="false">
      <c r="A21" s="27" t="n">
        <v>90297</v>
      </c>
      <c r="B21" s="12" t="s">
        <v>509</v>
      </c>
      <c r="C21" s="28" t="n">
        <v>29</v>
      </c>
      <c r="D21" s="28" t="n">
        <v>29</v>
      </c>
      <c r="E21" s="14" t="n">
        <v>0</v>
      </c>
      <c r="F21" s="14" t="n">
        <v>13780.8</v>
      </c>
      <c r="G21" s="14" t="n">
        <v>13780.8</v>
      </c>
      <c r="H21" s="14" t="n">
        <v>7323.52</v>
      </c>
      <c r="I21" s="14" t="n">
        <v>6457.28</v>
      </c>
      <c r="J21" s="14" t="n">
        <v>2671.42</v>
      </c>
      <c r="K21" s="15" t="n">
        <v>0.4686</v>
      </c>
      <c r="L21" s="15" t="n">
        <v>0.1939</v>
      </c>
      <c r="M21" s="29" t="n">
        <v>58.79</v>
      </c>
    </row>
    <row r="22" customFormat="false" ht="15" hidden="false" customHeight="false" outlineLevel="0" collapsed="false">
      <c r="A22" s="24" t="n">
        <v>90304</v>
      </c>
      <c r="B22" s="8" t="s">
        <v>488</v>
      </c>
      <c r="C22" s="25" t="n">
        <v>12</v>
      </c>
      <c r="D22" s="25" t="n">
        <v>12</v>
      </c>
      <c r="E22" s="10" t="n">
        <v>0</v>
      </c>
      <c r="F22" s="10" t="n">
        <v>2440.8</v>
      </c>
      <c r="G22" s="10" t="n">
        <v>2440.8</v>
      </c>
      <c r="H22" s="10" t="n">
        <v>688.52</v>
      </c>
      <c r="I22" s="10" t="n">
        <v>1752.28</v>
      </c>
      <c r="J22" s="10" t="n">
        <v>1081.74</v>
      </c>
      <c r="K22" s="11" t="n">
        <v>0.7179</v>
      </c>
      <c r="L22" s="11" t="n">
        <v>0.4432</v>
      </c>
      <c r="M22" s="26" t="n">
        <v>53</v>
      </c>
    </row>
    <row r="23" customFormat="false" ht="15" hidden="false" customHeight="false" outlineLevel="0" collapsed="false">
      <c r="A23" s="27" t="n">
        <v>90363</v>
      </c>
      <c r="B23" s="12" t="s">
        <v>472</v>
      </c>
      <c r="C23" s="28" t="n">
        <v>381</v>
      </c>
      <c r="D23" s="28" t="n">
        <v>381</v>
      </c>
      <c r="E23" s="14" t="n">
        <v>0</v>
      </c>
      <c r="F23" s="14" t="n">
        <v>96039.4</v>
      </c>
      <c r="G23" s="14" t="n">
        <v>96039.4</v>
      </c>
      <c r="H23" s="14" t="n">
        <v>443764.9959</v>
      </c>
      <c r="I23" s="14" t="n">
        <v>-347725.58</v>
      </c>
      <c r="J23" s="14" t="n">
        <v>-374109.49</v>
      </c>
      <c r="K23" s="15" t="n">
        <v>-3.6207</v>
      </c>
      <c r="L23" s="15" t="n">
        <v>-3.8954</v>
      </c>
      <c r="M23" s="29" t="n">
        <v>107</v>
      </c>
    </row>
    <row r="24" customFormat="false" ht="15" hidden="false" customHeight="false" outlineLevel="0" collapsed="false">
      <c r="A24" s="24" t="n">
        <v>90371</v>
      </c>
      <c r="B24" s="8" t="s">
        <v>473</v>
      </c>
      <c r="C24" s="25" t="n">
        <v>2328</v>
      </c>
      <c r="D24" s="25" t="n">
        <v>2328</v>
      </c>
      <c r="E24" s="10" t="n">
        <v>0</v>
      </c>
      <c r="F24" s="10" t="n">
        <v>36120.1</v>
      </c>
      <c r="G24" s="10" t="n">
        <v>36120.1</v>
      </c>
      <c r="H24" s="10" t="n">
        <v>10466.067</v>
      </c>
      <c r="I24" s="10" t="n">
        <v>25654.04</v>
      </c>
      <c r="J24" s="10" t="n">
        <v>15731.15</v>
      </c>
      <c r="K24" s="11" t="n">
        <v>0.7102</v>
      </c>
      <c r="L24" s="11" t="n">
        <v>0.4355</v>
      </c>
      <c r="M24" s="26" t="n">
        <v>60.58</v>
      </c>
    </row>
    <row r="25" customFormat="false" ht="15" hidden="false" customHeight="false" outlineLevel="0" collapsed="false">
      <c r="A25" s="27" t="n">
        <v>90401</v>
      </c>
      <c r="B25" s="12" t="s">
        <v>473</v>
      </c>
      <c r="C25" s="28" t="n">
        <v>1016</v>
      </c>
      <c r="D25" s="28" t="n">
        <v>1016</v>
      </c>
      <c r="E25" s="14" t="n">
        <v>0</v>
      </c>
      <c r="F25" s="14" t="n">
        <v>33750.12</v>
      </c>
      <c r="G25" s="14" t="n">
        <v>33750.12</v>
      </c>
      <c r="H25" s="14" t="n">
        <v>12371.0563</v>
      </c>
      <c r="I25" s="14" t="n">
        <v>21379.07</v>
      </c>
      <c r="J25" s="14" t="n">
        <v>12107.31</v>
      </c>
      <c r="K25" s="15" t="n">
        <v>0.6335</v>
      </c>
      <c r="L25" s="15" t="n">
        <v>0.3587</v>
      </c>
      <c r="M25" s="29" t="n">
        <v>62.93</v>
      </c>
    </row>
    <row r="26" customFormat="false" ht="15" hidden="false" customHeight="false" outlineLevel="0" collapsed="false">
      <c r="A26" s="24" t="n">
        <v>90413</v>
      </c>
      <c r="B26" s="8" t="s">
        <v>477</v>
      </c>
      <c r="C26" s="25" t="n">
        <v>193</v>
      </c>
      <c r="D26" s="25" t="n">
        <v>193</v>
      </c>
      <c r="E26" s="10" t="n">
        <v>0</v>
      </c>
      <c r="F26" s="10" t="n">
        <v>23308.8</v>
      </c>
      <c r="G26" s="10" t="n">
        <v>23308.8</v>
      </c>
      <c r="H26" s="10" t="n">
        <v>2880</v>
      </c>
      <c r="I26" s="10" t="n">
        <v>20428.8</v>
      </c>
      <c r="J26" s="10" t="n">
        <v>19970.6</v>
      </c>
      <c r="K26" s="11" t="n">
        <v>0.8764</v>
      </c>
      <c r="L26" s="11" t="n">
        <v>0.8568</v>
      </c>
      <c r="M26" s="26" t="n">
        <v>30</v>
      </c>
    </row>
    <row r="27" customFormat="false" ht="15" hidden="false" customHeight="false" outlineLevel="0" collapsed="false">
      <c r="A27" s="27" t="n">
        <v>90425</v>
      </c>
      <c r="B27" s="12" t="s">
        <v>479</v>
      </c>
      <c r="C27" s="28" t="n">
        <v>7245</v>
      </c>
      <c r="D27" s="28" t="n">
        <v>7245</v>
      </c>
      <c r="E27" s="14" t="n">
        <v>0</v>
      </c>
      <c r="F27" s="14" t="n">
        <v>110230.16</v>
      </c>
      <c r="G27" s="14" t="n">
        <v>110230.16</v>
      </c>
      <c r="H27" s="14" t="n">
        <v>261760.1317</v>
      </c>
      <c r="I27" s="14" t="n">
        <v>-151529.99</v>
      </c>
      <c r="J27" s="14" t="n">
        <v>-181812.35</v>
      </c>
      <c r="K27" s="15" t="n">
        <v>-1.3747</v>
      </c>
      <c r="L27" s="15" t="n">
        <v>-1.6494</v>
      </c>
      <c r="M27" s="29" t="n">
        <v>54.06</v>
      </c>
    </row>
    <row r="28" customFormat="false" ht="15" hidden="false" customHeight="false" outlineLevel="0" collapsed="false">
      <c r="A28" s="24" t="n">
        <v>90428</v>
      </c>
      <c r="B28" s="8" t="s">
        <v>480</v>
      </c>
      <c r="C28" s="25" t="n">
        <v>11</v>
      </c>
      <c r="D28" s="25" t="n">
        <v>11</v>
      </c>
      <c r="E28" s="10" t="n">
        <v>0</v>
      </c>
      <c r="F28" s="10" t="n">
        <v>430.21</v>
      </c>
      <c r="G28" s="10" t="n">
        <v>430.21</v>
      </c>
      <c r="H28" s="10" t="n">
        <v>150.8199</v>
      </c>
      <c r="I28" s="10" t="n">
        <v>279.39</v>
      </c>
      <c r="J28" s="10" t="n">
        <v>161.21</v>
      </c>
      <c r="K28" s="11" t="n">
        <v>0.6494</v>
      </c>
      <c r="L28" s="11" t="n">
        <v>0.3747</v>
      </c>
      <c r="M28" s="26" t="n">
        <v>30</v>
      </c>
    </row>
    <row r="29" customFormat="false" ht="15" hidden="false" customHeight="false" outlineLevel="0" collapsed="false">
      <c r="A29" s="27" t="n">
        <v>90436</v>
      </c>
      <c r="B29" s="12" t="s">
        <v>481</v>
      </c>
      <c r="C29" s="28" t="n">
        <v>241</v>
      </c>
      <c r="D29" s="28" t="n">
        <v>241</v>
      </c>
      <c r="E29" s="14" t="n">
        <v>0</v>
      </c>
      <c r="F29" s="14" t="n">
        <v>9121.88</v>
      </c>
      <c r="G29" s="14" t="n">
        <v>9121.88</v>
      </c>
      <c r="H29" s="14" t="n">
        <v>0</v>
      </c>
      <c r="I29" s="14" t="n">
        <v>9121.88</v>
      </c>
      <c r="J29" s="14" t="n">
        <v>9121.88</v>
      </c>
      <c r="K29" s="15" t="n">
        <v>1</v>
      </c>
      <c r="L29" s="15" t="n">
        <v>1</v>
      </c>
      <c r="M29" s="29" t="n">
        <v>49.82</v>
      </c>
    </row>
    <row r="30" customFormat="false" ht="15" hidden="false" customHeight="false" outlineLevel="0" collapsed="false">
      <c r="A30" s="24" t="n">
        <v>90440</v>
      </c>
      <c r="B30" s="8" t="s">
        <v>482</v>
      </c>
      <c r="C30" s="25" t="n">
        <v>2969</v>
      </c>
      <c r="D30" s="25" t="n">
        <v>2969</v>
      </c>
      <c r="E30" s="10" t="n">
        <v>0</v>
      </c>
      <c r="F30" s="10" t="n">
        <v>112342.11</v>
      </c>
      <c r="G30" s="10" t="n">
        <v>112342.11</v>
      </c>
      <c r="H30" s="10" t="n">
        <v>53496.9323</v>
      </c>
      <c r="I30" s="10" t="n">
        <v>58845.18</v>
      </c>
      <c r="J30" s="10" t="n">
        <v>27982.59</v>
      </c>
      <c r="K30" s="11" t="n">
        <v>0.5238</v>
      </c>
      <c r="L30" s="11" t="n">
        <v>0.2491</v>
      </c>
      <c r="M30" s="26" t="n">
        <v>28.34</v>
      </c>
    </row>
    <row r="31" customFormat="false" ht="15" hidden="false" customHeight="false" outlineLevel="0" collapsed="false">
      <c r="A31" s="27" t="n">
        <v>90453</v>
      </c>
      <c r="B31" s="12" t="s">
        <v>485</v>
      </c>
      <c r="C31" s="28" t="n">
        <v>252</v>
      </c>
      <c r="D31" s="28" t="n">
        <v>252</v>
      </c>
      <c r="E31" s="14" t="n">
        <v>0</v>
      </c>
      <c r="F31" s="14" t="n">
        <v>1178.05</v>
      </c>
      <c r="G31" s="14" t="n">
        <v>1178.05</v>
      </c>
      <c r="H31" s="14" t="n">
        <v>236.1841</v>
      </c>
      <c r="I31" s="14" t="n">
        <v>941.86</v>
      </c>
      <c r="J31" s="14" t="n">
        <v>618.24</v>
      </c>
      <c r="K31" s="15" t="n">
        <v>0.7995</v>
      </c>
      <c r="L31" s="15" t="n">
        <v>0.5248</v>
      </c>
      <c r="M31" s="29" t="n">
        <v>29.78</v>
      </c>
    </row>
    <row r="32" customFormat="false" ht="15" hidden="false" customHeight="false" outlineLevel="0" collapsed="false">
      <c r="A32" s="24" t="n">
        <v>90465</v>
      </c>
      <c r="B32" s="8" t="s">
        <v>512</v>
      </c>
      <c r="C32" s="25" t="n">
        <v>-12</v>
      </c>
      <c r="D32" s="25" t="n">
        <v>-12</v>
      </c>
      <c r="E32" s="10" t="n">
        <v>0</v>
      </c>
      <c r="F32" s="10" t="n">
        <v>-192.75</v>
      </c>
      <c r="G32" s="10" t="n">
        <v>-192.75</v>
      </c>
      <c r="H32" s="10" t="n">
        <v>-51.24</v>
      </c>
      <c r="I32" s="10" t="n">
        <v>-141.51</v>
      </c>
      <c r="J32" s="10" t="n">
        <v>-88.59</v>
      </c>
      <c r="K32" s="11" t="n">
        <v>0.7342</v>
      </c>
      <c r="L32" s="11" t="n">
        <v>0.4596</v>
      </c>
      <c r="M32" s="26" t="n">
        <v>1</v>
      </c>
    </row>
    <row r="33" customFormat="false" ht="15" hidden="false" customHeight="false" outlineLevel="0" collapsed="false">
      <c r="A33" s="27" t="n">
        <v>90476</v>
      </c>
      <c r="B33" s="12" t="s">
        <v>477</v>
      </c>
      <c r="C33" s="28" t="n">
        <v>1</v>
      </c>
      <c r="D33" s="28" t="n">
        <v>1</v>
      </c>
      <c r="E33" s="14" t="n">
        <v>0</v>
      </c>
      <c r="F33" s="14" t="n">
        <v>225.42</v>
      </c>
      <c r="G33" s="14" t="n">
        <v>225.42</v>
      </c>
      <c r="H33" s="14" t="n">
        <v>16.78</v>
      </c>
      <c r="I33" s="14" t="n">
        <v>208.64</v>
      </c>
      <c r="J33" s="14" t="n">
        <v>146.72</v>
      </c>
      <c r="K33" s="15" t="n">
        <v>0.9256</v>
      </c>
      <c r="L33" s="15" t="n">
        <v>0.6509</v>
      </c>
      <c r="M33" s="29" t="n">
        <v>7</v>
      </c>
    </row>
    <row r="34" customFormat="false" ht="15" hidden="false" customHeight="false" outlineLevel="0" collapsed="false">
      <c r="A34" s="24" t="n">
        <v>90480</v>
      </c>
      <c r="B34" s="8" t="s">
        <v>545</v>
      </c>
      <c r="C34" s="25" t="n">
        <v>1007</v>
      </c>
      <c r="D34" s="25" t="n">
        <v>1007</v>
      </c>
      <c r="E34" s="10" t="n">
        <v>0</v>
      </c>
      <c r="F34" s="10" t="n">
        <v>11123.82</v>
      </c>
      <c r="G34" s="10" t="n">
        <v>11123.82</v>
      </c>
      <c r="H34" s="10" t="n">
        <v>2951.1644</v>
      </c>
      <c r="I34" s="10" t="n">
        <v>8172.66</v>
      </c>
      <c r="J34" s="10" t="n">
        <v>5116.71</v>
      </c>
      <c r="K34" s="11" t="n">
        <v>0.7347</v>
      </c>
      <c r="L34" s="11" t="n">
        <v>0.46</v>
      </c>
      <c r="M34" s="26" t="n">
        <v>60</v>
      </c>
    </row>
    <row r="35" customFormat="false" ht="15" hidden="false" customHeight="false" outlineLevel="0" collapsed="false">
      <c r="A35" s="27" t="n">
        <v>90486</v>
      </c>
      <c r="B35" s="12" t="s">
        <v>551</v>
      </c>
      <c r="C35" s="28" t="n">
        <v>14</v>
      </c>
      <c r="D35" s="28" t="n">
        <v>14</v>
      </c>
      <c r="E35" s="14" t="n">
        <v>0</v>
      </c>
      <c r="F35" s="14" t="n">
        <v>2464</v>
      </c>
      <c r="G35" s="14" t="n">
        <v>2464</v>
      </c>
      <c r="H35" s="14" t="n">
        <v>1347.9802</v>
      </c>
      <c r="I35" s="14" t="n">
        <v>1116.02</v>
      </c>
      <c r="J35" s="14" t="n">
        <v>261.06</v>
      </c>
      <c r="K35" s="15" t="n">
        <v>0.4529</v>
      </c>
      <c r="L35" s="15" t="n">
        <v>0.1059</v>
      </c>
      <c r="M35" s="29" t="n">
        <v>34</v>
      </c>
    </row>
    <row r="36" customFormat="false" ht="15" hidden="false" customHeight="false" outlineLevel="0" collapsed="false">
      <c r="A36" s="24" t="n">
        <v>90506</v>
      </c>
      <c r="B36" s="8" t="s">
        <v>473</v>
      </c>
      <c r="C36" s="25" t="n">
        <v>1051</v>
      </c>
      <c r="D36" s="25" t="n">
        <v>1051</v>
      </c>
      <c r="E36" s="10" t="n">
        <v>0</v>
      </c>
      <c r="F36" s="10" t="n">
        <v>33722.67</v>
      </c>
      <c r="G36" s="10" t="n">
        <v>33722.67</v>
      </c>
      <c r="H36" s="10" t="n">
        <v>10379.6285</v>
      </c>
      <c r="I36" s="10" t="n">
        <v>23343.04</v>
      </c>
      <c r="J36" s="10" t="n">
        <v>14078.75</v>
      </c>
      <c r="K36" s="11" t="n">
        <v>0.6922</v>
      </c>
      <c r="L36" s="11" t="n">
        <v>0.4175</v>
      </c>
      <c r="M36" s="26" t="n">
        <v>61.84</v>
      </c>
    </row>
    <row r="37" customFormat="false" ht="15" hidden="false" customHeight="false" outlineLevel="0" collapsed="false">
      <c r="A37" s="27" t="n">
        <v>90605</v>
      </c>
      <c r="B37" s="12" t="s">
        <v>490</v>
      </c>
      <c r="C37" s="28" t="n">
        <v>447</v>
      </c>
      <c r="D37" s="28" t="n">
        <v>447</v>
      </c>
      <c r="E37" s="14" t="n">
        <v>0</v>
      </c>
      <c r="F37" s="14" t="n">
        <v>38855</v>
      </c>
      <c r="G37" s="14" t="n">
        <v>38855</v>
      </c>
      <c r="H37" s="14" t="n">
        <v>0</v>
      </c>
      <c r="I37" s="14" t="n">
        <v>38855</v>
      </c>
      <c r="J37" s="14" t="n">
        <v>38855</v>
      </c>
      <c r="K37" s="15" t="n">
        <v>1</v>
      </c>
      <c r="L37" s="15" t="n">
        <v>1</v>
      </c>
      <c r="M37" s="29" t="n">
        <v>56.56</v>
      </c>
    </row>
    <row r="38" customFormat="false" ht="15" hidden="false" customHeight="false" outlineLevel="0" collapsed="false">
      <c r="A38" s="24" t="n">
        <v>90607</v>
      </c>
      <c r="B38" s="8" t="s">
        <v>552</v>
      </c>
      <c r="C38" s="25" t="n">
        <v>4</v>
      </c>
      <c r="D38" s="25" t="n">
        <v>4</v>
      </c>
      <c r="E38" s="10" t="n">
        <v>0</v>
      </c>
      <c r="F38" s="10" t="n">
        <v>3222.13</v>
      </c>
      <c r="G38" s="10" t="n">
        <v>3222.13</v>
      </c>
      <c r="H38" s="10" t="n">
        <v>1540.88</v>
      </c>
      <c r="I38" s="10" t="n">
        <v>1681.25</v>
      </c>
      <c r="J38" s="10" t="n">
        <v>543.56</v>
      </c>
      <c r="K38" s="11" t="n">
        <v>0.5218</v>
      </c>
      <c r="L38" s="11" t="n">
        <v>0.1687</v>
      </c>
      <c r="M38" s="26" t="n">
        <v>29</v>
      </c>
    </row>
    <row r="39" customFormat="false" ht="15" hidden="false" customHeight="false" outlineLevel="0" collapsed="false">
      <c r="A39" s="27" t="n">
        <v>90609</v>
      </c>
      <c r="B39" s="12" t="s">
        <v>515</v>
      </c>
      <c r="C39" s="28" t="n">
        <v>15</v>
      </c>
      <c r="D39" s="28" t="n">
        <v>15</v>
      </c>
      <c r="E39" s="14" t="n">
        <v>0</v>
      </c>
      <c r="F39" s="14" t="n">
        <v>271.98</v>
      </c>
      <c r="G39" s="14" t="n">
        <v>271.98</v>
      </c>
      <c r="H39" s="14" t="n">
        <v>109.07</v>
      </c>
      <c r="I39" s="14" t="n">
        <v>162.91</v>
      </c>
      <c r="J39" s="14" t="n">
        <v>88.19</v>
      </c>
      <c r="K39" s="15" t="n">
        <v>0.599</v>
      </c>
      <c r="L39" s="15" t="n">
        <v>0.3243</v>
      </c>
      <c r="M39" s="29" t="n">
        <v>7</v>
      </c>
    </row>
    <row r="40" customFormat="false" ht="15" hidden="false" customHeight="false" outlineLevel="0" collapsed="false">
      <c r="A40" s="24" t="n">
        <v>90612</v>
      </c>
      <c r="B40" s="8" t="s">
        <v>553</v>
      </c>
      <c r="C40" s="25" t="n">
        <v>3</v>
      </c>
      <c r="D40" s="25" t="n">
        <v>3</v>
      </c>
      <c r="E40" s="10" t="n">
        <v>0</v>
      </c>
      <c r="F40" s="10" t="n">
        <v>586.92</v>
      </c>
      <c r="G40" s="10" t="n">
        <v>586.92</v>
      </c>
      <c r="H40" s="10" t="n">
        <v>213.72</v>
      </c>
      <c r="I40" s="10" t="n">
        <v>373.2</v>
      </c>
      <c r="J40" s="10" t="n">
        <v>211.95</v>
      </c>
      <c r="K40" s="11" t="n">
        <v>0.6359</v>
      </c>
      <c r="L40" s="11" t="n">
        <v>0.3611</v>
      </c>
      <c r="M40" s="26" t="n">
        <v>28</v>
      </c>
    </row>
    <row r="41" customFormat="false" ht="15" hidden="false" customHeight="false" outlineLevel="0" collapsed="false">
      <c r="A41" s="27" t="n">
        <v>90613</v>
      </c>
      <c r="B41" s="12" t="s">
        <v>516</v>
      </c>
      <c r="C41" s="28" t="n">
        <v>102</v>
      </c>
      <c r="D41" s="28" t="n">
        <v>102</v>
      </c>
      <c r="E41" s="14" t="n">
        <v>0</v>
      </c>
      <c r="F41" s="14" t="n">
        <v>902.4</v>
      </c>
      <c r="G41" s="14" t="n">
        <v>902.4</v>
      </c>
      <c r="H41" s="14" t="n">
        <v>0</v>
      </c>
      <c r="I41" s="14" t="n">
        <v>902.4</v>
      </c>
      <c r="J41" s="14" t="n">
        <v>902.4</v>
      </c>
      <c r="K41" s="15" t="n">
        <v>1</v>
      </c>
      <c r="L41" s="15" t="n">
        <v>1</v>
      </c>
      <c r="M41" s="29" t="n">
        <v>28.8</v>
      </c>
    </row>
    <row r="42" customFormat="false" ht="15" hidden="false" customHeight="false" outlineLevel="0" collapsed="false">
      <c r="A42" s="24" t="n">
        <v>90617</v>
      </c>
      <c r="B42" s="8" t="s">
        <v>492</v>
      </c>
      <c r="C42" s="25" t="n">
        <v>615</v>
      </c>
      <c r="D42" s="25" t="n">
        <v>615</v>
      </c>
      <c r="E42" s="10" t="n">
        <v>0</v>
      </c>
      <c r="F42" s="10" t="n">
        <v>34862.07</v>
      </c>
      <c r="G42" s="10" t="n">
        <v>34862.07</v>
      </c>
      <c r="H42" s="10" t="n">
        <v>16167.9444</v>
      </c>
      <c r="I42" s="10" t="n">
        <v>18694.13</v>
      </c>
      <c r="J42" s="10" t="n">
        <v>9116.86</v>
      </c>
      <c r="K42" s="11" t="n">
        <v>0.5362</v>
      </c>
      <c r="L42" s="11" t="n">
        <v>0.2615</v>
      </c>
      <c r="M42" s="26" t="n">
        <v>60.21</v>
      </c>
    </row>
    <row r="43" customFormat="false" ht="15" hidden="false" customHeight="false" outlineLevel="0" collapsed="false">
      <c r="A43" s="27" t="n">
        <v>90618</v>
      </c>
      <c r="B43" s="12" t="s">
        <v>554</v>
      </c>
      <c r="C43" s="28" t="n">
        <v>1080</v>
      </c>
      <c r="D43" s="28" t="n">
        <v>1080</v>
      </c>
      <c r="E43" s="14" t="n">
        <v>0</v>
      </c>
      <c r="F43" s="14" t="n">
        <v>3629.82</v>
      </c>
      <c r="G43" s="14" t="n">
        <v>3629.82</v>
      </c>
      <c r="H43" s="14" t="n">
        <v>0</v>
      </c>
      <c r="I43" s="14" t="n">
        <v>3629.82</v>
      </c>
      <c r="J43" s="14" t="n">
        <v>3629.82</v>
      </c>
      <c r="K43" s="15" t="n">
        <v>1</v>
      </c>
      <c r="L43" s="15" t="n">
        <v>1</v>
      </c>
      <c r="M43" s="29" t="n">
        <v>47.08</v>
      </c>
    </row>
    <row r="44" customFormat="false" ht="15" hidden="false" customHeight="false" outlineLevel="0" collapsed="false">
      <c r="A44" s="24" t="n">
        <v>90623</v>
      </c>
      <c r="B44" s="8" t="s">
        <v>473</v>
      </c>
      <c r="C44" s="25" t="n">
        <v>1083</v>
      </c>
      <c r="D44" s="25" t="n">
        <v>1083</v>
      </c>
      <c r="E44" s="10" t="n">
        <v>0</v>
      </c>
      <c r="F44" s="10" t="n">
        <v>70308.98</v>
      </c>
      <c r="G44" s="10" t="n">
        <v>70308.98</v>
      </c>
      <c r="H44" s="10" t="n">
        <v>38670.1668</v>
      </c>
      <c r="I44" s="10" t="n">
        <v>31638.81</v>
      </c>
      <c r="J44" s="10" t="n">
        <v>12323.44</v>
      </c>
      <c r="K44" s="11" t="n">
        <v>0.45</v>
      </c>
      <c r="L44" s="11" t="n">
        <v>0.1753</v>
      </c>
      <c r="M44" s="26" t="n">
        <v>61.8</v>
      </c>
    </row>
    <row r="45" customFormat="false" ht="15" hidden="false" customHeight="false" outlineLevel="0" collapsed="false">
      <c r="A45" s="27" t="n">
        <v>90625</v>
      </c>
      <c r="B45" s="12" t="s">
        <v>473</v>
      </c>
      <c r="C45" s="28" t="n">
        <v>1855</v>
      </c>
      <c r="D45" s="28" t="n">
        <v>1855</v>
      </c>
      <c r="E45" s="14" t="n">
        <v>0</v>
      </c>
      <c r="F45" s="14" t="n">
        <v>73167.65</v>
      </c>
      <c r="G45" s="14" t="n">
        <v>73167.65</v>
      </c>
      <c r="H45" s="14" t="n">
        <v>26169.0273</v>
      </c>
      <c r="I45" s="14" t="n">
        <v>46998.62</v>
      </c>
      <c r="J45" s="14" t="n">
        <v>26898.09</v>
      </c>
      <c r="K45" s="15" t="n">
        <v>0.6423</v>
      </c>
      <c r="L45" s="15" t="n">
        <v>0.3676</v>
      </c>
      <c r="M45" s="29" t="n">
        <v>61.9</v>
      </c>
    </row>
    <row r="46" customFormat="false" ht="15" hidden="false" customHeight="false" outlineLevel="0" collapsed="false">
      <c r="A46" s="24" t="n">
        <v>90629</v>
      </c>
      <c r="B46" s="8" t="s">
        <v>517</v>
      </c>
      <c r="C46" s="25" t="n">
        <v>200</v>
      </c>
      <c r="D46" s="25" t="n">
        <v>200</v>
      </c>
      <c r="E46" s="10" t="n">
        <v>0</v>
      </c>
      <c r="F46" s="10" t="n">
        <v>2124</v>
      </c>
      <c r="G46" s="10" t="n">
        <v>2124</v>
      </c>
      <c r="H46" s="10" t="n">
        <v>171.78</v>
      </c>
      <c r="I46" s="10" t="n">
        <v>1952.22</v>
      </c>
      <c r="J46" s="10" t="n">
        <v>1368.72</v>
      </c>
      <c r="K46" s="11" t="n">
        <v>0.9191</v>
      </c>
      <c r="L46" s="11" t="n">
        <v>0.6444</v>
      </c>
      <c r="M46" s="26" t="n">
        <v>46</v>
      </c>
    </row>
    <row r="47" customFormat="false" ht="15" hidden="false" customHeight="false" outlineLevel="0" collapsed="false">
      <c r="A47" s="27" t="n">
        <v>90630</v>
      </c>
      <c r="B47" s="12" t="s">
        <v>493</v>
      </c>
      <c r="C47" s="28" t="n">
        <v>8</v>
      </c>
      <c r="D47" s="28" t="n">
        <v>8</v>
      </c>
      <c r="E47" s="14" t="n">
        <v>0</v>
      </c>
      <c r="F47" s="14" t="n">
        <v>1553.68</v>
      </c>
      <c r="G47" s="14" t="n">
        <v>1553.68</v>
      </c>
      <c r="H47" s="14" t="n">
        <v>229.92</v>
      </c>
      <c r="I47" s="14" t="n">
        <v>1323.76</v>
      </c>
      <c r="J47" s="14" t="n">
        <v>896.94</v>
      </c>
      <c r="K47" s="15" t="n">
        <v>0.852</v>
      </c>
      <c r="L47" s="15" t="n">
        <v>0.5773</v>
      </c>
      <c r="M47" s="29" t="n">
        <v>58</v>
      </c>
    </row>
    <row r="48" customFormat="false" ht="15" hidden="false" customHeight="false" outlineLevel="0" collapsed="false">
      <c r="A48" s="24" t="n">
        <v>90636</v>
      </c>
      <c r="B48" s="8" t="s">
        <v>494</v>
      </c>
      <c r="C48" s="25" t="n">
        <v>25</v>
      </c>
      <c r="D48" s="25" t="n">
        <v>25</v>
      </c>
      <c r="E48" s="10" t="n">
        <v>0</v>
      </c>
      <c r="F48" s="10" t="n">
        <v>1645</v>
      </c>
      <c r="G48" s="10" t="n">
        <v>1645</v>
      </c>
      <c r="H48" s="10" t="n">
        <v>371.19</v>
      </c>
      <c r="I48" s="10" t="n">
        <v>1273.81</v>
      </c>
      <c r="J48" s="10" t="n">
        <v>821.9</v>
      </c>
      <c r="K48" s="11" t="n">
        <v>0.7744</v>
      </c>
      <c r="L48" s="11" t="n">
        <v>0.4996</v>
      </c>
      <c r="M48" s="26" t="n">
        <v>60</v>
      </c>
    </row>
    <row r="49" customFormat="false" ht="15" hidden="false" customHeight="false" outlineLevel="0" collapsed="false">
      <c r="A49" s="27" t="n">
        <v>90640</v>
      </c>
      <c r="B49" s="12" t="s">
        <v>473</v>
      </c>
      <c r="C49" s="28" t="n">
        <v>141</v>
      </c>
      <c r="D49" s="28" t="n">
        <v>141</v>
      </c>
      <c r="E49" s="14" t="n">
        <v>0</v>
      </c>
      <c r="F49" s="14" t="n">
        <v>9771.55</v>
      </c>
      <c r="G49" s="14" t="n">
        <v>9771.55</v>
      </c>
      <c r="H49" s="14" t="n">
        <v>4210.8385</v>
      </c>
      <c r="I49" s="14" t="n">
        <v>5560.71</v>
      </c>
      <c r="J49" s="14" t="n">
        <v>2876.29</v>
      </c>
      <c r="K49" s="15" t="n">
        <v>0.5691</v>
      </c>
      <c r="L49" s="15" t="n">
        <v>0.2944</v>
      </c>
      <c r="M49" s="29" t="n">
        <v>61.84</v>
      </c>
    </row>
    <row r="50" customFormat="false" ht="15" hidden="false" customHeight="false" outlineLevel="0" collapsed="false">
      <c r="A50" s="24" t="n">
        <v>90643</v>
      </c>
      <c r="B50" s="8" t="s">
        <v>488</v>
      </c>
      <c r="C50" s="25" t="n">
        <v>6</v>
      </c>
      <c r="D50" s="25" t="n">
        <v>6</v>
      </c>
      <c r="E50" s="10" t="n">
        <v>0</v>
      </c>
      <c r="F50" s="10" t="n">
        <v>3816</v>
      </c>
      <c r="G50" s="10" t="n">
        <v>3816</v>
      </c>
      <c r="H50" s="10" t="n">
        <v>1096.76</v>
      </c>
      <c r="I50" s="10" t="n">
        <v>2719.24</v>
      </c>
      <c r="J50" s="10" t="n">
        <v>1670.91</v>
      </c>
      <c r="K50" s="11" t="n">
        <v>0.7126</v>
      </c>
      <c r="L50" s="11" t="n">
        <v>0.4379</v>
      </c>
      <c r="M50" s="26" t="n">
        <v>28</v>
      </c>
    </row>
    <row r="51" customFormat="false" ht="15" hidden="false" customHeight="false" outlineLevel="0" collapsed="false">
      <c r="A51" s="27" t="n">
        <v>90646</v>
      </c>
      <c r="B51" s="12" t="s">
        <v>555</v>
      </c>
      <c r="C51" s="28" t="n">
        <v>29</v>
      </c>
      <c r="D51" s="28" t="n">
        <v>29</v>
      </c>
      <c r="E51" s="14" t="n">
        <v>0</v>
      </c>
      <c r="F51" s="14" t="n">
        <v>1856</v>
      </c>
      <c r="G51" s="14" t="n">
        <v>1856</v>
      </c>
      <c r="H51" s="14" t="n">
        <v>0</v>
      </c>
      <c r="I51" s="14" t="n">
        <v>1856</v>
      </c>
      <c r="J51" s="14" t="n">
        <v>1856</v>
      </c>
      <c r="K51" s="15" t="n">
        <v>1</v>
      </c>
      <c r="L51" s="15" t="n">
        <v>1</v>
      </c>
      <c r="M51" s="29" t="n">
        <v>46</v>
      </c>
    </row>
    <row r="52" customFormat="false" ht="15" hidden="false" customHeight="false" outlineLevel="0" collapsed="false">
      <c r="A52" s="24" t="n">
        <v>90664</v>
      </c>
      <c r="B52" s="8" t="s">
        <v>496</v>
      </c>
      <c r="C52" s="25" t="n">
        <v>115</v>
      </c>
      <c r="D52" s="25" t="n">
        <v>115</v>
      </c>
      <c r="E52" s="10" t="n">
        <v>25090.7</v>
      </c>
      <c r="F52" s="10" t="n">
        <v>268641.63</v>
      </c>
      <c r="G52" s="10" t="n">
        <v>293732.33</v>
      </c>
      <c r="H52" s="10" t="n">
        <v>83562.42</v>
      </c>
      <c r="I52" s="10" t="n">
        <v>210169.91</v>
      </c>
      <c r="J52" s="10" t="n">
        <v>127654.51</v>
      </c>
      <c r="K52" s="11" t="n">
        <v>0.7155</v>
      </c>
      <c r="L52" s="11" t="n">
        <v>0.4346</v>
      </c>
      <c r="M52" s="26" t="n">
        <v>50.33</v>
      </c>
    </row>
    <row r="53" customFormat="false" ht="15" hidden="false" customHeight="false" outlineLevel="0" collapsed="false">
      <c r="A53" s="27" t="n">
        <v>90665</v>
      </c>
      <c r="B53" s="12" t="s">
        <v>497</v>
      </c>
      <c r="C53" s="28" t="n">
        <v>3</v>
      </c>
      <c r="D53" s="28" t="n">
        <v>3</v>
      </c>
      <c r="E53" s="14" t="n">
        <v>0</v>
      </c>
      <c r="F53" s="14" t="n">
        <v>1453.12</v>
      </c>
      <c r="G53" s="14" t="n">
        <v>1453.12</v>
      </c>
      <c r="H53" s="14" t="n">
        <v>2139.66</v>
      </c>
      <c r="I53" s="14" t="n">
        <v>-686.54</v>
      </c>
      <c r="J53" s="14" t="n">
        <v>-1085.74</v>
      </c>
      <c r="K53" s="15" t="n">
        <v>-0.4725</v>
      </c>
      <c r="L53" s="15" t="n">
        <v>-0.7472</v>
      </c>
      <c r="M53" s="29" t="n">
        <v>28</v>
      </c>
    </row>
    <row r="54" customFormat="false" ht="15" hidden="false" customHeight="false" outlineLevel="0" collapsed="false">
      <c r="A54" s="24" t="n">
        <v>90679</v>
      </c>
      <c r="B54" s="8" t="s">
        <v>548</v>
      </c>
      <c r="C54" s="25" t="n">
        <v>5</v>
      </c>
      <c r="D54" s="25" t="n">
        <v>5</v>
      </c>
      <c r="E54" s="10" t="n">
        <v>0</v>
      </c>
      <c r="F54" s="10" t="n">
        <v>1460</v>
      </c>
      <c r="G54" s="10" t="n">
        <v>1460</v>
      </c>
      <c r="H54" s="10" t="n">
        <v>352.84</v>
      </c>
      <c r="I54" s="10" t="n">
        <v>1107.16</v>
      </c>
      <c r="J54" s="10" t="n">
        <v>591.65</v>
      </c>
      <c r="K54" s="11" t="n">
        <v>0.7583</v>
      </c>
      <c r="L54" s="11" t="n">
        <v>0.4052</v>
      </c>
      <c r="M54" s="26" t="n">
        <v>35</v>
      </c>
    </row>
    <row r="55" customFormat="false" ht="15" hidden="false" customHeight="false" outlineLevel="0" collapsed="false">
      <c r="A55" s="27" t="n">
        <v>90689</v>
      </c>
      <c r="B55" s="12" t="s">
        <v>519</v>
      </c>
      <c r="C55" s="28" t="n">
        <v>66</v>
      </c>
      <c r="D55" s="28" t="n">
        <v>66</v>
      </c>
      <c r="E55" s="14" t="n">
        <v>0</v>
      </c>
      <c r="F55" s="14" t="n">
        <v>12886.5</v>
      </c>
      <c r="G55" s="14" t="n">
        <v>12886.5</v>
      </c>
      <c r="H55" s="14" t="n">
        <v>8035.7412</v>
      </c>
      <c r="I55" s="14" t="n">
        <v>4850.76</v>
      </c>
      <c r="J55" s="14" t="n">
        <v>2105.21</v>
      </c>
      <c r="K55" s="15" t="n">
        <v>0.3764</v>
      </c>
      <c r="L55" s="15" t="n">
        <v>0.1634</v>
      </c>
      <c r="M55" s="29" t="n">
        <v>60</v>
      </c>
    </row>
    <row r="56" customFormat="false" ht="15" hidden="false" customHeight="false" outlineLevel="0" collapsed="false">
      <c r="A56" s="24" t="n">
        <v>90692</v>
      </c>
      <c r="B56" s="8" t="s">
        <v>499</v>
      </c>
      <c r="C56" s="25" t="n">
        <v>47</v>
      </c>
      <c r="D56" s="25" t="n">
        <v>47</v>
      </c>
      <c r="E56" s="10" t="n">
        <v>0</v>
      </c>
      <c r="F56" s="10" t="n">
        <v>6222.8</v>
      </c>
      <c r="G56" s="10" t="n">
        <v>6222.8</v>
      </c>
      <c r="H56" s="10" t="n">
        <v>41627.5804</v>
      </c>
      <c r="I56" s="10" t="n">
        <v>-35404.78</v>
      </c>
      <c r="J56" s="10" t="n">
        <v>-36730.59</v>
      </c>
      <c r="K56" s="11" t="n">
        <v>-5.6895</v>
      </c>
      <c r="L56" s="11" t="n">
        <v>-5.9026</v>
      </c>
      <c r="M56" s="26" t="n">
        <v>60</v>
      </c>
    </row>
    <row r="57" customFormat="false" ht="15" hidden="false" customHeight="false" outlineLevel="0" collapsed="false">
      <c r="A57" s="27" t="n">
        <v>90700</v>
      </c>
      <c r="B57" s="12" t="s">
        <v>488</v>
      </c>
      <c r="C57" s="28" t="n">
        <v>69</v>
      </c>
      <c r="D57" s="28" t="n">
        <v>69</v>
      </c>
      <c r="E57" s="14" t="n">
        <v>0</v>
      </c>
      <c r="F57" s="14" t="n">
        <v>12480</v>
      </c>
      <c r="G57" s="14" t="n">
        <v>12480</v>
      </c>
      <c r="H57" s="14" t="n">
        <v>0</v>
      </c>
      <c r="I57" s="14" t="n">
        <v>12480</v>
      </c>
      <c r="J57" s="14" t="n">
        <v>12480</v>
      </c>
      <c r="K57" s="15" t="n">
        <v>1</v>
      </c>
      <c r="L57" s="15" t="n">
        <v>1</v>
      </c>
      <c r="M57" s="29" t="n">
        <v>28</v>
      </c>
    </row>
    <row r="58" customFormat="false" ht="15" hidden="false" customHeight="false" outlineLevel="0" collapsed="false">
      <c r="A58" s="24" t="n">
        <v>90701</v>
      </c>
      <c r="B58" s="8" t="s">
        <v>520</v>
      </c>
      <c r="C58" s="25" t="n">
        <v>60</v>
      </c>
      <c r="D58" s="25" t="n">
        <v>60</v>
      </c>
      <c r="E58" s="10" t="n">
        <v>0</v>
      </c>
      <c r="F58" s="10" t="n">
        <v>12717</v>
      </c>
      <c r="G58" s="10" t="n">
        <v>12717</v>
      </c>
      <c r="H58" s="10" t="n">
        <v>57734.4803</v>
      </c>
      <c r="I58" s="10" t="n">
        <v>-45017.48</v>
      </c>
      <c r="J58" s="10" t="n">
        <v>-47726.92</v>
      </c>
      <c r="K58" s="11" t="n">
        <v>-3.5399</v>
      </c>
      <c r="L58" s="11" t="n">
        <v>-3.753</v>
      </c>
      <c r="M58" s="26" t="n">
        <v>60</v>
      </c>
    </row>
    <row r="59" customFormat="false" ht="15" hidden="false" customHeight="false" outlineLevel="0" collapsed="false">
      <c r="A59" s="27" t="n">
        <v>90702</v>
      </c>
      <c r="B59" s="12" t="s">
        <v>521</v>
      </c>
      <c r="C59" s="28" t="n">
        <v>70</v>
      </c>
      <c r="D59" s="28" t="n">
        <v>70</v>
      </c>
      <c r="E59" s="14" t="n">
        <v>0</v>
      </c>
      <c r="F59" s="14" t="n">
        <v>12824</v>
      </c>
      <c r="G59" s="14" t="n">
        <v>12824</v>
      </c>
      <c r="H59" s="14" t="n">
        <v>6158.607</v>
      </c>
      <c r="I59" s="14" t="n">
        <v>6665.39</v>
      </c>
      <c r="J59" s="14" t="n">
        <v>3933.16</v>
      </c>
      <c r="K59" s="15" t="n">
        <v>0.5198</v>
      </c>
      <c r="L59" s="15" t="n">
        <v>0.3067</v>
      </c>
      <c r="M59" s="29" t="n">
        <v>60</v>
      </c>
    </row>
    <row r="60" customFormat="false" ht="15" hidden="false" customHeight="false" outlineLevel="0" collapsed="false">
      <c r="A60" s="24" t="n">
        <v>90705</v>
      </c>
      <c r="B60" s="8" t="s">
        <v>522</v>
      </c>
      <c r="C60" s="25" t="n">
        <v>70</v>
      </c>
      <c r="D60" s="25" t="n">
        <v>70</v>
      </c>
      <c r="E60" s="10" t="n">
        <v>0</v>
      </c>
      <c r="F60" s="10" t="n">
        <v>15540</v>
      </c>
      <c r="G60" s="10" t="n">
        <v>15540</v>
      </c>
      <c r="H60" s="10" t="n">
        <v>8271.841</v>
      </c>
      <c r="I60" s="10" t="n">
        <v>7268.16</v>
      </c>
      <c r="J60" s="10" t="n">
        <v>3957.28</v>
      </c>
      <c r="K60" s="11" t="n">
        <v>0.4677</v>
      </c>
      <c r="L60" s="11" t="n">
        <v>0.2547</v>
      </c>
      <c r="M60" s="26" t="n">
        <v>60</v>
      </c>
    </row>
    <row r="61" customFormat="false" ht="15" hidden="false" customHeight="false" outlineLevel="0" collapsed="false">
      <c r="A61" s="27" t="n">
        <v>90706</v>
      </c>
      <c r="B61" s="12" t="s">
        <v>523</v>
      </c>
      <c r="C61" s="28" t="n">
        <v>44</v>
      </c>
      <c r="D61" s="28" t="n">
        <v>44</v>
      </c>
      <c r="E61" s="14" t="n">
        <v>0</v>
      </c>
      <c r="F61" s="14" t="n">
        <v>9680</v>
      </c>
      <c r="G61" s="14" t="n">
        <v>9680</v>
      </c>
      <c r="H61" s="14" t="n">
        <v>5228.3308</v>
      </c>
      <c r="I61" s="14" t="n">
        <v>4451.67</v>
      </c>
      <c r="J61" s="14" t="n">
        <v>2389.29</v>
      </c>
      <c r="K61" s="15" t="n">
        <v>0.4599</v>
      </c>
      <c r="L61" s="15" t="n">
        <v>0.2468</v>
      </c>
      <c r="M61" s="29" t="n">
        <v>60</v>
      </c>
    </row>
    <row r="62" customFormat="false" ht="15" hidden="false" customHeight="false" outlineLevel="0" collapsed="false">
      <c r="A62" s="24" t="n">
        <v>90708</v>
      </c>
      <c r="B62" s="8" t="s">
        <v>501</v>
      </c>
      <c r="C62" s="25" t="n">
        <v>101</v>
      </c>
      <c r="D62" s="25" t="n">
        <v>101</v>
      </c>
      <c r="E62" s="10" t="n">
        <v>0</v>
      </c>
      <c r="F62" s="10" t="n">
        <v>19311.2</v>
      </c>
      <c r="G62" s="10" t="n">
        <v>19311.2</v>
      </c>
      <c r="H62" s="10" t="n">
        <v>365327.0704</v>
      </c>
      <c r="I62" s="10" t="n">
        <v>-346015.87</v>
      </c>
      <c r="J62" s="10" t="n">
        <v>-350130.25</v>
      </c>
      <c r="K62" s="11" t="n">
        <v>-17.9179</v>
      </c>
      <c r="L62" s="11" t="n">
        <v>-18.1309</v>
      </c>
      <c r="M62" s="26" t="n">
        <v>60</v>
      </c>
    </row>
    <row r="63" customFormat="false" ht="15" hidden="false" customHeight="false" outlineLevel="0" collapsed="false">
      <c r="A63" s="27" t="n">
        <v>90709</v>
      </c>
      <c r="B63" s="12" t="s">
        <v>502</v>
      </c>
      <c r="C63" s="28" t="n">
        <v>55</v>
      </c>
      <c r="D63" s="28" t="n">
        <v>55</v>
      </c>
      <c r="E63" s="14" t="n">
        <v>0</v>
      </c>
      <c r="F63" s="14" t="n">
        <v>9927.5</v>
      </c>
      <c r="G63" s="14" t="n">
        <v>9927.5</v>
      </c>
      <c r="H63" s="14" t="n">
        <v>6347.841</v>
      </c>
      <c r="I63" s="14" t="n">
        <v>3579.66</v>
      </c>
      <c r="J63" s="14" t="n">
        <v>1464.55</v>
      </c>
      <c r="K63" s="15" t="n">
        <v>0.3606</v>
      </c>
      <c r="L63" s="15" t="n">
        <v>0.1475</v>
      </c>
      <c r="M63" s="29" t="n">
        <v>60</v>
      </c>
    </row>
    <row r="64" customFormat="false" ht="15" hidden="false" customHeight="false" outlineLevel="0" collapsed="false">
      <c r="A64" s="24" t="n">
        <v>90712</v>
      </c>
      <c r="B64" s="8" t="s">
        <v>503</v>
      </c>
      <c r="C64" s="25" t="n">
        <v>32</v>
      </c>
      <c r="D64" s="25" t="n">
        <v>32</v>
      </c>
      <c r="E64" s="10" t="n">
        <v>0</v>
      </c>
      <c r="F64" s="10" t="n">
        <v>4536</v>
      </c>
      <c r="G64" s="10" t="n">
        <v>4536</v>
      </c>
      <c r="H64" s="10" t="n">
        <v>1757.44</v>
      </c>
      <c r="I64" s="10" t="n">
        <v>2778.56</v>
      </c>
      <c r="J64" s="10" t="n">
        <v>1812.14</v>
      </c>
      <c r="K64" s="11" t="n">
        <v>0.6126</v>
      </c>
      <c r="L64" s="11" t="n">
        <v>0.3995</v>
      </c>
      <c r="M64" s="26" t="n">
        <v>58.13</v>
      </c>
    </row>
    <row r="65" customFormat="false" ht="15" hidden="false" customHeight="false" outlineLevel="0" collapsed="false">
      <c r="A65" s="27" t="n">
        <v>90713</v>
      </c>
      <c r="B65" s="12" t="s">
        <v>504</v>
      </c>
      <c r="C65" s="28" t="n">
        <v>37</v>
      </c>
      <c r="D65" s="28" t="n">
        <v>37</v>
      </c>
      <c r="E65" s="14" t="n">
        <v>0</v>
      </c>
      <c r="F65" s="14" t="n">
        <v>6184.55</v>
      </c>
      <c r="G65" s="14" t="n">
        <v>6184.55</v>
      </c>
      <c r="H65" s="14" t="n">
        <v>1701.6387</v>
      </c>
      <c r="I65" s="14" t="n">
        <v>4482.91</v>
      </c>
      <c r="J65" s="14" t="n">
        <v>3165.25</v>
      </c>
      <c r="K65" s="15" t="n">
        <v>0.7249</v>
      </c>
      <c r="L65" s="15" t="n">
        <v>0.5118</v>
      </c>
      <c r="M65" s="29" t="n">
        <v>60</v>
      </c>
    </row>
    <row r="66" customFormat="false" ht="15" hidden="false" customHeight="false" outlineLevel="0" collapsed="false">
      <c r="A66" s="24" t="n">
        <v>90714</v>
      </c>
      <c r="B66" s="8" t="s">
        <v>503</v>
      </c>
      <c r="C66" s="25" t="n">
        <v>41</v>
      </c>
      <c r="D66" s="25" t="n">
        <v>41</v>
      </c>
      <c r="E66" s="10" t="n">
        <v>0</v>
      </c>
      <c r="F66" s="10" t="n">
        <v>6853.15</v>
      </c>
      <c r="G66" s="10" t="n">
        <v>6853.15</v>
      </c>
      <c r="H66" s="10" t="n">
        <v>1884.9399</v>
      </c>
      <c r="I66" s="10" t="n">
        <v>4968.21</v>
      </c>
      <c r="J66" s="10" t="n">
        <v>3508.1</v>
      </c>
      <c r="K66" s="11" t="n">
        <v>0.725</v>
      </c>
      <c r="L66" s="11" t="n">
        <v>0.5119</v>
      </c>
      <c r="M66" s="26" t="n">
        <v>60</v>
      </c>
    </row>
    <row r="67" customFormat="false" ht="15" hidden="false" customHeight="false" outlineLevel="0" collapsed="false">
      <c r="A67" s="27" t="n">
        <v>90715</v>
      </c>
      <c r="B67" s="12" t="s">
        <v>524</v>
      </c>
      <c r="C67" s="28" t="n">
        <v>63</v>
      </c>
      <c r="D67" s="28" t="n">
        <v>63</v>
      </c>
      <c r="E67" s="14" t="n">
        <v>0</v>
      </c>
      <c r="F67" s="14" t="n">
        <v>12807.9</v>
      </c>
      <c r="G67" s="14" t="n">
        <v>12807.9</v>
      </c>
      <c r="H67" s="14" t="n">
        <v>5834.8395</v>
      </c>
      <c r="I67" s="14" t="n">
        <v>6973.06</v>
      </c>
      <c r="J67" s="14" t="n">
        <v>4244.25</v>
      </c>
      <c r="K67" s="15" t="n">
        <v>0.5444</v>
      </c>
      <c r="L67" s="15" t="n">
        <v>0.3314</v>
      </c>
      <c r="M67" s="29" t="n">
        <v>60</v>
      </c>
    </row>
    <row r="68" customFormat="false" ht="15" hidden="false" customHeight="false" outlineLevel="0" collapsed="false">
      <c r="A68" s="24" t="n">
        <v>90718</v>
      </c>
      <c r="B68" s="8" t="s">
        <v>525</v>
      </c>
      <c r="C68" s="25" t="n">
        <v>44</v>
      </c>
      <c r="D68" s="25" t="n">
        <v>44</v>
      </c>
      <c r="E68" s="10" t="n">
        <v>0</v>
      </c>
      <c r="F68" s="10" t="n">
        <v>15334</v>
      </c>
      <c r="G68" s="10" t="n">
        <v>15334</v>
      </c>
      <c r="H68" s="10" t="n">
        <v>9687.6502</v>
      </c>
      <c r="I68" s="10" t="n">
        <v>5646.35</v>
      </c>
      <c r="J68" s="10" t="n">
        <v>1433.8</v>
      </c>
      <c r="K68" s="11" t="n">
        <v>0.3682</v>
      </c>
      <c r="L68" s="11" t="n">
        <v>0.0935</v>
      </c>
      <c r="M68" s="26" t="n">
        <v>60</v>
      </c>
    </row>
    <row r="69" customFormat="false" ht="15" hidden="false" customHeight="false" outlineLevel="0" collapsed="false">
      <c r="A69" s="27" t="n">
        <v>90719</v>
      </c>
      <c r="B69" s="12" t="s">
        <v>526</v>
      </c>
      <c r="C69" s="28" t="n">
        <v>60</v>
      </c>
      <c r="D69" s="28" t="n">
        <v>60</v>
      </c>
      <c r="E69" s="14" t="n">
        <v>0</v>
      </c>
      <c r="F69" s="14" t="n">
        <v>9630</v>
      </c>
      <c r="G69" s="14" t="n">
        <v>9630</v>
      </c>
      <c r="H69" s="14" t="n">
        <v>175701.03</v>
      </c>
      <c r="I69" s="14" t="n">
        <v>-166071.03</v>
      </c>
      <c r="J69" s="14" t="n">
        <v>-168122.75</v>
      </c>
      <c r="K69" s="15" t="n">
        <v>-17.2452</v>
      </c>
      <c r="L69" s="15" t="n">
        <v>-17.4582</v>
      </c>
      <c r="M69" s="29" t="n">
        <v>60</v>
      </c>
    </row>
    <row r="70" customFormat="false" ht="15" hidden="false" customHeight="false" outlineLevel="0" collapsed="false">
      <c r="A70" s="24" t="n">
        <v>90723</v>
      </c>
      <c r="B70" s="8" t="s">
        <v>527</v>
      </c>
      <c r="C70" s="25" t="n">
        <v>61</v>
      </c>
      <c r="D70" s="25" t="n">
        <v>61</v>
      </c>
      <c r="E70" s="10" t="n">
        <v>0</v>
      </c>
      <c r="F70" s="10" t="n">
        <v>13542</v>
      </c>
      <c r="G70" s="10" t="n">
        <v>13542</v>
      </c>
      <c r="H70" s="10" t="n">
        <v>5754.96</v>
      </c>
      <c r="I70" s="10" t="n">
        <v>7787.04</v>
      </c>
      <c r="J70" s="10" t="n">
        <v>4901.83</v>
      </c>
      <c r="K70" s="11" t="n">
        <v>0.575</v>
      </c>
      <c r="L70" s="11" t="n">
        <v>0.362</v>
      </c>
      <c r="M70" s="26" t="n">
        <v>60</v>
      </c>
    </row>
    <row r="71" customFormat="false" ht="15" hidden="false" customHeight="false" outlineLevel="0" collapsed="false">
      <c r="A71" s="27" t="n">
        <v>90725</v>
      </c>
      <c r="B71" s="12" t="s">
        <v>528</v>
      </c>
      <c r="C71" s="28" t="n">
        <v>129</v>
      </c>
      <c r="D71" s="28" t="n">
        <v>129</v>
      </c>
      <c r="E71" s="14" t="n">
        <v>0</v>
      </c>
      <c r="F71" s="14" t="n">
        <v>21646.2</v>
      </c>
      <c r="G71" s="14" t="n">
        <v>21646.2</v>
      </c>
      <c r="H71" s="14" t="n">
        <v>13919.3412</v>
      </c>
      <c r="I71" s="14" t="n">
        <v>7726.86</v>
      </c>
      <c r="J71" s="14" t="n">
        <v>3115.02</v>
      </c>
      <c r="K71" s="15" t="n">
        <v>0.357</v>
      </c>
      <c r="L71" s="15" t="n">
        <v>0.1439</v>
      </c>
      <c r="M71" s="29" t="n">
        <v>60</v>
      </c>
    </row>
    <row r="72" customFormat="false" ht="15" hidden="false" customHeight="false" outlineLevel="0" collapsed="false">
      <c r="A72" s="24" t="n">
        <v>90728</v>
      </c>
      <c r="B72" s="8" t="s">
        <v>477</v>
      </c>
      <c r="C72" s="25" t="n">
        <v>30</v>
      </c>
      <c r="D72" s="25" t="n">
        <v>30</v>
      </c>
      <c r="E72" s="10" t="n">
        <v>0</v>
      </c>
      <c r="F72" s="10" t="n">
        <v>2808.3</v>
      </c>
      <c r="G72" s="10" t="n">
        <v>2808.3</v>
      </c>
      <c r="H72" s="10" t="n">
        <v>834.891</v>
      </c>
      <c r="I72" s="10" t="n">
        <v>1973.41</v>
      </c>
      <c r="J72" s="10" t="n">
        <v>1201.92</v>
      </c>
      <c r="K72" s="11" t="n">
        <v>0.7027</v>
      </c>
      <c r="L72" s="11" t="n">
        <v>0.428</v>
      </c>
      <c r="M72" s="26" t="n">
        <v>60</v>
      </c>
    </row>
    <row r="73" customFormat="false" ht="15" hidden="false" customHeight="false" outlineLevel="0" collapsed="false">
      <c r="A73" s="27" t="n">
        <v>90735</v>
      </c>
      <c r="B73" s="12" t="s">
        <v>537</v>
      </c>
      <c r="C73" s="28" t="n">
        <v>561</v>
      </c>
      <c r="D73" s="28" t="n">
        <v>561</v>
      </c>
      <c r="E73" s="14" t="n">
        <v>0</v>
      </c>
      <c r="F73" s="14" t="n">
        <v>2203.75</v>
      </c>
      <c r="G73" s="14" t="n">
        <v>2203.75</v>
      </c>
      <c r="H73" s="14" t="n">
        <v>0</v>
      </c>
      <c r="I73" s="14" t="n">
        <v>2203.75</v>
      </c>
      <c r="J73" s="14" t="n">
        <v>2203.75</v>
      </c>
      <c r="K73" s="15" t="n">
        <v>1</v>
      </c>
      <c r="L73" s="15" t="n">
        <v>1</v>
      </c>
      <c r="M73" s="29" t="n">
        <v>53</v>
      </c>
    </row>
    <row r="74" customFormat="false" ht="15" hidden="false" customHeight="false" outlineLevel="0" collapsed="false">
      <c r="A74" s="24" t="n">
        <v>90752</v>
      </c>
      <c r="B74" s="8" t="s">
        <v>556</v>
      </c>
      <c r="C74" s="25" t="n">
        <v>21</v>
      </c>
      <c r="D74" s="25" t="n">
        <v>21</v>
      </c>
      <c r="E74" s="10" t="n">
        <v>0</v>
      </c>
      <c r="F74" s="10" t="n">
        <v>2824</v>
      </c>
      <c r="G74" s="10" t="n">
        <v>2824</v>
      </c>
      <c r="H74" s="10" t="n">
        <v>0</v>
      </c>
      <c r="I74" s="10" t="n">
        <v>2824</v>
      </c>
      <c r="J74" s="10" t="n">
        <v>2824</v>
      </c>
      <c r="K74" s="11" t="n">
        <v>1</v>
      </c>
      <c r="L74" s="11" t="n">
        <v>1</v>
      </c>
      <c r="M74" s="26" t="n">
        <v>53</v>
      </c>
    </row>
    <row r="75" customFormat="false" ht="15" hidden="false" customHeight="false" outlineLevel="0" collapsed="false">
      <c r="A75" s="27" t="n">
        <v>90753</v>
      </c>
      <c r="B75" s="12" t="s">
        <v>557</v>
      </c>
      <c r="C75" s="28" t="n">
        <v>7</v>
      </c>
      <c r="D75" s="28" t="n">
        <v>7</v>
      </c>
      <c r="E75" s="14" t="n">
        <v>0</v>
      </c>
      <c r="F75" s="14" t="n">
        <v>187.81</v>
      </c>
      <c r="G75" s="14" t="n">
        <v>187.81</v>
      </c>
      <c r="H75" s="14" t="n">
        <v>0.56</v>
      </c>
      <c r="I75" s="14" t="n">
        <v>187.25</v>
      </c>
      <c r="J75" s="14" t="n">
        <v>135.66</v>
      </c>
      <c r="K75" s="15" t="n">
        <v>0.997</v>
      </c>
      <c r="L75" s="15" t="n">
        <v>0.7223</v>
      </c>
      <c r="M75" s="29" t="n">
        <v>28</v>
      </c>
    </row>
    <row r="76" customFormat="false" ht="15" hidden="false" customHeight="false" outlineLevel="0" collapsed="false">
      <c r="A76" s="16" t="s">
        <v>249</v>
      </c>
      <c r="B76" s="16" t="str">
        <f aca="false">COUNTA(A6:A75)&amp;" produtos"</f>
        <v>70 produtos</v>
      </c>
      <c r="C76" s="30" t="n">
        <f aca="false">SUM(C6:C75)</f>
        <v>45036</v>
      </c>
      <c r="D76" s="30" t="n">
        <f aca="false">SUM(D6:D75)</f>
        <v>45036</v>
      </c>
      <c r="E76" s="18" t="n">
        <f aca="false">SUM(E6:E75)</f>
        <v>55558.29</v>
      </c>
      <c r="F76" s="18" t="n">
        <f aca="false">SUM(F6:F75)</f>
        <v>1382332.57</v>
      </c>
      <c r="G76" s="18" t="n">
        <f aca="false">SUM(G6:G75)</f>
        <v>1437890.86</v>
      </c>
      <c r="H76" s="18" t="n">
        <f aca="false">SUM(H6:H75)</f>
        <v>1792939.5882</v>
      </c>
      <c r="I76" s="18" t="n">
        <f aca="false">SUM(I6:I75)</f>
        <v>-355048.72</v>
      </c>
      <c r="J76" s="18" t="n">
        <f aca="false">SUM(J6:J75)</f>
        <v>-701181.94</v>
      </c>
      <c r="K76" s="19" t="n">
        <f aca="false">IFERROR(I76/G76,0)</f>
        <v>-0.246923274830469</v>
      </c>
      <c r="L76" s="19" t="n">
        <f aca="false">IFERROR(J76/G76,0)</f>
        <v>-0.487646148609638</v>
      </c>
      <c r="M76" s="31" t="n">
        <f aca="false">IFERROR(SUMPRODUCT(M6:M75,G6:G75)/G76,0)</f>
        <v>54.5265981876399</v>
      </c>
    </row>
  </sheetData>
  <autoFilter ref="A5:M75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407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25</v>
      </c>
      <c r="D6" s="25" t="n">
        <v>25</v>
      </c>
      <c r="E6" s="10" t="n">
        <v>0</v>
      </c>
      <c r="F6" s="10" t="n">
        <v>5700</v>
      </c>
      <c r="G6" s="10" t="n">
        <v>5700</v>
      </c>
      <c r="H6" s="10" t="n">
        <v>4509.48</v>
      </c>
      <c r="I6" s="10" t="n">
        <v>1190.52</v>
      </c>
      <c r="J6" s="10" t="n">
        <v>-400.32</v>
      </c>
      <c r="K6" s="11" t="n">
        <v>0.2089</v>
      </c>
      <c r="L6" s="11" t="n">
        <v>-0.0702</v>
      </c>
      <c r="M6" s="26" t="n">
        <v>45.6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1230</v>
      </c>
      <c r="D7" s="28" t="n">
        <v>1230</v>
      </c>
      <c r="E7" s="14" t="n">
        <v>0</v>
      </c>
      <c r="F7" s="14" t="n">
        <v>7721.75</v>
      </c>
      <c r="G7" s="14" t="n">
        <v>7721.75</v>
      </c>
      <c r="H7" s="14" t="n">
        <v>2902.51</v>
      </c>
      <c r="I7" s="14" t="n">
        <v>4819.24</v>
      </c>
      <c r="J7" s="14" t="n">
        <v>2664.1</v>
      </c>
      <c r="K7" s="15" t="n">
        <v>0.6241</v>
      </c>
      <c r="L7" s="15" t="n">
        <v>0.345</v>
      </c>
      <c r="M7" s="29" t="n">
        <v>45.61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429</v>
      </c>
      <c r="D8" s="25" t="n">
        <v>429</v>
      </c>
      <c r="E8" s="10" t="n">
        <v>0</v>
      </c>
      <c r="F8" s="10" t="n">
        <v>6950.7</v>
      </c>
      <c r="G8" s="10" t="n">
        <v>6950.7</v>
      </c>
      <c r="H8" s="10" t="n">
        <v>7505.133</v>
      </c>
      <c r="I8" s="10" t="n">
        <v>-554.43</v>
      </c>
      <c r="J8" s="10" t="n">
        <v>-2494.25</v>
      </c>
      <c r="K8" s="11" t="n">
        <v>-0.0798</v>
      </c>
      <c r="L8" s="11" t="n">
        <v>-0.3588</v>
      </c>
      <c r="M8" s="26" t="n">
        <v>45.62</v>
      </c>
    </row>
    <row r="9" customFormat="false" ht="15" hidden="false" customHeight="false" outlineLevel="0" collapsed="false">
      <c r="A9" s="27" t="n">
        <v>10599</v>
      </c>
      <c r="B9" s="12" t="s">
        <v>558</v>
      </c>
      <c r="C9" s="28" t="n">
        <v>1</v>
      </c>
      <c r="D9" s="28" t="n">
        <v>1</v>
      </c>
      <c r="E9" s="14" t="n">
        <v>0</v>
      </c>
      <c r="F9" s="14" t="n">
        <v>312.4</v>
      </c>
      <c r="G9" s="14" t="n">
        <v>312.4</v>
      </c>
      <c r="H9" s="14" t="n">
        <v>175.5</v>
      </c>
      <c r="I9" s="14" t="n">
        <v>136.9</v>
      </c>
      <c r="J9" s="14" t="n">
        <v>49.71</v>
      </c>
      <c r="K9" s="15" t="n">
        <v>0.4382</v>
      </c>
      <c r="L9" s="15" t="n">
        <v>0.1591</v>
      </c>
      <c r="M9" s="29" t="n">
        <v>45</v>
      </c>
    </row>
    <row r="10" customFormat="false" ht="15" hidden="false" customHeight="false" outlineLevel="0" collapsed="false">
      <c r="A10" s="24" t="n">
        <v>10664</v>
      </c>
      <c r="B10" s="8" t="s">
        <v>464</v>
      </c>
      <c r="C10" s="25" t="n">
        <v>3930</v>
      </c>
      <c r="D10" s="25" t="n">
        <v>3930</v>
      </c>
      <c r="E10" s="10" t="n">
        <v>0</v>
      </c>
      <c r="F10" s="10" t="n">
        <v>24893.62</v>
      </c>
      <c r="G10" s="10" t="n">
        <v>24893.62</v>
      </c>
      <c r="H10" s="10" t="n">
        <v>3114.8532</v>
      </c>
      <c r="I10" s="10" t="n">
        <v>21778.77</v>
      </c>
      <c r="J10" s="10" t="n">
        <v>14940.01</v>
      </c>
      <c r="K10" s="11" t="n">
        <v>0.8749</v>
      </c>
      <c r="L10" s="11" t="n">
        <v>0.6002</v>
      </c>
      <c r="M10" s="26" t="n">
        <v>28.05</v>
      </c>
    </row>
    <row r="11" customFormat="false" ht="15" hidden="false" customHeight="false" outlineLevel="0" collapsed="false">
      <c r="A11" s="27" t="n">
        <v>10668</v>
      </c>
      <c r="B11" s="12" t="s">
        <v>529</v>
      </c>
      <c r="C11" s="28" t="n">
        <v>35</v>
      </c>
      <c r="D11" s="28" t="n">
        <v>35</v>
      </c>
      <c r="E11" s="14" t="n">
        <v>0</v>
      </c>
      <c r="F11" s="14" t="n">
        <v>284.2</v>
      </c>
      <c r="G11" s="14" t="n">
        <v>284.2</v>
      </c>
      <c r="H11" s="14" t="n">
        <v>52.74</v>
      </c>
      <c r="I11" s="14" t="n">
        <v>231.46</v>
      </c>
      <c r="J11" s="14" t="n">
        <v>153.41</v>
      </c>
      <c r="K11" s="15" t="n">
        <v>0.8144</v>
      </c>
      <c r="L11" s="15" t="n">
        <v>0.5398</v>
      </c>
      <c r="M11" s="29" t="n">
        <v>31</v>
      </c>
    </row>
    <row r="12" customFormat="false" ht="15" hidden="false" customHeight="false" outlineLevel="0" collapsed="false">
      <c r="A12" s="24" t="n">
        <v>10729</v>
      </c>
      <c r="B12" s="8" t="s">
        <v>453</v>
      </c>
      <c r="C12" s="25" t="n">
        <v>1</v>
      </c>
      <c r="D12" s="25" t="n">
        <v>1</v>
      </c>
      <c r="E12" s="10" t="n">
        <v>0</v>
      </c>
      <c r="F12" s="10" t="n">
        <v>1381.09</v>
      </c>
      <c r="G12" s="10" t="n">
        <v>1381.09</v>
      </c>
      <c r="H12" s="10" t="n">
        <v>295.39</v>
      </c>
      <c r="I12" s="10" t="n">
        <v>1085.7</v>
      </c>
      <c r="J12" s="10" t="n">
        <v>700.23</v>
      </c>
      <c r="K12" s="11" t="n">
        <v>0.7861</v>
      </c>
      <c r="L12" s="11" t="n">
        <v>0.507</v>
      </c>
      <c r="M12" s="26" t="n">
        <v>46</v>
      </c>
    </row>
    <row r="13" customFormat="false" ht="15" hidden="false" customHeight="false" outlineLevel="0" collapsed="false">
      <c r="A13" s="27" t="n">
        <v>52674</v>
      </c>
      <c r="B13" s="12" t="s">
        <v>207</v>
      </c>
      <c r="C13" s="28" t="n">
        <v>1600</v>
      </c>
      <c r="D13" s="28" t="n">
        <v>1600</v>
      </c>
      <c r="E13" s="14" t="n">
        <v>5920</v>
      </c>
      <c r="F13" s="14" t="n">
        <v>0</v>
      </c>
      <c r="G13" s="14" t="n">
        <v>5920</v>
      </c>
      <c r="H13" s="14" t="n">
        <v>4480</v>
      </c>
      <c r="I13" s="14" t="n">
        <v>1440</v>
      </c>
      <c r="J13" s="14" t="n">
        <v>714.21</v>
      </c>
      <c r="K13" s="15" t="n">
        <v>0.2432</v>
      </c>
      <c r="L13" s="15" t="n">
        <v>0.1206</v>
      </c>
      <c r="M13" s="29" t="n">
        <v>7</v>
      </c>
    </row>
    <row r="14" customFormat="false" ht="15" hidden="false" customHeight="false" outlineLevel="0" collapsed="false">
      <c r="A14" s="24" t="n">
        <v>52676</v>
      </c>
      <c r="B14" s="8" t="s">
        <v>208</v>
      </c>
      <c r="C14" s="25" t="n">
        <v>590</v>
      </c>
      <c r="D14" s="25" t="n">
        <v>590</v>
      </c>
      <c r="E14" s="10" t="n">
        <v>118</v>
      </c>
      <c r="F14" s="10" t="n">
        <v>0</v>
      </c>
      <c r="G14" s="10" t="n">
        <v>118</v>
      </c>
      <c r="H14" s="10" t="n">
        <v>29.5</v>
      </c>
      <c r="I14" s="10" t="n">
        <v>88.5</v>
      </c>
      <c r="J14" s="10" t="n">
        <v>74.03</v>
      </c>
      <c r="K14" s="11" t="n">
        <v>0.75</v>
      </c>
      <c r="L14" s="11" t="n">
        <v>0.6274</v>
      </c>
      <c r="M14" s="26" t="n">
        <v>7</v>
      </c>
    </row>
    <row r="15" customFormat="false" ht="15" hidden="false" customHeight="false" outlineLevel="0" collapsed="false">
      <c r="A15" s="27" t="n">
        <v>55954</v>
      </c>
      <c r="B15" s="12" t="s">
        <v>505</v>
      </c>
      <c r="C15" s="28" t="n">
        <v>48</v>
      </c>
      <c r="D15" s="28" t="n">
        <v>48</v>
      </c>
      <c r="E15" s="14" t="n">
        <v>0</v>
      </c>
      <c r="F15" s="14" t="n">
        <v>192</v>
      </c>
      <c r="G15" s="14" t="n">
        <v>192</v>
      </c>
      <c r="H15" s="14" t="n">
        <v>174.3888</v>
      </c>
      <c r="I15" s="14" t="n">
        <v>17.61</v>
      </c>
      <c r="J15" s="14" t="n">
        <v>-35.14</v>
      </c>
      <c r="K15" s="15" t="n">
        <v>0.0917</v>
      </c>
      <c r="L15" s="15" t="n">
        <v>-0.183</v>
      </c>
      <c r="M15" s="29" t="n">
        <v>30</v>
      </c>
    </row>
    <row r="16" customFormat="false" ht="15" hidden="false" customHeight="false" outlineLevel="0" collapsed="false">
      <c r="A16" s="24" t="n">
        <v>56047</v>
      </c>
      <c r="B16" s="8" t="s">
        <v>506</v>
      </c>
      <c r="C16" s="25" t="n">
        <v>1881</v>
      </c>
      <c r="D16" s="25" t="n">
        <v>1881</v>
      </c>
      <c r="E16" s="10" t="n">
        <v>0</v>
      </c>
      <c r="F16" s="10" t="n">
        <v>5605.38</v>
      </c>
      <c r="G16" s="10" t="n">
        <v>5605.38</v>
      </c>
      <c r="H16" s="10" t="n">
        <v>3127.5387</v>
      </c>
      <c r="I16" s="10" t="n">
        <v>2477.85</v>
      </c>
      <c r="J16" s="10" t="n">
        <v>937.94</v>
      </c>
      <c r="K16" s="11" t="n">
        <v>0.442</v>
      </c>
      <c r="L16" s="11" t="n">
        <v>0.1673</v>
      </c>
      <c r="M16" s="26" t="n">
        <v>43.36</v>
      </c>
    </row>
    <row r="17" customFormat="false" ht="15" hidden="false" customHeight="false" outlineLevel="0" collapsed="false">
      <c r="A17" s="27" t="n">
        <v>57502</v>
      </c>
      <c r="B17" s="12" t="s">
        <v>234</v>
      </c>
      <c r="C17" s="28" t="n">
        <v>5430</v>
      </c>
      <c r="D17" s="28" t="n">
        <v>5430</v>
      </c>
      <c r="E17" s="14" t="n">
        <v>3801</v>
      </c>
      <c r="F17" s="14" t="n">
        <v>0</v>
      </c>
      <c r="G17" s="14" t="n">
        <v>3801</v>
      </c>
      <c r="H17" s="14" t="n">
        <v>0</v>
      </c>
      <c r="I17" s="14" t="n">
        <v>3801</v>
      </c>
      <c r="J17" s="14" t="n">
        <v>3801</v>
      </c>
      <c r="K17" s="15" t="n">
        <v>1</v>
      </c>
      <c r="L17" s="15" t="n">
        <v>1</v>
      </c>
      <c r="M17" s="29" t="n">
        <v>7</v>
      </c>
    </row>
    <row r="18" customFormat="false" ht="15" hidden="false" customHeight="false" outlineLevel="0" collapsed="false">
      <c r="A18" s="24" t="n">
        <v>90006</v>
      </c>
      <c r="B18" s="8" t="s">
        <v>447</v>
      </c>
      <c r="C18" s="25" t="n">
        <v>34</v>
      </c>
      <c r="D18" s="25" t="n">
        <v>34</v>
      </c>
      <c r="E18" s="10" t="n">
        <v>1092</v>
      </c>
      <c r="F18" s="10" t="n">
        <v>123981.14</v>
      </c>
      <c r="G18" s="10" t="n">
        <v>125073.14</v>
      </c>
      <c r="H18" s="10" t="n">
        <v>45500.28</v>
      </c>
      <c r="I18" s="10" t="n">
        <v>79572.86</v>
      </c>
      <c r="J18" s="10" t="n">
        <v>59723.54</v>
      </c>
      <c r="K18" s="11" t="n">
        <v>0.6362</v>
      </c>
      <c r="L18" s="11" t="n">
        <v>0.4775</v>
      </c>
      <c r="M18" s="26" t="n">
        <v>66.44</v>
      </c>
    </row>
    <row r="19" customFormat="false" ht="15" hidden="false" customHeight="false" outlineLevel="0" collapsed="false">
      <c r="A19" s="27" t="n">
        <v>90103</v>
      </c>
      <c r="B19" s="12" t="s">
        <v>468</v>
      </c>
      <c r="C19" s="28" t="n">
        <v>9</v>
      </c>
      <c r="D19" s="28" t="n">
        <v>9</v>
      </c>
      <c r="E19" s="14" t="n">
        <v>2008.74</v>
      </c>
      <c r="F19" s="14" t="n">
        <v>24201.85</v>
      </c>
      <c r="G19" s="14" t="n">
        <v>26210.59</v>
      </c>
      <c r="H19" s="14" t="n">
        <v>7757.86</v>
      </c>
      <c r="I19" s="14" t="n">
        <v>18452.73</v>
      </c>
      <c r="J19" s="14" t="n">
        <v>11153.89</v>
      </c>
      <c r="K19" s="15" t="n">
        <v>0.704</v>
      </c>
      <c r="L19" s="15" t="n">
        <v>0.4255</v>
      </c>
      <c r="M19" s="29" t="n">
        <v>52.32</v>
      </c>
    </row>
    <row r="20" customFormat="false" ht="15" hidden="false" customHeight="false" outlineLevel="0" collapsed="false">
      <c r="A20" s="24" t="n">
        <v>90238</v>
      </c>
      <c r="B20" s="8" t="s">
        <v>471</v>
      </c>
      <c r="C20" s="25" t="n">
        <v>520</v>
      </c>
      <c r="D20" s="25" t="n">
        <v>520</v>
      </c>
      <c r="E20" s="10" t="n">
        <v>0</v>
      </c>
      <c r="F20" s="10" t="n">
        <v>1957</v>
      </c>
      <c r="G20" s="10" t="n">
        <v>1957</v>
      </c>
      <c r="H20" s="10" t="n">
        <v>117778.65</v>
      </c>
      <c r="I20" s="10" t="n">
        <v>-115821.65</v>
      </c>
      <c r="J20" s="10" t="n">
        <v>-116359.28</v>
      </c>
      <c r="K20" s="11" t="n">
        <v>-59.1833</v>
      </c>
      <c r="L20" s="11" t="n">
        <v>-59.458</v>
      </c>
      <c r="M20" s="26" t="n">
        <v>30</v>
      </c>
    </row>
    <row r="21" customFormat="false" ht="15" hidden="false" customHeight="false" outlineLevel="0" collapsed="false">
      <c r="A21" s="27" t="n">
        <v>90340</v>
      </c>
      <c r="B21" s="12" t="s">
        <v>468</v>
      </c>
      <c r="C21" s="28" t="n">
        <v>100</v>
      </c>
      <c r="D21" s="28" t="n">
        <v>100</v>
      </c>
      <c r="E21" s="14" t="n">
        <v>0</v>
      </c>
      <c r="F21" s="14" t="n">
        <v>1210</v>
      </c>
      <c r="G21" s="14" t="n">
        <v>1210</v>
      </c>
      <c r="H21" s="14" t="n">
        <v>131759.93</v>
      </c>
      <c r="I21" s="14" t="n">
        <v>-130549.93</v>
      </c>
      <c r="J21" s="14" t="n">
        <v>-130882.34</v>
      </c>
      <c r="K21" s="15" t="n">
        <v>-107.8925</v>
      </c>
      <c r="L21" s="15" t="n">
        <v>-108.1672</v>
      </c>
      <c r="M21" s="29" t="n">
        <v>60</v>
      </c>
    </row>
    <row r="22" customFormat="false" ht="15" hidden="false" customHeight="false" outlineLevel="0" collapsed="false">
      <c r="A22" s="24" t="n">
        <v>90363</v>
      </c>
      <c r="B22" s="8" t="s">
        <v>472</v>
      </c>
      <c r="C22" s="25" t="n">
        <v>461</v>
      </c>
      <c r="D22" s="25" t="n">
        <v>461</v>
      </c>
      <c r="E22" s="10" t="n">
        <v>0</v>
      </c>
      <c r="F22" s="10" t="n">
        <v>113731.9</v>
      </c>
      <c r="G22" s="10" t="n">
        <v>113731.9</v>
      </c>
      <c r="H22" s="10" t="n">
        <v>505138.8777</v>
      </c>
      <c r="I22" s="10" t="n">
        <v>-391406.98</v>
      </c>
      <c r="J22" s="10" t="n">
        <v>-422651.4</v>
      </c>
      <c r="K22" s="11" t="n">
        <v>-3.4415</v>
      </c>
      <c r="L22" s="11" t="n">
        <v>-3.7162</v>
      </c>
      <c r="M22" s="26" t="n">
        <v>107</v>
      </c>
    </row>
    <row r="23" customFormat="false" ht="15" hidden="false" customHeight="false" outlineLevel="0" collapsed="false">
      <c r="A23" s="27" t="n">
        <v>90371</v>
      </c>
      <c r="B23" s="12" t="s">
        <v>473</v>
      </c>
      <c r="C23" s="28" t="n">
        <v>6652</v>
      </c>
      <c r="D23" s="28" t="n">
        <v>6652</v>
      </c>
      <c r="E23" s="14" t="n">
        <v>0</v>
      </c>
      <c r="F23" s="14" t="n">
        <v>107057.17</v>
      </c>
      <c r="G23" s="14" t="n">
        <v>107057.17</v>
      </c>
      <c r="H23" s="14" t="n">
        <v>34237.6306</v>
      </c>
      <c r="I23" s="14" t="n">
        <v>72819.56</v>
      </c>
      <c r="J23" s="14" t="n">
        <v>43408.74</v>
      </c>
      <c r="K23" s="15" t="n">
        <v>0.6802</v>
      </c>
      <c r="L23" s="15" t="n">
        <v>0.4055</v>
      </c>
      <c r="M23" s="29" t="n">
        <v>63.62</v>
      </c>
    </row>
    <row r="24" customFormat="false" ht="15" hidden="false" customHeight="false" outlineLevel="0" collapsed="false">
      <c r="A24" s="24" t="n">
        <v>90386</v>
      </c>
      <c r="B24" s="8" t="s">
        <v>559</v>
      </c>
      <c r="C24" s="25" t="n">
        <v>20</v>
      </c>
      <c r="D24" s="25" t="n">
        <v>20</v>
      </c>
      <c r="E24" s="10" t="n">
        <v>4350</v>
      </c>
      <c r="F24" s="10" t="n">
        <v>0</v>
      </c>
      <c r="G24" s="10" t="n">
        <v>4350</v>
      </c>
      <c r="H24" s="10" t="n">
        <v>82918.4</v>
      </c>
      <c r="I24" s="10" t="n">
        <v>-78568.4</v>
      </c>
      <c r="J24" s="10" t="n">
        <v>-79763.43</v>
      </c>
      <c r="K24" s="11" t="n">
        <v>-18.0617</v>
      </c>
      <c r="L24" s="11" t="n">
        <v>-18.3364</v>
      </c>
      <c r="M24" s="26" t="n">
        <v>30</v>
      </c>
    </row>
    <row r="25" customFormat="false" ht="15" hidden="false" customHeight="false" outlineLevel="0" collapsed="false">
      <c r="A25" s="27" t="n">
        <v>90392</v>
      </c>
      <c r="B25" s="12" t="s">
        <v>475</v>
      </c>
      <c r="C25" s="28" t="n">
        <v>560</v>
      </c>
      <c r="D25" s="28" t="n">
        <v>560</v>
      </c>
      <c r="E25" s="14" t="n">
        <v>0</v>
      </c>
      <c r="F25" s="14" t="n">
        <v>4009.55</v>
      </c>
      <c r="G25" s="14" t="n">
        <v>4009.55</v>
      </c>
      <c r="H25" s="14" t="n">
        <v>1195.5895</v>
      </c>
      <c r="I25" s="14" t="n">
        <v>2813.96</v>
      </c>
      <c r="J25" s="14" t="n">
        <v>1905.62</v>
      </c>
      <c r="K25" s="15" t="n">
        <v>0.7018</v>
      </c>
      <c r="L25" s="15" t="n">
        <v>0.4753</v>
      </c>
      <c r="M25" s="29" t="n">
        <v>60</v>
      </c>
    </row>
    <row r="26" customFormat="false" ht="15" hidden="false" customHeight="false" outlineLevel="0" collapsed="false">
      <c r="A26" s="24" t="n">
        <v>90401</v>
      </c>
      <c r="B26" s="8" t="s">
        <v>473</v>
      </c>
      <c r="C26" s="25" t="n">
        <v>376</v>
      </c>
      <c r="D26" s="25" t="n">
        <v>376</v>
      </c>
      <c r="E26" s="10" t="n">
        <v>0</v>
      </c>
      <c r="F26" s="10" t="n">
        <v>8122.18</v>
      </c>
      <c r="G26" s="10" t="n">
        <v>8122.18</v>
      </c>
      <c r="H26" s="10" t="n">
        <v>3239.2061</v>
      </c>
      <c r="I26" s="10" t="n">
        <v>4882.98</v>
      </c>
      <c r="J26" s="10" t="n">
        <v>2651.64</v>
      </c>
      <c r="K26" s="11" t="n">
        <v>0.6012</v>
      </c>
      <c r="L26" s="11" t="n">
        <v>0.3265</v>
      </c>
      <c r="M26" s="26" t="n">
        <v>59.59</v>
      </c>
    </row>
    <row r="27" customFormat="false" ht="15" hidden="false" customHeight="false" outlineLevel="0" collapsed="false">
      <c r="A27" s="27" t="n">
        <v>90405</v>
      </c>
      <c r="B27" s="12" t="s">
        <v>476</v>
      </c>
      <c r="C27" s="28" t="n">
        <v>55</v>
      </c>
      <c r="D27" s="28" t="n">
        <v>55</v>
      </c>
      <c r="E27" s="14" t="n">
        <v>0</v>
      </c>
      <c r="F27" s="14" t="n">
        <v>3916</v>
      </c>
      <c r="G27" s="14" t="n">
        <v>3916</v>
      </c>
      <c r="H27" s="14" t="n">
        <v>3350.88</v>
      </c>
      <c r="I27" s="14" t="n">
        <v>565.12</v>
      </c>
      <c r="J27" s="14" t="n">
        <v>-510.68</v>
      </c>
      <c r="K27" s="15" t="n">
        <v>0.1443</v>
      </c>
      <c r="L27" s="15" t="n">
        <v>-0.1304</v>
      </c>
      <c r="M27" s="29" t="n">
        <v>57.93</v>
      </c>
    </row>
    <row r="28" customFormat="false" ht="15" hidden="false" customHeight="false" outlineLevel="0" collapsed="false">
      <c r="A28" s="24" t="n">
        <v>90413</v>
      </c>
      <c r="B28" s="8" t="s">
        <v>477</v>
      </c>
      <c r="C28" s="25" t="n">
        <v>12</v>
      </c>
      <c r="D28" s="25" t="n">
        <v>12</v>
      </c>
      <c r="E28" s="10" t="n">
        <v>0</v>
      </c>
      <c r="F28" s="10" t="n">
        <v>4608</v>
      </c>
      <c r="G28" s="10" t="n">
        <v>4608</v>
      </c>
      <c r="H28" s="10" t="n">
        <v>0</v>
      </c>
      <c r="I28" s="10" t="n">
        <v>4608</v>
      </c>
      <c r="J28" s="10" t="n">
        <v>4608</v>
      </c>
      <c r="K28" s="11" t="n">
        <v>1</v>
      </c>
      <c r="L28" s="11" t="n">
        <v>1</v>
      </c>
      <c r="M28" s="26" t="n">
        <v>30</v>
      </c>
    </row>
    <row r="29" customFormat="false" ht="15" hidden="false" customHeight="false" outlineLevel="0" collapsed="false">
      <c r="A29" s="27" t="n">
        <v>90425</v>
      </c>
      <c r="B29" s="12" t="s">
        <v>479</v>
      </c>
      <c r="C29" s="28" t="n">
        <v>4357</v>
      </c>
      <c r="D29" s="28" t="n">
        <v>4357</v>
      </c>
      <c r="E29" s="14" t="n">
        <v>0</v>
      </c>
      <c r="F29" s="14" t="n">
        <v>71780.08</v>
      </c>
      <c r="G29" s="14" t="n">
        <v>71780.08</v>
      </c>
      <c r="H29" s="14" t="n">
        <v>108400.252</v>
      </c>
      <c r="I29" s="14" t="n">
        <v>-36620.16</v>
      </c>
      <c r="J29" s="14" t="n">
        <v>-56339.58</v>
      </c>
      <c r="K29" s="15" t="n">
        <v>-0.5102</v>
      </c>
      <c r="L29" s="15" t="n">
        <v>-0.7849</v>
      </c>
      <c r="M29" s="29" t="n">
        <v>53.89</v>
      </c>
    </row>
    <row r="30" customFormat="false" ht="15" hidden="false" customHeight="false" outlineLevel="0" collapsed="false">
      <c r="A30" s="24" t="n">
        <v>90428</v>
      </c>
      <c r="B30" s="8" t="s">
        <v>480</v>
      </c>
      <c r="C30" s="25" t="n">
        <v>18</v>
      </c>
      <c r="D30" s="25" t="n">
        <v>18</v>
      </c>
      <c r="E30" s="10" t="n">
        <v>0</v>
      </c>
      <c r="F30" s="10" t="n">
        <v>3117.8</v>
      </c>
      <c r="G30" s="10" t="n">
        <v>3117.8</v>
      </c>
      <c r="H30" s="10" t="n">
        <v>800.49</v>
      </c>
      <c r="I30" s="10" t="n">
        <v>2317.31</v>
      </c>
      <c r="J30" s="10" t="n">
        <v>1460.8</v>
      </c>
      <c r="K30" s="11" t="n">
        <v>0.7433</v>
      </c>
      <c r="L30" s="11" t="n">
        <v>0.4685</v>
      </c>
      <c r="M30" s="26" t="n">
        <v>58.43</v>
      </c>
    </row>
    <row r="31" customFormat="false" ht="15" hidden="false" customHeight="false" outlineLevel="0" collapsed="false">
      <c r="A31" s="27" t="n">
        <v>90436</v>
      </c>
      <c r="B31" s="12" t="s">
        <v>481</v>
      </c>
      <c r="C31" s="28" t="n">
        <v>761</v>
      </c>
      <c r="D31" s="28" t="n">
        <v>761</v>
      </c>
      <c r="E31" s="14" t="n">
        <v>0</v>
      </c>
      <c r="F31" s="14" t="n">
        <v>31150.89</v>
      </c>
      <c r="G31" s="14" t="n">
        <v>31150.89</v>
      </c>
      <c r="H31" s="14" t="n">
        <v>0</v>
      </c>
      <c r="I31" s="14" t="n">
        <v>31150.89</v>
      </c>
      <c r="J31" s="14" t="n">
        <v>31150.89</v>
      </c>
      <c r="K31" s="15" t="n">
        <v>1</v>
      </c>
      <c r="L31" s="15" t="n">
        <v>1</v>
      </c>
      <c r="M31" s="29" t="n">
        <v>57.51</v>
      </c>
    </row>
    <row r="32" customFormat="false" ht="15" hidden="false" customHeight="false" outlineLevel="0" collapsed="false">
      <c r="A32" s="24" t="n">
        <v>90440</v>
      </c>
      <c r="B32" s="8" t="s">
        <v>482</v>
      </c>
      <c r="C32" s="25" t="n">
        <v>291</v>
      </c>
      <c r="D32" s="25" t="n">
        <v>291</v>
      </c>
      <c r="E32" s="10" t="n">
        <v>0</v>
      </c>
      <c r="F32" s="10" t="n">
        <v>48594.23</v>
      </c>
      <c r="G32" s="10" t="n">
        <v>48594.23</v>
      </c>
      <c r="H32" s="10" t="n">
        <v>8104.2</v>
      </c>
      <c r="I32" s="10" t="n">
        <v>40490.03</v>
      </c>
      <c r="J32" s="10" t="n">
        <v>27140.23</v>
      </c>
      <c r="K32" s="11" t="n">
        <v>0.8332</v>
      </c>
      <c r="L32" s="11" t="n">
        <v>0.5585</v>
      </c>
      <c r="M32" s="26" t="n">
        <v>28.14</v>
      </c>
    </row>
    <row r="33" customFormat="false" ht="15" hidden="false" customHeight="false" outlineLevel="0" collapsed="false">
      <c r="A33" s="27" t="n">
        <v>90453</v>
      </c>
      <c r="B33" s="12" t="s">
        <v>485</v>
      </c>
      <c r="C33" s="28" t="n">
        <v>23</v>
      </c>
      <c r="D33" s="28" t="n">
        <v>23</v>
      </c>
      <c r="E33" s="14" t="n">
        <v>0</v>
      </c>
      <c r="F33" s="14" t="n">
        <v>564.35</v>
      </c>
      <c r="G33" s="14" t="n">
        <v>564.35</v>
      </c>
      <c r="H33" s="14" t="n">
        <v>65.03</v>
      </c>
      <c r="I33" s="14" t="n">
        <v>499.32</v>
      </c>
      <c r="J33" s="14" t="n">
        <v>344.28</v>
      </c>
      <c r="K33" s="15" t="n">
        <v>0.8848</v>
      </c>
      <c r="L33" s="15" t="n">
        <v>0.61</v>
      </c>
      <c r="M33" s="29" t="n">
        <v>30.46</v>
      </c>
    </row>
    <row r="34" customFormat="false" ht="15" hidden="false" customHeight="false" outlineLevel="0" collapsed="false">
      <c r="A34" s="24" t="n">
        <v>90476</v>
      </c>
      <c r="B34" s="8" t="s">
        <v>477</v>
      </c>
      <c r="C34" s="25" t="n">
        <v>1</v>
      </c>
      <c r="D34" s="25" t="n">
        <v>1</v>
      </c>
      <c r="E34" s="10" t="n">
        <v>0</v>
      </c>
      <c r="F34" s="10" t="n">
        <v>350.9</v>
      </c>
      <c r="G34" s="10" t="n">
        <v>350.9</v>
      </c>
      <c r="H34" s="10" t="n">
        <v>83.19</v>
      </c>
      <c r="I34" s="10" t="n">
        <v>267.71</v>
      </c>
      <c r="J34" s="10" t="n">
        <v>171.32</v>
      </c>
      <c r="K34" s="11" t="n">
        <v>0.7629</v>
      </c>
      <c r="L34" s="11" t="n">
        <v>0.4882</v>
      </c>
      <c r="M34" s="26" t="n">
        <v>6</v>
      </c>
    </row>
    <row r="35" customFormat="false" ht="15" hidden="false" customHeight="false" outlineLevel="0" collapsed="false">
      <c r="A35" s="27" t="n">
        <v>90480</v>
      </c>
      <c r="B35" s="12" t="s">
        <v>545</v>
      </c>
      <c r="C35" s="28" t="n">
        <v>2</v>
      </c>
      <c r="D35" s="28" t="n">
        <v>2</v>
      </c>
      <c r="E35" s="14" t="n">
        <v>0</v>
      </c>
      <c r="F35" s="14" t="n">
        <v>1141.78</v>
      </c>
      <c r="G35" s="14" t="n">
        <v>1141.78</v>
      </c>
      <c r="H35" s="14" t="n">
        <v>320.54</v>
      </c>
      <c r="I35" s="14" t="n">
        <v>821.24</v>
      </c>
      <c r="J35" s="14" t="n">
        <v>507.57</v>
      </c>
      <c r="K35" s="15" t="n">
        <v>0.7193</v>
      </c>
      <c r="L35" s="15" t="n">
        <v>0.4445</v>
      </c>
      <c r="M35" s="29" t="n">
        <v>53</v>
      </c>
    </row>
    <row r="36" customFormat="false" ht="15" hidden="false" customHeight="false" outlineLevel="0" collapsed="false">
      <c r="A36" s="24" t="n">
        <v>90506</v>
      </c>
      <c r="B36" s="8" t="s">
        <v>473</v>
      </c>
      <c r="C36" s="25" t="n">
        <v>3805</v>
      </c>
      <c r="D36" s="25" t="n">
        <v>3805</v>
      </c>
      <c r="E36" s="10" t="n">
        <v>0</v>
      </c>
      <c r="F36" s="10" t="n">
        <v>110199.76</v>
      </c>
      <c r="G36" s="10" t="n">
        <v>110199.76</v>
      </c>
      <c r="H36" s="10" t="n">
        <v>29535.9697</v>
      </c>
      <c r="I36" s="10" t="n">
        <v>80663.79</v>
      </c>
      <c r="J36" s="10" t="n">
        <v>50389.64</v>
      </c>
      <c r="K36" s="11" t="n">
        <v>0.732</v>
      </c>
      <c r="L36" s="11" t="n">
        <v>0.4573</v>
      </c>
      <c r="M36" s="26" t="n">
        <v>59.94</v>
      </c>
    </row>
    <row r="37" customFormat="false" ht="15" hidden="false" customHeight="false" outlineLevel="0" collapsed="false">
      <c r="A37" s="27" t="n">
        <v>90584</v>
      </c>
      <c r="B37" s="12" t="s">
        <v>489</v>
      </c>
      <c r="C37" s="28" t="n">
        <v>22</v>
      </c>
      <c r="D37" s="28" t="n">
        <v>22</v>
      </c>
      <c r="E37" s="14" t="n">
        <v>0</v>
      </c>
      <c r="F37" s="14" t="n">
        <v>8109</v>
      </c>
      <c r="G37" s="14" t="n">
        <v>8109</v>
      </c>
      <c r="H37" s="14" t="n">
        <v>6581.8904</v>
      </c>
      <c r="I37" s="14" t="n">
        <v>1527.11</v>
      </c>
      <c r="J37" s="14" t="n">
        <v>-200.56</v>
      </c>
      <c r="K37" s="15" t="n">
        <v>0.1883</v>
      </c>
      <c r="L37" s="15" t="n">
        <v>-0.0247</v>
      </c>
      <c r="M37" s="29" t="n">
        <v>46</v>
      </c>
    </row>
    <row r="38" customFormat="false" ht="15" hidden="false" customHeight="false" outlineLevel="0" collapsed="false">
      <c r="A38" s="24" t="n">
        <v>90605</v>
      </c>
      <c r="B38" s="8" t="s">
        <v>490</v>
      </c>
      <c r="C38" s="25" t="n">
        <v>455</v>
      </c>
      <c r="D38" s="25" t="n">
        <v>455</v>
      </c>
      <c r="E38" s="10" t="n">
        <v>0</v>
      </c>
      <c r="F38" s="10" t="n">
        <v>36035.5</v>
      </c>
      <c r="G38" s="10" t="n">
        <v>36035.5</v>
      </c>
      <c r="H38" s="10" t="n">
        <v>0</v>
      </c>
      <c r="I38" s="10" t="n">
        <v>36035.5</v>
      </c>
      <c r="J38" s="10" t="n">
        <v>36035.5</v>
      </c>
      <c r="K38" s="11" t="n">
        <v>1</v>
      </c>
      <c r="L38" s="11" t="n">
        <v>1</v>
      </c>
      <c r="M38" s="26" t="n">
        <v>60</v>
      </c>
    </row>
    <row r="39" customFormat="false" ht="15" hidden="false" customHeight="false" outlineLevel="0" collapsed="false">
      <c r="A39" s="27" t="n">
        <v>90606</v>
      </c>
      <c r="B39" s="12" t="s">
        <v>546</v>
      </c>
      <c r="C39" s="28" t="n">
        <v>1103</v>
      </c>
      <c r="D39" s="28" t="n">
        <v>1103</v>
      </c>
      <c r="E39" s="14" t="n">
        <v>0</v>
      </c>
      <c r="F39" s="14" t="n">
        <v>5955.6</v>
      </c>
      <c r="G39" s="14" t="n">
        <v>5955.6</v>
      </c>
      <c r="H39" s="14" t="n">
        <v>0</v>
      </c>
      <c r="I39" s="14" t="n">
        <v>5955.6</v>
      </c>
      <c r="J39" s="14" t="n">
        <v>5955.6</v>
      </c>
      <c r="K39" s="15" t="n">
        <v>1</v>
      </c>
      <c r="L39" s="15" t="n">
        <v>1</v>
      </c>
      <c r="M39" s="29" t="n">
        <v>28</v>
      </c>
    </row>
    <row r="40" customFormat="false" ht="15" hidden="false" customHeight="false" outlineLevel="0" collapsed="false">
      <c r="A40" s="24" t="n">
        <v>90612</v>
      </c>
      <c r="B40" s="8" t="s">
        <v>553</v>
      </c>
      <c r="C40" s="25" t="n">
        <v>3</v>
      </c>
      <c r="D40" s="25" t="n">
        <v>3</v>
      </c>
      <c r="E40" s="10" t="n">
        <v>0</v>
      </c>
      <c r="F40" s="10" t="n">
        <v>68.43</v>
      </c>
      <c r="G40" s="10" t="n">
        <v>68.43</v>
      </c>
      <c r="H40" s="10" t="n">
        <v>21.9201</v>
      </c>
      <c r="I40" s="10" t="n">
        <v>46.51</v>
      </c>
      <c r="J40" s="10" t="n">
        <v>27.71</v>
      </c>
      <c r="K40" s="11" t="n">
        <v>0.6797</v>
      </c>
      <c r="L40" s="11" t="n">
        <v>0.4049</v>
      </c>
      <c r="M40" s="26" t="n">
        <v>30</v>
      </c>
    </row>
    <row r="41" customFormat="false" ht="15" hidden="false" customHeight="false" outlineLevel="0" collapsed="false">
      <c r="A41" s="27" t="n">
        <v>90613</v>
      </c>
      <c r="B41" s="12" t="s">
        <v>516</v>
      </c>
      <c r="C41" s="28" t="n">
        <v>96</v>
      </c>
      <c r="D41" s="28" t="n">
        <v>96</v>
      </c>
      <c r="E41" s="14" t="n">
        <v>0</v>
      </c>
      <c r="F41" s="14" t="n">
        <v>1178.25</v>
      </c>
      <c r="G41" s="14" t="n">
        <v>1178.25</v>
      </c>
      <c r="H41" s="14" t="n">
        <v>0</v>
      </c>
      <c r="I41" s="14" t="n">
        <v>1178.25</v>
      </c>
      <c r="J41" s="14" t="n">
        <v>1178.25</v>
      </c>
      <c r="K41" s="15" t="n">
        <v>1</v>
      </c>
      <c r="L41" s="15" t="n">
        <v>1</v>
      </c>
      <c r="M41" s="29" t="n">
        <v>29.67</v>
      </c>
    </row>
    <row r="42" customFormat="false" ht="15" hidden="false" customHeight="false" outlineLevel="0" collapsed="false">
      <c r="A42" s="24" t="n">
        <v>90617</v>
      </c>
      <c r="B42" s="8" t="s">
        <v>492</v>
      </c>
      <c r="C42" s="25" t="n">
        <v>1129</v>
      </c>
      <c r="D42" s="25" t="n">
        <v>1129</v>
      </c>
      <c r="E42" s="10" t="n">
        <v>0</v>
      </c>
      <c r="F42" s="10" t="n">
        <v>55907.84</v>
      </c>
      <c r="G42" s="10" t="n">
        <v>55907.84</v>
      </c>
      <c r="H42" s="10" t="n">
        <v>25856.763</v>
      </c>
      <c r="I42" s="10" t="n">
        <v>30051.08</v>
      </c>
      <c r="J42" s="10" t="n">
        <v>14692.09</v>
      </c>
      <c r="K42" s="11" t="n">
        <v>0.5375</v>
      </c>
      <c r="L42" s="11" t="n">
        <v>0.2628</v>
      </c>
      <c r="M42" s="26" t="n">
        <v>63.64</v>
      </c>
    </row>
    <row r="43" customFormat="false" ht="15" hidden="false" customHeight="false" outlineLevel="0" collapsed="false">
      <c r="A43" s="27" t="n">
        <v>90618</v>
      </c>
      <c r="B43" s="12" t="s">
        <v>554</v>
      </c>
      <c r="C43" s="28" t="n">
        <v>128</v>
      </c>
      <c r="D43" s="28" t="n">
        <v>128</v>
      </c>
      <c r="E43" s="14" t="n">
        <v>0</v>
      </c>
      <c r="F43" s="14" t="n">
        <v>342.3</v>
      </c>
      <c r="G43" s="14" t="n">
        <v>342.3</v>
      </c>
      <c r="H43" s="14" t="n">
        <v>0</v>
      </c>
      <c r="I43" s="14" t="n">
        <v>342.3</v>
      </c>
      <c r="J43" s="14" t="n">
        <v>342.3</v>
      </c>
      <c r="K43" s="15" t="n">
        <v>1</v>
      </c>
      <c r="L43" s="15" t="n">
        <v>1</v>
      </c>
      <c r="M43" s="29" t="n">
        <v>29.38</v>
      </c>
    </row>
    <row r="44" customFormat="false" ht="15" hidden="false" customHeight="false" outlineLevel="0" collapsed="false">
      <c r="A44" s="24" t="n">
        <v>90623</v>
      </c>
      <c r="B44" s="8" t="s">
        <v>473</v>
      </c>
      <c r="C44" s="25" t="n">
        <v>944</v>
      </c>
      <c r="D44" s="25" t="n">
        <v>944</v>
      </c>
      <c r="E44" s="10" t="n">
        <v>0</v>
      </c>
      <c r="F44" s="10" t="n">
        <v>136591.39</v>
      </c>
      <c r="G44" s="10" t="n">
        <v>136591.39</v>
      </c>
      <c r="H44" s="10" t="n">
        <v>64404.0484</v>
      </c>
      <c r="I44" s="10" t="n">
        <v>72187.34</v>
      </c>
      <c r="J44" s="10" t="n">
        <v>34663.01</v>
      </c>
      <c r="K44" s="11" t="n">
        <v>0.5285</v>
      </c>
      <c r="L44" s="11" t="n">
        <v>0.2538</v>
      </c>
      <c r="M44" s="26" t="n">
        <v>61.71</v>
      </c>
    </row>
    <row r="45" customFormat="false" ht="15" hidden="false" customHeight="false" outlineLevel="0" collapsed="false">
      <c r="A45" s="27" t="n">
        <v>90625</v>
      </c>
      <c r="B45" s="12" t="s">
        <v>473</v>
      </c>
      <c r="C45" s="28" t="n">
        <v>1736</v>
      </c>
      <c r="D45" s="28" t="n">
        <v>1736</v>
      </c>
      <c r="E45" s="14" t="n">
        <v>0</v>
      </c>
      <c r="F45" s="14" t="n">
        <v>69716.83</v>
      </c>
      <c r="G45" s="14" t="n">
        <v>69716.83</v>
      </c>
      <c r="H45" s="14" t="n">
        <v>25242.2991</v>
      </c>
      <c r="I45" s="14" t="n">
        <v>44474.54</v>
      </c>
      <c r="J45" s="14" t="n">
        <v>25321.94</v>
      </c>
      <c r="K45" s="15" t="n">
        <v>0.6379</v>
      </c>
      <c r="L45" s="15" t="n">
        <v>0.3632</v>
      </c>
      <c r="M45" s="29" t="n">
        <v>60.48</v>
      </c>
    </row>
    <row r="46" customFormat="false" ht="15" hidden="false" customHeight="false" outlineLevel="0" collapsed="false">
      <c r="A46" s="24" t="n">
        <v>90629</v>
      </c>
      <c r="B46" s="8" t="s">
        <v>517</v>
      </c>
      <c r="C46" s="25" t="n">
        <v>100</v>
      </c>
      <c r="D46" s="25" t="n">
        <v>100</v>
      </c>
      <c r="E46" s="10" t="n">
        <v>0</v>
      </c>
      <c r="F46" s="10" t="n">
        <v>1062</v>
      </c>
      <c r="G46" s="10" t="n">
        <v>1062</v>
      </c>
      <c r="H46" s="10" t="n">
        <v>85.89</v>
      </c>
      <c r="I46" s="10" t="n">
        <v>976.11</v>
      </c>
      <c r="J46" s="10" t="n">
        <v>684.36</v>
      </c>
      <c r="K46" s="11" t="n">
        <v>0.9191</v>
      </c>
      <c r="L46" s="11" t="n">
        <v>0.6444</v>
      </c>
      <c r="M46" s="26" t="n">
        <v>49</v>
      </c>
    </row>
    <row r="47" customFormat="false" ht="15" hidden="false" customHeight="false" outlineLevel="0" collapsed="false">
      <c r="A47" s="27" t="n">
        <v>90630</v>
      </c>
      <c r="B47" s="12" t="s">
        <v>493</v>
      </c>
      <c r="C47" s="28" t="n">
        <v>4</v>
      </c>
      <c r="D47" s="28" t="n">
        <v>4</v>
      </c>
      <c r="E47" s="14" t="n">
        <v>0</v>
      </c>
      <c r="F47" s="14" t="n">
        <v>776.84</v>
      </c>
      <c r="G47" s="14" t="n">
        <v>776.84</v>
      </c>
      <c r="H47" s="14" t="n">
        <v>114.96</v>
      </c>
      <c r="I47" s="14" t="n">
        <v>661.88</v>
      </c>
      <c r="J47" s="14" t="n">
        <v>448.47</v>
      </c>
      <c r="K47" s="15" t="n">
        <v>0.852</v>
      </c>
      <c r="L47" s="15" t="n">
        <v>0.5773</v>
      </c>
      <c r="M47" s="29" t="n">
        <v>58</v>
      </c>
    </row>
    <row r="48" customFormat="false" ht="15" hidden="false" customHeight="false" outlineLevel="0" collapsed="false">
      <c r="A48" s="24" t="n">
        <v>90640</v>
      </c>
      <c r="B48" s="8" t="s">
        <v>473</v>
      </c>
      <c r="C48" s="25" t="n">
        <v>135</v>
      </c>
      <c r="D48" s="25" t="n">
        <v>135</v>
      </c>
      <c r="E48" s="10" t="n">
        <v>0</v>
      </c>
      <c r="F48" s="10" t="n">
        <v>13654.77</v>
      </c>
      <c r="G48" s="10" t="n">
        <v>13654.77</v>
      </c>
      <c r="H48" s="10" t="n">
        <v>6745.6912</v>
      </c>
      <c r="I48" s="10" t="n">
        <v>6909.08</v>
      </c>
      <c r="J48" s="10" t="n">
        <v>3157.87</v>
      </c>
      <c r="K48" s="11" t="n">
        <v>0.506</v>
      </c>
      <c r="L48" s="11" t="n">
        <v>0.2313</v>
      </c>
      <c r="M48" s="26" t="n">
        <v>59.92</v>
      </c>
    </row>
    <row r="49" customFormat="false" ht="15" hidden="false" customHeight="false" outlineLevel="0" collapsed="false">
      <c r="A49" s="27" t="n">
        <v>90643</v>
      </c>
      <c r="B49" s="12" t="s">
        <v>488</v>
      </c>
      <c r="C49" s="28" t="n">
        <v>2</v>
      </c>
      <c r="D49" s="28" t="n">
        <v>2</v>
      </c>
      <c r="E49" s="14" t="n">
        <v>0</v>
      </c>
      <c r="F49" s="14" t="n">
        <v>814</v>
      </c>
      <c r="G49" s="14" t="n">
        <v>814</v>
      </c>
      <c r="H49" s="14" t="n">
        <v>335.12</v>
      </c>
      <c r="I49" s="14" t="n">
        <v>478.88</v>
      </c>
      <c r="J49" s="14" t="n">
        <v>255.26</v>
      </c>
      <c r="K49" s="15" t="n">
        <v>0.5883</v>
      </c>
      <c r="L49" s="15" t="n">
        <v>0.3136</v>
      </c>
      <c r="M49" s="29" t="n">
        <v>28</v>
      </c>
    </row>
    <row r="50" customFormat="false" ht="15" hidden="false" customHeight="false" outlineLevel="0" collapsed="false">
      <c r="A50" s="24" t="n">
        <v>90644</v>
      </c>
      <c r="B50" s="8" t="s">
        <v>560</v>
      </c>
      <c r="C50" s="25" t="n">
        <v>43</v>
      </c>
      <c r="D50" s="25" t="n">
        <v>43</v>
      </c>
      <c r="E50" s="10" t="n">
        <v>0</v>
      </c>
      <c r="F50" s="10" t="n">
        <v>1098.9</v>
      </c>
      <c r="G50" s="10" t="n">
        <v>1098.9</v>
      </c>
      <c r="H50" s="10" t="n">
        <v>335.8498</v>
      </c>
      <c r="I50" s="10" t="n">
        <v>763.05</v>
      </c>
      <c r="J50" s="10" t="n">
        <v>461.16</v>
      </c>
      <c r="K50" s="11" t="n">
        <v>0.6944</v>
      </c>
      <c r="L50" s="11" t="n">
        <v>0.4197</v>
      </c>
      <c r="M50" s="26" t="n">
        <v>42</v>
      </c>
    </row>
    <row r="51" customFormat="false" ht="15" hidden="false" customHeight="false" outlineLevel="0" collapsed="false">
      <c r="A51" s="27" t="n">
        <v>90645</v>
      </c>
      <c r="B51" s="12" t="s">
        <v>495</v>
      </c>
      <c r="C51" s="28" t="n">
        <v>2892</v>
      </c>
      <c r="D51" s="28" t="n">
        <v>2892</v>
      </c>
      <c r="E51" s="14" t="n">
        <v>0</v>
      </c>
      <c r="F51" s="14" t="n">
        <v>4536.3</v>
      </c>
      <c r="G51" s="14" t="n">
        <v>4536.3</v>
      </c>
      <c r="H51" s="14" t="n">
        <v>0</v>
      </c>
      <c r="I51" s="14" t="n">
        <v>4536.3</v>
      </c>
      <c r="J51" s="14" t="n">
        <v>4536.3</v>
      </c>
      <c r="K51" s="15" t="n">
        <v>1</v>
      </c>
      <c r="L51" s="15" t="n">
        <v>1</v>
      </c>
      <c r="M51" s="29" t="n">
        <v>28</v>
      </c>
    </row>
    <row r="52" customFormat="false" ht="15" hidden="false" customHeight="false" outlineLevel="0" collapsed="false">
      <c r="A52" s="24" t="n">
        <v>90649</v>
      </c>
      <c r="B52" s="8" t="s">
        <v>532</v>
      </c>
      <c r="C52" s="25" t="n">
        <v>81</v>
      </c>
      <c r="D52" s="25" t="n">
        <v>81</v>
      </c>
      <c r="E52" s="10" t="n">
        <v>0</v>
      </c>
      <c r="F52" s="10" t="n">
        <v>286.97</v>
      </c>
      <c r="G52" s="10" t="n">
        <v>286.97</v>
      </c>
      <c r="H52" s="10" t="n">
        <v>18.042</v>
      </c>
      <c r="I52" s="10" t="n">
        <v>268.93</v>
      </c>
      <c r="J52" s="10" t="n">
        <v>190.08</v>
      </c>
      <c r="K52" s="11" t="n">
        <v>0.9371</v>
      </c>
      <c r="L52" s="11" t="n">
        <v>0.6624</v>
      </c>
      <c r="M52" s="26" t="n">
        <v>30</v>
      </c>
    </row>
    <row r="53" customFormat="false" ht="15" hidden="false" customHeight="false" outlineLevel="0" collapsed="false">
      <c r="A53" s="27" t="n">
        <v>90664</v>
      </c>
      <c r="B53" s="12" t="s">
        <v>496</v>
      </c>
      <c r="C53" s="28" t="n">
        <v>99</v>
      </c>
      <c r="D53" s="28" t="n">
        <v>99</v>
      </c>
      <c r="E53" s="14" t="n">
        <v>36526.73</v>
      </c>
      <c r="F53" s="14" t="n">
        <v>172374.1</v>
      </c>
      <c r="G53" s="14" t="n">
        <v>208900.83</v>
      </c>
      <c r="H53" s="14" t="n">
        <v>69874.09</v>
      </c>
      <c r="I53" s="14" t="n">
        <v>139026.74</v>
      </c>
      <c r="J53" s="14" t="n">
        <v>79929.89</v>
      </c>
      <c r="K53" s="15" t="n">
        <v>0.6655</v>
      </c>
      <c r="L53" s="15" t="n">
        <v>0.3826</v>
      </c>
      <c r="M53" s="29" t="n">
        <v>43.79</v>
      </c>
    </row>
    <row r="54" customFormat="false" ht="15" hidden="false" customHeight="false" outlineLevel="0" collapsed="false">
      <c r="A54" s="24" t="n">
        <v>90665</v>
      </c>
      <c r="B54" s="8" t="s">
        <v>497</v>
      </c>
      <c r="C54" s="25" t="n">
        <v>2</v>
      </c>
      <c r="D54" s="25" t="n">
        <v>2</v>
      </c>
      <c r="E54" s="10" t="n">
        <v>955</v>
      </c>
      <c r="F54" s="10" t="n">
        <v>508.68</v>
      </c>
      <c r="G54" s="10" t="n">
        <v>1463.68</v>
      </c>
      <c r="H54" s="10" t="n">
        <v>279.78</v>
      </c>
      <c r="I54" s="10" t="n">
        <v>1183.9</v>
      </c>
      <c r="J54" s="10" t="n">
        <v>781.8</v>
      </c>
      <c r="K54" s="11" t="n">
        <v>0.8089</v>
      </c>
      <c r="L54" s="11" t="n">
        <v>0.5341</v>
      </c>
      <c r="M54" s="26" t="n">
        <v>29.3</v>
      </c>
    </row>
    <row r="55" customFormat="false" ht="15" hidden="false" customHeight="false" outlineLevel="0" collapsed="false">
      <c r="A55" s="27" t="n">
        <v>90679</v>
      </c>
      <c r="B55" s="12" t="s">
        <v>548</v>
      </c>
      <c r="C55" s="28" t="n">
        <v>105</v>
      </c>
      <c r="D55" s="28" t="n">
        <v>105</v>
      </c>
      <c r="E55" s="14" t="n">
        <v>0</v>
      </c>
      <c r="F55" s="14" t="n">
        <v>30660</v>
      </c>
      <c r="G55" s="14" t="n">
        <v>30660</v>
      </c>
      <c r="H55" s="14" t="n">
        <v>12064.86</v>
      </c>
      <c r="I55" s="14" t="n">
        <v>18595.14</v>
      </c>
      <c r="J55" s="14" t="n">
        <v>7883.86</v>
      </c>
      <c r="K55" s="15" t="n">
        <v>0.6065</v>
      </c>
      <c r="L55" s="15" t="n">
        <v>0.2571</v>
      </c>
      <c r="M55" s="29" t="n">
        <v>35</v>
      </c>
    </row>
    <row r="56" customFormat="false" ht="15" hidden="false" customHeight="false" outlineLevel="0" collapsed="false">
      <c r="A56" s="24" t="n">
        <v>90683</v>
      </c>
      <c r="B56" s="8" t="s">
        <v>533</v>
      </c>
      <c r="C56" s="25" t="n">
        <v>100</v>
      </c>
      <c r="D56" s="25" t="n">
        <v>100</v>
      </c>
      <c r="E56" s="10" t="n">
        <v>0</v>
      </c>
      <c r="F56" s="10" t="n">
        <v>7441</v>
      </c>
      <c r="G56" s="10" t="n">
        <v>7441</v>
      </c>
      <c r="H56" s="10" t="n">
        <v>2970</v>
      </c>
      <c r="I56" s="10" t="n">
        <v>4471</v>
      </c>
      <c r="J56" s="10" t="n">
        <v>1843.67</v>
      </c>
      <c r="K56" s="11" t="n">
        <v>0.6009</v>
      </c>
      <c r="L56" s="11" t="n">
        <v>0.2478</v>
      </c>
      <c r="M56" s="26" t="n">
        <v>30</v>
      </c>
    </row>
    <row r="57" customFormat="false" ht="15" hidden="false" customHeight="false" outlineLevel="0" collapsed="false">
      <c r="A57" s="27" t="n">
        <v>90700</v>
      </c>
      <c r="B57" s="12" t="s">
        <v>488</v>
      </c>
      <c r="C57" s="28" t="n">
        <v>153</v>
      </c>
      <c r="D57" s="28" t="n">
        <v>153</v>
      </c>
      <c r="E57" s="14" t="n">
        <v>0</v>
      </c>
      <c r="F57" s="14" t="n">
        <v>26464</v>
      </c>
      <c r="G57" s="14" t="n">
        <v>26464</v>
      </c>
      <c r="H57" s="14" t="n">
        <v>0</v>
      </c>
      <c r="I57" s="14" t="n">
        <v>26464</v>
      </c>
      <c r="J57" s="14" t="n">
        <v>26464</v>
      </c>
      <c r="K57" s="15" t="n">
        <v>1</v>
      </c>
      <c r="L57" s="15" t="n">
        <v>1</v>
      </c>
      <c r="M57" s="29" t="n">
        <v>28</v>
      </c>
    </row>
    <row r="58" customFormat="false" ht="15" hidden="false" customHeight="false" outlineLevel="0" collapsed="false">
      <c r="A58" s="24" t="n">
        <v>90701</v>
      </c>
      <c r="B58" s="8" t="s">
        <v>520</v>
      </c>
      <c r="C58" s="25" t="n">
        <v>28</v>
      </c>
      <c r="D58" s="25" t="n">
        <v>28</v>
      </c>
      <c r="E58" s="10" t="n">
        <v>0</v>
      </c>
      <c r="F58" s="10" t="n">
        <v>5364.8</v>
      </c>
      <c r="G58" s="10" t="n">
        <v>5364.8</v>
      </c>
      <c r="H58" s="10" t="n">
        <v>27390.5688</v>
      </c>
      <c r="I58" s="10" t="n">
        <v>-22025.77</v>
      </c>
      <c r="J58" s="10" t="n">
        <v>-23168.77</v>
      </c>
      <c r="K58" s="11" t="n">
        <v>-4.1056</v>
      </c>
      <c r="L58" s="11" t="n">
        <v>-4.3187</v>
      </c>
      <c r="M58" s="26" t="n">
        <v>60</v>
      </c>
    </row>
    <row r="59" customFormat="false" ht="15" hidden="false" customHeight="false" outlineLevel="0" collapsed="false">
      <c r="A59" s="27" t="n">
        <v>90702</v>
      </c>
      <c r="B59" s="12" t="s">
        <v>521</v>
      </c>
      <c r="C59" s="28" t="n">
        <v>20</v>
      </c>
      <c r="D59" s="28" t="n">
        <v>20</v>
      </c>
      <c r="E59" s="14" t="n">
        <v>0</v>
      </c>
      <c r="F59" s="14" t="n">
        <v>3312</v>
      </c>
      <c r="G59" s="14" t="n">
        <v>3312</v>
      </c>
      <c r="H59" s="14" t="n">
        <v>1759.6</v>
      </c>
      <c r="I59" s="14" t="n">
        <v>1552.4</v>
      </c>
      <c r="J59" s="14" t="n">
        <v>846.75</v>
      </c>
      <c r="K59" s="15" t="n">
        <v>0.4687</v>
      </c>
      <c r="L59" s="15" t="n">
        <v>0.2557</v>
      </c>
      <c r="M59" s="29" t="n">
        <v>60</v>
      </c>
    </row>
    <row r="60" customFormat="false" ht="15" hidden="false" customHeight="false" outlineLevel="0" collapsed="false">
      <c r="A60" s="24" t="n">
        <v>90705</v>
      </c>
      <c r="B60" s="8" t="s">
        <v>522</v>
      </c>
      <c r="C60" s="25" t="n">
        <v>90</v>
      </c>
      <c r="D60" s="25" t="n">
        <v>90</v>
      </c>
      <c r="E60" s="10" t="n">
        <v>0</v>
      </c>
      <c r="F60" s="10" t="n">
        <v>18312</v>
      </c>
      <c r="G60" s="10" t="n">
        <v>18312</v>
      </c>
      <c r="H60" s="10" t="n">
        <v>9995.1195</v>
      </c>
      <c r="I60" s="10" t="n">
        <v>8316.88</v>
      </c>
      <c r="J60" s="10" t="n">
        <v>4415.4</v>
      </c>
      <c r="K60" s="11" t="n">
        <v>0.4542</v>
      </c>
      <c r="L60" s="11" t="n">
        <v>0.2411</v>
      </c>
      <c r="M60" s="26" t="n">
        <v>60</v>
      </c>
    </row>
    <row r="61" customFormat="false" ht="15" hidden="false" customHeight="false" outlineLevel="0" collapsed="false">
      <c r="A61" s="27" t="n">
        <v>90706</v>
      </c>
      <c r="B61" s="12" t="s">
        <v>523</v>
      </c>
      <c r="C61" s="28" t="n">
        <v>86</v>
      </c>
      <c r="D61" s="28" t="n">
        <v>86</v>
      </c>
      <c r="E61" s="14" t="n">
        <v>0</v>
      </c>
      <c r="F61" s="14" t="n">
        <v>16968</v>
      </c>
      <c r="G61" s="14" t="n">
        <v>16968</v>
      </c>
      <c r="H61" s="14" t="n">
        <v>113874.0782</v>
      </c>
      <c r="I61" s="14" t="n">
        <v>-96906.08</v>
      </c>
      <c r="J61" s="14" t="n">
        <v>-100521.21</v>
      </c>
      <c r="K61" s="15" t="n">
        <v>-5.7111</v>
      </c>
      <c r="L61" s="15" t="n">
        <v>-5.9242</v>
      </c>
      <c r="M61" s="29" t="n">
        <v>60</v>
      </c>
    </row>
    <row r="62" customFormat="false" ht="15" hidden="false" customHeight="false" outlineLevel="0" collapsed="false">
      <c r="A62" s="24" t="n">
        <v>90708</v>
      </c>
      <c r="B62" s="8" t="s">
        <v>501</v>
      </c>
      <c r="C62" s="25" t="n">
        <v>32</v>
      </c>
      <c r="D62" s="25" t="n">
        <v>32</v>
      </c>
      <c r="E62" s="10" t="n">
        <v>0</v>
      </c>
      <c r="F62" s="10" t="n">
        <v>5555.2</v>
      </c>
      <c r="G62" s="10" t="n">
        <v>5555.2</v>
      </c>
      <c r="H62" s="10" t="n">
        <v>115763.7792</v>
      </c>
      <c r="I62" s="10" t="n">
        <v>-110208.58</v>
      </c>
      <c r="J62" s="10" t="n">
        <v>-111392.14</v>
      </c>
      <c r="K62" s="11" t="n">
        <v>-19.8388</v>
      </c>
      <c r="L62" s="11" t="n">
        <v>-20.0519</v>
      </c>
      <c r="M62" s="26" t="n">
        <v>60</v>
      </c>
    </row>
    <row r="63" customFormat="false" ht="15" hidden="false" customHeight="false" outlineLevel="0" collapsed="false">
      <c r="A63" s="27" t="n">
        <v>90714</v>
      </c>
      <c r="B63" s="12" t="s">
        <v>503</v>
      </c>
      <c r="C63" s="28" t="n">
        <v>11</v>
      </c>
      <c r="D63" s="28" t="n">
        <v>11</v>
      </c>
      <c r="E63" s="14" t="n">
        <v>0</v>
      </c>
      <c r="F63" s="14" t="n">
        <v>1663.2</v>
      </c>
      <c r="G63" s="14" t="n">
        <v>1663.2</v>
      </c>
      <c r="H63" s="14" t="n">
        <v>884.04</v>
      </c>
      <c r="I63" s="14" t="n">
        <v>779.16</v>
      </c>
      <c r="J63" s="14" t="n">
        <v>424.81</v>
      </c>
      <c r="K63" s="15" t="n">
        <v>0.4685</v>
      </c>
      <c r="L63" s="15" t="n">
        <v>0.2554</v>
      </c>
      <c r="M63" s="29" t="n">
        <v>55.91</v>
      </c>
    </row>
    <row r="64" customFormat="false" ht="15" hidden="false" customHeight="false" outlineLevel="0" collapsed="false">
      <c r="A64" s="24" t="n">
        <v>90715</v>
      </c>
      <c r="B64" s="8" t="s">
        <v>524</v>
      </c>
      <c r="C64" s="25" t="n">
        <v>38</v>
      </c>
      <c r="D64" s="25" t="n">
        <v>38</v>
      </c>
      <c r="E64" s="10" t="n">
        <v>0</v>
      </c>
      <c r="F64" s="10" t="n">
        <v>6931.2</v>
      </c>
      <c r="G64" s="10" t="n">
        <v>6931.2</v>
      </c>
      <c r="H64" s="10" t="n">
        <v>4964.2402</v>
      </c>
      <c r="I64" s="10" t="n">
        <v>1966.96</v>
      </c>
      <c r="J64" s="10" t="n">
        <v>490.23</v>
      </c>
      <c r="K64" s="11" t="n">
        <v>0.2838</v>
      </c>
      <c r="L64" s="11" t="n">
        <v>0.0707</v>
      </c>
      <c r="M64" s="26" t="n">
        <v>60</v>
      </c>
    </row>
    <row r="65" customFormat="false" ht="15" hidden="false" customHeight="false" outlineLevel="0" collapsed="false">
      <c r="A65" s="27" t="n">
        <v>90718</v>
      </c>
      <c r="B65" s="12" t="s">
        <v>525</v>
      </c>
      <c r="C65" s="28" t="n">
        <v>26</v>
      </c>
      <c r="D65" s="28" t="n">
        <v>26</v>
      </c>
      <c r="E65" s="14" t="n">
        <v>0</v>
      </c>
      <c r="F65" s="14" t="n">
        <v>9061</v>
      </c>
      <c r="G65" s="14" t="n">
        <v>9061</v>
      </c>
      <c r="H65" s="14" t="n">
        <v>6018.4506</v>
      </c>
      <c r="I65" s="14" t="n">
        <v>3042.55</v>
      </c>
      <c r="J65" s="14" t="n">
        <v>553.31</v>
      </c>
      <c r="K65" s="15" t="n">
        <v>0.3358</v>
      </c>
      <c r="L65" s="15" t="n">
        <v>0.0611</v>
      </c>
      <c r="M65" s="29" t="n">
        <v>60</v>
      </c>
    </row>
    <row r="66" customFormat="false" ht="15" hidden="false" customHeight="false" outlineLevel="0" collapsed="false">
      <c r="A66" s="24" t="n">
        <v>90723</v>
      </c>
      <c r="B66" s="8" t="s">
        <v>527</v>
      </c>
      <c r="C66" s="25" t="n">
        <v>12</v>
      </c>
      <c r="D66" s="25" t="n">
        <v>12</v>
      </c>
      <c r="E66" s="10" t="n">
        <v>0</v>
      </c>
      <c r="F66" s="10" t="n">
        <v>2400</v>
      </c>
      <c r="G66" s="10" t="n">
        <v>2400</v>
      </c>
      <c r="H66" s="10" t="n">
        <v>1128.8004</v>
      </c>
      <c r="I66" s="10" t="n">
        <v>1271.2</v>
      </c>
      <c r="J66" s="10" t="n">
        <v>759.86</v>
      </c>
      <c r="K66" s="11" t="n">
        <v>0.5297</v>
      </c>
      <c r="L66" s="11" t="n">
        <v>0.3166</v>
      </c>
      <c r="M66" s="26" t="n">
        <v>60</v>
      </c>
    </row>
    <row r="67" customFormat="false" ht="15" hidden="false" customHeight="false" outlineLevel="0" collapsed="false">
      <c r="A67" s="27" t="n">
        <v>90728</v>
      </c>
      <c r="B67" s="12" t="s">
        <v>477</v>
      </c>
      <c r="C67" s="28" t="n">
        <v>352</v>
      </c>
      <c r="D67" s="28" t="n">
        <v>352</v>
      </c>
      <c r="E67" s="14" t="n">
        <v>0</v>
      </c>
      <c r="F67" s="14" t="n">
        <v>14066.52</v>
      </c>
      <c r="G67" s="14" t="n">
        <v>14066.52</v>
      </c>
      <c r="H67" s="14" t="n">
        <v>3815.921</v>
      </c>
      <c r="I67" s="14" t="n">
        <v>10250.6</v>
      </c>
      <c r="J67" s="14" t="n">
        <v>6386.25</v>
      </c>
      <c r="K67" s="15" t="n">
        <v>0.7287</v>
      </c>
      <c r="L67" s="15" t="n">
        <v>0.454</v>
      </c>
      <c r="M67" s="29" t="n">
        <v>51.09</v>
      </c>
    </row>
    <row r="68" customFormat="false" ht="15" hidden="false" customHeight="false" outlineLevel="0" collapsed="false">
      <c r="A68" s="24" t="n">
        <v>90729</v>
      </c>
      <c r="B68" s="8" t="s">
        <v>534</v>
      </c>
      <c r="C68" s="25" t="n">
        <v>324</v>
      </c>
      <c r="D68" s="25" t="n">
        <v>324</v>
      </c>
      <c r="E68" s="10" t="n">
        <v>0</v>
      </c>
      <c r="F68" s="10" t="n">
        <v>2892.04</v>
      </c>
      <c r="G68" s="10" t="n">
        <v>2892.04</v>
      </c>
      <c r="H68" s="10" t="n">
        <v>0</v>
      </c>
      <c r="I68" s="10" t="n">
        <v>2892.04</v>
      </c>
      <c r="J68" s="10" t="n">
        <v>2892.04</v>
      </c>
      <c r="K68" s="11" t="n">
        <v>1</v>
      </c>
      <c r="L68" s="11" t="n">
        <v>1</v>
      </c>
      <c r="M68" s="26" t="n">
        <v>53</v>
      </c>
    </row>
    <row r="69" customFormat="false" ht="15" hidden="false" customHeight="false" outlineLevel="0" collapsed="false">
      <c r="A69" s="27" t="n">
        <v>90735</v>
      </c>
      <c r="B69" s="12" t="s">
        <v>537</v>
      </c>
      <c r="C69" s="28" t="n">
        <v>26</v>
      </c>
      <c r="D69" s="28" t="n">
        <v>26</v>
      </c>
      <c r="E69" s="14" t="n">
        <v>0</v>
      </c>
      <c r="F69" s="14" t="n">
        <v>336</v>
      </c>
      <c r="G69" s="14" t="n">
        <v>336</v>
      </c>
      <c r="H69" s="14" t="n">
        <v>0</v>
      </c>
      <c r="I69" s="14" t="n">
        <v>336</v>
      </c>
      <c r="J69" s="14" t="n">
        <v>336</v>
      </c>
      <c r="K69" s="15" t="n">
        <v>1</v>
      </c>
      <c r="L69" s="15" t="n">
        <v>1</v>
      </c>
      <c r="M69" s="29" t="n">
        <v>30</v>
      </c>
    </row>
    <row r="70" customFormat="false" ht="15" hidden="false" customHeight="false" outlineLevel="0" collapsed="false">
      <c r="A70" s="24" t="n">
        <v>90752</v>
      </c>
      <c r="B70" s="8" t="s">
        <v>556</v>
      </c>
      <c r="C70" s="25" t="n">
        <v>211</v>
      </c>
      <c r="D70" s="25" t="n">
        <v>211</v>
      </c>
      <c r="E70" s="10" t="n">
        <v>0</v>
      </c>
      <c r="F70" s="10" t="n">
        <v>28703.2</v>
      </c>
      <c r="G70" s="10" t="n">
        <v>28703.2</v>
      </c>
      <c r="H70" s="10" t="n">
        <v>0</v>
      </c>
      <c r="I70" s="10" t="n">
        <v>28703.2</v>
      </c>
      <c r="J70" s="10" t="n">
        <v>28703.2</v>
      </c>
      <c r="K70" s="11" t="n">
        <v>1</v>
      </c>
      <c r="L70" s="11" t="n">
        <v>1</v>
      </c>
      <c r="M70" s="26" t="n">
        <v>54.2</v>
      </c>
    </row>
    <row r="71" customFormat="false" ht="15" hidden="false" customHeight="false" outlineLevel="0" collapsed="false">
      <c r="A71" s="27" t="n">
        <v>90754</v>
      </c>
      <c r="B71" s="12" t="s">
        <v>477</v>
      </c>
      <c r="C71" s="28" t="n">
        <v>60</v>
      </c>
      <c r="D71" s="28" t="n">
        <v>60</v>
      </c>
      <c r="E71" s="14" t="n">
        <v>0</v>
      </c>
      <c r="F71" s="14" t="n">
        <v>16505.31</v>
      </c>
      <c r="G71" s="14" t="n">
        <v>16505.31</v>
      </c>
      <c r="H71" s="14" t="n">
        <v>7284.5502</v>
      </c>
      <c r="I71" s="14" t="n">
        <v>9220.76</v>
      </c>
      <c r="J71" s="14" t="n">
        <v>4686.42</v>
      </c>
      <c r="K71" s="15" t="n">
        <v>0.5587</v>
      </c>
      <c r="L71" s="15" t="n">
        <v>0.2839</v>
      </c>
      <c r="M71" s="29" t="n">
        <v>60</v>
      </c>
    </row>
    <row r="72" customFormat="false" ht="15" hidden="false" customHeight="false" outlineLevel="0" collapsed="false">
      <c r="A72" s="24" t="n">
        <v>90755</v>
      </c>
      <c r="B72" s="8" t="s">
        <v>561</v>
      </c>
      <c r="C72" s="25" t="n">
        <v>1052</v>
      </c>
      <c r="D72" s="25" t="n">
        <v>1052</v>
      </c>
      <c r="E72" s="10" t="n">
        <v>0</v>
      </c>
      <c r="F72" s="10" t="n">
        <v>3053.79</v>
      </c>
      <c r="G72" s="10" t="n">
        <v>3053.79</v>
      </c>
      <c r="H72" s="10" t="n">
        <v>0</v>
      </c>
      <c r="I72" s="10" t="n">
        <v>3053.79</v>
      </c>
      <c r="J72" s="10" t="n">
        <v>3053.79</v>
      </c>
      <c r="K72" s="11" t="n">
        <v>1</v>
      </c>
      <c r="L72" s="11" t="n">
        <v>1</v>
      </c>
      <c r="M72" s="26" t="n">
        <v>53</v>
      </c>
    </row>
    <row r="73" customFormat="false" ht="15" hidden="false" customHeight="false" outlineLevel="0" collapsed="false">
      <c r="A73" s="16" t="s">
        <v>249</v>
      </c>
      <c r="B73" s="16" t="str">
        <f aca="false">COUNTA(A6:A72)&amp;" produtos"</f>
        <v>67 produtos</v>
      </c>
      <c r="C73" s="30" t="n">
        <f aca="false">SUM(C6:C72)</f>
        <v>44957</v>
      </c>
      <c r="D73" s="30" t="n">
        <f aca="false">SUM(D6:D72)</f>
        <v>44957</v>
      </c>
      <c r="E73" s="18" t="n">
        <f aca="false">SUM(E6:E72)</f>
        <v>54771.47</v>
      </c>
      <c r="F73" s="18" t="n">
        <f aca="false">SUM(F6:F72)</f>
        <v>1421442.68</v>
      </c>
      <c r="G73" s="18" t="n">
        <f aca="false">SUM(G6:G72)</f>
        <v>1476214.15</v>
      </c>
      <c r="H73" s="18" t="n">
        <f aca="false">SUM(H6:H72)</f>
        <v>1614364.3614</v>
      </c>
      <c r="I73" s="18" t="n">
        <f aca="false">SUM(I6:I72)</f>
        <v>-138150.15</v>
      </c>
      <c r="J73" s="18" t="n">
        <f aca="false">SUM(J6:J72)</f>
        <v>-487667.12</v>
      </c>
      <c r="K73" s="19" t="n">
        <f aca="false">IFERROR(I73/G73,0)</f>
        <v>-0.0935840846668486</v>
      </c>
      <c r="L73" s="19" t="n">
        <f aca="false">IFERROR(J73/G73,0)</f>
        <v>-0.330349847953971</v>
      </c>
      <c r="M73" s="31" t="n">
        <f aca="false">IFERROR(SUMPRODUCT(M6:M72,G6:G72)/G73,0)</f>
        <v>57.5773340062484</v>
      </c>
    </row>
  </sheetData>
  <autoFilter ref="A5:M72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425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3</v>
      </c>
      <c r="D6" s="25" t="n">
        <v>3</v>
      </c>
      <c r="E6" s="10" t="n">
        <v>0</v>
      </c>
      <c r="F6" s="10" t="n">
        <v>684</v>
      </c>
      <c r="G6" s="10" t="n">
        <v>684</v>
      </c>
      <c r="H6" s="10" t="n">
        <v>410.7</v>
      </c>
      <c r="I6" s="10" t="n">
        <v>273.3</v>
      </c>
      <c r="J6" s="10" t="n">
        <v>82.41</v>
      </c>
      <c r="K6" s="11" t="n">
        <v>0.3996</v>
      </c>
      <c r="L6" s="11" t="n">
        <v>0.1205</v>
      </c>
      <c r="M6" s="26" t="n">
        <v>46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579</v>
      </c>
      <c r="D7" s="28" t="n">
        <v>579</v>
      </c>
      <c r="E7" s="14" t="n">
        <v>0</v>
      </c>
      <c r="F7" s="14" t="n">
        <v>3515.55</v>
      </c>
      <c r="G7" s="14" t="n">
        <v>3515.55</v>
      </c>
      <c r="H7" s="14" t="n">
        <v>1108.585</v>
      </c>
      <c r="I7" s="14" t="n">
        <v>2406.97</v>
      </c>
      <c r="J7" s="14" t="n">
        <v>1425.83</v>
      </c>
      <c r="K7" s="15" t="n">
        <v>0.6847</v>
      </c>
      <c r="L7" s="15" t="n">
        <v>0.4056</v>
      </c>
      <c r="M7" s="29" t="n">
        <v>46.73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157</v>
      </c>
      <c r="D8" s="25" t="n">
        <v>157</v>
      </c>
      <c r="E8" s="10" t="n">
        <v>0</v>
      </c>
      <c r="F8" s="10" t="n">
        <v>2134.1</v>
      </c>
      <c r="G8" s="10" t="n">
        <v>2134.1</v>
      </c>
      <c r="H8" s="10" t="n">
        <v>911.096</v>
      </c>
      <c r="I8" s="10" t="n">
        <v>1223.01</v>
      </c>
      <c r="J8" s="10" t="n">
        <v>627.44</v>
      </c>
      <c r="K8" s="11" t="n">
        <v>0.5731</v>
      </c>
      <c r="L8" s="11" t="n">
        <v>0.294</v>
      </c>
      <c r="M8" s="26" t="n">
        <v>46.36</v>
      </c>
    </row>
    <row r="9" customFormat="false" ht="15" hidden="false" customHeight="false" outlineLevel="0" collapsed="false">
      <c r="A9" s="27" t="n">
        <v>10664</v>
      </c>
      <c r="B9" s="12" t="s">
        <v>464</v>
      </c>
      <c r="C9" s="28" t="n">
        <v>3550</v>
      </c>
      <c r="D9" s="28" t="n">
        <v>3550</v>
      </c>
      <c r="E9" s="14" t="n">
        <v>0</v>
      </c>
      <c r="F9" s="14" t="n">
        <v>13424.84</v>
      </c>
      <c r="G9" s="14" t="n">
        <v>13424.84</v>
      </c>
      <c r="H9" s="14" t="n">
        <v>2913.7324</v>
      </c>
      <c r="I9" s="14" t="n">
        <v>10511.1</v>
      </c>
      <c r="J9" s="14" t="n">
        <v>6823.04</v>
      </c>
      <c r="K9" s="15" t="n">
        <v>0.783</v>
      </c>
      <c r="L9" s="15" t="n">
        <v>0.5082</v>
      </c>
      <c r="M9" s="29" t="n">
        <v>28</v>
      </c>
    </row>
    <row r="10" customFormat="false" ht="15" hidden="false" customHeight="false" outlineLevel="0" collapsed="false">
      <c r="A10" s="24" t="n">
        <v>10704</v>
      </c>
      <c r="B10" s="8" t="s">
        <v>465</v>
      </c>
      <c r="C10" s="25" t="n">
        <v>50</v>
      </c>
      <c r="D10" s="25" t="n">
        <v>50</v>
      </c>
      <c r="E10" s="10" t="n">
        <v>0</v>
      </c>
      <c r="F10" s="10" t="n">
        <v>535</v>
      </c>
      <c r="G10" s="10" t="n">
        <v>535</v>
      </c>
      <c r="H10" s="10" t="n">
        <v>156.48</v>
      </c>
      <c r="I10" s="10" t="n">
        <v>378.52</v>
      </c>
      <c r="J10" s="10" t="n">
        <v>229.21</v>
      </c>
      <c r="K10" s="11" t="n">
        <v>0.7075</v>
      </c>
      <c r="L10" s="11" t="n">
        <v>0.4284</v>
      </c>
      <c r="M10" s="26" t="n">
        <v>49</v>
      </c>
    </row>
    <row r="11" customFormat="false" ht="15" hidden="false" customHeight="false" outlineLevel="0" collapsed="false">
      <c r="A11" s="27" t="n">
        <v>10729</v>
      </c>
      <c r="B11" s="12" t="s">
        <v>453</v>
      </c>
      <c r="C11" s="28" t="n">
        <v>1</v>
      </c>
      <c r="D11" s="28" t="n">
        <v>1</v>
      </c>
      <c r="E11" s="14" t="n">
        <v>0</v>
      </c>
      <c r="F11" s="14" t="n">
        <v>1371.09</v>
      </c>
      <c r="G11" s="14" t="n">
        <v>1371.09</v>
      </c>
      <c r="H11" s="14" t="n">
        <v>239.4</v>
      </c>
      <c r="I11" s="14" t="n">
        <v>1131.69</v>
      </c>
      <c r="J11" s="14" t="n">
        <v>749.02</v>
      </c>
      <c r="K11" s="15" t="n">
        <v>0.8254</v>
      </c>
      <c r="L11" s="15" t="n">
        <v>0.5463</v>
      </c>
      <c r="M11" s="29" t="n">
        <v>46</v>
      </c>
    </row>
    <row r="12" customFormat="false" ht="15" hidden="false" customHeight="false" outlineLevel="0" collapsed="false">
      <c r="A12" s="24" t="n">
        <v>52674</v>
      </c>
      <c r="B12" s="8" t="s">
        <v>207</v>
      </c>
      <c r="C12" s="25" t="n">
        <v>2760</v>
      </c>
      <c r="D12" s="25" t="n">
        <v>2760</v>
      </c>
      <c r="E12" s="10" t="n">
        <v>3219</v>
      </c>
      <c r="F12" s="10" t="n">
        <v>6993</v>
      </c>
      <c r="G12" s="10" t="n">
        <v>10212</v>
      </c>
      <c r="H12" s="10" t="n">
        <v>7728</v>
      </c>
      <c r="I12" s="10" t="n">
        <v>2484</v>
      </c>
      <c r="J12" s="10" t="n">
        <v>1232.01</v>
      </c>
      <c r="K12" s="11" t="n">
        <v>0.2432</v>
      </c>
      <c r="L12" s="11" t="n">
        <v>0.1206</v>
      </c>
      <c r="M12" s="26" t="n">
        <v>7</v>
      </c>
    </row>
    <row r="13" customFormat="false" ht="15" hidden="false" customHeight="false" outlineLevel="0" collapsed="false">
      <c r="A13" s="27" t="n">
        <v>52676</v>
      </c>
      <c r="B13" s="12" t="s">
        <v>208</v>
      </c>
      <c r="C13" s="28" t="n">
        <v>2380</v>
      </c>
      <c r="D13" s="28" t="n">
        <v>2380</v>
      </c>
      <c r="E13" s="14" t="n">
        <v>254</v>
      </c>
      <c r="F13" s="14" t="n">
        <v>222</v>
      </c>
      <c r="G13" s="14" t="n">
        <v>476</v>
      </c>
      <c r="H13" s="14" t="n">
        <v>119</v>
      </c>
      <c r="I13" s="14" t="n">
        <v>357</v>
      </c>
      <c r="J13" s="14" t="n">
        <v>298.64</v>
      </c>
      <c r="K13" s="15" t="n">
        <v>0.75</v>
      </c>
      <c r="L13" s="15" t="n">
        <v>0.6274</v>
      </c>
      <c r="M13" s="29" t="n">
        <v>7</v>
      </c>
    </row>
    <row r="14" customFormat="false" ht="15" hidden="false" customHeight="false" outlineLevel="0" collapsed="false">
      <c r="A14" s="24" t="n">
        <v>55954</v>
      </c>
      <c r="B14" s="8" t="s">
        <v>505</v>
      </c>
      <c r="C14" s="25" t="n">
        <v>96</v>
      </c>
      <c r="D14" s="25" t="n">
        <v>96</v>
      </c>
      <c r="E14" s="10" t="n">
        <v>0</v>
      </c>
      <c r="F14" s="10" t="n">
        <v>470.4</v>
      </c>
      <c r="G14" s="10" t="n">
        <v>470.4</v>
      </c>
      <c r="H14" s="10" t="n">
        <v>348.7872</v>
      </c>
      <c r="I14" s="10" t="n">
        <v>121.61</v>
      </c>
      <c r="J14" s="10" t="n">
        <v>-7.62</v>
      </c>
      <c r="K14" s="11" t="n">
        <v>0.2585</v>
      </c>
      <c r="L14" s="11" t="n">
        <v>-0.0162</v>
      </c>
      <c r="M14" s="26" t="n">
        <v>30</v>
      </c>
    </row>
    <row r="15" customFormat="false" ht="15" hidden="false" customHeight="false" outlineLevel="0" collapsed="false">
      <c r="A15" s="27" t="n">
        <v>56047</v>
      </c>
      <c r="B15" s="12" t="s">
        <v>506</v>
      </c>
      <c r="C15" s="28" t="n">
        <v>1062</v>
      </c>
      <c r="D15" s="28" t="n">
        <v>1062</v>
      </c>
      <c r="E15" s="14" t="n">
        <v>0</v>
      </c>
      <c r="F15" s="14" t="n">
        <v>3164.76</v>
      </c>
      <c r="G15" s="14" t="n">
        <v>3164.76</v>
      </c>
      <c r="H15" s="14" t="n">
        <v>1765.7874</v>
      </c>
      <c r="I15" s="14" t="n">
        <v>1398.97</v>
      </c>
      <c r="J15" s="14" t="n">
        <v>529.55</v>
      </c>
      <c r="K15" s="15" t="n">
        <v>0.442</v>
      </c>
      <c r="L15" s="15" t="n">
        <v>0.1673</v>
      </c>
      <c r="M15" s="29" t="n">
        <v>49.83</v>
      </c>
    </row>
    <row r="16" customFormat="false" ht="15" hidden="false" customHeight="false" outlineLevel="0" collapsed="false">
      <c r="A16" s="24" t="n">
        <v>56365</v>
      </c>
      <c r="B16" s="8" t="s">
        <v>507</v>
      </c>
      <c r="C16" s="25" t="n">
        <v>96</v>
      </c>
      <c r="D16" s="25" t="n">
        <v>96</v>
      </c>
      <c r="E16" s="10" t="n">
        <v>0</v>
      </c>
      <c r="F16" s="10" t="n">
        <v>768</v>
      </c>
      <c r="G16" s="10" t="n">
        <v>768</v>
      </c>
      <c r="H16" s="10" t="n">
        <v>829.3056</v>
      </c>
      <c r="I16" s="10" t="n">
        <v>-61.31</v>
      </c>
      <c r="J16" s="10" t="n">
        <v>-272.29</v>
      </c>
      <c r="K16" s="11" t="n">
        <v>-0.0798</v>
      </c>
      <c r="L16" s="11" t="n">
        <v>-0.3545</v>
      </c>
      <c r="M16" s="26" t="n">
        <v>30</v>
      </c>
    </row>
    <row r="17" customFormat="false" ht="15" hidden="false" customHeight="false" outlineLevel="0" collapsed="false">
      <c r="A17" s="27" t="n">
        <v>57502</v>
      </c>
      <c r="B17" s="12" t="s">
        <v>234</v>
      </c>
      <c r="C17" s="28" t="n">
        <v>8840</v>
      </c>
      <c r="D17" s="28" t="n">
        <v>8840</v>
      </c>
      <c r="E17" s="14" t="n">
        <v>2436</v>
      </c>
      <c r="F17" s="14" t="n">
        <v>3752</v>
      </c>
      <c r="G17" s="14" t="n">
        <v>6188</v>
      </c>
      <c r="H17" s="14" t="n">
        <v>0</v>
      </c>
      <c r="I17" s="14" t="n">
        <v>6188</v>
      </c>
      <c r="J17" s="14" t="n">
        <v>6188</v>
      </c>
      <c r="K17" s="15" t="n">
        <v>1</v>
      </c>
      <c r="L17" s="15" t="n">
        <v>1</v>
      </c>
      <c r="M17" s="29" t="n">
        <v>7</v>
      </c>
    </row>
    <row r="18" customFormat="false" ht="15" hidden="false" customHeight="false" outlineLevel="0" collapsed="false">
      <c r="A18" s="24" t="n">
        <v>57510</v>
      </c>
      <c r="B18" s="8" t="s">
        <v>530</v>
      </c>
      <c r="C18" s="25" t="n">
        <v>100</v>
      </c>
      <c r="D18" s="25" t="n">
        <v>100</v>
      </c>
      <c r="E18" s="10" t="n">
        <v>0</v>
      </c>
      <c r="F18" s="10" t="n">
        <v>2940</v>
      </c>
      <c r="G18" s="10" t="n">
        <v>2940</v>
      </c>
      <c r="H18" s="10" t="n">
        <v>2619.12</v>
      </c>
      <c r="I18" s="10" t="n">
        <v>320.88</v>
      </c>
      <c r="J18" s="10" t="n">
        <v>-717.2</v>
      </c>
      <c r="K18" s="11" t="n">
        <v>0.1091</v>
      </c>
      <c r="L18" s="11" t="n">
        <v>-0.2439</v>
      </c>
      <c r="M18" s="26" t="n">
        <v>30</v>
      </c>
    </row>
    <row r="19" customFormat="false" ht="15" hidden="false" customHeight="false" outlineLevel="0" collapsed="false">
      <c r="A19" s="27" t="n">
        <v>90006</v>
      </c>
      <c r="B19" s="12" t="s">
        <v>447</v>
      </c>
      <c r="C19" s="28" t="n">
        <v>35</v>
      </c>
      <c r="D19" s="28" t="n">
        <v>35</v>
      </c>
      <c r="E19" s="14" t="n">
        <v>0</v>
      </c>
      <c r="F19" s="14" t="n">
        <v>96133.29</v>
      </c>
      <c r="G19" s="14" t="n">
        <v>96133.29</v>
      </c>
      <c r="H19" s="14" t="n">
        <v>48750.3</v>
      </c>
      <c r="I19" s="14" t="n">
        <v>47382.99</v>
      </c>
      <c r="J19" s="14" t="n">
        <v>32608.68</v>
      </c>
      <c r="K19" s="15" t="n">
        <v>0.4929</v>
      </c>
      <c r="L19" s="15" t="n">
        <v>0.3392</v>
      </c>
      <c r="M19" s="29" t="n">
        <v>50.45</v>
      </c>
    </row>
    <row r="20" customFormat="false" ht="15" hidden="false" customHeight="false" outlineLevel="0" collapsed="false">
      <c r="A20" s="24" t="n">
        <v>90033</v>
      </c>
      <c r="B20" s="8" t="s">
        <v>508</v>
      </c>
      <c r="C20" s="25" t="n">
        <v>100</v>
      </c>
      <c r="D20" s="25" t="n">
        <v>100</v>
      </c>
      <c r="E20" s="10" t="n">
        <v>0</v>
      </c>
      <c r="F20" s="10" t="n">
        <v>1699.5</v>
      </c>
      <c r="G20" s="10" t="n">
        <v>1699.5</v>
      </c>
      <c r="H20" s="10" t="n">
        <v>422.76</v>
      </c>
      <c r="I20" s="10" t="n">
        <v>1276.74</v>
      </c>
      <c r="J20" s="10" t="n">
        <v>809.86</v>
      </c>
      <c r="K20" s="11" t="n">
        <v>0.7512</v>
      </c>
      <c r="L20" s="11" t="n">
        <v>0.4765</v>
      </c>
      <c r="M20" s="26" t="n">
        <v>45</v>
      </c>
    </row>
    <row r="21" customFormat="false" ht="15" hidden="false" customHeight="false" outlineLevel="0" collapsed="false">
      <c r="A21" s="27" t="n">
        <v>90103</v>
      </c>
      <c r="B21" s="12" t="s">
        <v>468</v>
      </c>
      <c r="C21" s="28" t="n">
        <v>3</v>
      </c>
      <c r="D21" s="28" t="n">
        <v>3</v>
      </c>
      <c r="E21" s="14" t="n">
        <v>0</v>
      </c>
      <c r="F21" s="14" t="n">
        <v>10491.18</v>
      </c>
      <c r="G21" s="14" t="n">
        <v>10491.18</v>
      </c>
      <c r="H21" s="14" t="n">
        <v>7192.24</v>
      </c>
      <c r="I21" s="14" t="n">
        <v>3298.94</v>
      </c>
      <c r="J21" s="14" t="n">
        <v>416.81</v>
      </c>
      <c r="K21" s="15" t="n">
        <v>0.3144</v>
      </c>
      <c r="L21" s="15" t="n">
        <v>0.0397</v>
      </c>
      <c r="M21" s="29" t="n">
        <v>56.9</v>
      </c>
    </row>
    <row r="22" customFormat="false" ht="15" hidden="false" customHeight="false" outlineLevel="0" collapsed="false">
      <c r="A22" s="24" t="n">
        <v>90238</v>
      </c>
      <c r="B22" s="8" t="s">
        <v>471</v>
      </c>
      <c r="C22" s="25" t="n">
        <v>600</v>
      </c>
      <c r="D22" s="25" t="n">
        <v>600</v>
      </c>
      <c r="E22" s="10" t="n">
        <v>0</v>
      </c>
      <c r="F22" s="10" t="n">
        <v>960</v>
      </c>
      <c r="G22" s="10" t="n">
        <v>960</v>
      </c>
      <c r="H22" s="10" t="n">
        <v>150440.46</v>
      </c>
      <c r="I22" s="10" t="n">
        <v>-149480.46</v>
      </c>
      <c r="J22" s="10" t="n">
        <v>-149819.43</v>
      </c>
      <c r="K22" s="11" t="n">
        <v>-155.7088</v>
      </c>
      <c r="L22" s="11" t="n">
        <v>-156.0619</v>
      </c>
      <c r="M22" s="26" t="n">
        <v>30</v>
      </c>
    </row>
    <row r="23" customFormat="false" ht="15" hidden="false" customHeight="false" outlineLevel="0" collapsed="false">
      <c r="A23" s="27" t="n">
        <v>90340</v>
      </c>
      <c r="B23" s="12" t="s">
        <v>468</v>
      </c>
      <c r="C23" s="28" t="n">
        <v>5</v>
      </c>
      <c r="D23" s="28" t="n">
        <v>5</v>
      </c>
      <c r="E23" s="14" t="n">
        <v>0</v>
      </c>
      <c r="F23" s="14" t="n">
        <v>396.48</v>
      </c>
      <c r="G23" s="14" t="n">
        <v>396.48</v>
      </c>
      <c r="H23" s="14" t="n">
        <v>225.42</v>
      </c>
      <c r="I23" s="14" t="n">
        <v>171.06</v>
      </c>
      <c r="J23" s="14" t="n">
        <v>62.14</v>
      </c>
      <c r="K23" s="15" t="n">
        <v>0.4314</v>
      </c>
      <c r="L23" s="15" t="n">
        <v>0.1567</v>
      </c>
      <c r="M23" s="29" t="n">
        <v>48</v>
      </c>
    </row>
    <row r="24" customFormat="false" ht="15" hidden="false" customHeight="false" outlineLevel="0" collapsed="false">
      <c r="A24" s="24" t="n">
        <v>90363</v>
      </c>
      <c r="B24" s="8" t="s">
        <v>472</v>
      </c>
      <c r="C24" s="25" t="n">
        <v>320</v>
      </c>
      <c r="D24" s="25" t="n">
        <v>320</v>
      </c>
      <c r="E24" s="10" t="n">
        <v>0</v>
      </c>
      <c r="F24" s="10" t="n">
        <v>76424</v>
      </c>
      <c r="G24" s="10" t="n">
        <v>76424</v>
      </c>
      <c r="H24" s="10" t="n">
        <v>308008.48</v>
      </c>
      <c r="I24" s="10" t="n">
        <v>-231584.48</v>
      </c>
      <c r="J24" s="10" t="n">
        <v>-252579.68</v>
      </c>
      <c r="K24" s="11" t="n">
        <v>-3.0303</v>
      </c>
      <c r="L24" s="11" t="n">
        <v>-3.305</v>
      </c>
      <c r="M24" s="26" t="n">
        <v>75</v>
      </c>
    </row>
    <row r="25" customFormat="false" ht="15" hidden="false" customHeight="false" outlineLevel="0" collapsed="false">
      <c r="A25" s="27" t="n">
        <v>90371</v>
      </c>
      <c r="B25" s="12" t="s">
        <v>473</v>
      </c>
      <c r="C25" s="28" t="n">
        <v>2089</v>
      </c>
      <c r="D25" s="28" t="n">
        <v>2089</v>
      </c>
      <c r="E25" s="14" t="n">
        <v>0</v>
      </c>
      <c r="F25" s="14" t="n">
        <v>13940.9</v>
      </c>
      <c r="G25" s="14" t="n">
        <v>13940.9</v>
      </c>
      <c r="H25" s="14" t="n">
        <v>7401.4984</v>
      </c>
      <c r="I25" s="14" t="n">
        <v>6539.4</v>
      </c>
      <c r="J25" s="14" t="n">
        <v>2709.63</v>
      </c>
      <c r="K25" s="15" t="n">
        <v>0.4691</v>
      </c>
      <c r="L25" s="15" t="n">
        <v>0.1944</v>
      </c>
      <c r="M25" s="29" t="n">
        <v>53.25</v>
      </c>
    </row>
    <row r="26" customFormat="false" ht="15" hidden="false" customHeight="false" outlineLevel="0" collapsed="false">
      <c r="A26" s="24" t="n">
        <v>90377</v>
      </c>
      <c r="B26" s="8" t="s">
        <v>544</v>
      </c>
      <c r="C26" s="25" t="n">
        <v>10</v>
      </c>
      <c r="D26" s="25" t="n">
        <v>10</v>
      </c>
      <c r="E26" s="10" t="n">
        <v>0</v>
      </c>
      <c r="F26" s="10" t="n">
        <v>1369.9</v>
      </c>
      <c r="G26" s="10" t="n">
        <v>1369.9</v>
      </c>
      <c r="H26" s="10" t="n">
        <v>181.86</v>
      </c>
      <c r="I26" s="10" t="n">
        <v>1188.04</v>
      </c>
      <c r="J26" s="10" t="n">
        <v>811.7</v>
      </c>
      <c r="K26" s="11" t="n">
        <v>0.8672</v>
      </c>
      <c r="L26" s="11" t="n">
        <v>0.5925</v>
      </c>
      <c r="M26" s="26" t="n">
        <v>41</v>
      </c>
    </row>
    <row r="27" customFormat="false" ht="15" hidden="false" customHeight="false" outlineLevel="0" collapsed="false">
      <c r="A27" s="27" t="n">
        <v>90382</v>
      </c>
      <c r="B27" s="12" t="s">
        <v>562</v>
      </c>
      <c r="C27" s="28" t="n">
        <v>2160</v>
      </c>
      <c r="D27" s="28" t="n">
        <v>2160</v>
      </c>
      <c r="E27" s="14" t="n">
        <v>0</v>
      </c>
      <c r="F27" s="14" t="n">
        <v>9180</v>
      </c>
      <c r="G27" s="14" t="n">
        <v>9180</v>
      </c>
      <c r="H27" s="14" t="n">
        <v>43219.656</v>
      </c>
      <c r="I27" s="14" t="n">
        <v>-34039.66</v>
      </c>
      <c r="J27" s="14" t="n">
        <v>-36119.34</v>
      </c>
      <c r="K27" s="15" t="n">
        <v>-3.708</v>
      </c>
      <c r="L27" s="15" t="n">
        <v>-3.9346</v>
      </c>
      <c r="M27" s="29" t="n">
        <v>60</v>
      </c>
    </row>
    <row r="28" customFormat="false" ht="15" hidden="false" customHeight="false" outlineLevel="0" collapsed="false">
      <c r="A28" s="24" t="n">
        <v>90392</v>
      </c>
      <c r="B28" s="8" t="s">
        <v>475</v>
      </c>
      <c r="C28" s="25" t="n">
        <v>66</v>
      </c>
      <c r="D28" s="25" t="n">
        <v>66</v>
      </c>
      <c r="E28" s="10" t="n">
        <v>0</v>
      </c>
      <c r="F28" s="10" t="n">
        <v>2840.13</v>
      </c>
      <c r="G28" s="10" t="n">
        <v>2840.13</v>
      </c>
      <c r="H28" s="10" t="n">
        <v>1101.67</v>
      </c>
      <c r="I28" s="10" t="n">
        <v>1738.46</v>
      </c>
      <c r="J28" s="10" t="n">
        <v>1095.04</v>
      </c>
      <c r="K28" s="11" t="n">
        <v>0.6121</v>
      </c>
      <c r="L28" s="11" t="n">
        <v>0.3856</v>
      </c>
      <c r="M28" s="26" t="n">
        <v>56.02</v>
      </c>
    </row>
    <row r="29" customFormat="false" ht="15" hidden="false" customHeight="false" outlineLevel="0" collapsed="false">
      <c r="A29" s="27" t="n">
        <v>90401</v>
      </c>
      <c r="B29" s="12" t="s">
        <v>473</v>
      </c>
      <c r="C29" s="28" t="n">
        <v>1419</v>
      </c>
      <c r="D29" s="28" t="n">
        <v>1419</v>
      </c>
      <c r="E29" s="14" t="n">
        <v>0</v>
      </c>
      <c r="F29" s="14" t="n">
        <v>67594.97</v>
      </c>
      <c r="G29" s="14" t="n">
        <v>67594.97</v>
      </c>
      <c r="H29" s="14" t="n">
        <v>25738.7306</v>
      </c>
      <c r="I29" s="14" t="n">
        <v>41856.25</v>
      </c>
      <c r="J29" s="14" t="n">
        <v>23286.44</v>
      </c>
      <c r="K29" s="15" t="n">
        <v>0.6192</v>
      </c>
      <c r="L29" s="15" t="n">
        <v>0.3445</v>
      </c>
      <c r="M29" s="29" t="n">
        <v>44.03</v>
      </c>
    </row>
    <row r="30" customFormat="false" ht="15" hidden="false" customHeight="false" outlineLevel="0" collapsed="false">
      <c r="A30" s="24" t="n">
        <v>90413</v>
      </c>
      <c r="B30" s="8" t="s">
        <v>477</v>
      </c>
      <c r="C30" s="25" t="n">
        <v>123</v>
      </c>
      <c r="D30" s="25" t="n">
        <v>123</v>
      </c>
      <c r="E30" s="10" t="n">
        <v>0</v>
      </c>
      <c r="F30" s="10" t="n">
        <v>15904.8</v>
      </c>
      <c r="G30" s="10" t="n">
        <v>15904.8</v>
      </c>
      <c r="H30" s="10" t="n">
        <v>1440</v>
      </c>
      <c r="I30" s="10" t="n">
        <v>14464.8</v>
      </c>
      <c r="J30" s="10" t="n">
        <v>14235.7</v>
      </c>
      <c r="K30" s="11" t="n">
        <v>0.9095</v>
      </c>
      <c r="L30" s="11" t="n">
        <v>0.8951</v>
      </c>
      <c r="M30" s="26" t="n">
        <v>30</v>
      </c>
    </row>
    <row r="31" customFormat="false" ht="15" hidden="false" customHeight="false" outlineLevel="0" collapsed="false">
      <c r="A31" s="27" t="n">
        <v>90425</v>
      </c>
      <c r="B31" s="12" t="s">
        <v>479</v>
      </c>
      <c r="C31" s="28" t="n">
        <v>1314</v>
      </c>
      <c r="D31" s="28" t="n">
        <v>1314</v>
      </c>
      <c r="E31" s="14" t="n">
        <v>0</v>
      </c>
      <c r="F31" s="14" t="n">
        <v>31042.07</v>
      </c>
      <c r="G31" s="14" t="n">
        <v>31042.07</v>
      </c>
      <c r="H31" s="14" t="n">
        <v>50859.132</v>
      </c>
      <c r="I31" s="14" t="n">
        <v>-19817.06</v>
      </c>
      <c r="J31" s="14" t="n">
        <v>-27899.8</v>
      </c>
      <c r="K31" s="15" t="n">
        <v>-0.6384</v>
      </c>
      <c r="L31" s="15" t="n">
        <v>-0.8988</v>
      </c>
      <c r="M31" s="29" t="n">
        <v>52.27</v>
      </c>
    </row>
    <row r="32" customFormat="false" ht="15" hidden="false" customHeight="false" outlineLevel="0" collapsed="false">
      <c r="A32" s="24" t="n">
        <v>90428</v>
      </c>
      <c r="B32" s="8" t="s">
        <v>480</v>
      </c>
      <c r="C32" s="25" t="n">
        <v>6</v>
      </c>
      <c r="D32" s="25" t="n">
        <v>6</v>
      </c>
      <c r="E32" s="10" t="n">
        <v>0</v>
      </c>
      <c r="F32" s="10" t="n">
        <v>795.27</v>
      </c>
      <c r="G32" s="10" t="n">
        <v>795.27</v>
      </c>
      <c r="H32" s="10" t="n">
        <v>147.41</v>
      </c>
      <c r="I32" s="10" t="n">
        <v>647.86</v>
      </c>
      <c r="J32" s="10" t="n">
        <v>498.31</v>
      </c>
      <c r="K32" s="11" t="n">
        <v>0.8146</v>
      </c>
      <c r="L32" s="11" t="n">
        <v>0.6266</v>
      </c>
      <c r="M32" s="26" t="n">
        <v>29.5</v>
      </c>
    </row>
    <row r="33" customFormat="false" ht="15" hidden="false" customHeight="false" outlineLevel="0" collapsed="false">
      <c r="A33" s="27" t="n">
        <v>90436</v>
      </c>
      <c r="B33" s="12" t="s">
        <v>481</v>
      </c>
      <c r="C33" s="28" t="n">
        <v>767</v>
      </c>
      <c r="D33" s="28" t="n">
        <v>767</v>
      </c>
      <c r="E33" s="14" t="n">
        <v>0</v>
      </c>
      <c r="F33" s="14" t="n">
        <v>9561.39</v>
      </c>
      <c r="G33" s="14" t="n">
        <v>9561.39</v>
      </c>
      <c r="H33" s="14" t="n">
        <v>0</v>
      </c>
      <c r="I33" s="14" t="n">
        <v>9561.39</v>
      </c>
      <c r="J33" s="14" t="n">
        <v>9561.39</v>
      </c>
      <c r="K33" s="15" t="n">
        <v>1</v>
      </c>
      <c r="L33" s="15" t="n">
        <v>1</v>
      </c>
      <c r="M33" s="29" t="n">
        <v>38.94</v>
      </c>
    </row>
    <row r="34" customFormat="false" ht="15" hidden="false" customHeight="false" outlineLevel="0" collapsed="false">
      <c r="A34" s="24" t="n">
        <v>90440</v>
      </c>
      <c r="B34" s="8" t="s">
        <v>482</v>
      </c>
      <c r="C34" s="25" t="n">
        <v>398</v>
      </c>
      <c r="D34" s="25" t="n">
        <v>398</v>
      </c>
      <c r="E34" s="10" t="n">
        <v>0</v>
      </c>
      <c r="F34" s="10" t="n">
        <v>13451.78</v>
      </c>
      <c r="G34" s="10" t="n">
        <v>13451.78</v>
      </c>
      <c r="H34" s="10" t="n">
        <v>2068.1906</v>
      </c>
      <c r="I34" s="10" t="n">
        <v>11383.59</v>
      </c>
      <c r="J34" s="10" t="n">
        <v>7688.12</v>
      </c>
      <c r="K34" s="11" t="n">
        <v>0.8463</v>
      </c>
      <c r="L34" s="11" t="n">
        <v>0.5715</v>
      </c>
      <c r="M34" s="26" t="n">
        <v>28</v>
      </c>
    </row>
    <row r="35" customFormat="false" ht="15" hidden="false" customHeight="false" outlineLevel="0" collapsed="false">
      <c r="A35" s="27" t="n">
        <v>90467</v>
      </c>
      <c r="B35" s="12" t="s">
        <v>486</v>
      </c>
      <c r="C35" s="28" t="n">
        <v>49</v>
      </c>
      <c r="D35" s="28" t="n">
        <v>49</v>
      </c>
      <c r="E35" s="14" t="n">
        <v>0</v>
      </c>
      <c r="F35" s="14" t="n">
        <v>3841.5</v>
      </c>
      <c r="G35" s="14" t="n">
        <v>3841.5</v>
      </c>
      <c r="H35" s="14" t="n">
        <v>1402.5204</v>
      </c>
      <c r="I35" s="14" t="n">
        <v>2438.98</v>
      </c>
      <c r="J35" s="14" t="n">
        <v>1580.25</v>
      </c>
      <c r="K35" s="15" t="n">
        <v>0.6349</v>
      </c>
      <c r="L35" s="15" t="n">
        <v>0.4114</v>
      </c>
      <c r="M35" s="29" t="n">
        <v>48.7</v>
      </c>
    </row>
    <row r="36" customFormat="false" ht="15" hidden="false" customHeight="false" outlineLevel="0" collapsed="false">
      <c r="A36" s="24" t="n">
        <v>90476</v>
      </c>
      <c r="B36" s="8" t="s">
        <v>477</v>
      </c>
      <c r="C36" s="25" t="n">
        <v>120</v>
      </c>
      <c r="D36" s="25" t="n">
        <v>120</v>
      </c>
      <c r="E36" s="10" t="n">
        <v>0</v>
      </c>
      <c r="F36" s="10" t="n">
        <v>5781.55</v>
      </c>
      <c r="G36" s="10" t="n">
        <v>5781.55</v>
      </c>
      <c r="H36" s="10" t="n">
        <v>1667.511</v>
      </c>
      <c r="I36" s="10" t="n">
        <v>4114.04</v>
      </c>
      <c r="J36" s="10" t="n">
        <v>2525.76</v>
      </c>
      <c r="K36" s="11" t="n">
        <v>0.7116</v>
      </c>
      <c r="L36" s="11" t="n">
        <v>0.4369</v>
      </c>
      <c r="M36" s="26" t="n">
        <v>7</v>
      </c>
    </row>
    <row r="37" customFormat="false" ht="15" hidden="false" customHeight="false" outlineLevel="0" collapsed="false">
      <c r="A37" s="27" t="n">
        <v>90506</v>
      </c>
      <c r="B37" s="12" t="s">
        <v>473</v>
      </c>
      <c r="C37" s="28" t="n">
        <v>3246</v>
      </c>
      <c r="D37" s="28" t="n">
        <v>3246</v>
      </c>
      <c r="E37" s="14" t="n">
        <v>0</v>
      </c>
      <c r="F37" s="14" t="n">
        <v>70348.48</v>
      </c>
      <c r="G37" s="14" t="n">
        <v>70348.48</v>
      </c>
      <c r="H37" s="14" t="n">
        <v>30768.2652</v>
      </c>
      <c r="I37" s="14" t="n">
        <v>39580.23</v>
      </c>
      <c r="J37" s="14" t="n">
        <v>20254.16</v>
      </c>
      <c r="K37" s="15" t="n">
        <v>0.5626</v>
      </c>
      <c r="L37" s="15" t="n">
        <v>0.2879</v>
      </c>
      <c r="M37" s="29" t="n">
        <v>34.98</v>
      </c>
    </row>
    <row r="38" customFormat="false" ht="15" hidden="false" customHeight="false" outlineLevel="0" collapsed="false">
      <c r="A38" s="24" t="n">
        <v>90584</v>
      </c>
      <c r="B38" s="8" t="s">
        <v>489</v>
      </c>
      <c r="C38" s="25" t="n">
        <v>14</v>
      </c>
      <c r="D38" s="25" t="n">
        <v>14</v>
      </c>
      <c r="E38" s="10" t="n">
        <v>0</v>
      </c>
      <c r="F38" s="10" t="n">
        <v>8107.04</v>
      </c>
      <c r="G38" s="10" t="n">
        <v>8107.04</v>
      </c>
      <c r="H38" s="10" t="n">
        <v>7617.5699</v>
      </c>
      <c r="I38" s="10" t="n">
        <v>489.47</v>
      </c>
      <c r="J38" s="10" t="n">
        <v>-1237.78</v>
      </c>
      <c r="K38" s="11" t="n">
        <v>0.0604</v>
      </c>
      <c r="L38" s="11" t="n">
        <v>-0.1527</v>
      </c>
      <c r="M38" s="26" t="n">
        <v>25</v>
      </c>
    </row>
    <row r="39" customFormat="false" ht="15" hidden="false" customHeight="false" outlineLevel="0" collapsed="false">
      <c r="A39" s="27" t="n">
        <v>90605</v>
      </c>
      <c r="B39" s="12" t="s">
        <v>490</v>
      </c>
      <c r="C39" s="28" t="n">
        <v>133</v>
      </c>
      <c r="D39" s="28" t="n">
        <v>133</v>
      </c>
      <c r="E39" s="14" t="n">
        <v>0</v>
      </c>
      <c r="F39" s="14" t="n">
        <v>4655</v>
      </c>
      <c r="G39" s="14" t="n">
        <v>4655</v>
      </c>
      <c r="H39" s="14" t="n">
        <v>0</v>
      </c>
      <c r="I39" s="14" t="n">
        <v>4655</v>
      </c>
      <c r="J39" s="14" t="n">
        <v>4655</v>
      </c>
      <c r="K39" s="15" t="n">
        <v>1</v>
      </c>
      <c r="L39" s="15" t="n">
        <v>1</v>
      </c>
      <c r="M39" s="29" t="n">
        <v>60</v>
      </c>
    </row>
    <row r="40" customFormat="false" ht="15" hidden="false" customHeight="false" outlineLevel="0" collapsed="false">
      <c r="A40" s="24" t="n">
        <v>90612</v>
      </c>
      <c r="B40" s="8" t="s">
        <v>553</v>
      </c>
      <c r="C40" s="25" t="n">
        <v>8</v>
      </c>
      <c r="D40" s="25" t="n">
        <v>8</v>
      </c>
      <c r="E40" s="10" t="n">
        <v>0</v>
      </c>
      <c r="F40" s="10" t="n">
        <v>567.22</v>
      </c>
      <c r="G40" s="10" t="n">
        <v>567.22</v>
      </c>
      <c r="H40" s="10" t="n">
        <v>219.76</v>
      </c>
      <c r="I40" s="10" t="n">
        <v>347.46</v>
      </c>
      <c r="J40" s="10" t="n">
        <v>191.63</v>
      </c>
      <c r="K40" s="11" t="n">
        <v>0.6126</v>
      </c>
      <c r="L40" s="11" t="n">
        <v>0.3378</v>
      </c>
      <c r="M40" s="26" t="n">
        <v>30</v>
      </c>
    </row>
    <row r="41" customFormat="false" ht="15" hidden="false" customHeight="false" outlineLevel="0" collapsed="false">
      <c r="A41" s="27" t="n">
        <v>90613</v>
      </c>
      <c r="B41" s="12" t="s">
        <v>516</v>
      </c>
      <c r="C41" s="28" t="n">
        <v>1339</v>
      </c>
      <c r="D41" s="28" t="n">
        <v>1339</v>
      </c>
      <c r="E41" s="14" t="n">
        <v>0</v>
      </c>
      <c r="F41" s="14" t="n">
        <v>3743.97</v>
      </c>
      <c r="G41" s="14" t="n">
        <v>3743.97</v>
      </c>
      <c r="H41" s="14" t="n">
        <v>5480.041</v>
      </c>
      <c r="I41" s="14" t="n">
        <v>-1736.07</v>
      </c>
      <c r="J41" s="14" t="n">
        <v>-1807.2</v>
      </c>
      <c r="K41" s="15" t="n">
        <v>-0.4637</v>
      </c>
      <c r="L41" s="15" t="n">
        <v>-0.4827</v>
      </c>
      <c r="M41" s="29" t="n">
        <v>32.75</v>
      </c>
    </row>
    <row r="42" customFormat="false" ht="15" hidden="false" customHeight="false" outlineLevel="0" collapsed="false">
      <c r="A42" s="24" t="n">
        <v>90617</v>
      </c>
      <c r="B42" s="8" t="s">
        <v>492</v>
      </c>
      <c r="C42" s="25" t="n">
        <v>580</v>
      </c>
      <c r="D42" s="25" t="n">
        <v>580</v>
      </c>
      <c r="E42" s="10" t="n">
        <v>0</v>
      </c>
      <c r="F42" s="10" t="n">
        <v>31479.24</v>
      </c>
      <c r="G42" s="10" t="n">
        <v>31479.24</v>
      </c>
      <c r="H42" s="10" t="n">
        <v>13848.413</v>
      </c>
      <c r="I42" s="10" t="n">
        <v>17630.83</v>
      </c>
      <c r="J42" s="10" t="n">
        <v>8982.75</v>
      </c>
      <c r="K42" s="11" t="n">
        <v>0.5601</v>
      </c>
      <c r="L42" s="11" t="n">
        <v>0.2854</v>
      </c>
      <c r="M42" s="26" t="n">
        <v>51.56</v>
      </c>
    </row>
    <row r="43" customFormat="false" ht="15" hidden="false" customHeight="false" outlineLevel="0" collapsed="false">
      <c r="A43" s="27" t="n">
        <v>90618</v>
      </c>
      <c r="B43" s="12" t="s">
        <v>554</v>
      </c>
      <c r="C43" s="28" t="n">
        <v>30</v>
      </c>
      <c r="D43" s="28" t="n">
        <v>30</v>
      </c>
      <c r="E43" s="14" t="n">
        <v>0</v>
      </c>
      <c r="F43" s="14" t="n">
        <v>136.02</v>
      </c>
      <c r="G43" s="14" t="n">
        <v>136.02</v>
      </c>
      <c r="H43" s="14" t="n">
        <v>0</v>
      </c>
      <c r="I43" s="14" t="n">
        <v>136.02</v>
      </c>
      <c r="J43" s="14" t="n">
        <v>136.02</v>
      </c>
      <c r="K43" s="15" t="n">
        <v>1</v>
      </c>
      <c r="L43" s="15" t="n">
        <v>1</v>
      </c>
      <c r="M43" s="29" t="n">
        <v>36</v>
      </c>
    </row>
    <row r="44" customFormat="false" ht="15" hidden="false" customHeight="false" outlineLevel="0" collapsed="false">
      <c r="A44" s="24" t="n">
        <v>90623</v>
      </c>
      <c r="B44" s="8" t="s">
        <v>473</v>
      </c>
      <c r="C44" s="25" t="n">
        <v>240</v>
      </c>
      <c r="D44" s="25" t="n">
        <v>240</v>
      </c>
      <c r="E44" s="10" t="n">
        <v>0</v>
      </c>
      <c r="F44" s="10" t="n">
        <v>43256.4</v>
      </c>
      <c r="G44" s="10" t="n">
        <v>43256.4</v>
      </c>
      <c r="H44" s="10" t="n">
        <v>23886.7586</v>
      </c>
      <c r="I44" s="10" t="n">
        <v>19369.64</v>
      </c>
      <c r="J44" s="10" t="n">
        <v>7486.2</v>
      </c>
      <c r="K44" s="11" t="n">
        <v>0.4478</v>
      </c>
      <c r="L44" s="11" t="n">
        <v>0.1731</v>
      </c>
      <c r="M44" s="26" t="n">
        <v>31.31</v>
      </c>
    </row>
    <row r="45" customFormat="false" ht="15" hidden="false" customHeight="false" outlineLevel="0" collapsed="false">
      <c r="A45" s="27" t="n">
        <v>90625</v>
      </c>
      <c r="B45" s="12" t="s">
        <v>473</v>
      </c>
      <c r="C45" s="28" t="n">
        <v>6479</v>
      </c>
      <c r="D45" s="28" t="n">
        <v>6479</v>
      </c>
      <c r="E45" s="14" t="n">
        <v>0</v>
      </c>
      <c r="F45" s="14" t="n">
        <v>127456.42</v>
      </c>
      <c r="G45" s="14" t="n">
        <v>127456.42</v>
      </c>
      <c r="H45" s="14" t="n">
        <v>115848.4355</v>
      </c>
      <c r="I45" s="14" t="n">
        <v>11608</v>
      </c>
      <c r="J45" s="14" t="n">
        <v>-23406.74</v>
      </c>
      <c r="K45" s="15" t="n">
        <v>0.0911</v>
      </c>
      <c r="L45" s="15" t="n">
        <v>-0.1836</v>
      </c>
      <c r="M45" s="29" t="n">
        <v>49.31</v>
      </c>
    </row>
    <row r="46" customFormat="false" ht="15" hidden="false" customHeight="false" outlineLevel="0" collapsed="false">
      <c r="A46" s="24" t="n">
        <v>90629</v>
      </c>
      <c r="B46" s="8" t="s">
        <v>517</v>
      </c>
      <c r="C46" s="25" t="n">
        <v>200</v>
      </c>
      <c r="D46" s="25" t="n">
        <v>200</v>
      </c>
      <c r="E46" s="10" t="n">
        <v>0</v>
      </c>
      <c r="F46" s="10" t="n">
        <v>2124</v>
      </c>
      <c r="G46" s="10" t="n">
        <v>2124</v>
      </c>
      <c r="H46" s="10" t="n">
        <v>171.78</v>
      </c>
      <c r="I46" s="10" t="n">
        <v>1952.22</v>
      </c>
      <c r="J46" s="10" t="n">
        <v>1368.71</v>
      </c>
      <c r="K46" s="11" t="n">
        <v>0.9191</v>
      </c>
      <c r="L46" s="11" t="n">
        <v>0.6444</v>
      </c>
      <c r="M46" s="26" t="n">
        <v>36</v>
      </c>
    </row>
    <row r="47" customFormat="false" ht="15" hidden="false" customHeight="false" outlineLevel="0" collapsed="false">
      <c r="A47" s="27" t="n">
        <v>90630</v>
      </c>
      <c r="B47" s="12" t="s">
        <v>493</v>
      </c>
      <c r="C47" s="28" t="n">
        <v>360</v>
      </c>
      <c r="D47" s="28" t="n">
        <v>360</v>
      </c>
      <c r="E47" s="14" t="n">
        <v>0</v>
      </c>
      <c r="F47" s="14" t="n">
        <v>3200.4</v>
      </c>
      <c r="G47" s="14" t="n">
        <v>3200.4</v>
      </c>
      <c r="H47" s="14" t="n">
        <v>138.24</v>
      </c>
      <c r="I47" s="14" t="n">
        <v>3062.16</v>
      </c>
      <c r="J47" s="14" t="n">
        <v>2182.95</v>
      </c>
      <c r="K47" s="15" t="n">
        <v>0.9568</v>
      </c>
      <c r="L47" s="15" t="n">
        <v>0.6821</v>
      </c>
      <c r="M47" s="29" t="n">
        <v>31</v>
      </c>
    </row>
    <row r="48" customFormat="false" ht="15" hidden="false" customHeight="false" outlineLevel="0" collapsed="false">
      <c r="A48" s="24" t="n">
        <v>90636</v>
      </c>
      <c r="B48" s="8" t="s">
        <v>494</v>
      </c>
      <c r="C48" s="25" t="n">
        <v>4</v>
      </c>
      <c r="D48" s="25" t="n">
        <v>4</v>
      </c>
      <c r="E48" s="10" t="n">
        <v>0</v>
      </c>
      <c r="F48" s="10" t="n">
        <v>230.4</v>
      </c>
      <c r="G48" s="10" t="n">
        <v>230.4</v>
      </c>
      <c r="H48" s="10" t="n">
        <v>67.42</v>
      </c>
      <c r="I48" s="10" t="n">
        <v>162.98</v>
      </c>
      <c r="J48" s="10" t="n">
        <v>99.69</v>
      </c>
      <c r="K48" s="11" t="n">
        <v>0.7074</v>
      </c>
      <c r="L48" s="11" t="n">
        <v>0.4327</v>
      </c>
      <c r="M48" s="26" t="n">
        <v>30</v>
      </c>
    </row>
    <row r="49" customFormat="false" ht="15" hidden="false" customHeight="false" outlineLevel="0" collapsed="false">
      <c r="A49" s="27" t="n">
        <v>90640</v>
      </c>
      <c r="B49" s="12" t="s">
        <v>473</v>
      </c>
      <c r="C49" s="28" t="n">
        <v>39</v>
      </c>
      <c r="D49" s="28" t="n">
        <v>39</v>
      </c>
      <c r="E49" s="14" t="n">
        <v>0</v>
      </c>
      <c r="F49" s="14" t="n">
        <v>4551.71</v>
      </c>
      <c r="G49" s="14" t="n">
        <v>4551.71</v>
      </c>
      <c r="H49" s="14" t="n">
        <v>4557.55</v>
      </c>
      <c r="I49" s="14" t="n">
        <v>-5.84</v>
      </c>
      <c r="J49" s="14" t="n">
        <v>-1256.27</v>
      </c>
      <c r="K49" s="15" t="n">
        <v>-0.0013</v>
      </c>
      <c r="L49" s="15" t="n">
        <v>-0.276</v>
      </c>
      <c r="M49" s="29" t="n">
        <v>54.97</v>
      </c>
    </row>
    <row r="50" customFormat="false" ht="15" hidden="false" customHeight="false" outlineLevel="0" collapsed="false">
      <c r="A50" s="24" t="n">
        <v>90643</v>
      </c>
      <c r="B50" s="8" t="s">
        <v>488</v>
      </c>
      <c r="C50" s="25" t="n">
        <v>8</v>
      </c>
      <c r="D50" s="25" t="n">
        <v>8</v>
      </c>
      <c r="E50" s="10" t="n">
        <v>0</v>
      </c>
      <c r="F50" s="10" t="n">
        <v>4224</v>
      </c>
      <c r="G50" s="10" t="n">
        <v>4224</v>
      </c>
      <c r="H50" s="10" t="n">
        <v>1340.4904</v>
      </c>
      <c r="I50" s="10" t="n">
        <v>2883.51</v>
      </c>
      <c r="J50" s="10" t="n">
        <v>1723.1</v>
      </c>
      <c r="K50" s="11" t="n">
        <v>0.6826</v>
      </c>
      <c r="L50" s="11" t="n">
        <v>0.4079</v>
      </c>
      <c r="M50" s="26" t="n">
        <v>28</v>
      </c>
    </row>
    <row r="51" customFormat="false" ht="15" hidden="false" customHeight="false" outlineLevel="0" collapsed="false">
      <c r="A51" s="27" t="n">
        <v>90645</v>
      </c>
      <c r="B51" s="12" t="s">
        <v>495</v>
      </c>
      <c r="C51" s="28" t="n">
        <v>208</v>
      </c>
      <c r="D51" s="28" t="n">
        <v>208</v>
      </c>
      <c r="E51" s="14" t="n">
        <v>0</v>
      </c>
      <c r="F51" s="14" t="n">
        <v>9996.48</v>
      </c>
      <c r="G51" s="14" t="n">
        <v>9996.48</v>
      </c>
      <c r="H51" s="14" t="n">
        <v>0</v>
      </c>
      <c r="I51" s="14" t="n">
        <v>9996.48</v>
      </c>
      <c r="J51" s="14" t="n">
        <v>9996.48</v>
      </c>
      <c r="K51" s="15" t="n">
        <v>1</v>
      </c>
      <c r="L51" s="15" t="n">
        <v>1</v>
      </c>
      <c r="M51" s="29" t="n">
        <v>28</v>
      </c>
    </row>
    <row r="52" customFormat="false" ht="15" hidden="false" customHeight="false" outlineLevel="0" collapsed="false">
      <c r="A52" s="24" t="n">
        <v>90647</v>
      </c>
      <c r="B52" s="8" t="s">
        <v>547</v>
      </c>
      <c r="C52" s="25" t="n">
        <v>5</v>
      </c>
      <c r="D52" s="25" t="n">
        <v>5</v>
      </c>
      <c r="E52" s="10" t="n">
        <v>0</v>
      </c>
      <c r="F52" s="10" t="n">
        <v>1638.21</v>
      </c>
      <c r="G52" s="10" t="n">
        <v>1638.21</v>
      </c>
      <c r="H52" s="10" t="n">
        <v>497.3101</v>
      </c>
      <c r="I52" s="10" t="n">
        <v>1140.9</v>
      </c>
      <c r="J52" s="10" t="n">
        <v>690.86</v>
      </c>
      <c r="K52" s="11" t="n">
        <v>0.6964</v>
      </c>
      <c r="L52" s="11" t="n">
        <v>0.4217</v>
      </c>
      <c r="M52" s="26" t="n">
        <v>28</v>
      </c>
    </row>
    <row r="53" customFormat="false" ht="15" hidden="false" customHeight="false" outlineLevel="0" collapsed="false">
      <c r="A53" s="27" t="n">
        <v>90649</v>
      </c>
      <c r="B53" s="12" t="s">
        <v>532</v>
      </c>
      <c r="C53" s="28" t="n">
        <v>1504</v>
      </c>
      <c r="D53" s="28" t="n">
        <v>1504</v>
      </c>
      <c r="E53" s="14" t="n">
        <v>0</v>
      </c>
      <c r="F53" s="14" t="n">
        <v>13557.87</v>
      </c>
      <c r="G53" s="14" t="n">
        <v>13557.87</v>
      </c>
      <c r="H53" s="14" t="n">
        <v>3031.3899</v>
      </c>
      <c r="I53" s="14" t="n">
        <v>10526.48</v>
      </c>
      <c r="J53" s="14" t="n">
        <v>7142.24</v>
      </c>
      <c r="K53" s="15" t="n">
        <v>0.7764</v>
      </c>
      <c r="L53" s="15" t="n">
        <v>0.5268</v>
      </c>
      <c r="M53" s="29" t="n">
        <v>64.1</v>
      </c>
    </row>
    <row r="54" customFormat="false" ht="15" hidden="false" customHeight="false" outlineLevel="0" collapsed="false">
      <c r="A54" s="24" t="n">
        <v>90664</v>
      </c>
      <c r="B54" s="8" t="s">
        <v>496</v>
      </c>
      <c r="C54" s="25" t="n">
        <v>147</v>
      </c>
      <c r="D54" s="25" t="n">
        <v>147</v>
      </c>
      <c r="E54" s="10" t="n">
        <v>16328.14</v>
      </c>
      <c r="F54" s="10" t="n">
        <v>280105.13</v>
      </c>
      <c r="G54" s="10" t="n">
        <v>296433.27</v>
      </c>
      <c r="H54" s="10" t="n">
        <v>90861.14</v>
      </c>
      <c r="I54" s="10" t="n">
        <v>205572.13</v>
      </c>
      <c r="J54" s="10" t="n">
        <v>122292.5</v>
      </c>
      <c r="K54" s="11" t="n">
        <v>0.6935</v>
      </c>
      <c r="L54" s="11" t="n">
        <v>0.4125</v>
      </c>
      <c r="M54" s="26" t="n">
        <v>42.12</v>
      </c>
    </row>
    <row r="55" customFormat="false" ht="15" hidden="false" customHeight="false" outlineLevel="0" collapsed="false">
      <c r="A55" s="27" t="n">
        <v>90665</v>
      </c>
      <c r="B55" s="12" t="s">
        <v>497</v>
      </c>
      <c r="C55" s="28" t="n">
        <v>9</v>
      </c>
      <c r="D55" s="28" t="n">
        <v>9</v>
      </c>
      <c r="E55" s="14" t="n">
        <v>465</v>
      </c>
      <c r="F55" s="14" t="n">
        <v>3570.65</v>
      </c>
      <c r="G55" s="14" t="n">
        <v>4035.65</v>
      </c>
      <c r="H55" s="14" t="n">
        <v>2318.49</v>
      </c>
      <c r="I55" s="14" t="n">
        <v>1717.16</v>
      </c>
      <c r="J55" s="14" t="n">
        <v>608.5</v>
      </c>
      <c r="K55" s="15" t="n">
        <v>0.4255</v>
      </c>
      <c r="L55" s="15" t="n">
        <v>0.1508</v>
      </c>
      <c r="M55" s="29" t="n">
        <v>26.78</v>
      </c>
    </row>
    <row r="56" customFormat="false" ht="15" hidden="false" customHeight="false" outlineLevel="0" collapsed="false">
      <c r="A56" s="24" t="n">
        <v>90679</v>
      </c>
      <c r="B56" s="8" t="s">
        <v>548</v>
      </c>
      <c r="C56" s="25" t="n">
        <v>40</v>
      </c>
      <c r="D56" s="25" t="n">
        <v>40</v>
      </c>
      <c r="E56" s="10" t="n">
        <v>0</v>
      </c>
      <c r="F56" s="10" t="n">
        <v>11680</v>
      </c>
      <c r="G56" s="10" t="n">
        <v>11680</v>
      </c>
      <c r="H56" s="10" t="n">
        <v>3860.532</v>
      </c>
      <c r="I56" s="10" t="n">
        <v>7819.47</v>
      </c>
      <c r="J56" s="10" t="n">
        <v>4610.74</v>
      </c>
      <c r="K56" s="11" t="n">
        <v>0.6695</v>
      </c>
      <c r="L56" s="11" t="n">
        <v>0.3948</v>
      </c>
      <c r="M56" s="26" t="n">
        <v>35</v>
      </c>
    </row>
    <row r="57" customFormat="false" ht="15" hidden="false" customHeight="false" outlineLevel="0" collapsed="false">
      <c r="A57" s="27" t="n">
        <v>90689</v>
      </c>
      <c r="B57" s="12" t="s">
        <v>519</v>
      </c>
      <c r="C57" s="28" t="n">
        <v>20</v>
      </c>
      <c r="D57" s="28" t="n">
        <v>20</v>
      </c>
      <c r="E57" s="14" t="n">
        <v>0</v>
      </c>
      <c r="F57" s="14" t="n">
        <v>3440</v>
      </c>
      <c r="G57" s="14" t="n">
        <v>3440</v>
      </c>
      <c r="H57" s="14" t="n">
        <v>2409.0394</v>
      </c>
      <c r="I57" s="14" t="n">
        <v>1030.96</v>
      </c>
      <c r="J57" s="14" t="n">
        <v>298.04</v>
      </c>
      <c r="K57" s="15" t="n">
        <v>0.2997</v>
      </c>
      <c r="L57" s="15" t="n">
        <v>0.0866</v>
      </c>
      <c r="M57" s="29" t="n">
        <v>57</v>
      </c>
    </row>
    <row r="58" customFormat="false" ht="15" hidden="false" customHeight="false" outlineLevel="0" collapsed="false">
      <c r="A58" s="24" t="n">
        <v>90700</v>
      </c>
      <c r="B58" s="8" t="s">
        <v>488</v>
      </c>
      <c r="C58" s="25" t="n">
        <v>84</v>
      </c>
      <c r="D58" s="25" t="n">
        <v>84</v>
      </c>
      <c r="E58" s="10" t="n">
        <v>0</v>
      </c>
      <c r="F58" s="10" t="n">
        <v>16480</v>
      </c>
      <c r="G58" s="10" t="n">
        <v>16480</v>
      </c>
      <c r="H58" s="10" t="n">
        <v>0</v>
      </c>
      <c r="I58" s="10" t="n">
        <v>16480</v>
      </c>
      <c r="J58" s="10" t="n">
        <v>16480</v>
      </c>
      <c r="K58" s="11" t="n">
        <v>1</v>
      </c>
      <c r="L58" s="11" t="n">
        <v>1</v>
      </c>
      <c r="M58" s="26" t="n">
        <v>28</v>
      </c>
    </row>
    <row r="59" customFormat="false" ht="15" hidden="false" customHeight="false" outlineLevel="0" collapsed="false">
      <c r="A59" s="27" t="n">
        <v>90705</v>
      </c>
      <c r="B59" s="12" t="s">
        <v>522</v>
      </c>
      <c r="C59" s="28" t="n">
        <v>125</v>
      </c>
      <c r="D59" s="28" t="n">
        <v>125</v>
      </c>
      <c r="E59" s="14" t="n">
        <v>0</v>
      </c>
      <c r="F59" s="14" t="n">
        <v>25236.79</v>
      </c>
      <c r="G59" s="14" t="n">
        <v>25236.79</v>
      </c>
      <c r="H59" s="14" t="n">
        <v>14561.1369</v>
      </c>
      <c r="I59" s="14" t="n">
        <v>10675.65</v>
      </c>
      <c r="J59" s="14" t="n">
        <v>5320.22</v>
      </c>
      <c r="K59" s="15" t="n">
        <v>0.423</v>
      </c>
      <c r="L59" s="15" t="n">
        <v>0.2108</v>
      </c>
      <c r="M59" s="29" t="n">
        <v>60.03</v>
      </c>
    </row>
    <row r="60" customFormat="false" ht="15" hidden="false" customHeight="false" outlineLevel="0" collapsed="false">
      <c r="A60" s="24" t="n">
        <v>90706</v>
      </c>
      <c r="B60" s="8" t="s">
        <v>523</v>
      </c>
      <c r="C60" s="25" t="n">
        <v>46</v>
      </c>
      <c r="D60" s="25" t="n">
        <v>46</v>
      </c>
      <c r="E60" s="10" t="n">
        <v>0</v>
      </c>
      <c r="F60" s="10" t="n">
        <v>9108</v>
      </c>
      <c r="G60" s="10" t="n">
        <v>9108</v>
      </c>
      <c r="H60" s="10" t="n">
        <v>4258.0288</v>
      </c>
      <c r="I60" s="10" t="n">
        <v>4849.97</v>
      </c>
      <c r="J60" s="10" t="n">
        <v>2909.46</v>
      </c>
      <c r="K60" s="11" t="n">
        <v>0.5325</v>
      </c>
      <c r="L60" s="11" t="n">
        <v>0.3194</v>
      </c>
      <c r="M60" s="26" t="n">
        <v>60</v>
      </c>
    </row>
    <row r="61" customFormat="false" ht="15" hidden="false" customHeight="false" outlineLevel="0" collapsed="false">
      <c r="A61" s="27" t="n">
        <v>90718</v>
      </c>
      <c r="B61" s="12" t="s">
        <v>525</v>
      </c>
      <c r="C61" s="28" t="n">
        <v>98</v>
      </c>
      <c r="D61" s="28" t="n">
        <v>98</v>
      </c>
      <c r="E61" s="14" t="n">
        <v>0</v>
      </c>
      <c r="F61" s="14" t="n">
        <v>16473.8</v>
      </c>
      <c r="G61" s="14" t="n">
        <v>16473.8</v>
      </c>
      <c r="H61" s="14" t="n">
        <v>11042.9406</v>
      </c>
      <c r="I61" s="14" t="n">
        <v>5430.86</v>
      </c>
      <c r="J61" s="14" t="n">
        <v>905.15</v>
      </c>
      <c r="K61" s="15" t="n">
        <v>0.3297</v>
      </c>
      <c r="L61" s="15" t="n">
        <v>0.0549</v>
      </c>
      <c r="M61" s="29" t="n">
        <v>60</v>
      </c>
    </row>
    <row r="62" customFormat="false" ht="15" hidden="false" customHeight="false" outlineLevel="0" collapsed="false">
      <c r="A62" s="24" t="n">
        <v>90723</v>
      </c>
      <c r="B62" s="8" t="s">
        <v>527</v>
      </c>
      <c r="C62" s="25" t="n">
        <v>10</v>
      </c>
      <c r="D62" s="25" t="n">
        <v>10</v>
      </c>
      <c r="E62" s="10" t="n">
        <v>0</v>
      </c>
      <c r="F62" s="10" t="n">
        <v>2000</v>
      </c>
      <c r="G62" s="10" t="n">
        <v>2000</v>
      </c>
      <c r="H62" s="10" t="n">
        <v>940.67</v>
      </c>
      <c r="I62" s="10" t="n">
        <v>1059.33</v>
      </c>
      <c r="J62" s="10" t="n">
        <v>633.22</v>
      </c>
      <c r="K62" s="11" t="n">
        <v>0.5297</v>
      </c>
      <c r="L62" s="11" t="n">
        <v>0.3166</v>
      </c>
      <c r="M62" s="26" t="n">
        <v>60</v>
      </c>
    </row>
    <row r="63" customFormat="false" ht="15" hidden="false" customHeight="false" outlineLevel="0" collapsed="false">
      <c r="A63" s="27" t="n">
        <v>90725</v>
      </c>
      <c r="B63" s="12" t="s">
        <v>528</v>
      </c>
      <c r="C63" s="28" t="n">
        <v>50</v>
      </c>
      <c r="D63" s="28" t="n">
        <v>50</v>
      </c>
      <c r="E63" s="14" t="n">
        <v>0</v>
      </c>
      <c r="F63" s="14" t="n">
        <v>7620</v>
      </c>
      <c r="G63" s="14" t="n">
        <v>7620</v>
      </c>
      <c r="H63" s="14" t="n">
        <v>4529.38</v>
      </c>
      <c r="I63" s="14" t="n">
        <v>3090.62</v>
      </c>
      <c r="J63" s="14" t="n">
        <v>1467.14</v>
      </c>
      <c r="K63" s="15" t="n">
        <v>0.4056</v>
      </c>
      <c r="L63" s="15" t="n">
        <v>0.1925</v>
      </c>
      <c r="M63" s="29" t="n">
        <v>60</v>
      </c>
    </row>
    <row r="64" customFormat="false" ht="15" hidden="false" customHeight="false" outlineLevel="0" collapsed="false">
      <c r="A64" s="24" t="n">
        <v>90728</v>
      </c>
      <c r="B64" s="8" t="s">
        <v>477</v>
      </c>
      <c r="C64" s="25" t="n">
        <v>159</v>
      </c>
      <c r="D64" s="25" t="n">
        <v>159</v>
      </c>
      <c r="E64" s="10" t="n">
        <v>0</v>
      </c>
      <c r="F64" s="10" t="n">
        <v>6772.72</v>
      </c>
      <c r="G64" s="10" t="n">
        <v>6772.72</v>
      </c>
      <c r="H64" s="10" t="n">
        <v>3223.768</v>
      </c>
      <c r="I64" s="10" t="n">
        <v>3548.95</v>
      </c>
      <c r="J64" s="10" t="n">
        <v>1688.33</v>
      </c>
      <c r="K64" s="11" t="n">
        <v>0.524</v>
      </c>
      <c r="L64" s="11" t="n">
        <v>0.2493</v>
      </c>
      <c r="M64" s="26" t="n">
        <v>49.25</v>
      </c>
    </row>
    <row r="65" customFormat="false" ht="15" hidden="false" customHeight="false" outlineLevel="0" collapsed="false">
      <c r="A65" s="27" t="n">
        <v>90729</v>
      </c>
      <c r="B65" s="12" t="s">
        <v>534</v>
      </c>
      <c r="C65" s="28" t="n">
        <v>382</v>
      </c>
      <c r="D65" s="28" t="n">
        <v>382</v>
      </c>
      <c r="E65" s="14" t="n">
        <v>0</v>
      </c>
      <c r="F65" s="14" t="n">
        <v>7578.63</v>
      </c>
      <c r="G65" s="14" t="n">
        <v>7578.63</v>
      </c>
      <c r="H65" s="14" t="n">
        <v>0</v>
      </c>
      <c r="I65" s="14" t="n">
        <v>7578.63</v>
      </c>
      <c r="J65" s="14" t="n">
        <v>7578.63</v>
      </c>
      <c r="K65" s="15" t="n">
        <v>1</v>
      </c>
      <c r="L65" s="15" t="n">
        <v>1</v>
      </c>
      <c r="M65" s="29" t="n">
        <v>50.39</v>
      </c>
    </row>
    <row r="66" customFormat="false" ht="15" hidden="false" customHeight="false" outlineLevel="0" collapsed="false">
      <c r="A66" s="24" t="n">
        <v>90734</v>
      </c>
      <c r="B66" s="8" t="s">
        <v>536</v>
      </c>
      <c r="C66" s="25" t="n">
        <v>56</v>
      </c>
      <c r="D66" s="25" t="n">
        <v>56</v>
      </c>
      <c r="E66" s="10" t="n">
        <v>0</v>
      </c>
      <c r="F66" s="10" t="n">
        <v>1568</v>
      </c>
      <c r="G66" s="10" t="n">
        <v>1568</v>
      </c>
      <c r="H66" s="10" t="n">
        <v>0</v>
      </c>
      <c r="I66" s="10" t="n">
        <v>1568</v>
      </c>
      <c r="J66" s="10" t="n">
        <v>1568</v>
      </c>
      <c r="K66" s="11" t="n">
        <v>1</v>
      </c>
      <c r="L66" s="11" t="n">
        <v>1</v>
      </c>
      <c r="M66" s="26" t="n">
        <v>28</v>
      </c>
    </row>
    <row r="67" customFormat="false" ht="15" hidden="false" customHeight="false" outlineLevel="0" collapsed="false">
      <c r="A67" s="27" t="n">
        <v>90735</v>
      </c>
      <c r="B67" s="12" t="s">
        <v>537</v>
      </c>
      <c r="C67" s="28" t="n">
        <v>3</v>
      </c>
      <c r="D67" s="28" t="n">
        <v>3</v>
      </c>
      <c r="E67" s="14" t="n">
        <v>0</v>
      </c>
      <c r="F67" s="14" t="n">
        <v>24.99</v>
      </c>
      <c r="G67" s="14" t="n">
        <v>24.99</v>
      </c>
      <c r="H67" s="14" t="n">
        <v>0</v>
      </c>
      <c r="I67" s="14" t="n">
        <v>24.99</v>
      </c>
      <c r="J67" s="14" t="n">
        <v>24.99</v>
      </c>
      <c r="K67" s="15" t="n">
        <v>1</v>
      </c>
      <c r="L67" s="15" t="n">
        <v>1</v>
      </c>
      <c r="M67" s="29" t="n">
        <v>28</v>
      </c>
    </row>
    <row r="68" customFormat="false" ht="15" hidden="false" customHeight="false" outlineLevel="0" collapsed="false">
      <c r="A68" s="24" t="n">
        <v>90752</v>
      </c>
      <c r="B68" s="8" t="s">
        <v>556</v>
      </c>
      <c r="C68" s="25" t="n">
        <v>118</v>
      </c>
      <c r="D68" s="25" t="n">
        <v>118</v>
      </c>
      <c r="E68" s="10" t="n">
        <v>0</v>
      </c>
      <c r="F68" s="10" t="n">
        <v>16614.4</v>
      </c>
      <c r="G68" s="10" t="n">
        <v>16614.4</v>
      </c>
      <c r="H68" s="10" t="n">
        <v>0</v>
      </c>
      <c r="I68" s="10" t="n">
        <v>16614.4</v>
      </c>
      <c r="J68" s="10" t="n">
        <v>16614.4</v>
      </c>
      <c r="K68" s="11" t="n">
        <v>1</v>
      </c>
      <c r="L68" s="11" t="n">
        <v>1</v>
      </c>
      <c r="M68" s="26" t="n">
        <v>53</v>
      </c>
    </row>
    <row r="69" customFormat="false" ht="15" hidden="false" customHeight="false" outlineLevel="0" collapsed="false">
      <c r="A69" s="27" t="n">
        <v>90755</v>
      </c>
      <c r="B69" s="12" t="s">
        <v>561</v>
      </c>
      <c r="C69" s="28" t="n">
        <v>7</v>
      </c>
      <c r="D69" s="28" t="n">
        <v>7</v>
      </c>
      <c r="E69" s="14" t="n">
        <v>0</v>
      </c>
      <c r="F69" s="14" t="n">
        <v>584.39</v>
      </c>
      <c r="G69" s="14" t="n">
        <v>584.39</v>
      </c>
      <c r="H69" s="14" t="n">
        <v>0</v>
      </c>
      <c r="I69" s="14" t="n">
        <v>584.39</v>
      </c>
      <c r="J69" s="14" t="n">
        <v>584.39</v>
      </c>
      <c r="K69" s="15" t="n">
        <v>1</v>
      </c>
      <c r="L69" s="15" t="n">
        <v>1</v>
      </c>
      <c r="M69" s="29" t="n">
        <v>30</v>
      </c>
    </row>
    <row r="70" customFormat="false" ht="15" hidden="false" customHeight="false" outlineLevel="0" collapsed="false">
      <c r="A70" s="24" t="n">
        <v>90756</v>
      </c>
      <c r="B70" s="8" t="s">
        <v>563</v>
      </c>
      <c r="C70" s="25" t="n">
        <v>1</v>
      </c>
      <c r="D70" s="25" t="n">
        <v>1</v>
      </c>
      <c r="E70" s="10" t="n">
        <v>0</v>
      </c>
      <c r="F70" s="10" t="n">
        <v>24.34</v>
      </c>
      <c r="G70" s="10" t="n">
        <v>24.34</v>
      </c>
      <c r="H70" s="10" t="n">
        <v>89.85</v>
      </c>
      <c r="I70" s="10" t="n">
        <v>-65.51</v>
      </c>
      <c r="J70" s="10" t="n">
        <v>-72.19</v>
      </c>
      <c r="K70" s="11" t="n">
        <v>-2.6915</v>
      </c>
      <c r="L70" s="11" t="n">
        <v>-2.9659</v>
      </c>
      <c r="M70" s="26" t="n">
        <v>48</v>
      </c>
    </row>
    <row r="71" customFormat="false" ht="15" hidden="false" customHeight="false" outlineLevel="0" collapsed="false">
      <c r="A71" s="27" t="n">
        <v>90758</v>
      </c>
      <c r="B71" s="12" t="s">
        <v>564</v>
      </c>
      <c r="C71" s="28" t="n">
        <v>8</v>
      </c>
      <c r="D71" s="28" t="n">
        <v>8</v>
      </c>
      <c r="E71" s="14" t="n">
        <v>0</v>
      </c>
      <c r="F71" s="14" t="n">
        <v>5998.52</v>
      </c>
      <c r="G71" s="14" t="n">
        <v>5998.52</v>
      </c>
      <c r="H71" s="14" t="n">
        <v>1968.7</v>
      </c>
      <c r="I71" s="14" t="n">
        <v>4029.82</v>
      </c>
      <c r="J71" s="14" t="n">
        <v>3075.45</v>
      </c>
      <c r="K71" s="15" t="n">
        <v>0.6718</v>
      </c>
      <c r="L71" s="15" t="n">
        <v>0.5127</v>
      </c>
      <c r="M71" s="29" t="n">
        <v>52</v>
      </c>
    </row>
    <row r="72" customFormat="false" ht="15" hidden="false" customHeight="false" outlineLevel="0" collapsed="false">
      <c r="A72" s="24" t="n">
        <v>90759</v>
      </c>
      <c r="B72" s="8" t="s">
        <v>565</v>
      </c>
      <c r="C72" s="25" t="n">
        <v>87</v>
      </c>
      <c r="D72" s="25" t="n">
        <v>87</v>
      </c>
      <c r="E72" s="10" t="n">
        <v>10307.43</v>
      </c>
      <c r="F72" s="10" t="n">
        <v>0</v>
      </c>
      <c r="G72" s="10" t="n">
        <v>10307.43</v>
      </c>
      <c r="H72" s="10" t="n">
        <v>1010.6607</v>
      </c>
      <c r="I72" s="10" t="n">
        <v>9296.77</v>
      </c>
      <c r="J72" s="10" t="n">
        <v>6465.11</v>
      </c>
      <c r="K72" s="11" t="n">
        <v>0.9019</v>
      </c>
      <c r="L72" s="11" t="n">
        <v>0.6272</v>
      </c>
      <c r="M72" s="26" t="n">
        <v>57</v>
      </c>
    </row>
    <row r="73" customFormat="false" ht="15" hidden="false" customHeight="false" outlineLevel="0" collapsed="false">
      <c r="A73" s="27" t="n">
        <v>90760</v>
      </c>
      <c r="B73" s="12" t="s">
        <v>566</v>
      </c>
      <c r="C73" s="28" t="n">
        <v>24</v>
      </c>
      <c r="D73" s="28" t="n">
        <v>24</v>
      </c>
      <c r="E73" s="14" t="n">
        <v>0</v>
      </c>
      <c r="F73" s="14" t="n">
        <v>10044</v>
      </c>
      <c r="G73" s="14" t="n">
        <v>10044</v>
      </c>
      <c r="H73" s="14" t="n">
        <v>0</v>
      </c>
      <c r="I73" s="14" t="n">
        <v>10044</v>
      </c>
      <c r="J73" s="14" t="n">
        <v>10044</v>
      </c>
      <c r="K73" s="15" t="n">
        <v>1</v>
      </c>
      <c r="L73" s="15" t="n">
        <v>1</v>
      </c>
      <c r="M73" s="29" t="n">
        <v>53</v>
      </c>
    </row>
    <row r="74" customFormat="false" ht="15" hidden="false" customHeight="false" outlineLevel="0" collapsed="false">
      <c r="A74" s="24" t="n">
        <v>90761</v>
      </c>
      <c r="B74" s="8" t="s">
        <v>567</v>
      </c>
      <c r="C74" s="25" t="n">
        <v>2</v>
      </c>
      <c r="D74" s="25" t="n">
        <v>2</v>
      </c>
      <c r="E74" s="10" t="n">
        <v>0</v>
      </c>
      <c r="F74" s="10" t="n">
        <v>180</v>
      </c>
      <c r="G74" s="10" t="n">
        <v>180</v>
      </c>
      <c r="H74" s="10" t="n">
        <v>0</v>
      </c>
      <c r="I74" s="10" t="n">
        <v>180</v>
      </c>
      <c r="J74" s="10" t="n">
        <v>180</v>
      </c>
      <c r="K74" s="11" t="n">
        <v>1</v>
      </c>
      <c r="L74" s="11" t="n">
        <v>1</v>
      </c>
      <c r="M74" s="26" t="n">
        <v>7</v>
      </c>
    </row>
    <row r="75" customFormat="false" ht="15" hidden="false" customHeight="false" outlineLevel="0" collapsed="false">
      <c r="A75" s="27" t="n">
        <v>90767</v>
      </c>
      <c r="B75" s="12" t="s">
        <v>477</v>
      </c>
      <c r="C75" s="28" t="n">
        <v>1</v>
      </c>
      <c r="D75" s="28" t="n">
        <v>1</v>
      </c>
      <c r="E75" s="14" t="n">
        <v>0</v>
      </c>
      <c r="F75" s="14" t="n">
        <v>521.07</v>
      </c>
      <c r="G75" s="14" t="n">
        <v>521.07</v>
      </c>
      <c r="H75" s="14" t="n">
        <v>205.81</v>
      </c>
      <c r="I75" s="14" t="n">
        <v>315.26</v>
      </c>
      <c r="J75" s="14" t="n">
        <v>170.15</v>
      </c>
      <c r="K75" s="15" t="n">
        <v>0.605</v>
      </c>
      <c r="L75" s="15" t="n">
        <v>0.3265</v>
      </c>
      <c r="M75" s="29" t="n">
        <v>7</v>
      </c>
    </row>
    <row r="76" customFormat="false" ht="15" hidden="false" customHeight="false" outlineLevel="0" collapsed="false">
      <c r="A76" s="16" t="s">
        <v>249</v>
      </c>
      <c r="B76" s="16" t="str">
        <f aca="false">COUNTA(A6:A75)&amp;" produtos"</f>
        <v>70 produtos</v>
      </c>
      <c r="C76" s="30" t="n">
        <f aca="false">SUM(C6:C75)</f>
        <v>45132</v>
      </c>
      <c r="D76" s="30" t="n">
        <f aca="false">SUM(D6:D75)</f>
        <v>45132</v>
      </c>
      <c r="E76" s="18" t="n">
        <f aca="false">SUM(E6:E75)</f>
        <v>33009.57</v>
      </c>
      <c r="F76" s="18" t="n">
        <f aca="false">SUM(F6:F75)</f>
        <v>1156281.74</v>
      </c>
      <c r="G76" s="18" t="n">
        <f aca="false">SUM(G6:G75)</f>
        <v>1189291.31</v>
      </c>
      <c r="H76" s="18" t="n">
        <f aca="false">SUM(H6:H75)</f>
        <v>1018171.4026</v>
      </c>
      <c r="I76" s="18" t="n">
        <f aca="false">SUM(I6:I75)</f>
        <v>171119.94</v>
      </c>
      <c r="J76" s="18" t="n">
        <f aca="false">SUM(J6:J75)</f>
        <v>-110692.35</v>
      </c>
      <c r="K76" s="19" t="n">
        <f aca="false">IFERROR(I76/G76,0)</f>
        <v>0.143883957245092</v>
      </c>
      <c r="L76" s="19" t="n">
        <f aca="false">IFERROR(J76/G76,0)</f>
        <v>-0.0930742107247046</v>
      </c>
      <c r="M76" s="31" t="n">
        <f aca="false">IFERROR(SUMPRODUCT(M6:M75,G6:G75)/G76,0)</f>
        <v>45.8483826632854</v>
      </c>
    </row>
  </sheetData>
  <autoFilter ref="A5:M75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M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10" min="6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1" t="s">
        <v>22</v>
      </c>
    </row>
    <row r="3" customFormat="false" ht="15" hidden="false" customHeight="false" outlineLevel="0" collapsed="false">
      <c r="A3" s="2" t="s">
        <v>448</v>
      </c>
    </row>
    <row r="5" customFormat="false" ht="21.75" hidden="false" customHeight="true" outlineLevel="0" collapsed="false">
      <c r="A5" s="22" t="s">
        <v>24</v>
      </c>
      <c r="B5" s="23" t="s">
        <v>25</v>
      </c>
      <c r="C5" s="22" t="s">
        <v>26</v>
      </c>
      <c r="D5" s="22" t="s">
        <v>27</v>
      </c>
      <c r="E5" s="22" t="s">
        <v>28</v>
      </c>
      <c r="F5" s="22" t="s">
        <v>29</v>
      </c>
      <c r="G5" s="22" t="s">
        <v>30</v>
      </c>
      <c r="H5" s="22" t="s">
        <v>8</v>
      </c>
      <c r="I5" s="22" t="s">
        <v>9</v>
      </c>
      <c r="J5" s="22" t="s">
        <v>31</v>
      </c>
      <c r="K5" s="22" t="s">
        <v>10</v>
      </c>
      <c r="L5" s="22" t="s">
        <v>32</v>
      </c>
      <c r="M5" s="22" t="s">
        <v>33</v>
      </c>
    </row>
    <row r="6" customFormat="false" ht="15" hidden="false" customHeight="false" outlineLevel="0" collapsed="false">
      <c r="A6" s="24" t="n">
        <v>10585</v>
      </c>
      <c r="B6" s="8" t="s">
        <v>166</v>
      </c>
      <c r="C6" s="25" t="n">
        <v>12</v>
      </c>
      <c r="D6" s="25" t="n">
        <v>12</v>
      </c>
      <c r="E6" s="10" t="n">
        <v>0</v>
      </c>
      <c r="F6" s="10" t="n">
        <v>3476.9</v>
      </c>
      <c r="G6" s="10" t="n">
        <v>3476.9</v>
      </c>
      <c r="H6" s="10" t="n">
        <v>1874.64</v>
      </c>
      <c r="I6" s="10" t="n">
        <v>1602.26</v>
      </c>
      <c r="J6" s="10" t="n">
        <v>631.9</v>
      </c>
      <c r="K6" s="11" t="n">
        <v>0.4608</v>
      </c>
      <c r="L6" s="11" t="n">
        <v>0.1817</v>
      </c>
      <c r="M6" s="26" t="n">
        <v>45.78</v>
      </c>
    </row>
    <row r="7" customFormat="false" ht="15" hidden="false" customHeight="false" outlineLevel="0" collapsed="false">
      <c r="A7" s="27" t="n">
        <v>10586</v>
      </c>
      <c r="B7" s="12" t="s">
        <v>428</v>
      </c>
      <c r="C7" s="28" t="n">
        <v>1264</v>
      </c>
      <c r="D7" s="28" t="n">
        <v>1264</v>
      </c>
      <c r="E7" s="14" t="n">
        <v>0</v>
      </c>
      <c r="F7" s="14" t="n">
        <v>9141.19</v>
      </c>
      <c r="G7" s="14" t="n">
        <v>9141.19</v>
      </c>
      <c r="H7" s="14" t="n">
        <v>2540.3007</v>
      </c>
      <c r="I7" s="14" t="n">
        <v>6600.89</v>
      </c>
      <c r="J7" s="14" t="n">
        <v>4049.62</v>
      </c>
      <c r="K7" s="15" t="n">
        <v>0.7221</v>
      </c>
      <c r="L7" s="15" t="n">
        <v>0.443</v>
      </c>
      <c r="M7" s="29" t="n">
        <v>45.61</v>
      </c>
    </row>
    <row r="8" customFormat="false" ht="15" hidden="false" customHeight="false" outlineLevel="0" collapsed="false">
      <c r="A8" s="24" t="n">
        <v>10588</v>
      </c>
      <c r="B8" s="8" t="s">
        <v>271</v>
      </c>
      <c r="C8" s="25" t="n">
        <v>260</v>
      </c>
      <c r="D8" s="25" t="n">
        <v>260</v>
      </c>
      <c r="E8" s="10" t="n">
        <v>0</v>
      </c>
      <c r="F8" s="10" t="n">
        <v>5926.9</v>
      </c>
      <c r="G8" s="10" t="n">
        <v>5926.9</v>
      </c>
      <c r="H8" s="10" t="n">
        <v>2838.03</v>
      </c>
      <c r="I8" s="10" t="n">
        <v>3088.87</v>
      </c>
      <c r="J8" s="10" t="n">
        <v>1434.67</v>
      </c>
      <c r="K8" s="11" t="n">
        <v>0.5212</v>
      </c>
      <c r="L8" s="11" t="n">
        <v>0.2421</v>
      </c>
      <c r="M8" s="26" t="n">
        <v>45.64</v>
      </c>
    </row>
    <row r="9" customFormat="false" ht="15" hidden="false" customHeight="false" outlineLevel="0" collapsed="false">
      <c r="A9" s="27" t="n">
        <v>10599</v>
      </c>
      <c r="B9" s="12" t="s">
        <v>558</v>
      </c>
      <c r="C9" s="28" t="n">
        <v>1</v>
      </c>
      <c r="D9" s="28" t="n">
        <v>1</v>
      </c>
      <c r="E9" s="14" t="n">
        <v>0</v>
      </c>
      <c r="F9" s="14" t="n">
        <v>376.29</v>
      </c>
      <c r="G9" s="14" t="n">
        <v>376.29</v>
      </c>
      <c r="H9" s="14" t="n">
        <v>175.5</v>
      </c>
      <c r="I9" s="14" t="n">
        <v>200.79</v>
      </c>
      <c r="J9" s="14" t="n">
        <v>95.77</v>
      </c>
      <c r="K9" s="15" t="n">
        <v>0.5336</v>
      </c>
      <c r="L9" s="15" t="n">
        <v>0.2545</v>
      </c>
      <c r="M9" s="29" t="n">
        <v>46</v>
      </c>
    </row>
    <row r="10" customFormat="false" ht="15" hidden="false" customHeight="false" outlineLevel="0" collapsed="false">
      <c r="A10" s="24" t="n">
        <v>10664</v>
      </c>
      <c r="B10" s="8" t="s">
        <v>464</v>
      </c>
      <c r="C10" s="25" t="n">
        <v>3107</v>
      </c>
      <c r="D10" s="25" t="n">
        <v>3107</v>
      </c>
      <c r="E10" s="10" t="n">
        <v>0</v>
      </c>
      <c r="F10" s="10" t="n">
        <v>35061.76</v>
      </c>
      <c r="G10" s="10" t="n">
        <v>35061.76</v>
      </c>
      <c r="H10" s="10" t="n">
        <v>3588.5589</v>
      </c>
      <c r="I10" s="10" t="n">
        <v>31473.21</v>
      </c>
      <c r="J10" s="10" t="n">
        <v>21841.06</v>
      </c>
      <c r="K10" s="11" t="n">
        <v>0.8977</v>
      </c>
      <c r="L10" s="11" t="n">
        <v>0.6229</v>
      </c>
      <c r="M10" s="26" t="n">
        <v>28</v>
      </c>
    </row>
    <row r="11" customFormat="false" ht="15" hidden="false" customHeight="false" outlineLevel="0" collapsed="false">
      <c r="A11" s="27" t="n">
        <v>10704</v>
      </c>
      <c r="B11" s="12" t="s">
        <v>465</v>
      </c>
      <c r="C11" s="28" t="n">
        <v>300</v>
      </c>
      <c r="D11" s="28" t="n">
        <v>300</v>
      </c>
      <c r="E11" s="14" t="n">
        <v>0</v>
      </c>
      <c r="F11" s="14" t="n">
        <v>3210</v>
      </c>
      <c r="G11" s="14" t="n">
        <v>3210</v>
      </c>
      <c r="H11" s="14" t="n">
        <v>933.22</v>
      </c>
      <c r="I11" s="14" t="n">
        <v>2276.78</v>
      </c>
      <c r="J11" s="14" t="n">
        <v>1380.91</v>
      </c>
      <c r="K11" s="15" t="n">
        <v>0.7093</v>
      </c>
      <c r="L11" s="15" t="n">
        <v>0.4302</v>
      </c>
      <c r="M11" s="29" t="n">
        <v>45.67</v>
      </c>
    </row>
    <row r="12" customFormat="false" ht="15" hidden="false" customHeight="false" outlineLevel="0" collapsed="false">
      <c r="A12" s="24" t="n">
        <v>52674</v>
      </c>
      <c r="B12" s="8" t="s">
        <v>207</v>
      </c>
      <c r="C12" s="25" t="n">
        <v>1900</v>
      </c>
      <c r="D12" s="25" t="n">
        <v>1900</v>
      </c>
      <c r="E12" s="10" t="n">
        <v>7030</v>
      </c>
      <c r="F12" s="10" t="n">
        <v>0</v>
      </c>
      <c r="G12" s="10" t="n">
        <v>7030</v>
      </c>
      <c r="H12" s="10" t="n">
        <v>5320</v>
      </c>
      <c r="I12" s="10" t="n">
        <v>1710</v>
      </c>
      <c r="J12" s="10" t="n">
        <v>-522.73</v>
      </c>
      <c r="K12" s="11" t="n">
        <v>0.2432</v>
      </c>
      <c r="L12" s="11" t="n">
        <v>-0.0744</v>
      </c>
      <c r="M12" s="26" t="n">
        <v>7</v>
      </c>
    </row>
    <row r="13" customFormat="false" ht="15" hidden="false" customHeight="false" outlineLevel="0" collapsed="false">
      <c r="A13" s="27" t="n">
        <v>52676</v>
      </c>
      <c r="B13" s="12" t="s">
        <v>208</v>
      </c>
      <c r="C13" s="28" t="n">
        <v>1460</v>
      </c>
      <c r="D13" s="28" t="n">
        <v>1460</v>
      </c>
      <c r="E13" s="14" t="n">
        <v>292</v>
      </c>
      <c r="F13" s="14" t="n">
        <v>0</v>
      </c>
      <c r="G13" s="14" t="n">
        <v>292</v>
      </c>
      <c r="H13" s="14" t="n">
        <v>73</v>
      </c>
      <c r="I13" s="14" t="n">
        <v>219</v>
      </c>
      <c r="J13" s="14" t="n">
        <v>126.26</v>
      </c>
      <c r="K13" s="15" t="n">
        <v>0.75</v>
      </c>
      <c r="L13" s="15" t="n">
        <v>0.4324</v>
      </c>
      <c r="M13" s="29" t="n">
        <v>7</v>
      </c>
    </row>
    <row r="14" customFormat="false" ht="15" hidden="false" customHeight="false" outlineLevel="0" collapsed="false">
      <c r="A14" s="24" t="n">
        <v>55954</v>
      </c>
      <c r="B14" s="8" t="s">
        <v>505</v>
      </c>
      <c r="C14" s="25" t="n">
        <v>108</v>
      </c>
      <c r="D14" s="25" t="n">
        <v>108</v>
      </c>
      <c r="E14" s="10" t="n">
        <v>0</v>
      </c>
      <c r="F14" s="10" t="n">
        <v>432</v>
      </c>
      <c r="G14" s="10" t="n">
        <v>432</v>
      </c>
      <c r="H14" s="10" t="n">
        <v>392.3856</v>
      </c>
      <c r="I14" s="10" t="n">
        <v>39.61</v>
      </c>
      <c r="J14" s="10" t="n">
        <v>-79.06</v>
      </c>
      <c r="K14" s="11" t="n">
        <v>0.0917</v>
      </c>
      <c r="L14" s="11" t="n">
        <v>-0.183</v>
      </c>
      <c r="M14" s="26" t="n">
        <v>30</v>
      </c>
    </row>
    <row r="15" customFormat="false" ht="15" hidden="false" customHeight="false" outlineLevel="0" collapsed="false">
      <c r="A15" s="27" t="n">
        <v>56047</v>
      </c>
      <c r="B15" s="12" t="s">
        <v>506</v>
      </c>
      <c r="C15" s="28" t="n">
        <v>378</v>
      </c>
      <c r="D15" s="28" t="n">
        <v>378</v>
      </c>
      <c r="E15" s="14" t="n">
        <v>0</v>
      </c>
      <c r="F15" s="14" t="n">
        <v>1126.44</v>
      </c>
      <c r="G15" s="14" t="n">
        <v>1126.44</v>
      </c>
      <c r="H15" s="14" t="n">
        <v>697.41</v>
      </c>
      <c r="I15" s="14" t="n">
        <v>429.03</v>
      </c>
      <c r="J15" s="14" t="n">
        <v>119.57</v>
      </c>
      <c r="K15" s="15" t="n">
        <v>0.3809</v>
      </c>
      <c r="L15" s="15" t="n">
        <v>0.1061</v>
      </c>
      <c r="M15" s="29" t="n">
        <v>42</v>
      </c>
    </row>
    <row r="16" customFormat="false" ht="15" hidden="false" customHeight="false" outlineLevel="0" collapsed="false">
      <c r="A16" s="24" t="n">
        <v>56365</v>
      </c>
      <c r="B16" s="8" t="s">
        <v>507</v>
      </c>
      <c r="C16" s="25" t="n">
        <v>96</v>
      </c>
      <c r="D16" s="25" t="n">
        <v>96</v>
      </c>
      <c r="E16" s="10" t="n">
        <v>0</v>
      </c>
      <c r="F16" s="10" t="n">
        <v>768</v>
      </c>
      <c r="G16" s="10" t="n">
        <v>768</v>
      </c>
      <c r="H16" s="10" t="n">
        <v>829.3056</v>
      </c>
      <c r="I16" s="10" t="n">
        <v>-61.31</v>
      </c>
      <c r="J16" s="10" t="n">
        <v>-272.29</v>
      </c>
      <c r="K16" s="11" t="n">
        <v>-0.0798</v>
      </c>
      <c r="L16" s="11" t="n">
        <v>-0.3545</v>
      </c>
      <c r="M16" s="26" t="n">
        <v>30</v>
      </c>
    </row>
    <row r="17" customFormat="false" ht="15" hidden="false" customHeight="false" outlineLevel="0" collapsed="false">
      <c r="A17" s="27" t="n">
        <v>57502</v>
      </c>
      <c r="B17" s="12" t="s">
        <v>234</v>
      </c>
      <c r="C17" s="28" t="n">
        <v>7510</v>
      </c>
      <c r="D17" s="28" t="n">
        <v>7510</v>
      </c>
      <c r="E17" s="14" t="n">
        <v>5257</v>
      </c>
      <c r="F17" s="14" t="n">
        <v>0</v>
      </c>
      <c r="G17" s="14" t="n">
        <v>5257</v>
      </c>
      <c r="H17" s="14" t="n">
        <v>0</v>
      </c>
      <c r="I17" s="14" t="n">
        <v>5257</v>
      </c>
      <c r="J17" s="14" t="n">
        <v>5257</v>
      </c>
      <c r="K17" s="15" t="n">
        <v>1</v>
      </c>
      <c r="L17" s="15" t="n">
        <v>1</v>
      </c>
      <c r="M17" s="29" t="n">
        <v>7</v>
      </c>
    </row>
    <row r="18" customFormat="false" ht="15" hidden="false" customHeight="false" outlineLevel="0" collapsed="false">
      <c r="A18" s="24" t="n">
        <v>57510</v>
      </c>
      <c r="B18" s="8" t="s">
        <v>530</v>
      </c>
      <c r="C18" s="25" t="n">
        <v>48</v>
      </c>
      <c r="D18" s="25" t="n">
        <v>48</v>
      </c>
      <c r="E18" s="10" t="n">
        <v>0</v>
      </c>
      <c r="F18" s="10" t="n">
        <v>1338.72</v>
      </c>
      <c r="G18" s="10" t="n">
        <v>1338.72</v>
      </c>
      <c r="H18" s="10" t="n">
        <v>63.7392</v>
      </c>
      <c r="I18" s="10" t="n">
        <v>1274.98</v>
      </c>
      <c r="J18" s="10" t="n">
        <v>907.21</v>
      </c>
      <c r="K18" s="11" t="n">
        <v>0.9524</v>
      </c>
      <c r="L18" s="11" t="n">
        <v>0.6777</v>
      </c>
      <c r="M18" s="26" t="n">
        <v>30</v>
      </c>
    </row>
    <row r="19" customFormat="false" ht="15" hidden="false" customHeight="false" outlineLevel="0" collapsed="false">
      <c r="A19" s="27" t="n">
        <v>57855</v>
      </c>
      <c r="B19" s="12" t="s">
        <v>568</v>
      </c>
      <c r="C19" s="28" t="n">
        <v>600</v>
      </c>
      <c r="D19" s="28" t="n">
        <v>600</v>
      </c>
      <c r="E19" s="14" t="n">
        <v>0</v>
      </c>
      <c r="F19" s="14" t="n">
        <v>1878</v>
      </c>
      <c r="G19" s="14" t="n">
        <v>1878</v>
      </c>
      <c r="H19" s="14" t="n">
        <v>297.72</v>
      </c>
      <c r="I19" s="14" t="n">
        <v>1580.28</v>
      </c>
      <c r="J19" s="14" t="n">
        <v>1064.36</v>
      </c>
      <c r="K19" s="15" t="n">
        <v>0.8415</v>
      </c>
      <c r="L19" s="15" t="n">
        <v>0.5668</v>
      </c>
      <c r="M19" s="29" t="n">
        <v>30</v>
      </c>
    </row>
    <row r="20" customFormat="false" ht="15" hidden="false" customHeight="false" outlineLevel="0" collapsed="false">
      <c r="A20" s="24" t="n">
        <v>90006</v>
      </c>
      <c r="B20" s="8" t="s">
        <v>447</v>
      </c>
      <c r="C20" s="25" t="n">
        <v>48</v>
      </c>
      <c r="D20" s="25" t="n">
        <v>48</v>
      </c>
      <c r="E20" s="10" t="n">
        <v>4195</v>
      </c>
      <c r="F20" s="10" t="n">
        <v>86557.56</v>
      </c>
      <c r="G20" s="10" t="n">
        <v>90752.56</v>
      </c>
      <c r="H20" s="10" t="n">
        <v>69875.43</v>
      </c>
      <c r="I20" s="10" t="n">
        <v>20877.13</v>
      </c>
      <c r="J20" s="10" t="n">
        <v>6713.39</v>
      </c>
      <c r="K20" s="11" t="n">
        <v>0.23</v>
      </c>
      <c r="L20" s="11" t="n">
        <v>0.074</v>
      </c>
      <c r="M20" s="26" t="n">
        <v>47.79</v>
      </c>
    </row>
    <row r="21" customFormat="false" ht="15" hidden="false" customHeight="false" outlineLevel="0" collapsed="false">
      <c r="A21" s="27" t="n">
        <v>90103</v>
      </c>
      <c r="B21" s="12" t="s">
        <v>468</v>
      </c>
      <c r="C21" s="28" t="n">
        <v>6</v>
      </c>
      <c r="D21" s="28" t="n">
        <v>6</v>
      </c>
      <c r="E21" s="14" t="n">
        <v>99.76</v>
      </c>
      <c r="F21" s="14" t="n">
        <v>22795.22</v>
      </c>
      <c r="G21" s="14" t="n">
        <v>22894.98</v>
      </c>
      <c r="H21" s="14" t="n">
        <v>13727.26</v>
      </c>
      <c r="I21" s="14" t="n">
        <v>9167.72</v>
      </c>
      <c r="J21" s="14" t="n">
        <v>2870.2</v>
      </c>
      <c r="K21" s="15" t="n">
        <v>0.4004</v>
      </c>
      <c r="L21" s="15" t="n">
        <v>0.1254</v>
      </c>
      <c r="M21" s="29" t="n">
        <v>51.3</v>
      </c>
    </row>
    <row r="22" customFormat="false" ht="15" hidden="false" customHeight="false" outlineLevel="0" collapsed="false">
      <c r="A22" s="24" t="n">
        <v>90238</v>
      </c>
      <c r="B22" s="8" t="s">
        <v>471</v>
      </c>
      <c r="C22" s="25" t="n">
        <v>1828</v>
      </c>
      <c r="D22" s="25" t="n">
        <v>1828</v>
      </c>
      <c r="E22" s="10" t="n">
        <v>0</v>
      </c>
      <c r="F22" s="10" t="n">
        <v>4960.2</v>
      </c>
      <c r="G22" s="10" t="n">
        <v>4960.2</v>
      </c>
      <c r="H22" s="10" t="n">
        <v>192281.0668</v>
      </c>
      <c r="I22" s="10" t="n">
        <v>-187320.87</v>
      </c>
      <c r="J22" s="10" t="n">
        <v>-188683.53</v>
      </c>
      <c r="K22" s="11" t="n">
        <v>-37.7648</v>
      </c>
      <c r="L22" s="11" t="n">
        <v>-38.0395</v>
      </c>
      <c r="M22" s="26" t="n">
        <v>30</v>
      </c>
    </row>
    <row r="23" customFormat="false" ht="15" hidden="false" customHeight="false" outlineLevel="0" collapsed="false">
      <c r="A23" s="27" t="n">
        <v>90340</v>
      </c>
      <c r="B23" s="12" t="s">
        <v>468</v>
      </c>
      <c r="C23" s="28" t="n">
        <v>7</v>
      </c>
      <c r="D23" s="28" t="n">
        <v>7</v>
      </c>
      <c r="E23" s="14" t="n">
        <v>0</v>
      </c>
      <c r="F23" s="14" t="n">
        <v>715.92</v>
      </c>
      <c r="G23" s="14" t="n">
        <v>715.92</v>
      </c>
      <c r="H23" s="14" t="n">
        <v>470</v>
      </c>
      <c r="I23" s="14" t="n">
        <v>245.92</v>
      </c>
      <c r="J23" s="14" t="n">
        <v>49.25</v>
      </c>
      <c r="K23" s="15" t="n">
        <v>0.3435</v>
      </c>
      <c r="L23" s="15" t="n">
        <v>0.0688</v>
      </c>
      <c r="M23" s="29" t="n">
        <v>30</v>
      </c>
    </row>
    <row r="24" customFormat="false" ht="15" hidden="false" customHeight="false" outlineLevel="0" collapsed="false">
      <c r="A24" s="24" t="n">
        <v>90371</v>
      </c>
      <c r="B24" s="8" t="s">
        <v>473</v>
      </c>
      <c r="C24" s="25" t="n">
        <v>4570</v>
      </c>
      <c r="D24" s="25" t="n">
        <v>4570</v>
      </c>
      <c r="E24" s="10" t="n">
        <v>0</v>
      </c>
      <c r="F24" s="10" t="n">
        <v>85727.75</v>
      </c>
      <c r="G24" s="10" t="n">
        <v>85727.75</v>
      </c>
      <c r="H24" s="10" t="n">
        <v>26482.5108</v>
      </c>
      <c r="I24" s="10" t="n">
        <v>59245.26</v>
      </c>
      <c r="J24" s="10" t="n">
        <v>35694.02</v>
      </c>
      <c r="K24" s="11" t="n">
        <v>0.6911</v>
      </c>
      <c r="L24" s="11" t="n">
        <v>0.4164</v>
      </c>
      <c r="M24" s="26" t="n">
        <v>58.52</v>
      </c>
    </row>
    <row r="25" customFormat="false" ht="15" hidden="false" customHeight="false" outlineLevel="0" collapsed="false">
      <c r="A25" s="27" t="n">
        <v>90392</v>
      </c>
      <c r="B25" s="12" t="s">
        <v>475</v>
      </c>
      <c r="C25" s="28" t="n">
        <v>460</v>
      </c>
      <c r="D25" s="28" t="n">
        <v>460</v>
      </c>
      <c r="E25" s="14" t="n">
        <v>0</v>
      </c>
      <c r="F25" s="14" t="n">
        <v>3972.25</v>
      </c>
      <c r="G25" s="14" t="n">
        <v>3972.25</v>
      </c>
      <c r="H25" s="14" t="n">
        <v>1241.7</v>
      </c>
      <c r="I25" s="14" t="n">
        <v>2730.55</v>
      </c>
      <c r="J25" s="14" t="n">
        <v>1863.93</v>
      </c>
      <c r="K25" s="15" t="n">
        <v>0.6874</v>
      </c>
      <c r="L25" s="15" t="n">
        <v>0.4692</v>
      </c>
      <c r="M25" s="29" t="n">
        <v>60</v>
      </c>
    </row>
    <row r="26" customFormat="false" ht="15" hidden="false" customHeight="false" outlineLevel="0" collapsed="false">
      <c r="A26" s="24" t="n">
        <v>90401</v>
      </c>
      <c r="B26" s="8" t="s">
        <v>473</v>
      </c>
      <c r="C26" s="25" t="n">
        <v>385</v>
      </c>
      <c r="D26" s="25" t="n">
        <v>385</v>
      </c>
      <c r="E26" s="10" t="n">
        <v>0</v>
      </c>
      <c r="F26" s="10" t="n">
        <v>23225.28</v>
      </c>
      <c r="G26" s="10" t="n">
        <v>23225.28</v>
      </c>
      <c r="H26" s="10" t="n">
        <v>10420.8048</v>
      </c>
      <c r="I26" s="10" t="n">
        <v>12804.48</v>
      </c>
      <c r="J26" s="10" t="n">
        <v>6424.09</v>
      </c>
      <c r="K26" s="11" t="n">
        <v>0.5513</v>
      </c>
      <c r="L26" s="11" t="n">
        <v>0.2766</v>
      </c>
      <c r="M26" s="26" t="n">
        <v>59.06</v>
      </c>
    </row>
    <row r="27" customFormat="false" ht="15" hidden="false" customHeight="false" outlineLevel="0" collapsed="false">
      <c r="A27" s="27" t="n">
        <v>90405</v>
      </c>
      <c r="B27" s="12" t="s">
        <v>476</v>
      </c>
      <c r="C27" s="28" t="n">
        <v>151</v>
      </c>
      <c r="D27" s="28" t="n">
        <v>151</v>
      </c>
      <c r="E27" s="14" t="n">
        <v>0</v>
      </c>
      <c r="F27" s="14" t="n">
        <v>10575.4</v>
      </c>
      <c r="G27" s="14" t="n">
        <v>10575.4</v>
      </c>
      <c r="H27" s="14" t="n">
        <v>9725.7996</v>
      </c>
      <c r="I27" s="14" t="n">
        <v>849.6</v>
      </c>
      <c r="J27" s="14" t="n">
        <v>-2055.68</v>
      </c>
      <c r="K27" s="15" t="n">
        <v>0.0803</v>
      </c>
      <c r="L27" s="15" t="n">
        <v>-0.1944</v>
      </c>
      <c r="M27" s="29" t="n">
        <v>30</v>
      </c>
    </row>
    <row r="28" customFormat="false" ht="15" hidden="false" customHeight="false" outlineLevel="0" collapsed="false">
      <c r="A28" s="24" t="n">
        <v>90413</v>
      </c>
      <c r="B28" s="8" t="s">
        <v>477</v>
      </c>
      <c r="C28" s="25" t="n">
        <v>99</v>
      </c>
      <c r="D28" s="25" t="n">
        <v>99</v>
      </c>
      <c r="E28" s="10" t="n">
        <v>0</v>
      </c>
      <c r="F28" s="10" t="n">
        <v>14572.8</v>
      </c>
      <c r="G28" s="10" t="n">
        <v>14572.8</v>
      </c>
      <c r="H28" s="10" t="n">
        <v>1440</v>
      </c>
      <c r="I28" s="10" t="n">
        <v>13132.8</v>
      </c>
      <c r="J28" s="10" t="n">
        <v>12903.7</v>
      </c>
      <c r="K28" s="11" t="n">
        <v>0.9012</v>
      </c>
      <c r="L28" s="11" t="n">
        <v>0.8855</v>
      </c>
      <c r="M28" s="26" t="n">
        <v>30</v>
      </c>
    </row>
    <row r="29" customFormat="false" ht="15" hidden="false" customHeight="false" outlineLevel="0" collapsed="false">
      <c r="A29" s="27" t="n">
        <v>90425</v>
      </c>
      <c r="B29" s="12" t="s">
        <v>479</v>
      </c>
      <c r="C29" s="28" t="n">
        <v>3782</v>
      </c>
      <c r="D29" s="28" t="n">
        <v>3782</v>
      </c>
      <c r="E29" s="14" t="n">
        <v>0</v>
      </c>
      <c r="F29" s="14" t="n">
        <v>36425.72</v>
      </c>
      <c r="G29" s="14" t="n">
        <v>36425.72</v>
      </c>
      <c r="H29" s="14" t="n">
        <v>33237.028</v>
      </c>
      <c r="I29" s="14" t="n">
        <v>3188.7</v>
      </c>
      <c r="J29" s="14" t="n">
        <v>-6818.18</v>
      </c>
      <c r="K29" s="15" t="n">
        <v>0.0875</v>
      </c>
      <c r="L29" s="15" t="n">
        <v>-0.1872</v>
      </c>
      <c r="M29" s="29" t="n">
        <v>52.65</v>
      </c>
    </row>
    <row r="30" customFormat="false" ht="15" hidden="false" customHeight="false" outlineLevel="0" collapsed="false">
      <c r="A30" s="24" t="n">
        <v>90428</v>
      </c>
      <c r="B30" s="8" t="s">
        <v>480</v>
      </c>
      <c r="C30" s="25" t="n">
        <v>130</v>
      </c>
      <c r="D30" s="25" t="n">
        <v>130</v>
      </c>
      <c r="E30" s="10" t="n">
        <v>0</v>
      </c>
      <c r="F30" s="10" t="n">
        <v>1309.53</v>
      </c>
      <c r="G30" s="10" t="n">
        <v>1309.53</v>
      </c>
      <c r="H30" s="10" t="n">
        <v>294.64</v>
      </c>
      <c r="I30" s="10" t="n">
        <v>1014.89</v>
      </c>
      <c r="J30" s="10" t="n">
        <v>655.13</v>
      </c>
      <c r="K30" s="11" t="n">
        <v>0.775</v>
      </c>
      <c r="L30" s="11" t="n">
        <v>0.5003</v>
      </c>
      <c r="M30" s="26" t="n">
        <v>36.05</v>
      </c>
    </row>
    <row r="31" customFormat="false" ht="15" hidden="false" customHeight="false" outlineLevel="0" collapsed="false">
      <c r="A31" s="27" t="n">
        <v>90436</v>
      </c>
      <c r="B31" s="12" t="s">
        <v>481</v>
      </c>
      <c r="C31" s="28" t="n">
        <v>689</v>
      </c>
      <c r="D31" s="28" t="n">
        <v>689</v>
      </c>
      <c r="E31" s="14" t="n">
        <v>0</v>
      </c>
      <c r="F31" s="14" t="n">
        <v>21145.92</v>
      </c>
      <c r="G31" s="14" t="n">
        <v>21145.92</v>
      </c>
      <c r="H31" s="14" t="n">
        <v>0</v>
      </c>
      <c r="I31" s="14" t="n">
        <v>21145.92</v>
      </c>
      <c r="J31" s="14" t="n">
        <v>21145.92</v>
      </c>
      <c r="K31" s="15" t="n">
        <v>1</v>
      </c>
      <c r="L31" s="15" t="n">
        <v>1</v>
      </c>
      <c r="M31" s="29" t="n">
        <v>55.82</v>
      </c>
    </row>
    <row r="32" customFormat="false" ht="15" hidden="false" customHeight="false" outlineLevel="0" collapsed="false">
      <c r="A32" s="24" t="n">
        <v>90440</v>
      </c>
      <c r="B32" s="8" t="s">
        <v>482</v>
      </c>
      <c r="C32" s="25" t="n">
        <v>139</v>
      </c>
      <c r="D32" s="25" t="n">
        <v>139</v>
      </c>
      <c r="E32" s="10" t="n">
        <v>0</v>
      </c>
      <c r="F32" s="10" t="n">
        <v>90088.94</v>
      </c>
      <c r="G32" s="10" t="n">
        <v>90088.94</v>
      </c>
      <c r="H32" s="10" t="n">
        <v>20713.61</v>
      </c>
      <c r="I32" s="10" t="n">
        <v>69375.33</v>
      </c>
      <c r="J32" s="10" t="n">
        <v>44626.09</v>
      </c>
      <c r="K32" s="11" t="n">
        <v>0.7701</v>
      </c>
      <c r="L32" s="11" t="n">
        <v>0.4954</v>
      </c>
      <c r="M32" s="26" t="n">
        <v>28</v>
      </c>
    </row>
    <row r="33" customFormat="false" ht="15" hidden="false" customHeight="false" outlineLevel="0" collapsed="false">
      <c r="A33" s="27" t="n">
        <v>90467</v>
      </c>
      <c r="B33" s="12" t="s">
        <v>486</v>
      </c>
      <c r="C33" s="28" t="n">
        <v>39</v>
      </c>
      <c r="D33" s="28" t="n">
        <v>39</v>
      </c>
      <c r="E33" s="14" t="n">
        <v>0</v>
      </c>
      <c r="F33" s="14" t="n">
        <v>8779.29</v>
      </c>
      <c r="G33" s="14" t="n">
        <v>8779.29</v>
      </c>
      <c r="H33" s="14" t="n">
        <v>3796.86</v>
      </c>
      <c r="I33" s="14" t="n">
        <v>4982.43</v>
      </c>
      <c r="J33" s="14" t="n">
        <v>3163.38</v>
      </c>
      <c r="K33" s="15" t="n">
        <v>0.5675</v>
      </c>
      <c r="L33" s="15" t="n">
        <v>0.3603</v>
      </c>
      <c r="M33" s="29" t="n">
        <v>52.77</v>
      </c>
    </row>
    <row r="34" customFormat="false" ht="15" hidden="false" customHeight="false" outlineLevel="0" collapsed="false">
      <c r="A34" s="24" t="n">
        <v>90476</v>
      </c>
      <c r="B34" s="8" t="s">
        <v>477</v>
      </c>
      <c r="C34" s="25" t="n">
        <v>236</v>
      </c>
      <c r="D34" s="25" t="n">
        <v>236</v>
      </c>
      <c r="E34" s="10" t="n">
        <v>279.33</v>
      </c>
      <c r="F34" s="10" t="n">
        <v>9159.55</v>
      </c>
      <c r="G34" s="10" t="n">
        <v>9438.88</v>
      </c>
      <c r="H34" s="10" t="n">
        <v>2284.9607</v>
      </c>
      <c r="I34" s="10" t="n">
        <v>7153.92</v>
      </c>
      <c r="J34" s="10" t="n">
        <v>4560.89</v>
      </c>
      <c r="K34" s="11" t="n">
        <v>0.7579</v>
      </c>
      <c r="L34" s="11" t="n">
        <v>0.4832</v>
      </c>
      <c r="M34" s="26" t="n">
        <v>21.65</v>
      </c>
    </row>
    <row r="35" customFormat="false" ht="15" hidden="false" customHeight="false" outlineLevel="0" collapsed="false">
      <c r="A35" s="27" t="n">
        <v>90480</v>
      </c>
      <c r="B35" s="12" t="s">
        <v>545</v>
      </c>
      <c r="C35" s="28" t="n">
        <v>27</v>
      </c>
      <c r="D35" s="28" t="n">
        <v>27</v>
      </c>
      <c r="E35" s="14" t="n">
        <v>0</v>
      </c>
      <c r="F35" s="14" t="n">
        <v>341.16</v>
      </c>
      <c r="G35" s="14" t="n">
        <v>341.16</v>
      </c>
      <c r="H35" s="14" t="n">
        <v>2901.44</v>
      </c>
      <c r="I35" s="14" t="n">
        <v>-2560.28</v>
      </c>
      <c r="J35" s="14" t="n">
        <v>-2654.01</v>
      </c>
      <c r="K35" s="15" t="n">
        <v>-7.5046</v>
      </c>
      <c r="L35" s="15" t="n">
        <v>-7.7794</v>
      </c>
      <c r="M35" s="29" t="n">
        <v>29.11</v>
      </c>
    </row>
    <row r="36" customFormat="false" ht="15" hidden="false" customHeight="false" outlineLevel="0" collapsed="false">
      <c r="A36" s="24" t="n">
        <v>90506</v>
      </c>
      <c r="B36" s="8" t="s">
        <v>473</v>
      </c>
      <c r="C36" s="25" t="n">
        <v>2024</v>
      </c>
      <c r="D36" s="25" t="n">
        <v>2024</v>
      </c>
      <c r="E36" s="10" t="n">
        <v>0</v>
      </c>
      <c r="F36" s="10" t="n">
        <v>61809.6</v>
      </c>
      <c r="G36" s="10" t="n">
        <v>61809.6</v>
      </c>
      <c r="H36" s="10" t="n">
        <v>29419.1674</v>
      </c>
      <c r="I36" s="10" t="n">
        <v>32390.44</v>
      </c>
      <c r="J36" s="10" t="n">
        <v>15410.03</v>
      </c>
      <c r="K36" s="11" t="n">
        <v>0.524</v>
      </c>
      <c r="L36" s="11" t="n">
        <v>0.2493</v>
      </c>
      <c r="M36" s="26" t="n">
        <v>60</v>
      </c>
    </row>
    <row r="37" customFormat="false" ht="15" hidden="false" customHeight="false" outlineLevel="0" collapsed="false">
      <c r="A37" s="27" t="n">
        <v>90584</v>
      </c>
      <c r="B37" s="12" t="s">
        <v>489</v>
      </c>
      <c r="C37" s="28" t="n">
        <v>7</v>
      </c>
      <c r="D37" s="28" t="n">
        <v>7</v>
      </c>
      <c r="E37" s="14" t="n">
        <v>0</v>
      </c>
      <c r="F37" s="14" t="n">
        <v>4028</v>
      </c>
      <c r="G37" s="14" t="n">
        <v>4028</v>
      </c>
      <c r="H37" s="14" t="n">
        <v>5462.8198</v>
      </c>
      <c r="I37" s="14" t="n">
        <v>-1434.82</v>
      </c>
      <c r="J37" s="14" t="n">
        <v>-2293.02</v>
      </c>
      <c r="K37" s="15" t="n">
        <v>-0.3562</v>
      </c>
      <c r="L37" s="15" t="n">
        <v>-0.5693</v>
      </c>
      <c r="M37" s="29" t="n">
        <v>42.16</v>
      </c>
    </row>
    <row r="38" customFormat="false" ht="15" hidden="false" customHeight="false" outlineLevel="0" collapsed="false">
      <c r="A38" s="24" t="n">
        <v>90605</v>
      </c>
      <c r="B38" s="8" t="s">
        <v>490</v>
      </c>
      <c r="C38" s="25" t="n">
        <v>238</v>
      </c>
      <c r="D38" s="25" t="n">
        <v>238</v>
      </c>
      <c r="E38" s="10" t="n">
        <v>0</v>
      </c>
      <c r="F38" s="10" t="n">
        <v>15215</v>
      </c>
      <c r="G38" s="10" t="n">
        <v>15215</v>
      </c>
      <c r="H38" s="10" t="n">
        <v>0</v>
      </c>
      <c r="I38" s="10" t="n">
        <v>15215</v>
      </c>
      <c r="J38" s="10" t="n">
        <v>15215</v>
      </c>
      <c r="K38" s="11" t="n">
        <v>1</v>
      </c>
      <c r="L38" s="11" t="n">
        <v>1</v>
      </c>
      <c r="M38" s="26" t="n">
        <v>60</v>
      </c>
    </row>
    <row r="39" customFormat="false" ht="15" hidden="false" customHeight="false" outlineLevel="0" collapsed="false">
      <c r="A39" s="27" t="n">
        <v>90612</v>
      </c>
      <c r="B39" s="12" t="s">
        <v>553</v>
      </c>
      <c r="C39" s="28" t="n">
        <v>56</v>
      </c>
      <c r="D39" s="28" t="n">
        <v>56</v>
      </c>
      <c r="E39" s="14" t="n">
        <v>0</v>
      </c>
      <c r="F39" s="14" t="n">
        <v>586.32</v>
      </c>
      <c r="G39" s="14" t="n">
        <v>586.32</v>
      </c>
      <c r="H39" s="14" t="n">
        <v>255.08</v>
      </c>
      <c r="I39" s="14" t="n">
        <v>331.24</v>
      </c>
      <c r="J39" s="14" t="n">
        <v>170.17</v>
      </c>
      <c r="K39" s="15" t="n">
        <v>0.5649</v>
      </c>
      <c r="L39" s="15" t="n">
        <v>0.2902</v>
      </c>
      <c r="M39" s="29" t="n">
        <v>28</v>
      </c>
    </row>
    <row r="40" customFormat="false" ht="15" hidden="false" customHeight="false" outlineLevel="0" collapsed="false">
      <c r="A40" s="24" t="n">
        <v>90613</v>
      </c>
      <c r="B40" s="8" t="s">
        <v>516</v>
      </c>
      <c r="C40" s="25" t="n">
        <v>72</v>
      </c>
      <c r="D40" s="25" t="n">
        <v>72</v>
      </c>
      <c r="E40" s="10" t="n">
        <v>0</v>
      </c>
      <c r="F40" s="10" t="n">
        <v>776.46</v>
      </c>
      <c r="G40" s="10" t="n">
        <v>776.46</v>
      </c>
      <c r="H40" s="10" t="n">
        <v>0</v>
      </c>
      <c r="I40" s="10" t="n">
        <v>776.46</v>
      </c>
      <c r="J40" s="10" t="n">
        <v>776.46</v>
      </c>
      <c r="K40" s="11" t="n">
        <v>1</v>
      </c>
      <c r="L40" s="11" t="n">
        <v>1</v>
      </c>
      <c r="M40" s="26" t="n">
        <v>28.56</v>
      </c>
    </row>
    <row r="41" customFormat="false" ht="15" hidden="false" customHeight="false" outlineLevel="0" collapsed="false">
      <c r="A41" s="27" t="n">
        <v>90617</v>
      </c>
      <c r="B41" s="12" t="s">
        <v>492</v>
      </c>
      <c r="C41" s="28" t="n">
        <v>1303</v>
      </c>
      <c r="D41" s="28" t="n">
        <v>1303</v>
      </c>
      <c r="E41" s="14" t="n">
        <v>0</v>
      </c>
      <c r="F41" s="14" t="n">
        <v>73656.55</v>
      </c>
      <c r="G41" s="14" t="n">
        <v>73656.55</v>
      </c>
      <c r="H41" s="14" t="n">
        <v>33371.7254</v>
      </c>
      <c r="I41" s="14" t="n">
        <v>40284.84</v>
      </c>
      <c r="J41" s="14" t="n">
        <v>20049.87</v>
      </c>
      <c r="K41" s="15" t="n">
        <v>0.5469</v>
      </c>
      <c r="L41" s="15" t="n">
        <v>0.2722</v>
      </c>
      <c r="M41" s="29" t="n">
        <v>65.35</v>
      </c>
    </row>
    <row r="42" customFormat="false" ht="15" hidden="false" customHeight="false" outlineLevel="0" collapsed="false">
      <c r="A42" s="24" t="n">
        <v>90620</v>
      </c>
      <c r="B42" s="8" t="s">
        <v>569</v>
      </c>
      <c r="C42" s="25" t="n">
        <v>120</v>
      </c>
      <c r="D42" s="25" t="n">
        <v>120</v>
      </c>
      <c r="E42" s="10" t="n">
        <v>0</v>
      </c>
      <c r="F42" s="10" t="n">
        <v>1592.1</v>
      </c>
      <c r="G42" s="10" t="n">
        <v>1592.1</v>
      </c>
      <c r="H42" s="10" t="n">
        <v>0</v>
      </c>
      <c r="I42" s="10" t="n">
        <v>1592.1</v>
      </c>
      <c r="J42" s="10" t="n">
        <v>1592.1</v>
      </c>
      <c r="K42" s="11" t="n">
        <v>1</v>
      </c>
      <c r="L42" s="11" t="n">
        <v>1</v>
      </c>
      <c r="M42" s="26" t="n">
        <v>42</v>
      </c>
    </row>
    <row r="43" customFormat="false" ht="15" hidden="false" customHeight="false" outlineLevel="0" collapsed="false">
      <c r="A43" s="27" t="n">
        <v>90623</v>
      </c>
      <c r="B43" s="12" t="s">
        <v>473</v>
      </c>
      <c r="C43" s="28" t="n">
        <v>1085</v>
      </c>
      <c r="D43" s="28" t="n">
        <v>1085</v>
      </c>
      <c r="E43" s="14" t="n">
        <v>0</v>
      </c>
      <c r="F43" s="14" t="n">
        <v>106972.63</v>
      </c>
      <c r="G43" s="14" t="n">
        <v>106972.63</v>
      </c>
      <c r="H43" s="14" t="n">
        <v>49471.7628</v>
      </c>
      <c r="I43" s="14" t="n">
        <v>57500.87</v>
      </c>
      <c r="J43" s="14" t="n">
        <v>28113.47</v>
      </c>
      <c r="K43" s="15" t="n">
        <v>0.5375</v>
      </c>
      <c r="L43" s="15" t="n">
        <v>0.2628</v>
      </c>
      <c r="M43" s="29" t="n">
        <v>61.21</v>
      </c>
    </row>
    <row r="44" customFormat="false" ht="15" hidden="false" customHeight="false" outlineLevel="0" collapsed="false">
      <c r="A44" s="24" t="n">
        <v>90625</v>
      </c>
      <c r="B44" s="8" t="s">
        <v>473</v>
      </c>
      <c r="C44" s="25" t="n">
        <v>1747</v>
      </c>
      <c r="D44" s="25" t="n">
        <v>1747</v>
      </c>
      <c r="E44" s="10" t="n">
        <v>0</v>
      </c>
      <c r="F44" s="10" t="n">
        <v>84023.51</v>
      </c>
      <c r="G44" s="10" t="n">
        <v>84023.51</v>
      </c>
      <c r="H44" s="10" t="n">
        <v>34080.0694</v>
      </c>
      <c r="I44" s="10" t="n">
        <v>49943.45</v>
      </c>
      <c r="J44" s="10" t="n">
        <v>26860.33</v>
      </c>
      <c r="K44" s="11" t="n">
        <v>0.5944</v>
      </c>
      <c r="L44" s="11" t="n">
        <v>0.3197</v>
      </c>
      <c r="M44" s="26" t="n">
        <v>59.15</v>
      </c>
    </row>
    <row r="45" customFormat="false" ht="15" hidden="false" customHeight="false" outlineLevel="0" collapsed="false">
      <c r="A45" s="27" t="n">
        <v>90630</v>
      </c>
      <c r="B45" s="12" t="s">
        <v>493</v>
      </c>
      <c r="C45" s="28" t="n">
        <v>17</v>
      </c>
      <c r="D45" s="28" t="n">
        <v>17</v>
      </c>
      <c r="E45" s="14" t="n">
        <v>0</v>
      </c>
      <c r="F45" s="14" t="n">
        <v>2908.23</v>
      </c>
      <c r="G45" s="14" t="n">
        <v>2908.23</v>
      </c>
      <c r="H45" s="14" t="n">
        <v>2910.17</v>
      </c>
      <c r="I45" s="14" t="n">
        <v>-1.94</v>
      </c>
      <c r="J45" s="14" t="n">
        <v>-800.89</v>
      </c>
      <c r="K45" s="15" t="n">
        <v>-0.0007</v>
      </c>
      <c r="L45" s="15" t="n">
        <v>-0.2754</v>
      </c>
      <c r="M45" s="29" t="n">
        <v>49.72</v>
      </c>
    </row>
    <row r="46" customFormat="false" ht="15" hidden="false" customHeight="false" outlineLevel="0" collapsed="false">
      <c r="A46" s="24" t="n">
        <v>90640</v>
      </c>
      <c r="B46" s="8" t="s">
        <v>473</v>
      </c>
      <c r="C46" s="25" t="n">
        <v>65</v>
      </c>
      <c r="D46" s="25" t="n">
        <v>65</v>
      </c>
      <c r="E46" s="10" t="n">
        <v>0</v>
      </c>
      <c r="F46" s="10" t="n">
        <v>10502.07</v>
      </c>
      <c r="G46" s="10" t="n">
        <v>10502.07</v>
      </c>
      <c r="H46" s="10" t="n">
        <v>4527.6102</v>
      </c>
      <c r="I46" s="10" t="n">
        <v>5974.46</v>
      </c>
      <c r="J46" s="10" t="n">
        <v>3089.32</v>
      </c>
      <c r="K46" s="11" t="n">
        <v>0.5689</v>
      </c>
      <c r="L46" s="11" t="n">
        <v>0.2942</v>
      </c>
      <c r="M46" s="26" t="n">
        <v>60.23</v>
      </c>
    </row>
    <row r="47" customFormat="false" ht="15" hidden="false" customHeight="false" outlineLevel="0" collapsed="false">
      <c r="A47" s="27" t="n">
        <v>90644</v>
      </c>
      <c r="B47" s="12" t="s">
        <v>560</v>
      </c>
      <c r="C47" s="28" t="n">
        <v>160</v>
      </c>
      <c r="D47" s="28" t="n">
        <v>160</v>
      </c>
      <c r="E47" s="14" t="n">
        <v>0</v>
      </c>
      <c r="F47" s="14" t="n">
        <v>3169.53</v>
      </c>
      <c r="G47" s="14" t="n">
        <v>3169.53</v>
      </c>
      <c r="H47" s="14" t="n">
        <v>1274.2894</v>
      </c>
      <c r="I47" s="14" t="n">
        <v>1895.24</v>
      </c>
      <c r="J47" s="14" t="n">
        <v>1024.52</v>
      </c>
      <c r="K47" s="15" t="n">
        <v>0.598</v>
      </c>
      <c r="L47" s="15" t="n">
        <v>0.3232</v>
      </c>
      <c r="M47" s="29" t="n">
        <v>53</v>
      </c>
    </row>
    <row r="48" customFormat="false" ht="15" hidden="false" customHeight="false" outlineLevel="0" collapsed="false">
      <c r="A48" s="24" t="n">
        <v>90664</v>
      </c>
      <c r="B48" s="8" t="s">
        <v>496</v>
      </c>
      <c r="C48" s="25" t="n">
        <v>127</v>
      </c>
      <c r="D48" s="25" t="n">
        <v>127</v>
      </c>
      <c r="E48" s="10" t="n">
        <v>15844.1</v>
      </c>
      <c r="F48" s="10" t="n">
        <v>221085.88</v>
      </c>
      <c r="G48" s="10" t="n">
        <v>236929.98</v>
      </c>
      <c r="H48" s="10" t="n">
        <v>77396.27</v>
      </c>
      <c r="I48" s="10" t="n">
        <v>159533.71</v>
      </c>
      <c r="J48" s="10" t="n">
        <v>92997.06</v>
      </c>
      <c r="K48" s="11" t="n">
        <v>0.6733</v>
      </c>
      <c r="L48" s="11" t="n">
        <v>0.3925</v>
      </c>
      <c r="M48" s="26" t="n">
        <v>40.74</v>
      </c>
    </row>
    <row r="49" customFormat="false" ht="15" hidden="false" customHeight="false" outlineLevel="0" collapsed="false">
      <c r="A49" s="27" t="n">
        <v>90665</v>
      </c>
      <c r="B49" s="12" t="s">
        <v>497</v>
      </c>
      <c r="C49" s="28" t="n">
        <v>8</v>
      </c>
      <c r="D49" s="28" t="n">
        <v>8</v>
      </c>
      <c r="E49" s="14" t="n">
        <v>801</v>
      </c>
      <c r="F49" s="14" t="n">
        <v>6830.84</v>
      </c>
      <c r="G49" s="14" t="n">
        <v>7631.84</v>
      </c>
      <c r="H49" s="14" t="n">
        <v>4162.4</v>
      </c>
      <c r="I49" s="14" t="n">
        <v>3469.44</v>
      </c>
      <c r="J49" s="14" t="n">
        <v>1372.81</v>
      </c>
      <c r="K49" s="15" t="n">
        <v>0.4546</v>
      </c>
      <c r="L49" s="15" t="n">
        <v>0.1799</v>
      </c>
      <c r="M49" s="29" t="n">
        <v>43.76</v>
      </c>
    </row>
    <row r="50" customFormat="false" ht="15" hidden="false" customHeight="false" outlineLevel="0" collapsed="false">
      <c r="A50" s="24" t="n">
        <v>90679</v>
      </c>
      <c r="B50" s="8" t="s">
        <v>548</v>
      </c>
      <c r="C50" s="25" t="n">
        <v>1</v>
      </c>
      <c r="D50" s="25" t="n">
        <v>1</v>
      </c>
      <c r="E50" s="10" t="n">
        <v>0</v>
      </c>
      <c r="F50" s="10" t="n">
        <v>292</v>
      </c>
      <c r="G50" s="10" t="n">
        <v>292</v>
      </c>
      <c r="H50" s="10" t="n">
        <v>96.51</v>
      </c>
      <c r="I50" s="10" t="n">
        <v>195.49</v>
      </c>
      <c r="J50" s="10" t="n">
        <v>115.27</v>
      </c>
      <c r="K50" s="11" t="n">
        <v>0.6695</v>
      </c>
      <c r="L50" s="11" t="n">
        <v>0.3948</v>
      </c>
      <c r="M50" s="26" t="n">
        <v>15</v>
      </c>
    </row>
    <row r="51" customFormat="false" ht="15" hidden="false" customHeight="false" outlineLevel="0" collapsed="false">
      <c r="A51" s="27" t="n">
        <v>90683</v>
      </c>
      <c r="B51" s="12" t="s">
        <v>533</v>
      </c>
      <c r="C51" s="28" t="n">
        <v>1</v>
      </c>
      <c r="D51" s="28" t="n">
        <v>1</v>
      </c>
      <c r="E51" s="14" t="n">
        <v>0</v>
      </c>
      <c r="F51" s="14" t="n">
        <v>430.96</v>
      </c>
      <c r="G51" s="14" t="n">
        <v>430.96</v>
      </c>
      <c r="H51" s="14" t="n">
        <v>6.96</v>
      </c>
      <c r="I51" s="14" t="n">
        <v>424</v>
      </c>
      <c r="J51" s="14" t="n">
        <v>271.83</v>
      </c>
      <c r="K51" s="15" t="n">
        <v>0.9839</v>
      </c>
      <c r="L51" s="15" t="n">
        <v>0.6308</v>
      </c>
      <c r="M51" s="29" t="n">
        <v>30</v>
      </c>
    </row>
    <row r="52" customFormat="false" ht="15" hidden="false" customHeight="false" outlineLevel="0" collapsed="false">
      <c r="A52" s="24" t="n">
        <v>90689</v>
      </c>
      <c r="B52" s="8" t="s">
        <v>519</v>
      </c>
      <c r="C52" s="25" t="n">
        <v>10</v>
      </c>
      <c r="D52" s="25" t="n">
        <v>10</v>
      </c>
      <c r="E52" s="10" t="n">
        <v>0</v>
      </c>
      <c r="F52" s="10" t="n">
        <v>1720</v>
      </c>
      <c r="G52" s="10" t="n">
        <v>1720</v>
      </c>
      <c r="H52" s="10" t="n">
        <v>912.54</v>
      </c>
      <c r="I52" s="10" t="n">
        <v>807.46</v>
      </c>
      <c r="J52" s="10" t="n">
        <v>441</v>
      </c>
      <c r="K52" s="11" t="n">
        <v>0.4695</v>
      </c>
      <c r="L52" s="11" t="n">
        <v>0.2564</v>
      </c>
      <c r="M52" s="26" t="n">
        <v>60</v>
      </c>
    </row>
    <row r="53" customFormat="false" ht="15" hidden="false" customHeight="false" outlineLevel="0" collapsed="false">
      <c r="A53" s="27" t="n">
        <v>90700</v>
      </c>
      <c r="B53" s="12" t="s">
        <v>488</v>
      </c>
      <c r="C53" s="28" t="n">
        <v>174</v>
      </c>
      <c r="D53" s="28" t="n">
        <v>174</v>
      </c>
      <c r="E53" s="14" t="n">
        <v>0</v>
      </c>
      <c r="F53" s="14" t="n">
        <v>31248</v>
      </c>
      <c r="G53" s="14" t="n">
        <v>31248</v>
      </c>
      <c r="H53" s="14" t="n">
        <v>0</v>
      </c>
      <c r="I53" s="14" t="n">
        <v>31248</v>
      </c>
      <c r="J53" s="14" t="n">
        <v>31248</v>
      </c>
      <c r="K53" s="15" t="n">
        <v>1</v>
      </c>
      <c r="L53" s="15" t="n">
        <v>1</v>
      </c>
      <c r="M53" s="29" t="n">
        <v>28</v>
      </c>
    </row>
    <row r="54" customFormat="false" ht="15" hidden="false" customHeight="false" outlineLevel="0" collapsed="false">
      <c r="A54" s="24" t="n">
        <v>90705</v>
      </c>
      <c r="B54" s="8" t="s">
        <v>522</v>
      </c>
      <c r="C54" s="25" t="n">
        <v>197</v>
      </c>
      <c r="D54" s="25" t="n">
        <v>197</v>
      </c>
      <c r="E54" s="10" t="n">
        <v>0</v>
      </c>
      <c r="F54" s="10" t="n">
        <v>40074</v>
      </c>
      <c r="G54" s="10" t="n">
        <v>40074</v>
      </c>
      <c r="H54" s="10" t="n">
        <v>21909.6202</v>
      </c>
      <c r="I54" s="10" t="n">
        <v>18164.38</v>
      </c>
      <c r="J54" s="10" t="n">
        <v>9626.38</v>
      </c>
      <c r="K54" s="11" t="n">
        <v>0.4533</v>
      </c>
      <c r="L54" s="11" t="n">
        <v>0.2402</v>
      </c>
      <c r="M54" s="26" t="n">
        <v>60</v>
      </c>
    </row>
    <row r="55" customFormat="false" ht="15" hidden="false" customHeight="false" outlineLevel="0" collapsed="false">
      <c r="A55" s="27" t="n">
        <v>90706</v>
      </c>
      <c r="B55" s="12" t="s">
        <v>523</v>
      </c>
      <c r="C55" s="28" t="n">
        <v>64</v>
      </c>
      <c r="D55" s="28" t="n">
        <v>64</v>
      </c>
      <c r="E55" s="14" t="n">
        <v>0</v>
      </c>
      <c r="F55" s="14" t="n">
        <v>12672</v>
      </c>
      <c r="G55" s="14" t="n">
        <v>12672</v>
      </c>
      <c r="H55" s="14" t="n">
        <v>5924.1984</v>
      </c>
      <c r="I55" s="14" t="n">
        <v>6747.8</v>
      </c>
      <c r="J55" s="14" t="n">
        <v>4047.95</v>
      </c>
      <c r="K55" s="15" t="n">
        <v>0.5325</v>
      </c>
      <c r="L55" s="15" t="n">
        <v>0.3194</v>
      </c>
      <c r="M55" s="29" t="n">
        <v>60</v>
      </c>
    </row>
    <row r="56" customFormat="false" ht="15" hidden="false" customHeight="false" outlineLevel="0" collapsed="false">
      <c r="A56" s="24" t="n">
        <v>90714</v>
      </c>
      <c r="B56" s="8" t="s">
        <v>503</v>
      </c>
      <c r="C56" s="25" t="n">
        <v>10</v>
      </c>
      <c r="D56" s="25" t="n">
        <v>10</v>
      </c>
      <c r="E56" s="10" t="n">
        <v>0</v>
      </c>
      <c r="F56" s="10" t="n">
        <v>1512</v>
      </c>
      <c r="G56" s="10" t="n">
        <v>1512</v>
      </c>
      <c r="H56" s="10" t="n">
        <v>849.29</v>
      </c>
      <c r="I56" s="10" t="n">
        <v>662.71</v>
      </c>
      <c r="J56" s="10" t="n">
        <v>340.57</v>
      </c>
      <c r="K56" s="11" t="n">
        <v>0.4383</v>
      </c>
      <c r="L56" s="11" t="n">
        <v>0.2252</v>
      </c>
      <c r="M56" s="26" t="n">
        <v>60</v>
      </c>
    </row>
    <row r="57" customFormat="false" ht="15" hidden="false" customHeight="false" outlineLevel="0" collapsed="false">
      <c r="A57" s="27" t="n">
        <v>90718</v>
      </c>
      <c r="B57" s="12" t="s">
        <v>525</v>
      </c>
      <c r="C57" s="28" t="n">
        <v>211</v>
      </c>
      <c r="D57" s="28" t="n">
        <v>211</v>
      </c>
      <c r="E57" s="14" t="n">
        <v>0</v>
      </c>
      <c r="F57" s="14" t="n">
        <v>27351.1</v>
      </c>
      <c r="G57" s="14" t="n">
        <v>27351.1</v>
      </c>
      <c r="H57" s="14" t="n">
        <v>17271.8903</v>
      </c>
      <c r="I57" s="14" t="n">
        <v>10079.21</v>
      </c>
      <c r="J57" s="14" t="n">
        <v>2565.31</v>
      </c>
      <c r="K57" s="15" t="n">
        <v>0.3685</v>
      </c>
      <c r="L57" s="15" t="n">
        <v>0.0938</v>
      </c>
      <c r="M57" s="29" t="n">
        <v>60</v>
      </c>
    </row>
    <row r="58" customFormat="false" ht="15" hidden="false" customHeight="false" outlineLevel="0" collapsed="false">
      <c r="A58" s="24" t="n">
        <v>90725</v>
      </c>
      <c r="B58" s="8" t="s">
        <v>528</v>
      </c>
      <c r="C58" s="25" t="n">
        <v>20</v>
      </c>
      <c r="D58" s="25" t="n">
        <v>20</v>
      </c>
      <c r="E58" s="10" t="n">
        <v>0</v>
      </c>
      <c r="F58" s="10" t="n">
        <v>3048</v>
      </c>
      <c r="G58" s="10" t="n">
        <v>3048</v>
      </c>
      <c r="H58" s="10" t="n">
        <v>1624.93</v>
      </c>
      <c r="I58" s="10" t="n">
        <v>1423.07</v>
      </c>
      <c r="J58" s="10" t="n">
        <v>773.68</v>
      </c>
      <c r="K58" s="11" t="n">
        <v>0.4669</v>
      </c>
      <c r="L58" s="11" t="n">
        <v>0.2538</v>
      </c>
      <c r="M58" s="26" t="n">
        <v>60</v>
      </c>
    </row>
    <row r="59" customFormat="false" ht="15" hidden="false" customHeight="false" outlineLevel="0" collapsed="false">
      <c r="A59" s="27" t="n">
        <v>90728</v>
      </c>
      <c r="B59" s="12" t="s">
        <v>477</v>
      </c>
      <c r="C59" s="28" t="n">
        <v>511</v>
      </c>
      <c r="D59" s="28" t="n">
        <v>511</v>
      </c>
      <c r="E59" s="14" t="n">
        <v>0</v>
      </c>
      <c r="F59" s="14" t="n">
        <v>15475.45</v>
      </c>
      <c r="G59" s="14" t="n">
        <v>15475.45</v>
      </c>
      <c r="H59" s="14" t="n">
        <v>5609.3369</v>
      </c>
      <c r="I59" s="14" t="n">
        <v>9866.12</v>
      </c>
      <c r="J59" s="14" t="n">
        <v>5614.7</v>
      </c>
      <c r="K59" s="15" t="n">
        <v>0.6375</v>
      </c>
      <c r="L59" s="15" t="n">
        <v>0.3628</v>
      </c>
      <c r="M59" s="29" t="n">
        <v>49.17</v>
      </c>
    </row>
    <row r="60" customFormat="false" ht="15" hidden="false" customHeight="false" outlineLevel="0" collapsed="false">
      <c r="A60" s="24" t="n">
        <v>90729</v>
      </c>
      <c r="B60" s="8" t="s">
        <v>534</v>
      </c>
      <c r="C60" s="25" t="n">
        <v>155</v>
      </c>
      <c r="D60" s="25" t="n">
        <v>155</v>
      </c>
      <c r="E60" s="10" t="n">
        <v>0</v>
      </c>
      <c r="F60" s="10" t="n">
        <v>1282.35</v>
      </c>
      <c r="G60" s="10" t="n">
        <v>1282.35</v>
      </c>
      <c r="H60" s="10" t="n">
        <v>0</v>
      </c>
      <c r="I60" s="10" t="n">
        <v>1282.35</v>
      </c>
      <c r="J60" s="10" t="n">
        <v>1282.35</v>
      </c>
      <c r="K60" s="11" t="n">
        <v>1</v>
      </c>
      <c r="L60" s="11" t="n">
        <v>1</v>
      </c>
      <c r="M60" s="26" t="n">
        <v>42</v>
      </c>
    </row>
    <row r="61" customFormat="false" ht="15" hidden="false" customHeight="false" outlineLevel="0" collapsed="false">
      <c r="A61" s="27" t="n">
        <v>90734</v>
      </c>
      <c r="B61" s="12" t="s">
        <v>536</v>
      </c>
      <c r="C61" s="28" t="n">
        <v>1030</v>
      </c>
      <c r="D61" s="28" t="n">
        <v>1030</v>
      </c>
      <c r="E61" s="14" t="n">
        <v>0</v>
      </c>
      <c r="F61" s="14" t="n">
        <v>3772.1</v>
      </c>
      <c r="G61" s="14" t="n">
        <v>3772.1</v>
      </c>
      <c r="H61" s="14" t="n">
        <v>0</v>
      </c>
      <c r="I61" s="14" t="n">
        <v>3772.1</v>
      </c>
      <c r="J61" s="14" t="n">
        <v>3772.1</v>
      </c>
      <c r="K61" s="15" t="n">
        <v>1</v>
      </c>
      <c r="L61" s="15" t="n">
        <v>1</v>
      </c>
      <c r="M61" s="29" t="n">
        <v>28</v>
      </c>
    </row>
    <row r="62" customFormat="false" ht="15" hidden="false" customHeight="false" outlineLevel="0" collapsed="false">
      <c r="A62" s="24" t="n">
        <v>90752</v>
      </c>
      <c r="B62" s="8" t="s">
        <v>556</v>
      </c>
      <c r="C62" s="25" t="n">
        <v>42</v>
      </c>
      <c r="D62" s="25" t="n">
        <v>42</v>
      </c>
      <c r="E62" s="10" t="n">
        <v>0</v>
      </c>
      <c r="F62" s="10" t="n">
        <v>5913.6</v>
      </c>
      <c r="G62" s="10" t="n">
        <v>5913.6</v>
      </c>
      <c r="H62" s="10" t="n">
        <v>0</v>
      </c>
      <c r="I62" s="10" t="n">
        <v>5913.6</v>
      </c>
      <c r="J62" s="10" t="n">
        <v>5913.6</v>
      </c>
      <c r="K62" s="11" t="n">
        <v>1</v>
      </c>
      <c r="L62" s="11" t="n">
        <v>1</v>
      </c>
      <c r="M62" s="26" t="n">
        <v>60</v>
      </c>
    </row>
    <row r="63" customFormat="false" ht="15" hidden="false" customHeight="false" outlineLevel="0" collapsed="false">
      <c r="A63" s="27" t="n">
        <v>90755</v>
      </c>
      <c r="B63" s="12" t="s">
        <v>561</v>
      </c>
      <c r="C63" s="28" t="n">
        <v>1010</v>
      </c>
      <c r="D63" s="28" t="n">
        <v>1010</v>
      </c>
      <c r="E63" s="14" t="n">
        <v>0</v>
      </c>
      <c r="F63" s="14" t="n">
        <v>3715.64</v>
      </c>
      <c r="G63" s="14" t="n">
        <v>3715.64</v>
      </c>
      <c r="H63" s="14" t="n">
        <v>0</v>
      </c>
      <c r="I63" s="14" t="n">
        <v>3715.64</v>
      </c>
      <c r="J63" s="14" t="n">
        <v>3715.64</v>
      </c>
      <c r="K63" s="15" t="n">
        <v>1</v>
      </c>
      <c r="L63" s="15" t="n">
        <v>1</v>
      </c>
      <c r="M63" s="29" t="n">
        <v>45.99</v>
      </c>
    </row>
    <row r="64" customFormat="false" ht="15" hidden="false" customHeight="false" outlineLevel="0" collapsed="false">
      <c r="A64" s="24" t="n">
        <v>90756</v>
      </c>
      <c r="B64" s="8" t="s">
        <v>563</v>
      </c>
      <c r="C64" s="25" t="n">
        <v>1</v>
      </c>
      <c r="D64" s="25" t="n">
        <v>1</v>
      </c>
      <c r="E64" s="10" t="n">
        <v>0</v>
      </c>
      <c r="F64" s="10" t="n">
        <v>24.34</v>
      </c>
      <c r="G64" s="10" t="n">
        <v>24.34</v>
      </c>
      <c r="H64" s="10" t="n">
        <v>89.85</v>
      </c>
      <c r="I64" s="10" t="n">
        <v>-65.51</v>
      </c>
      <c r="J64" s="10" t="n">
        <v>-72.19</v>
      </c>
      <c r="K64" s="11" t="n">
        <v>-2.6915</v>
      </c>
      <c r="L64" s="11" t="n">
        <v>-2.9659</v>
      </c>
      <c r="M64" s="26" t="n">
        <v>30</v>
      </c>
    </row>
    <row r="65" customFormat="false" ht="15" hidden="false" customHeight="false" outlineLevel="0" collapsed="false">
      <c r="A65" s="27" t="n">
        <v>90760</v>
      </c>
      <c r="B65" s="12" t="s">
        <v>566</v>
      </c>
      <c r="C65" s="28" t="n">
        <v>103</v>
      </c>
      <c r="D65" s="28" t="n">
        <v>103</v>
      </c>
      <c r="E65" s="14" t="n">
        <v>0</v>
      </c>
      <c r="F65" s="14" t="n">
        <v>42826.5</v>
      </c>
      <c r="G65" s="14" t="n">
        <v>42826.5</v>
      </c>
      <c r="H65" s="14" t="n">
        <v>0</v>
      </c>
      <c r="I65" s="14" t="n">
        <v>42826.5</v>
      </c>
      <c r="J65" s="14" t="n">
        <v>42826.5</v>
      </c>
      <c r="K65" s="15" t="n">
        <v>1</v>
      </c>
      <c r="L65" s="15" t="n">
        <v>1</v>
      </c>
      <c r="M65" s="29" t="n">
        <v>59.23</v>
      </c>
    </row>
    <row r="66" customFormat="false" ht="15" hidden="false" customHeight="false" outlineLevel="0" collapsed="false">
      <c r="A66" s="24" t="n">
        <v>90761</v>
      </c>
      <c r="B66" s="8" t="s">
        <v>567</v>
      </c>
      <c r="C66" s="25" t="n">
        <v>20</v>
      </c>
      <c r="D66" s="25" t="n">
        <v>20</v>
      </c>
      <c r="E66" s="10" t="n">
        <v>0</v>
      </c>
      <c r="F66" s="10" t="n">
        <v>1800</v>
      </c>
      <c r="G66" s="10" t="n">
        <v>1800</v>
      </c>
      <c r="H66" s="10" t="n">
        <v>0</v>
      </c>
      <c r="I66" s="10" t="n">
        <v>1800</v>
      </c>
      <c r="J66" s="10" t="n">
        <v>1800</v>
      </c>
      <c r="K66" s="11" t="n">
        <v>1</v>
      </c>
      <c r="L66" s="11" t="n">
        <v>1</v>
      </c>
      <c r="M66" s="26" t="n">
        <v>16</v>
      </c>
    </row>
    <row r="67" customFormat="false" ht="15" hidden="false" customHeight="false" outlineLevel="0" collapsed="false">
      <c r="A67" s="27" t="n">
        <v>90771</v>
      </c>
      <c r="B67" s="12" t="s">
        <v>473</v>
      </c>
      <c r="C67" s="28" t="n">
        <v>411</v>
      </c>
      <c r="D67" s="28" t="n">
        <v>411</v>
      </c>
      <c r="E67" s="14" t="n">
        <v>0</v>
      </c>
      <c r="F67" s="14" t="n">
        <v>29761.15</v>
      </c>
      <c r="G67" s="14" t="n">
        <v>29761.15</v>
      </c>
      <c r="H67" s="14" t="n">
        <v>6617.7516</v>
      </c>
      <c r="I67" s="14" t="n">
        <v>23143.4</v>
      </c>
      <c r="J67" s="14" t="n">
        <v>15004.6</v>
      </c>
      <c r="K67" s="15" t="n">
        <v>0.7776</v>
      </c>
      <c r="L67" s="15" t="n">
        <v>0.5042</v>
      </c>
      <c r="M67" s="29" t="n">
        <v>57.56</v>
      </c>
    </row>
    <row r="68" customFormat="false" ht="15" hidden="false" customHeight="false" outlineLevel="0" collapsed="false">
      <c r="A68" s="24" t="n">
        <v>90772</v>
      </c>
      <c r="B68" s="8" t="s">
        <v>570</v>
      </c>
      <c r="C68" s="25" t="n">
        <v>12</v>
      </c>
      <c r="D68" s="25" t="n">
        <v>12</v>
      </c>
      <c r="E68" s="10" t="n">
        <v>0</v>
      </c>
      <c r="F68" s="10" t="n">
        <v>564.84</v>
      </c>
      <c r="G68" s="10" t="n">
        <v>564.84</v>
      </c>
      <c r="H68" s="10" t="n">
        <v>266.28</v>
      </c>
      <c r="I68" s="10" t="n">
        <v>298.56</v>
      </c>
      <c r="J68" s="10" t="n">
        <v>99.12</v>
      </c>
      <c r="K68" s="11" t="n">
        <v>0.5286</v>
      </c>
      <c r="L68" s="11" t="n">
        <v>0.1755</v>
      </c>
      <c r="M68" s="26" t="n">
        <v>7</v>
      </c>
    </row>
    <row r="69" customFormat="false" ht="15" hidden="false" customHeight="false" outlineLevel="0" collapsed="false">
      <c r="A69" s="27" t="n">
        <v>90774</v>
      </c>
      <c r="B69" s="12" t="s">
        <v>571</v>
      </c>
      <c r="C69" s="28" t="n">
        <v>8</v>
      </c>
      <c r="D69" s="28" t="n">
        <v>8</v>
      </c>
      <c r="E69" s="14" t="n">
        <v>0</v>
      </c>
      <c r="F69" s="14" t="n">
        <v>2675.52</v>
      </c>
      <c r="G69" s="14" t="n">
        <v>2675.52</v>
      </c>
      <c r="H69" s="14" t="n">
        <v>317.9498</v>
      </c>
      <c r="I69" s="14" t="n">
        <v>2357.57</v>
      </c>
      <c r="J69" s="14" t="n">
        <v>1622.55</v>
      </c>
      <c r="K69" s="15" t="n">
        <v>0.8812</v>
      </c>
      <c r="L69" s="15" t="n">
        <v>0.6064</v>
      </c>
      <c r="M69" s="29" t="n">
        <v>45</v>
      </c>
    </row>
    <row r="70" customFormat="false" ht="15" hidden="false" customHeight="false" outlineLevel="0" collapsed="false">
      <c r="A70" s="16" t="s">
        <v>249</v>
      </c>
      <c r="B70" s="16" t="str">
        <f aca="false">COUNTA(A6:A69)&amp;" produtos"</f>
        <v>64 produtos</v>
      </c>
      <c r="C70" s="30" t="n">
        <f aca="false">SUM(C6:C69)</f>
        <v>40660</v>
      </c>
      <c r="D70" s="30" t="n">
        <f aca="false">SUM(D6:D69)</f>
        <v>40660</v>
      </c>
      <c r="E70" s="18" t="n">
        <f aca="false">SUM(E6:E69)</f>
        <v>33798.19</v>
      </c>
      <c r="F70" s="18" t="n">
        <f aca="false">SUM(F6:F69)</f>
        <v>1302404.96</v>
      </c>
      <c r="G70" s="18" t="n">
        <f aca="false">SUM(G6:G69)</f>
        <v>1336203.15</v>
      </c>
      <c r="H70" s="18" t="n">
        <f aca="false">SUM(H6:H69)</f>
        <v>712345.3923</v>
      </c>
      <c r="I70" s="18" t="n">
        <f aca="false">SUM(I6:I69)</f>
        <v>623857.83</v>
      </c>
      <c r="J70" s="18" t="n">
        <f aca="false">SUM(J6:J69)</f>
        <v>311079.03</v>
      </c>
      <c r="K70" s="19" t="n">
        <f aca="false">IFERROR(I70/G70,0)</f>
        <v>0.466888459288545</v>
      </c>
      <c r="L70" s="19" t="n">
        <f aca="false">IFERROR(J70/G70,0)</f>
        <v>0.232808184893143</v>
      </c>
      <c r="M70" s="31" t="n">
        <f aca="false">IFERROR(SUMPRODUCT(M6:M69,G6:G69)/G70,0)</f>
        <v>49.208697548872</v>
      </c>
    </row>
  </sheetData>
  <autoFilter ref="A5:M69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2026-09-30T21:26:22Z</dcterms:created>
  <dc:creator>openpyxl</dc:creator>
  <dc:description/>
  <dc:language>en-US</dc:language>
  <cp:lastModifiedBy/>
  <dcterms:modified xsi:type="dcterms:W3CDTF">2026-09-30T21:26:24Z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