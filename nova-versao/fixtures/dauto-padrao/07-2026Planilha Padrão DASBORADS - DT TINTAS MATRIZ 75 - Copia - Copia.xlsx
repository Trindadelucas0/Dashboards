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DASHBOARDS ÊXITO\GRUPO DAUTO\75\"/>
    </mc:Choice>
  </mc:AlternateContent>
  <xr:revisionPtr revIDLastSave="0" documentId="13_ncr:1_{0A40BDD4-A736-4F53-8D2C-4C3EFCDE1812}" xr6:coauthVersionLast="47" xr6:coauthVersionMax="47" xr10:uidLastSave="{00000000-0000-0000-0000-000000000000}"/>
  <bookViews>
    <workbookView xWindow="-18030" yWindow="2910" windowWidth="16020" windowHeight="11385" activeTab="1" xr2:uid="{00000000-000D-0000-FFFF-FFFF00000000}"/>
  </bookViews>
  <sheets>
    <sheet name="ICMS 5005-2012" sheetId="1" r:id="rId1"/>
    <sheet name="PIS  COFINS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4" i="6"/>
  <c r="H3" i="6"/>
  <c r="C11" i="6" s="1"/>
  <c r="B4" i="1"/>
  <c r="F4" i="6" l="1"/>
  <c r="H4" i="6" s="1"/>
  <c r="C10" i="6" s="1"/>
  <c r="D4" i="6"/>
</calcChain>
</file>

<file path=xl/sharedStrings.xml><?xml version="1.0" encoding="utf-8"?>
<sst xmlns="http://schemas.openxmlformats.org/spreadsheetml/2006/main" count="18" uniqueCount="15">
  <si>
    <t>DÉBITO ORIGINAL</t>
  </si>
  <si>
    <t>CREDITO ORIGINAL</t>
  </si>
  <si>
    <t>TOTAL</t>
  </si>
  <si>
    <t>SALDO CREDOR</t>
  </si>
  <si>
    <t>DEBITO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</si>
  <si>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</si>
  <si>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</si>
  <si>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</si>
  <si>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</si>
  <si>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</si>
  <si>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</si>
  <si>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</si>
  <si>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PIS</t>
  </si>
  <si>
    <t>COFINS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</si>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</sst>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2" applyFont="1"/>
    <xf numFmtId="0" fontId="3" fillId="0" borderId="1" xfId="0" applyFont="1" applyBorder="1" applyAlignment="1">
      <alignment horizontal="left"/>
    </xf>
    <xf numFmtId="44" fontId="0" fillId="0" borderId="1" xfId="2" applyFont="1" applyBorder="1"/>
    <xf numFmtId="0" fontId="2" fillId="0" borderId="1" xfId="0" applyFon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2" borderId="1" xfId="2" applyFont="1" applyFill="1" applyBorder="1" applyAlignment="1">
      <alignment horizontal="center"/>
    </xf>
    <xf numFmtId="44" fontId="0" fillId="3" borderId="1" xfId="2" applyFont="1" applyFill="1" applyBorder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8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30.140625" customWidth="1"/>
    <col min="2" max="2" width="26.28515625" customWidth="1"/>
    <col min="3" max="3" width="12.140625" bestFit="1" customWidth="1"/>
    <col min="4" max="26" width="8.7109375" customWidth="1"/>
  </cols>
  <sheetData>
    <row r="1" spans="1:4" x14ac:dyDescent="0.25">
      <c r="A1" s="2" t="s">
        <v>0</v>
      </c>
      <c r="B1" s="3">
        <v>27753.9</v>
      </c>
    </row>
    <row r="2" spans="1:4" x14ac:dyDescent="0.25">
      <c r="A2" s="2" t="s">
        <v>1</v>
      </c>
      <c r="B2" s="3">
        <v>18997.95</v>
      </c>
    </row>
    <row r="3" spans="1:4" x14ac:dyDescent="0.25">
      <c r="A3" s="2" t="s">
        <v>3</v>
      </c>
      <c r="B3" s="3">
        <v>14359.05</v>
      </c>
    </row>
    <row r="4" spans="1:4" x14ac:dyDescent="0.25">
      <c r="A4" s="4" t="s">
        <v>2</v>
      </c>
      <c r="B4" s="15">
        <f>(B1)-(B2+B3)</f>
        <v>-5603.0999999999985</v>
      </c>
    </row>
    <row r="5" spans="1:4" x14ac:dyDescent="0.25">
      <c r="B5" s="1"/>
    </row>
    <row r="9" spans="1:4" ht="15.75" customHeight="1" x14ac:dyDescent="0.25"/>
    <row r="10" spans="1:4" ht="15.75" customHeight="1" x14ac:dyDescent="0.25"/>
    <row r="11" spans="1:4" ht="15.75" customHeight="1" x14ac:dyDescent="0.25">
      <c r="A11" s="5"/>
      <c r="B11" s="1"/>
      <c r="C11" s="1"/>
      <c r="D11" s="1"/>
    </row>
    <row r="12" spans="1:4" ht="15.75" customHeight="1" x14ac:dyDescent="0.25">
      <c r="A12" s="5"/>
      <c r="B12" s="1"/>
      <c r="C12" s="1"/>
      <c r="D12" s="1"/>
    </row>
    <row r="13" spans="1:4" ht="15.75" customHeight="1" x14ac:dyDescent="0.25">
      <c r="B13" s="1"/>
      <c r="C13" s="1"/>
      <c r="D13" s="1"/>
    </row>
    <row r="14" spans="1:4" ht="15.75" customHeight="1" x14ac:dyDescent="0.25">
      <c r="B14" s="1"/>
      <c r="C14" s="1"/>
      <c r="D14" s="1"/>
    </row>
    <row r="15" spans="1:4" ht="15.75" customHeight="1" x14ac:dyDescent="0.25">
      <c r="B15" s="1"/>
      <c r="C15" s="1"/>
      <c r="D15" s="1"/>
    </row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B851-D2BE-478E-9FD3-D37ED5428D32}">
  <dimension ref="A1:H16"/>
  <sheetViews>
    <sheetView tabSelected="1" workbookViewId="0">
      <selection activeCell="B3" sqref="B3"/>
    </sheetView>
  </sheetViews>
  <sheetFormatPr defaultRowHeight="15" x14ac:dyDescent="0.25"/>
  <cols>
    <col min="1" max="1" width="9.140625" style="6"/>
    <col min="2" max="2" width="21" style="6" customWidth="1"/>
    <col min="3" max="3" width="20.5703125" style="6" customWidth="1"/>
    <col min="4" max="4" width="20.85546875" style="6" customWidth="1"/>
    <col min="5" max="5" width="26.5703125" style="6" bestFit="1" customWidth="1"/>
    <col min="6" max="6" width="20.85546875" style="6" bestFit="1" customWidth="1"/>
    <col min="7" max="7" width="10.140625" style="6" bestFit="1" customWidth="1"/>
    <col min="8" max="8" width="15.85546875" style="6" bestFit="1" customWidth="1"/>
    <col min="9" max="16384" width="9.140625" style="6"/>
  </cols>
  <sheetData>
    <row r="1" spans="1:8" x14ac:dyDescent="0.25">
      <c r="B1" s="6" t="s">
        <v>4</v>
      </c>
    </row>
    <row r="2" spans="1:8" x14ac:dyDescent="0.25">
      <c r="A2" s="7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</row>
    <row r="3" spans="1:8" x14ac:dyDescent="0.25">
      <c r="A3" s="7" t="s">
        <v>12</v>
      </c>
      <c r="B3" s="8">
        <v>1053808.6100000001</v>
      </c>
      <c r="C3" s="8">
        <v>1053808.6100000001</v>
      </c>
      <c r="D3" s="8">
        <v>975743.56</v>
      </c>
      <c r="E3" s="8"/>
      <c r="F3" s="8">
        <v>975743.56</v>
      </c>
      <c r="G3" s="9">
        <v>6.4999999999999997E-3</v>
      </c>
      <c r="H3" s="8">
        <f>F3*G3</f>
        <v>6342.3331399999997</v>
      </c>
    </row>
    <row r="4" spans="1:8" x14ac:dyDescent="0.25">
      <c r="A4" s="7" t="s">
        <v>13</v>
      </c>
      <c r="B4" s="8">
        <f>B3</f>
        <v>1053808.6100000001</v>
      </c>
      <c r="C4" s="8">
        <f>C3</f>
        <v>1053808.6100000001</v>
      </c>
      <c r="D4" s="8">
        <f>D3</f>
        <v>975743.56</v>
      </c>
      <c r="E4" s="8"/>
      <c r="F4" s="8">
        <f>F3</f>
        <v>975743.56</v>
      </c>
      <c r="G4" s="9">
        <v>0.03</v>
      </c>
      <c r="H4" s="8">
        <f>F4*G4</f>
        <v>29272.306800000002</v>
      </c>
    </row>
    <row r="5" spans="1:8" x14ac:dyDescent="0.25">
      <c r="B5" s="10"/>
    </row>
    <row r="8" spans="1:8" x14ac:dyDescent="0.25">
      <c r="B8" s="11" t="s">
        <v>14</v>
      </c>
      <c r="C8" s="11" t="s">
        <v>4</v>
      </c>
      <c r="D8" s="11"/>
      <c r="E8" s="11"/>
      <c r="F8" s="11"/>
    </row>
    <row r="9" spans="1:8" x14ac:dyDescent="0.25">
      <c r="B9" s="11"/>
      <c r="C9" s="11"/>
      <c r="D9" s="11"/>
      <c r="E9" s="11"/>
      <c r="F9" s="11"/>
    </row>
    <row r="10" spans="1:8" x14ac:dyDescent="0.25">
      <c r="B10" s="12" t="s">
        <v>13</v>
      </c>
      <c r="C10" s="13">
        <f>H4</f>
        <v>29272.306800000002</v>
      </c>
      <c r="D10" s="13"/>
      <c r="E10" s="8"/>
      <c r="F10" s="14"/>
    </row>
    <row r="11" spans="1:8" x14ac:dyDescent="0.25">
      <c r="B11" s="12" t="s">
        <v>12</v>
      </c>
      <c r="C11" s="13">
        <f>H3</f>
        <v>6342.3331399999997</v>
      </c>
      <c r="D11" s="13"/>
      <c r="E11" s="8"/>
      <c r="F11" s="14"/>
    </row>
    <row r="16" spans="1:8" x14ac:dyDescent="0.25">
      <c r="E1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ICMS 5005-2012</vt:lpstr>
      <vt:lpstr>PIS  COFINS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Usuario</cp:lastModifiedBy>
  <dcterms:created xsi:type="dcterms:W3CDTF">2026-08-26T14:40:24Z</dcterms:created>
  <dcterms:modified xsi:type="dcterms:W3CDTF">2026-10-30T11:41:32Z</dcterms:modified>
</cp:coreProperties>
</file>