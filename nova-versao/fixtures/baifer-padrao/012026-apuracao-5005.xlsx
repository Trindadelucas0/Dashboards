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eu Drive\DASHBOARD CONTABIL\BAIFER\01-2026\"/>
    </mc:Choice>
  </mc:AlternateContent>
  <xr:revisionPtr revIDLastSave="0" documentId="8_{E592DA1C-B6DE-4610-929E-7043C3780251}" xr6:coauthVersionLast="37" xr6:coauthVersionMax="37" xr10:uidLastSave="{00000000-0000-0000-0000-000000000000}"/>
  <bookViews>
    <workbookView xWindow="0" yWindow="0" windowWidth="28800" windowHeight="12225" xr2:uid="{1A0C7074-C699-434B-8F08-994BA4DBD3CC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4" i="1"/>
  <c r="B12" i="1"/>
  <c r="B7" i="1"/>
  <c r="B3" i="1"/>
</calcChain>
</file>

<file path=xl/sharedStrings.xml><?xml version="1.0" encoding="utf-8"?>
<sst xmlns="http://schemas.openxmlformats.org/spreadsheetml/2006/main" count="12" uniqueCount="10">
  <si>
    <t>DÉBITO ORIGINAL</t>
  </si>
  <si>
    <t>CREDITO ORIGINAL</t>
  </si>
  <si>
    <t>TOTAL</t>
  </si>
  <si>
    <t>DEBITOS 5005</t>
  </si>
  <si>
    <t>CREDITOS 5005</t>
  </si>
  <si>
    <t>DÉBITO FORA</t>
  </si>
  <si>
    <t>CREDITO FORA</t>
  </si>
  <si>
    <t>CREDITO  OUTORGADO</t>
  </si>
  <si>
    <t>ICMS A RECOLHER</t>
  </si>
  <si>
    <t>GANHO RECEITA DE SUBVENÇÃO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</si>
</sst>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44" fontId="0" fillId="0" borderId="1" xfId="1" applyFont="1" applyBorder="1"/>
    <xf numFmtId="0" fontId="1" fillId="0" borderId="1" xfId="0" applyFont="1" applyBorder="1"/>
    <xf numFmtId="44" fontId="0" fillId="0" borderId="0" xfId="1" applyFont="1"/>
    <xf numFmtId="0" fontId="0" fillId="0" borderId="1" xfId="0" applyBorder="1"/>
    <xf numFmtId="0" fontId="1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48DA-2764-4B21-89C5-1D3E87C2D028}">
  <dimension ref="A1:B16"/>
  <sheetViews>
    <sheetView tabSelected="1" workbookViewId="0">
      <selection activeCell="I14" sqref="I14"/>
    </sheetView>
  </sheetViews>
  <sheetFormatPr defaultRowHeight="15" x14ac:dyDescent="0.25"/>
  <cols>
    <col min="1" max="1" width="30.140625" bestFit="1" customWidth="1"/>
    <col min="2" max="2" width="24.85546875" customWidth="1"/>
  </cols>
  <sheetData>
    <row r="1" spans="1:2" x14ac:dyDescent="0.25">
      <c r="A1" s="1" t="s">
        <v>0</v>
      </c>
      <c r="B1" s="2">
        <v>85763.18</v>
      </c>
    </row>
    <row r="2" spans="1:2" x14ac:dyDescent="0.25">
      <c r="A2" s="1" t="s">
        <v>1</v>
      </c>
      <c r="B2" s="2">
        <v>38536.92</v>
      </c>
    </row>
    <row r="3" spans="1:2" x14ac:dyDescent="0.25">
      <c r="A3" s="3" t="s">
        <v>2</v>
      </c>
      <c r="B3" s="2">
        <f>SUM(B1:B2)</f>
        <v>124300.09999999999</v>
      </c>
    </row>
    <row r="4" spans="1:2" x14ac:dyDescent="0.25">
      <c r="B4" s="4"/>
    </row>
    <row r="5" spans="1:2" x14ac:dyDescent="0.25">
      <c r="A5" s="5" t="s">
        <v>3</v>
      </c>
      <c r="B5" s="2">
        <v>56756.77</v>
      </c>
    </row>
    <row r="6" spans="1:2" x14ac:dyDescent="0.25">
      <c r="A6" s="5" t="s">
        <v>4</v>
      </c>
      <c r="B6" s="2">
        <v>54601.5</v>
      </c>
    </row>
    <row r="7" spans="1:2" x14ac:dyDescent="0.25">
      <c r="A7" s="3" t="s">
        <v>2</v>
      </c>
      <c r="B7" s="2">
        <f>B5-B6</f>
        <v>2155.2699999999968</v>
      </c>
    </row>
    <row r="8" spans="1:2" x14ac:dyDescent="0.25">
      <c r="B8" s="4"/>
    </row>
    <row r="9" spans="1:2" x14ac:dyDescent="0.25">
      <c r="A9" s="5" t="s">
        <v>5</v>
      </c>
      <c r="B9" s="2">
        <v>168.16</v>
      </c>
    </row>
    <row r="10" spans="1:2" x14ac:dyDescent="0.25">
      <c r="A10" s="5" t="s">
        <v>6</v>
      </c>
      <c r="B10" s="2">
        <v>3970.56</v>
      </c>
    </row>
    <row r="11" spans="1:2" x14ac:dyDescent="0.25">
      <c r="A11" s="5" t="s">
        <v>7</v>
      </c>
      <c r="B11" s="2">
        <v>254.15</v>
      </c>
    </row>
    <row r="12" spans="1:2" x14ac:dyDescent="0.25">
      <c r="A12" s="3" t="s">
        <v>2</v>
      </c>
      <c r="B12" s="2">
        <f>B9-B10-B11</f>
        <v>-4056.55</v>
      </c>
    </row>
    <row r="14" spans="1:2" x14ac:dyDescent="0.25">
      <c r="A14" s="3" t="s">
        <v>8</v>
      </c>
      <c r="B14" s="2">
        <f>B7+B12</f>
        <v>-1901.2800000000034</v>
      </c>
    </row>
    <row r="15" spans="1:2" x14ac:dyDescent="0.25">
      <c r="B15" s="4"/>
    </row>
    <row r="16" spans="1:2" x14ac:dyDescent="0.25">
      <c r="A16" s="6" t="s">
        <v>9</v>
      </c>
      <c r="B16" s="4">
        <f>B1-B5+(B6-B2)</f>
        <v>45070.99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2026-08-26T14:41:20Z</dcterms:modified>
</cp:coreProperties>
</file>