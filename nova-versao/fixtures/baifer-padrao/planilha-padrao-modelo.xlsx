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ind\Desktop\"/>
    </mc:Choice>
  </mc:AlternateContent>
  <xr:revisionPtr revIDLastSave="0" documentId="8_{4BB32F14-4D0C-48E1-97CA-4B7415921AE4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DRE" sheetId="8" r:id="rId1"/>
    <sheet name="BALANCETE" sheetId="9" r:id="rId2"/>
    <sheet name="ICMS 5005-2012" sheetId="1" r:id="rId3"/>
    <sheet name="PIS COFINS" sheetId="2" r:id="rId4"/>
    <sheet name="IRPJ" sheetId="3" r:id="rId5"/>
    <sheet name="CSLL" sheetId="4" r:id="rId6"/>
    <sheet name="ST" sheetId="5" r:id="rId7"/>
    <sheet name="DIFAL" sheetId="6" r:id="rId8"/>
    <sheet name="IPI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2" i="1"/>
  <c r="B7" i="1"/>
  <c r="B14" i="1" s="1"/>
  <c r="B3" i="1"/>
</calcChain>
</file>

<file path=xl/sharedStrings.xml><?xml version="1.0" encoding="utf-8"?>
<sst xmlns="http://schemas.openxmlformats.org/spreadsheetml/2006/main" count="481" uniqueCount="287">
  <si>
    <t>DÉBITO ORIGINAL</t>
  </si>
  <si>
    <t>CREDITO ORIGINAL</t>
  </si>
  <si>
    <t>TOTAL</t>
  </si>
  <si>
    <t>DEBITOS 5005</t>
  </si>
  <si>
    <t>CREDITOS 5005</t>
  </si>
  <si>
    <t>DÉBITO FORA</t>
  </si>
  <si>
    <t>CREDITO FORA</t>
  </si>
  <si>
    <t>CREDITO  OUTORGADO</t>
  </si>
  <si>
    <t>ICMS A RECOLHER</t>
  </si>
  <si>
    <t>GANHO RECEITA DE SUBVENÇÃO</t>
  </si>
  <si>
    <t>VALOR PRODUTO</t>
  </si>
  <si>
    <t>VALOR CONTABIL</t>
  </si>
  <si>
    <t xml:space="preserve">BASE DE CALCULO </t>
  </si>
  <si>
    <t>AJUSTE .B.C</t>
  </si>
  <si>
    <t>B.C. AJUSTADA</t>
  </si>
  <si>
    <t>ALIQUOTA</t>
  </si>
  <si>
    <t>VALOR IMPOSTO</t>
  </si>
  <si>
    <t>DEBITO</t>
  </si>
  <si>
    <t>CREDITO</t>
  </si>
  <si>
    <t>RESUMO APURAÇÃO</t>
  </si>
  <si>
    <t>PIS</t>
  </si>
  <si>
    <t>SALDO CREDOR</t>
  </si>
  <si>
    <t>PIS A RECOLHER</t>
  </si>
  <si>
    <t>COFINS</t>
  </si>
  <si>
    <t>UF</t>
  </si>
  <si>
    <t>VALOR</t>
  </si>
  <si>
    <t>DF</t>
  </si>
  <si>
    <t>AC</t>
  </si>
  <si>
    <t>AL</t>
  </si>
  <si>
    <t>AP</t>
  </si>
  <si>
    <t>AM</t>
  </si>
  <si>
    <t>BA</t>
  </si>
  <si>
    <t>CE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</si>
  <si>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</si>
  <si>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</si>
  <si>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</si>
  <si>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</si>
  <si>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</si>
  <si>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</si>
  <si>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</si>
  <si>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</si>
  <si>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</si>
  <si>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</si>
  <si>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</si>
  <si>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</si>
  <si>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</si>
  <si>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</si>
  <si>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</si>
  <si>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</si>
  <si>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</si>
  <si>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</si>
  <si>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</si>
  <si>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</si>
  <si>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IPI</t>
  </si>
  <si>
    <t>Competência:</t>
  </si>
  <si>
    <t>DEMONSTRATIVO DA CSLL</t>
  </si>
  <si>
    <t>Movimento</t>
  </si>
  <si>
    <t>Valor contábil</t>
  </si>
  <si>
    <t>% Base cálculo</t>
  </si>
  <si>
    <t>Base de cálculo</t>
  </si>
  <si>
    <t>Alíquota</t>
  </si>
  <si>
    <t>Saídas</t>
  </si>
  <si>
    <t>Deduções de IPI</t>
  </si>
  <si>
    <t>Total:</t>
  </si>
  <si>
    <t>(-)Devoluções de saída</t>
  </si>
  <si>
    <t>Receita bruta sujeita ao percentual de base de cálculo de 12,00%</t>
  </si>
  <si>
    <t>Total do Estabelecimento:</t>
  </si>
  <si>
    <t>PERCENTUAL DE PRESUNÇÃO MAJORADO</t>
  </si>
  <si>
    <t>Descrição</t>
  </si>
  <si>
    <t>Receita até o limite sujeita ao percentual de B.C de 12,00%</t>
  </si>
  <si>
    <t>Receita excedente sujeita ao percentual de B.C de 13,20% majorada</t>
  </si>
  <si>
    <t>Total da base de cálculo para a Contribuição Social - CSLL</t>
  </si>
  <si>
    <t>APURAÇÃO</t>
  </si>
  <si>
    <t>Valor</t>
  </si>
  <si>
    <t>Saldo credor do período anterior</t>
  </si>
  <si>
    <t/>
  </si>
  <si>
    <t>Débitos</t>
  </si>
  <si>
    <t>Outros acréscimos</t>
  </si>
  <si>
    <t>Bônus adimplência fiscal</t>
  </si>
  <si>
    <t xml:space="preserve">		Saldo de bônus adimplência fiscal do período anterior</t>
  </si>
  <si>
    <t xml:space="preserve">		Bônus adimplência fiscal do período</t>
  </si>
  <si>
    <t xml:space="preserve">		Bônus adimplência fiscal acumulado até o período anterior</t>
  </si>
  <si>
    <t xml:space="preserve">		Bônus adimplência fiscal não aproveitado</t>
  </si>
  <si>
    <t xml:space="preserve">		Estorno de bônus adimplência fiscal por impedimento legal</t>
  </si>
  <si>
    <t xml:space="preserve">		Saldo de bônus adimplência fiscal para o período seguinte</t>
  </si>
  <si>
    <t>Retenções</t>
  </si>
  <si>
    <t xml:space="preserve">		Retenção na fonte</t>
  </si>
  <si>
    <t xml:space="preserve">		Saldo anterior CRF órgãos públicos</t>
  </si>
  <si>
    <t xml:space="preserve">		CRF órgãos públicos</t>
  </si>
  <si>
    <t xml:space="preserve">		Devoluções de vendas CRF órgãos públicos</t>
  </si>
  <si>
    <t xml:space="preserve">		Retenções CRF órgãos públicos para o período seguinte</t>
  </si>
  <si>
    <t>Antecipação</t>
  </si>
  <si>
    <t>Outras deduções</t>
  </si>
  <si>
    <t xml:space="preserve">		Ressarcimento/Compensação de PIS/COFINS</t>
  </si>
  <si>
    <t xml:space="preserve">		Outras Compensações - Em Quotas</t>
  </si>
  <si>
    <t xml:space="preserve">		Outras Compensações</t>
  </si>
  <si>
    <t xml:space="preserve">		Pagamento Indevido ou a Maior - Em Quotas</t>
  </si>
  <si>
    <t xml:space="preserve">		Pagamento Indevido ou a Maior</t>
  </si>
  <si>
    <t xml:space="preserve">		Outras deduções</t>
  </si>
  <si>
    <t>Contribuição Social diferido do período anterior</t>
  </si>
  <si>
    <t>Contribuição Social diferido do período</t>
  </si>
  <si>
    <t>Saldo devedor de Contribuição Social</t>
  </si>
  <si>
    <t>Saldo credor de Contribuição Social para o mês seguinte</t>
  </si>
  <si>
    <t>Sistema licenciado para EXITO CONTABILIDADE EIRELI</t>
  </si>
  <si>
    <t>DEMONSTRATIVO DO IRPJ</t>
  </si>
  <si>
    <t>(-)Devolução de saídas</t>
  </si>
  <si>
    <t>Receita bruta sujeita ao percentual de base de cálculo de 8,00%</t>
  </si>
  <si>
    <t>Total Receitas:</t>
  </si>
  <si>
    <t>Receita até o limite sujeita ao percentual de B.C de 8,00%</t>
  </si>
  <si>
    <t>Receita excedente sujeita ao percentual de B.C de 8,80% majorada</t>
  </si>
  <si>
    <t>Total da base de cálculo para o Imposto de Renda - IRPJ</t>
  </si>
  <si>
    <t>ADICIONAL DO IRPJ</t>
  </si>
  <si>
    <t>Base de cálculo (Receita bruta auferida x % Base cálculo)</t>
  </si>
  <si>
    <t>Valor limite não sujeito ao adicional</t>
  </si>
  <si>
    <t>Parcela excedente ao limite</t>
  </si>
  <si>
    <t>Alíquota do adicional</t>
  </si>
  <si>
    <t>Valor do adicional do IRPJ</t>
  </si>
  <si>
    <t>Saldo credor utilizado na apuração do imposto 33-IRPJ-PO</t>
  </si>
  <si>
    <t>Outros débitos</t>
  </si>
  <si>
    <t>Compensação saldo negativo de IRPJ</t>
  </si>
  <si>
    <t>IRPJ retido</t>
  </si>
  <si>
    <t>IRRF propaganda</t>
  </si>
  <si>
    <t>Saldo anterior CRF órgãos públicos</t>
  </si>
  <si>
    <t>CRF órgãos públicos</t>
  </si>
  <si>
    <t>Devoluções de vendas CRF órgãos públicos</t>
  </si>
  <si>
    <t>Retenções CRF órgãos públicos para o período seguinte</t>
  </si>
  <si>
    <t>Ressarcimento/Compensação de PIS/COFINS</t>
  </si>
  <si>
    <t>Outras Compensações - Em Quotas</t>
  </si>
  <si>
    <t>Outras Compensações</t>
  </si>
  <si>
    <t>Pagamento Indevido ou a Maior - Em Quotas</t>
  </si>
  <si>
    <t>Pagamento Indevido ou a Maior</t>
  </si>
  <si>
    <t>Adicional de IRPJ</t>
  </si>
  <si>
    <t>IRPJ diferido do período anterior</t>
  </si>
  <si>
    <t>IRPJ diferido do período</t>
  </si>
  <si>
    <t>FIA a recolher</t>
  </si>
  <si>
    <t>Saldo devedor de IRPJ</t>
  </si>
  <si>
    <t>Saldo credor de IRPJ para o mês seguinte</t>
  </si>
  <si>
    <t>Estabelecimento: 03.185.564/0001-34 - EGAPLAST ARTEFATOS E COMERCIO DE PLASTICOS LTDA</t>
  </si>
  <si>
    <t>RECEITA BRUTA</t>
  </si>
  <si>
    <t>VENDA DE MERCADORIAS</t>
  </si>
  <si>
    <t>(-) DEDUÇÕES DA RECEITA BRUTA</t>
  </si>
  <si>
    <t>(-) DEVOLUÇÃO DE VENDA DE MERCADORIAS</t>
  </si>
  <si>
    <t>(-) ICMS</t>
  </si>
  <si>
    <t>(-) COFINS</t>
  </si>
  <si>
    <t>(-) PIS</t>
  </si>
  <si>
    <t>(-) SUBSTITUIÇÃO TRIBUTÁRIA</t>
  </si>
  <si>
    <t>= RECEITA LÍQUIDA</t>
  </si>
  <si>
    <t>(-) CMV</t>
  </si>
  <si>
    <t>CUSTOS DAS MERCADORIAS VENDIDAS</t>
  </si>
  <si>
    <t>= LUCRO BRUTO</t>
  </si>
  <si>
    <t>(-) DESPESAS OPERACIONAIS</t>
  </si>
  <si>
    <t>DESPESAS COM VENDAS</t>
  </si>
  <si>
    <t>FRETES E CARRETOS</t>
  </si>
  <si>
    <t>DESPESAS ADMINISTRATIVAS</t>
  </si>
  <si>
    <t>SALÁRIOS E ORDENADOS</t>
  </si>
  <si>
    <t>INSS</t>
  </si>
  <si>
    <t>FGTS</t>
  </si>
  <si>
    <t>ENERGIA ELÉTRICA</t>
  </si>
  <si>
    <t>ÁGUA E ESGOTO</t>
  </si>
  <si>
    <t>SEGUROS</t>
  </si>
  <si>
    <t>HONORÁRIOS CONTÁBEIS</t>
  </si>
  <si>
    <t>SERVIÇOS PRESTADOS POR TERCEIROS</t>
  </si>
  <si>
    <t>DESPESAS COM INTERNET</t>
  </si>
  <si>
    <t>COMBUSTÍVEL</t>
  </si>
  <si>
    <t>(+/-) RECEITAS FINANCEIRAS</t>
  </si>
  <si>
    <t>DESPESAS BANCÁRIA</t>
  </si>
  <si>
    <t>(-) OUTRAS RECEITAS OPERACIONAIS</t>
  </si>
  <si>
    <t>BONIFICAÇÃO RECEBIDA</t>
  </si>
  <si>
    <t>RECEITA DE SUBVENÇÃO ICMS</t>
  </si>
  <si>
    <t>= LUCRO OU PREJUÍZO OPERACIONAL</t>
  </si>
  <si>
    <t>JANEIRO</t>
  </si>
  <si>
    <t>AV</t>
  </si>
  <si>
    <t>AH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</si>
  <si>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</si>
  <si>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</si>
  <si>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</si>
  <si>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</si>
  <si>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</si>
  <si>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</si>
  <si>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</si>
  <si>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</si>
  <si>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</si>
  <si>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</si>
  <si>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</si>
  <si>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Código</t>
  </si>
  <si>
    <t>Classificação</t>
  </si>
  <si>
    <t>Descrição da conta</t>
  </si>
  <si>
    <t>ATIVO</t>
  </si>
  <si>
    <t>1.1</t>
  </si>
  <si>
    <t xml:space="preserve">   ATIVO CIRCULANTE</t>
  </si>
  <si>
    <t>1.1.1</t>
  </si>
  <si>
    <t xml:space="preserve">      DISPONÍVEL</t>
  </si>
  <si>
    <t>1.1.1.02</t>
  </si>
  <si>
    <t xml:space="preserve">         BANCOS CONTA MOVIMENTO</t>
  </si>
  <si>
    <t>1.1.1.02.00001</t>
  </si>
  <si>
    <t xml:space="preserve">            BANCO STONE - AG 0001 C/C 9352840-4</t>
  </si>
  <si>
    <t>1.1.1.02.00002</t>
  </si>
  <si>
    <t xml:space="preserve">            ITAU - AG 8090 C/C: 98422-3</t>
  </si>
  <si>
    <t>1.1.2</t>
  </si>
  <si>
    <t xml:space="preserve">      CLIENTES</t>
  </si>
  <si>
    <t>1.1.2.01</t>
  </si>
  <si>
    <t xml:space="preserve">         DUPLICATAS A RECEBER</t>
  </si>
  <si>
    <t>1.1.2.01.00001</t>
  </si>
  <si>
    <t xml:space="preserve">            CLIENTES DIVERSOS</t>
  </si>
  <si>
    <t>1.1.3</t>
  </si>
  <si>
    <t xml:space="preserve">      OUTROS CRÉDITOS</t>
  </si>
  <si>
    <t>1.1.3.03</t>
  </si>
  <si>
    <t xml:space="preserve">         CONTA CORRENTE DE SÓCIOS</t>
  </si>
  <si>
    <t>1.1.3.03.00001</t>
  </si>
  <si>
    <t xml:space="preserve">            CONTA CORRENTE DE SÓCIOS</t>
  </si>
  <si>
    <t>1.1.3.08</t>
  </si>
  <si>
    <t xml:space="preserve">         TRIBUTOS A RECUPERAR/COMPENSAR</t>
  </si>
  <si>
    <t>1.1.3.08.00002</t>
  </si>
  <si>
    <t xml:space="preserve">            ICMS A RECUPERAR</t>
  </si>
  <si>
    <t>1.1.3.08.00012</t>
  </si>
  <si>
    <t xml:space="preserve">            COFINS A RECUPERAR</t>
  </si>
  <si>
    <t>1.1.3.08.00013</t>
  </si>
  <si>
    <t xml:space="preserve">            PIS A RECUPERAR</t>
  </si>
  <si>
    <t>1.1.5</t>
  </si>
  <si>
    <t xml:space="preserve">      ESTOQUE</t>
  </si>
  <si>
    <t>1.1.5.01</t>
  </si>
  <si>
    <t xml:space="preserve">         MERCADORIAS, PRODUTOS E INSUMOS</t>
  </si>
  <si>
    <t>1.1.5.01.00001</t>
  </si>
  <si>
    <t xml:space="preserve">            MERCADORIAS PARA REVENDA</t>
  </si>
  <si>
    <t>1.1.5.01.00002</t>
  </si>
  <si>
    <t xml:space="preserve">            MATÉRIA-PRIMA</t>
  </si>
  <si>
    <t>PASSIVO</t>
  </si>
  <si>
    <t>2.1</t>
  </si>
  <si>
    <t xml:space="preserve">   PASSIVO CIRCULANTE</t>
  </si>
  <si>
    <t>2.1.1</t>
  </si>
  <si>
    <t xml:space="preserve">      FORNECEDORES</t>
  </si>
  <si>
    <t>2.1.1.01</t>
  </si>
  <si>
    <t xml:space="preserve">         FORNECEDORES</t>
  </si>
  <si>
    <t>2.1.1.01.00001</t>
  </si>
  <si>
    <t xml:space="preserve">            FORNECEDORES DIVERSOS</t>
  </si>
  <si>
    <t>2.1.2</t>
  </si>
  <si>
    <t xml:space="preserve">      OBRIGAÇÕES TRIBUTÁRIAS</t>
  </si>
  <si>
    <t>2.1.2.01</t>
  </si>
  <si>
    <t xml:space="preserve">         IMPOSTOS E CONTRIBUIÇÕES A RECOLHER</t>
  </si>
  <si>
    <t>2.1.2.01.00002</t>
  </si>
  <si>
    <t xml:space="preserve">            ICMS A RECOLHER</t>
  </si>
  <si>
    <t>2.1.2.01.00009</t>
  </si>
  <si>
    <t xml:space="preserve">            PIS A RECOLHER</t>
  </si>
  <si>
    <t>2.1.2.01.00010</t>
  </si>
  <si>
    <t xml:space="preserve">            COFINS A RECOLHER</t>
  </si>
  <si>
    <t>2.1.2.01.00016</t>
  </si>
  <si>
    <t xml:space="preserve">            SUBSTITUIÇÃO TRIBUTÁRIA A RECOLHER</t>
  </si>
  <si>
    <t>2.1.3</t>
  </si>
  <si>
    <t xml:space="preserve">      OBRIGAÇÕES TRABALHISTA E PREVIDENCIÁRIA</t>
  </si>
  <si>
    <t>2.1.3.01</t>
  </si>
  <si>
    <t xml:space="preserve">         OBRIGAÇÕES COM O PESSOAL</t>
  </si>
  <si>
    <t>2.1.3.01.00001</t>
  </si>
  <si>
    <t xml:space="preserve">            SALÁRIOS E ORDENADOS A PAGAR</t>
  </si>
  <si>
    <t>2.1.3.01.00005</t>
  </si>
  <si>
    <t xml:space="preserve">            RESCISÕES A PAGAR</t>
  </si>
  <si>
    <t>2.1.3.02</t>
  </si>
  <si>
    <t xml:space="preserve">         OBRIGAÇÕES SOCIAIS</t>
  </si>
  <si>
    <t>2.1.3.02.00001</t>
  </si>
  <si>
    <t xml:space="preserve">            INSS A RECOLHER</t>
  </si>
  <si>
    <t>2.1.3.02.00002</t>
  </si>
  <si>
    <t xml:space="preserve">            FGTS A RECOLHER</t>
  </si>
  <si>
    <t>2.1.4</t>
  </si>
  <si>
    <t xml:space="preserve">      OUTRAS OBRIGAÇÕES</t>
  </si>
  <si>
    <t>2.1.4.02</t>
  </si>
  <si>
    <t xml:space="preserve">         CONTAS A PAGAR</t>
  </si>
  <si>
    <t>2.1.4.02.00002</t>
  </si>
  <si>
    <t xml:space="preserve">            LOJA DAS MÁQUINAS</t>
  </si>
  <si>
    <t>2.3</t>
  </si>
  <si>
    <t xml:space="preserve">   PATRIMÔNIO LÍQUIDO</t>
  </si>
  <si>
    <t>2.3.1</t>
  </si>
  <si>
    <t xml:space="preserve">      CAPITAL SOCIAL</t>
  </si>
  <si>
    <t>2.3.1.01</t>
  </si>
  <si>
    <t xml:space="preserve">         CAPITAL SUBSCRITO</t>
  </si>
  <si>
    <t>2.3.1.01.00001</t>
  </si>
  <si>
    <t xml:space="preserve">            CAPITAL SOCIAL</t>
  </si>
  <si>
    <t>2.3.3</t>
  </si>
  <si>
    <t xml:space="preserve">      LUCROS OU PREJUÍZOS ACUMULADOS</t>
  </si>
  <si>
    <t>2.3.3.01</t>
  </si>
  <si>
    <t xml:space="preserve">         LUCROS OU PREJUÍZOS ACUMULADOS</t>
  </si>
  <si>
    <t>2.3.3.01.00002</t>
  </si>
  <si>
    <t xml:space="preserve">            (-) PREJUÍZOS ACUMULADOS</t>
  </si>
  <si>
    <t>2.3.3.01.00004</t>
  </si>
  <si>
    <t xml:space="preserve">            LUCRO DO EXERCÍCIO</t>
  </si>
  <si>
    <t>2.3.3.01.00005</t>
  </si>
  <si>
    <t xml:space="preserve">            (-) PREJUÍZO DO EXERCÍCIO</t>
  </si>
  <si>
    <t>2.3.3.01.00007</t>
  </si>
  <si>
    <t xml:space="preserve">            (-) AJUSTES DEVEDORES DE EXERCÍCIOS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</si>
</sst>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R$&quot;\ * #,##0.00_-;\-&quot;R$&quot;\ * #,##0.00_-;_-&quot;R$&quot;\ * &quot;-&quot;??_-;_-@"/>
    <numFmt numFmtId="165" formatCode="mm/yyyy"/>
    <numFmt numFmtId="166" formatCode="#,##0.00;\(#,##0.00\);#,##0.00"/>
    <numFmt numFmtId="167" formatCode="##0.00%"/>
    <numFmt numFmtId="169" formatCode="######"/>
    <numFmt numFmtId="170" formatCode="#,##0.00&quot;d&quot;;#,##0.00&quot;c&quot;;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7"/>
      <color indexed="8"/>
      <name val="Tahoma"/>
      <family val="2"/>
    </font>
    <font>
      <sz val="10"/>
      <name val="Arial"/>
      <family val="2"/>
    </font>
    <font>
      <b/>
      <sz val="7"/>
      <color indexed="8"/>
      <name val="Tahoma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7"/>
      <color indexed="8"/>
      <name val="Tahoma"/>
      <family val="1"/>
    </font>
    <font>
      <sz val="7"/>
      <color indexed="8"/>
      <name val="Tahom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2" fillId="0" borderId="1" xfId="0" applyFont="1" applyBorder="1"/>
    <xf numFmtId="164" fontId="2" fillId="0" borderId="0" xfId="0" applyNumberFormat="1" applyFont="1"/>
    <xf numFmtId="0" fontId="2" fillId="0" borderId="0" xfId="0" applyFont="1"/>
    <xf numFmtId="0" fontId="3" fillId="0" borderId="2" xfId="0" applyFont="1" applyBorder="1"/>
    <xf numFmtId="0" fontId="0" fillId="0" borderId="2" xfId="0" applyBorder="1"/>
    <xf numFmtId="0" fontId="1" fillId="0" borderId="0" xfId="0" applyFont="1"/>
    <xf numFmtId="0" fontId="1" fillId="0" borderId="2" xfId="0" applyFont="1" applyBorder="1"/>
    <xf numFmtId="49" fontId="4" fillId="0" borderId="0" xfId="0" applyNumberFormat="1" applyFont="1" applyAlignment="1">
      <alignment horizontal="right" vertical="top" wrapText="1"/>
    </xf>
    <xf numFmtId="166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center" vertical="top" wrapText="1"/>
    </xf>
    <xf numFmtId="49" fontId="6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" fontId="5" fillId="0" borderId="0" xfId="0" applyNumberFormat="1" applyFont="1" applyAlignment="1">
      <alignment vertical="top"/>
    </xf>
    <xf numFmtId="166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 wrapText="1"/>
    </xf>
    <xf numFmtId="4" fontId="4" fillId="0" borderId="0" xfId="0" applyNumberFormat="1" applyFont="1" applyAlignment="1">
      <alignment vertical="top"/>
    </xf>
    <xf numFmtId="0" fontId="0" fillId="0" borderId="0" xfId="0" applyAlignment="1"/>
    <xf numFmtId="167" fontId="5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21" fontId="5" fillId="0" borderId="0" xfId="0" applyNumberFormat="1" applyFont="1" applyAlignment="1">
      <alignment vertical="top"/>
    </xf>
    <xf numFmtId="0" fontId="7" fillId="0" borderId="0" xfId="1"/>
    <xf numFmtId="166" fontId="8" fillId="0" borderId="0" xfId="1" applyNumberFormat="1" applyFont="1" applyAlignment="1">
      <alignment vertical="top"/>
    </xf>
    <xf numFmtId="49" fontId="8" fillId="0" borderId="0" xfId="1" applyNumberFormat="1" applyFont="1" applyAlignment="1">
      <alignment vertical="top" wrapText="1"/>
    </xf>
    <xf numFmtId="166" fontId="6" fillId="0" borderId="0" xfId="1" applyNumberFormat="1" applyFont="1" applyAlignment="1">
      <alignment vertical="top"/>
    </xf>
    <xf numFmtId="49" fontId="6" fillId="0" borderId="0" xfId="1" applyNumberFormat="1" applyFont="1" applyAlignment="1">
      <alignment vertical="top" wrapText="1"/>
    </xf>
    <xf numFmtId="166" fontId="8" fillId="0" borderId="0" xfId="1" applyNumberFormat="1" applyFont="1" applyFill="1" applyAlignment="1">
      <alignment vertical="top"/>
    </xf>
    <xf numFmtId="0" fontId="10" fillId="0" borderId="0" xfId="1" applyFont="1"/>
    <xf numFmtId="0" fontId="0" fillId="0" borderId="0" xfId="0" applyAlignment="1">
      <alignment horizontal="center"/>
    </xf>
    <xf numFmtId="169" fontId="11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170" fontId="11" fillId="0" borderId="0" xfId="0" applyNumberFormat="1" applyFont="1" applyAlignment="1">
      <alignment horizontal="center" vertical="top"/>
    </xf>
    <xf numFmtId="169" fontId="12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170" fontId="12" fillId="0" borderId="0" xfId="0" applyNumberFormat="1" applyFont="1" applyAlignment="1">
      <alignment horizontal="center" vertical="top"/>
    </xf>
    <xf numFmtId="49" fontId="6" fillId="2" borderId="0" xfId="0" applyNumberFormat="1" applyFont="1" applyFill="1" applyAlignment="1">
      <alignment horizontal="center" vertical="top" wrapText="1"/>
    </xf>
  </cellXfs>
  <cellStyles count="2"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CD20-5A81-4ADE-9DA8-370D8C2686CF}">
  <dimension ref="A1:AN32"/>
  <sheetViews>
    <sheetView tabSelected="1" workbookViewId="0">
      <selection activeCell="E24" sqref="E24"/>
    </sheetView>
  </sheetViews>
  <sheetFormatPr defaultRowHeight="15" x14ac:dyDescent="0.25"/>
  <cols>
    <col min="1" max="1" width="31.28515625" bestFit="1" customWidth="1"/>
    <col min="3" max="3" width="3.42578125" bestFit="1" customWidth="1"/>
    <col min="4" max="4" width="3.7109375" customWidth="1"/>
    <col min="6" max="6" width="3.42578125" bestFit="1" customWidth="1"/>
    <col min="7" max="7" width="3.7109375" customWidth="1"/>
    <col min="9" max="9" width="3.42578125" bestFit="1" customWidth="1"/>
    <col min="10" max="10" width="3.7109375" customWidth="1"/>
    <col min="12" max="12" width="3.42578125" bestFit="1" customWidth="1"/>
    <col min="13" max="13" width="3.7109375" customWidth="1"/>
    <col min="15" max="15" width="3.42578125" bestFit="1" customWidth="1"/>
    <col min="16" max="16" width="3.7109375" customWidth="1"/>
    <col min="18" max="18" width="3.42578125" bestFit="1" customWidth="1"/>
    <col min="19" max="19" width="3.7109375" customWidth="1"/>
    <col min="21" max="21" width="3.42578125" bestFit="1" customWidth="1"/>
    <col min="22" max="22" width="3.7109375" customWidth="1"/>
    <col min="24" max="24" width="3.42578125" bestFit="1" customWidth="1"/>
    <col min="25" max="25" width="3.7109375" customWidth="1"/>
    <col min="27" max="27" width="3.42578125" bestFit="1" customWidth="1"/>
    <col min="28" max="28" width="3.7109375" customWidth="1"/>
    <col min="30" max="30" width="3.42578125" bestFit="1" customWidth="1"/>
    <col min="31" max="31" width="4.42578125" customWidth="1"/>
    <col min="33" max="33" width="3.42578125" bestFit="1" customWidth="1"/>
    <col min="34" max="34" width="4.42578125" customWidth="1"/>
    <col min="36" max="36" width="3.42578125" bestFit="1" customWidth="1"/>
    <col min="37" max="37" width="4.42578125" customWidth="1"/>
    <col min="39" max="39" width="3.42578125" bestFit="1" customWidth="1"/>
    <col min="40" max="40" width="4.42578125" customWidth="1"/>
  </cols>
  <sheetData>
    <row r="1" spans="1:40" x14ac:dyDescent="0.25">
      <c r="A1" s="26" t="s">
        <v>138</v>
      </c>
      <c r="B1" s="30" t="s">
        <v>170</v>
      </c>
      <c r="C1" s="25" t="s">
        <v>171</v>
      </c>
      <c r="D1" s="25" t="s">
        <v>172</v>
      </c>
      <c r="E1" s="25" t="s">
        <v>173</v>
      </c>
      <c r="F1" s="25" t="s">
        <v>171</v>
      </c>
      <c r="G1" s="25" t="s">
        <v>172</v>
      </c>
      <c r="H1" s="25" t="s">
        <v>174</v>
      </c>
      <c r="I1" s="25" t="s">
        <v>171</v>
      </c>
      <c r="J1" s="25" t="s">
        <v>172</v>
      </c>
      <c r="K1" s="25" t="s">
        <v>175</v>
      </c>
      <c r="L1" s="25" t="s">
        <v>171</v>
      </c>
      <c r="M1" s="25" t="s">
        <v>172</v>
      </c>
      <c r="N1" s="25" t="s">
        <v>176</v>
      </c>
      <c r="O1" s="25" t="s">
        <v>171</v>
      </c>
      <c r="P1" s="25" t="s">
        <v>172</v>
      </c>
      <c r="Q1" s="25" t="s">
        <v>177</v>
      </c>
      <c r="R1" s="25" t="s">
        <v>171</v>
      </c>
      <c r="S1" s="25" t="s">
        <v>172</v>
      </c>
      <c r="T1" s="25" t="s">
        <v>178</v>
      </c>
      <c r="U1" s="25" t="s">
        <v>171</v>
      </c>
      <c r="V1" s="25" t="s">
        <v>172</v>
      </c>
      <c r="W1" s="25" t="s">
        <v>179</v>
      </c>
      <c r="X1" s="25" t="s">
        <v>171</v>
      </c>
      <c r="Y1" s="25" t="s">
        <v>172</v>
      </c>
      <c r="Z1" s="25" t="s">
        <v>180</v>
      </c>
      <c r="AA1" s="25" t="s">
        <v>171</v>
      </c>
      <c r="AB1" s="25" t="s">
        <v>172</v>
      </c>
      <c r="AC1" s="25" t="s">
        <v>181</v>
      </c>
      <c r="AD1" s="25" t="s">
        <v>171</v>
      </c>
      <c r="AE1" s="25" t="s">
        <v>172</v>
      </c>
      <c r="AF1" s="25" t="s">
        <v>182</v>
      </c>
      <c r="AG1" s="25" t="s">
        <v>171</v>
      </c>
      <c r="AH1" s="25" t="s">
        <v>172</v>
      </c>
      <c r="AI1" s="25" t="s">
        <v>183</v>
      </c>
      <c r="AJ1" s="25" t="s">
        <v>171</v>
      </c>
      <c r="AK1" s="25" t="s">
        <v>172</v>
      </c>
      <c r="AL1" s="29" t="s">
        <v>2</v>
      </c>
      <c r="AM1" s="25" t="s">
        <v>171</v>
      </c>
      <c r="AN1" s="25" t="s">
        <v>172</v>
      </c>
    </row>
    <row r="2" spans="1:40" x14ac:dyDescent="0.25">
      <c r="A2" s="28" t="s">
        <v>139</v>
      </c>
      <c r="B2" s="27">
        <v>691952.4</v>
      </c>
      <c r="C2" s="24"/>
      <c r="D2" s="24"/>
      <c r="E2" s="24"/>
      <c r="F2" s="24"/>
      <c r="G2" s="24"/>
      <c r="H2" s="24"/>
      <c r="I2" s="24"/>
      <c r="J2" s="24"/>
      <c r="L2" s="24"/>
      <c r="M2" s="24"/>
      <c r="O2" s="24"/>
      <c r="P2" s="24"/>
      <c r="R2" s="24"/>
      <c r="S2" s="24"/>
      <c r="U2" s="24"/>
      <c r="V2" s="24"/>
      <c r="X2" s="24"/>
      <c r="Y2" s="24"/>
      <c r="AA2" s="24"/>
      <c r="AB2" s="24"/>
      <c r="AD2" s="24"/>
      <c r="AE2" s="24"/>
      <c r="AG2" s="24"/>
      <c r="AH2" s="24"/>
      <c r="AJ2" s="24"/>
      <c r="AK2" s="24"/>
      <c r="AM2" s="24"/>
      <c r="AN2" s="24"/>
    </row>
    <row r="3" spans="1:40" x14ac:dyDescent="0.25">
      <c r="A3" s="26" t="s">
        <v>140</v>
      </c>
      <c r="B3" s="24"/>
      <c r="C3" s="25"/>
      <c r="D3" s="25"/>
      <c r="E3" s="25"/>
      <c r="F3" s="25"/>
      <c r="G3" s="25"/>
      <c r="H3" s="25"/>
      <c r="I3" s="25"/>
      <c r="J3" s="25"/>
      <c r="L3" s="25"/>
      <c r="M3" s="25"/>
      <c r="O3" s="25"/>
      <c r="P3" s="25"/>
      <c r="R3" s="25"/>
      <c r="S3" s="25"/>
      <c r="U3" s="25"/>
      <c r="V3" s="25"/>
      <c r="X3" s="25"/>
      <c r="Y3" s="25"/>
      <c r="AA3" s="25"/>
      <c r="AB3" s="25"/>
      <c r="AD3" s="25"/>
      <c r="AE3" s="25"/>
      <c r="AG3" s="25"/>
      <c r="AH3" s="25"/>
      <c r="AJ3" s="25"/>
      <c r="AK3" s="25"/>
      <c r="AM3" s="25"/>
      <c r="AN3" s="25"/>
    </row>
    <row r="4" spans="1:40" x14ac:dyDescent="0.25">
      <c r="A4" s="28" t="s">
        <v>141</v>
      </c>
      <c r="B4" s="27">
        <v>-12774.35</v>
      </c>
      <c r="C4" s="24"/>
      <c r="D4" s="24"/>
      <c r="E4" s="24"/>
      <c r="F4" s="24"/>
      <c r="G4" s="24"/>
      <c r="H4" s="24"/>
      <c r="I4" s="24"/>
      <c r="J4" s="24"/>
      <c r="L4" s="24"/>
      <c r="M4" s="24"/>
      <c r="O4" s="24"/>
      <c r="P4" s="24"/>
      <c r="R4" s="24"/>
      <c r="S4" s="24"/>
      <c r="U4" s="24"/>
      <c r="V4" s="24"/>
      <c r="X4" s="24"/>
      <c r="Y4" s="24"/>
      <c r="AA4" s="24"/>
      <c r="AB4" s="24"/>
      <c r="AD4" s="24"/>
      <c r="AE4" s="24"/>
      <c r="AG4" s="24"/>
      <c r="AH4" s="24"/>
      <c r="AJ4" s="24"/>
      <c r="AK4" s="24"/>
      <c r="AM4" s="24"/>
      <c r="AN4" s="24"/>
    </row>
    <row r="5" spans="1:40" x14ac:dyDescent="0.25">
      <c r="A5" s="28" t="s">
        <v>142</v>
      </c>
      <c r="B5" s="27">
        <v>-80791.039999999994</v>
      </c>
      <c r="C5" s="24"/>
      <c r="D5" s="24"/>
      <c r="E5" s="24"/>
      <c r="F5" s="24"/>
      <c r="G5" s="24"/>
      <c r="H5" s="24"/>
      <c r="I5" s="24"/>
      <c r="J5" s="24"/>
      <c r="L5" s="24"/>
      <c r="M5" s="24"/>
      <c r="O5" s="24"/>
      <c r="P5" s="24"/>
      <c r="R5" s="24"/>
      <c r="S5" s="24"/>
      <c r="U5" s="24"/>
      <c r="V5" s="24"/>
      <c r="X5" s="24"/>
      <c r="Y5" s="24"/>
      <c r="AA5" s="24"/>
      <c r="AB5" s="24"/>
      <c r="AD5" s="24"/>
      <c r="AE5" s="24"/>
      <c r="AG5" s="24"/>
      <c r="AH5" s="24"/>
      <c r="AJ5" s="24"/>
      <c r="AK5" s="24"/>
      <c r="AM5" s="24"/>
      <c r="AN5" s="24"/>
    </row>
    <row r="6" spans="1:40" x14ac:dyDescent="0.25">
      <c r="A6" s="28" t="s">
        <v>143</v>
      </c>
      <c r="B6" s="27">
        <v>-42842.47</v>
      </c>
      <c r="C6" s="24"/>
      <c r="D6" s="24"/>
      <c r="E6" s="24"/>
      <c r="F6" s="24"/>
      <c r="G6" s="24"/>
      <c r="H6" s="24"/>
      <c r="I6" s="24"/>
      <c r="J6" s="24"/>
      <c r="L6" s="24"/>
      <c r="M6" s="24"/>
      <c r="O6" s="24"/>
      <c r="P6" s="24"/>
      <c r="R6" s="24"/>
      <c r="S6" s="24"/>
      <c r="U6" s="24"/>
      <c r="V6" s="24"/>
      <c r="X6" s="24"/>
      <c r="Y6" s="24"/>
      <c r="AA6" s="24"/>
      <c r="AB6" s="24"/>
      <c r="AD6" s="24"/>
      <c r="AE6" s="24"/>
      <c r="AG6" s="24"/>
      <c r="AH6" s="24"/>
      <c r="AJ6" s="24"/>
      <c r="AK6" s="24"/>
      <c r="AM6" s="24"/>
      <c r="AN6" s="24"/>
    </row>
    <row r="7" spans="1:40" x14ac:dyDescent="0.25">
      <c r="A7" s="28" t="s">
        <v>144</v>
      </c>
      <c r="B7" s="27">
        <v>-9301.33</v>
      </c>
      <c r="C7" s="24"/>
      <c r="D7" s="24"/>
      <c r="E7" s="24"/>
      <c r="F7" s="24"/>
      <c r="G7" s="24"/>
      <c r="H7" s="24"/>
      <c r="I7" s="24"/>
      <c r="J7" s="24"/>
      <c r="L7" s="24"/>
      <c r="M7" s="24"/>
      <c r="O7" s="24"/>
      <c r="P7" s="24"/>
      <c r="R7" s="24"/>
      <c r="S7" s="24"/>
      <c r="U7" s="24"/>
      <c r="V7" s="24"/>
      <c r="X7" s="24"/>
      <c r="Y7" s="24"/>
      <c r="AA7" s="24"/>
      <c r="AB7" s="24"/>
      <c r="AD7" s="24"/>
      <c r="AE7" s="24"/>
      <c r="AG7" s="24"/>
      <c r="AH7" s="24"/>
      <c r="AJ7" s="24"/>
      <c r="AK7" s="24"/>
      <c r="AM7" s="24"/>
      <c r="AN7" s="24"/>
    </row>
    <row r="8" spans="1:40" x14ac:dyDescent="0.25">
      <c r="A8" s="28" t="s">
        <v>145</v>
      </c>
      <c r="B8" s="27">
        <v>-81.99</v>
      </c>
      <c r="C8" s="24"/>
      <c r="D8" s="24"/>
      <c r="E8" s="24"/>
      <c r="F8" s="24"/>
      <c r="G8" s="24"/>
      <c r="H8" s="24"/>
      <c r="I8" s="24"/>
      <c r="J8" s="24"/>
      <c r="L8" s="24"/>
      <c r="M8" s="24"/>
      <c r="O8" s="24"/>
      <c r="P8" s="24"/>
      <c r="R8" s="24"/>
      <c r="S8" s="24"/>
      <c r="U8" s="24"/>
      <c r="V8" s="24"/>
      <c r="X8" s="24"/>
      <c r="Y8" s="24"/>
      <c r="AA8" s="24"/>
      <c r="AB8" s="24"/>
      <c r="AD8" s="24"/>
      <c r="AE8" s="24"/>
      <c r="AG8" s="24"/>
      <c r="AH8" s="24"/>
      <c r="AJ8" s="24"/>
      <c r="AK8" s="24"/>
      <c r="AM8" s="24"/>
      <c r="AN8" s="24"/>
    </row>
    <row r="9" spans="1:40" x14ac:dyDescent="0.25">
      <c r="A9" s="26" t="s">
        <v>146</v>
      </c>
      <c r="B9" s="24"/>
      <c r="C9" s="25"/>
      <c r="D9" s="25"/>
      <c r="E9" s="25"/>
      <c r="F9" s="25"/>
      <c r="G9" s="25"/>
      <c r="H9" s="25"/>
      <c r="I9" s="25"/>
      <c r="J9" s="25"/>
      <c r="L9" s="25"/>
      <c r="M9" s="25"/>
      <c r="O9" s="25"/>
      <c r="P9" s="25"/>
      <c r="R9" s="25"/>
      <c r="S9" s="25"/>
      <c r="U9" s="25"/>
      <c r="V9" s="25"/>
      <c r="X9" s="25"/>
      <c r="Y9" s="25"/>
      <c r="AA9" s="25"/>
      <c r="AB9" s="25"/>
      <c r="AD9" s="25"/>
      <c r="AE9" s="25"/>
      <c r="AG9" s="25"/>
      <c r="AH9" s="25"/>
      <c r="AJ9" s="25"/>
      <c r="AK9" s="25"/>
      <c r="AM9" s="25"/>
      <c r="AN9" s="25"/>
    </row>
    <row r="10" spans="1:40" x14ac:dyDescent="0.25">
      <c r="A10" s="26" t="s">
        <v>147</v>
      </c>
      <c r="B10" s="24"/>
      <c r="C10" s="25"/>
      <c r="D10" s="25"/>
      <c r="E10" s="25"/>
      <c r="F10" s="25"/>
      <c r="G10" s="25"/>
      <c r="H10" s="25"/>
      <c r="I10" s="25"/>
      <c r="J10" s="25"/>
      <c r="L10" s="25"/>
      <c r="M10" s="25"/>
      <c r="O10" s="25"/>
      <c r="P10" s="25"/>
      <c r="R10" s="25"/>
      <c r="S10" s="25"/>
      <c r="U10" s="25"/>
      <c r="V10" s="25"/>
      <c r="X10" s="25"/>
      <c r="Y10" s="25"/>
      <c r="AA10" s="25"/>
      <c r="AB10" s="25"/>
      <c r="AD10" s="25"/>
      <c r="AE10" s="25"/>
      <c r="AG10" s="25"/>
      <c r="AH10" s="25"/>
      <c r="AJ10" s="25"/>
      <c r="AK10" s="25"/>
      <c r="AM10" s="25"/>
      <c r="AN10" s="25"/>
    </row>
    <row r="11" spans="1:40" x14ac:dyDescent="0.25">
      <c r="A11" s="28" t="s">
        <v>148</v>
      </c>
      <c r="B11" s="27">
        <v>-551974.79</v>
      </c>
      <c r="C11" s="24"/>
      <c r="D11" s="24"/>
      <c r="E11" s="24"/>
      <c r="F11" s="24"/>
      <c r="G11" s="24"/>
      <c r="H11" s="24"/>
      <c r="I11" s="24"/>
      <c r="J11" s="24"/>
      <c r="L11" s="24"/>
      <c r="M11" s="24"/>
      <c r="O11" s="24"/>
      <c r="P11" s="24"/>
      <c r="R11" s="24"/>
      <c r="S11" s="24"/>
      <c r="U11" s="24"/>
      <c r="V11" s="24"/>
      <c r="X11" s="24"/>
      <c r="Y11" s="24"/>
      <c r="AA11" s="24"/>
      <c r="AB11" s="24"/>
      <c r="AD11" s="24"/>
      <c r="AE11" s="24"/>
      <c r="AG11" s="24"/>
      <c r="AH11" s="24"/>
      <c r="AJ11" s="24"/>
      <c r="AK11" s="24"/>
      <c r="AM11" s="24"/>
      <c r="AN11" s="24"/>
    </row>
    <row r="12" spans="1:40" x14ac:dyDescent="0.25">
      <c r="A12" s="26" t="s">
        <v>149</v>
      </c>
      <c r="B12" s="24"/>
      <c r="C12" s="25"/>
      <c r="D12" s="25"/>
      <c r="E12" s="25"/>
      <c r="F12" s="25"/>
      <c r="G12" s="25"/>
      <c r="H12" s="25"/>
      <c r="I12" s="25"/>
      <c r="J12" s="25"/>
      <c r="L12" s="25"/>
      <c r="M12" s="25"/>
      <c r="O12" s="25"/>
      <c r="P12" s="25"/>
      <c r="R12" s="25"/>
      <c r="S12" s="25"/>
      <c r="U12" s="25"/>
      <c r="V12" s="25"/>
      <c r="X12" s="25"/>
      <c r="Y12" s="25"/>
      <c r="AA12" s="25"/>
      <c r="AB12" s="25"/>
      <c r="AD12" s="25"/>
      <c r="AE12" s="25"/>
      <c r="AG12" s="25"/>
      <c r="AH12" s="25"/>
      <c r="AJ12" s="25"/>
      <c r="AK12" s="25"/>
      <c r="AM12" s="25"/>
      <c r="AN12" s="25"/>
    </row>
    <row r="13" spans="1:40" x14ac:dyDescent="0.25">
      <c r="A13" s="26" t="s">
        <v>150</v>
      </c>
      <c r="B13" s="24"/>
      <c r="C13" s="25"/>
      <c r="D13" s="25"/>
      <c r="E13" s="25"/>
      <c r="F13" s="25"/>
      <c r="G13" s="25"/>
      <c r="H13" s="25"/>
      <c r="I13" s="25"/>
      <c r="J13" s="25"/>
      <c r="L13" s="25"/>
      <c r="M13" s="25"/>
      <c r="O13" s="25"/>
      <c r="P13" s="25"/>
      <c r="R13" s="25"/>
      <c r="S13" s="25"/>
      <c r="U13" s="25"/>
      <c r="V13" s="25"/>
      <c r="X13" s="25"/>
      <c r="Y13" s="25"/>
      <c r="AA13" s="25"/>
      <c r="AB13" s="25"/>
      <c r="AD13" s="25"/>
      <c r="AE13" s="25"/>
      <c r="AG13" s="25"/>
      <c r="AH13" s="25"/>
      <c r="AJ13" s="25"/>
      <c r="AK13" s="25"/>
      <c r="AM13" s="25"/>
      <c r="AN13" s="25"/>
    </row>
    <row r="14" spans="1:40" x14ac:dyDescent="0.25">
      <c r="A14" s="26" t="s">
        <v>151</v>
      </c>
      <c r="B14" s="24"/>
      <c r="C14" s="24"/>
      <c r="D14" s="24"/>
      <c r="E14" s="24"/>
      <c r="F14" s="24"/>
      <c r="G14" s="24"/>
      <c r="H14" s="24"/>
      <c r="I14" s="24"/>
      <c r="J14" s="24"/>
      <c r="L14" s="24"/>
      <c r="M14" s="24"/>
      <c r="O14" s="24"/>
      <c r="P14" s="24"/>
      <c r="R14" s="24"/>
      <c r="S14" s="24"/>
      <c r="U14" s="24"/>
      <c r="V14" s="24"/>
      <c r="X14" s="24"/>
      <c r="Y14" s="24"/>
      <c r="AA14" s="24"/>
      <c r="AB14" s="24"/>
      <c r="AD14" s="24"/>
      <c r="AE14" s="24"/>
      <c r="AG14" s="24"/>
      <c r="AH14" s="24"/>
      <c r="AJ14" s="24"/>
      <c r="AK14" s="24"/>
      <c r="AM14" s="24"/>
      <c r="AN14" s="24"/>
    </row>
    <row r="15" spans="1:40" x14ac:dyDescent="0.25">
      <c r="A15" s="28" t="s">
        <v>152</v>
      </c>
      <c r="B15" s="27">
        <v>-4477</v>
      </c>
      <c r="C15" s="24"/>
      <c r="D15" s="24"/>
      <c r="E15" s="24"/>
      <c r="F15" s="24"/>
      <c r="G15" s="24"/>
      <c r="H15" s="24"/>
      <c r="I15" s="24"/>
      <c r="J15" s="24"/>
      <c r="L15" s="24"/>
      <c r="M15" s="24"/>
      <c r="O15" s="24"/>
      <c r="P15" s="24"/>
      <c r="R15" s="24"/>
      <c r="S15" s="24"/>
      <c r="U15" s="24"/>
      <c r="V15" s="24"/>
      <c r="X15" s="24"/>
      <c r="Y15" s="24"/>
      <c r="AA15" s="24"/>
      <c r="AB15" s="24"/>
      <c r="AD15" s="24"/>
      <c r="AE15" s="24"/>
      <c r="AG15" s="24"/>
      <c r="AH15" s="24"/>
      <c r="AJ15" s="24"/>
      <c r="AK15" s="24"/>
      <c r="AM15" s="24"/>
      <c r="AN15" s="24"/>
    </row>
    <row r="16" spans="1:40" x14ac:dyDescent="0.25">
      <c r="A16" s="26" t="s">
        <v>153</v>
      </c>
      <c r="B16" s="24"/>
      <c r="C16" s="24"/>
      <c r="D16" s="24"/>
      <c r="E16" s="24"/>
      <c r="F16" s="24"/>
      <c r="G16" s="24"/>
      <c r="H16" s="24"/>
      <c r="I16" s="24"/>
      <c r="J16" s="24"/>
      <c r="L16" s="24"/>
      <c r="M16" s="24"/>
      <c r="O16" s="24"/>
      <c r="P16" s="24"/>
      <c r="R16" s="24"/>
      <c r="S16" s="24"/>
      <c r="U16" s="24"/>
      <c r="V16" s="24"/>
      <c r="X16" s="24"/>
      <c r="Y16" s="24"/>
      <c r="AA16" s="24"/>
      <c r="AB16" s="24"/>
      <c r="AD16" s="24"/>
      <c r="AE16" s="24"/>
      <c r="AG16" s="24"/>
      <c r="AH16" s="24"/>
      <c r="AJ16" s="24"/>
      <c r="AK16" s="24"/>
      <c r="AM16" s="24"/>
      <c r="AN16" s="24"/>
    </row>
    <row r="17" spans="1:40" x14ac:dyDescent="0.25">
      <c r="A17" s="28" t="s">
        <v>154</v>
      </c>
      <c r="B17" s="27">
        <v>-4292.5</v>
      </c>
      <c r="C17" s="24"/>
      <c r="D17" s="24"/>
      <c r="E17" s="24"/>
      <c r="F17" s="24"/>
      <c r="G17" s="24"/>
      <c r="H17" s="24"/>
      <c r="I17" s="24"/>
      <c r="J17" s="24"/>
      <c r="L17" s="24"/>
      <c r="M17" s="24"/>
      <c r="O17" s="24"/>
      <c r="P17" s="24"/>
      <c r="R17" s="24"/>
      <c r="S17" s="24"/>
      <c r="U17" s="24"/>
      <c r="V17" s="24"/>
      <c r="X17" s="24"/>
      <c r="Y17" s="24"/>
      <c r="AA17" s="24"/>
      <c r="AB17" s="24"/>
      <c r="AD17" s="24"/>
      <c r="AE17" s="24"/>
      <c r="AG17" s="24"/>
      <c r="AH17" s="24"/>
      <c r="AJ17" s="24"/>
      <c r="AK17" s="24"/>
      <c r="AM17" s="24"/>
      <c r="AN17" s="24"/>
    </row>
    <row r="18" spans="1:40" x14ac:dyDescent="0.25">
      <c r="A18" s="28" t="s">
        <v>155</v>
      </c>
      <c r="B18" s="27">
        <v>-1281.04</v>
      </c>
      <c r="C18" s="24"/>
      <c r="D18" s="24"/>
      <c r="E18" s="24"/>
      <c r="F18" s="24"/>
      <c r="G18" s="24"/>
      <c r="H18" s="24"/>
      <c r="I18" s="24"/>
      <c r="J18" s="24"/>
      <c r="L18" s="24"/>
      <c r="M18" s="24"/>
      <c r="O18" s="24"/>
      <c r="P18" s="24"/>
      <c r="R18" s="24"/>
      <c r="S18" s="24"/>
      <c r="U18" s="24"/>
      <c r="V18" s="24"/>
      <c r="X18" s="24"/>
      <c r="Y18" s="24"/>
      <c r="AA18" s="24"/>
      <c r="AB18" s="24"/>
      <c r="AD18" s="24"/>
      <c r="AE18" s="24"/>
      <c r="AG18" s="24"/>
      <c r="AH18" s="24"/>
      <c r="AJ18" s="24"/>
      <c r="AK18" s="24"/>
      <c r="AM18" s="24"/>
      <c r="AN18" s="24"/>
    </row>
    <row r="19" spans="1:40" x14ac:dyDescent="0.25">
      <c r="A19" s="28" t="s">
        <v>156</v>
      </c>
      <c r="B19" s="27">
        <v>-355.85</v>
      </c>
      <c r="C19" s="24"/>
      <c r="D19" s="24"/>
      <c r="E19" s="24"/>
      <c r="F19" s="24"/>
      <c r="G19" s="24"/>
      <c r="H19" s="24"/>
      <c r="I19" s="24"/>
      <c r="J19" s="24"/>
      <c r="L19" s="24"/>
      <c r="M19" s="24"/>
      <c r="O19" s="24"/>
      <c r="P19" s="24"/>
      <c r="R19" s="24"/>
      <c r="S19" s="24"/>
      <c r="U19" s="24"/>
      <c r="V19" s="24"/>
      <c r="X19" s="24"/>
      <c r="Y19" s="24"/>
      <c r="AA19" s="24"/>
      <c r="AB19" s="24"/>
      <c r="AD19" s="24"/>
      <c r="AE19" s="24"/>
      <c r="AG19" s="24"/>
      <c r="AH19" s="24"/>
      <c r="AJ19" s="24"/>
      <c r="AK19" s="24"/>
      <c r="AM19" s="24"/>
      <c r="AN19" s="24"/>
    </row>
    <row r="20" spans="1:40" x14ac:dyDescent="0.25">
      <c r="A20" s="28" t="s">
        <v>157</v>
      </c>
      <c r="B20" s="27">
        <v>-1430.36</v>
      </c>
      <c r="C20" s="24"/>
      <c r="D20" s="24"/>
      <c r="E20" s="24"/>
      <c r="F20" s="24"/>
      <c r="G20" s="24"/>
      <c r="H20" s="24"/>
      <c r="I20" s="24"/>
      <c r="J20" s="24"/>
      <c r="L20" s="24"/>
      <c r="M20" s="24"/>
      <c r="O20" s="24"/>
      <c r="P20" s="24"/>
      <c r="R20" s="24"/>
      <c r="S20" s="24"/>
      <c r="U20" s="24"/>
      <c r="V20" s="24"/>
      <c r="X20" s="24"/>
      <c r="Y20" s="24"/>
      <c r="AA20" s="24"/>
      <c r="AB20" s="24"/>
      <c r="AD20" s="24"/>
      <c r="AE20" s="24"/>
      <c r="AG20" s="24"/>
      <c r="AH20" s="24"/>
      <c r="AJ20" s="24"/>
      <c r="AK20" s="24"/>
      <c r="AM20" s="24"/>
      <c r="AN20" s="24"/>
    </row>
    <row r="21" spans="1:40" x14ac:dyDescent="0.25">
      <c r="A21" s="28" t="s">
        <v>158</v>
      </c>
      <c r="B21" s="27">
        <v>-93.04</v>
      </c>
      <c r="C21" s="24"/>
      <c r="D21" s="24"/>
      <c r="E21" s="24"/>
      <c r="F21" s="24"/>
      <c r="G21" s="24"/>
      <c r="H21" s="24"/>
      <c r="I21" s="24"/>
      <c r="J21" s="24"/>
      <c r="L21" s="24"/>
      <c r="M21" s="24"/>
      <c r="O21" s="24"/>
      <c r="P21" s="24"/>
      <c r="R21" s="24"/>
      <c r="S21" s="24"/>
      <c r="U21" s="24"/>
      <c r="V21" s="24"/>
      <c r="X21" s="24"/>
      <c r="Y21" s="24"/>
      <c r="AA21" s="24"/>
      <c r="AB21" s="24"/>
      <c r="AD21" s="24"/>
      <c r="AE21" s="24"/>
      <c r="AG21" s="24"/>
      <c r="AH21" s="24"/>
      <c r="AJ21" s="24"/>
      <c r="AK21" s="24"/>
      <c r="AM21" s="24"/>
      <c r="AN21" s="24"/>
    </row>
    <row r="22" spans="1:40" x14ac:dyDescent="0.25">
      <c r="A22" s="28" t="s">
        <v>159</v>
      </c>
      <c r="B22" s="27">
        <v>-496.91</v>
      </c>
      <c r="C22" s="24"/>
      <c r="D22" s="24"/>
      <c r="E22" s="24"/>
      <c r="F22" s="24"/>
      <c r="G22" s="24"/>
      <c r="H22" s="24"/>
      <c r="I22" s="24"/>
      <c r="J22" s="24"/>
      <c r="L22" s="24"/>
      <c r="M22" s="24"/>
      <c r="O22" s="24"/>
      <c r="P22" s="24"/>
      <c r="R22" s="24"/>
      <c r="S22" s="24"/>
      <c r="U22" s="24"/>
      <c r="V22" s="24"/>
      <c r="X22" s="24"/>
      <c r="Y22" s="24"/>
      <c r="AA22" s="24"/>
      <c r="AB22" s="24"/>
      <c r="AD22" s="24"/>
      <c r="AE22" s="24"/>
      <c r="AG22" s="24"/>
      <c r="AH22" s="24"/>
      <c r="AJ22" s="24"/>
      <c r="AK22" s="24"/>
      <c r="AM22" s="24"/>
      <c r="AN22" s="24"/>
    </row>
    <row r="23" spans="1:40" x14ac:dyDescent="0.25">
      <c r="A23" s="28" t="s">
        <v>160</v>
      </c>
      <c r="B23" s="27">
        <v>-1900</v>
      </c>
      <c r="C23" s="24"/>
      <c r="D23" s="24"/>
      <c r="E23" s="24"/>
      <c r="F23" s="24"/>
      <c r="G23" s="24"/>
      <c r="H23" s="24"/>
      <c r="I23" s="24"/>
      <c r="J23" s="24"/>
      <c r="L23" s="24"/>
      <c r="M23" s="24"/>
      <c r="O23" s="24"/>
      <c r="P23" s="24"/>
      <c r="R23" s="24"/>
      <c r="S23" s="24"/>
      <c r="U23" s="24"/>
      <c r="V23" s="24"/>
      <c r="X23" s="24"/>
      <c r="Y23" s="24"/>
      <c r="AA23" s="24"/>
      <c r="AB23" s="24"/>
      <c r="AD23" s="24"/>
      <c r="AE23" s="24"/>
      <c r="AG23" s="24"/>
      <c r="AH23" s="24"/>
      <c r="AJ23" s="24"/>
      <c r="AK23" s="24"/>
      <c r="AM23" s="24"/>
      <c r="AN23" s="24"/>
    </row>
    <row r="24" spans="1:40" x14ac:dyDescent="0.25">
      <c r="A24" s="28" t="s">
        <v>161</v>
      </c>
      <c r="B24" s="27">
        <v>-650</v>
      </c>
      <c r="C24" s="24"/>
      <c r="D24" s="24"/>
      <c r="E24" s="24"/>
      <c r="F24" s="24"/>
      <c r="G24" s="24"/>
      <c r="H24" s="24"/>
      <c r="I24" s="24"/>
      <c r="J24" s="24"/>
      <c r="L24" s="24"/>
      <c r="M24" s="24"/>
      <c r="O24" s="24"/>
      <c r="P24" s="24"/>
      <c r="R24" s="24"/>
      <c r="S24" s="24"/>
      <c r="U24" s="24"/>
      <c r="V24" s="24"/>
      <c r="X24" s="24"/>
      <c r="Y24" s="24"/>
      <c r="AA24" s="24"/>
      <c r="AB24" s="24"/>
      <c r="AD24" s="24"/>
      <c r="AE24" s="24"/>
      <c r="AG24" s="24"/>
      <c r="AH24" s="24"/>
      <c r="AJ24" s="24"/>
      <c r="AK24" s="24"/>
      <c r="AM24" s="24"/>
      <c r="AN24" s="24"/>
    </row>
    <row r="25" spans="1:40" x14ac:dyDescent="0.25">
      <c r="A25" s="28" t="s">
        <v>162</v>
      </c>
      <c r="B25" s="27">
        <v>-400</v>
      </c>
      <c r="C25" s="24"/>
      <c r="D25" s="24"/>
      <c r="E25" s="24"/>
      <c r="F25" s="24"/>
      <c r="G25" s="24"/>
      <c r="H25" s="24"/>
      <c r="I25" s="24"/>
      <c r="J25" s="24"/>
      <c r="L25" s="24"/>
      <c r="M25" s="24"/>
      <c r="O25" s="24"/>
      <c r="P25" s="24"/>
      <c r="R25" s="24"/>
      <c r="S25" s="24"/>
      <c r="U25" s="24"/>
      <c r="V25" s="24"/>
      <c r="X25" s="24"/>
      <c r="Y25" s="24"/>
      <c r="AA25" s="24"/>
      <c r="AB25" s="24"/>
      <c r="AD25" s="24"/>
      <c r="AE25" s="24"/>
      <c r="AG25" s="24"/>
      <c r="AH25" s="24"/>
      <c r="AJ25" s="24"/>
      <c r="AK25" s="24"/>
      <c r="AM25" s="24"/>
      <c r="AN25" s="24"/>
    </row>
    <row r="26" spans="1:40" x14ac:dyDescent="0.25">
      <c r="A26" s="28" t="s">
        <v>163</v>
      </c>
      <c r="B26" s="27">
        <v>-53.45</v>
      </c>
      <c r="C26" s="24"/>
      <c r="D26" s="24"/>
      <c r="E26" s="24"/>
      <c r="F26" s="24"/>
      <c r="G26" s="24"/>
      <c r="H26" s="24"/>
      <c r="I26" s="24"/>
      <c r="J26" s="24"/>
      <c r="L26" s="24"/>
      <c r="M26" s="24"/>
      <c r="O26" s="24"/>
      <c r="P26" s="24"/>
      <c r="R26" s="24"/>
      <c r="S26" s="24"/>
      <c r="U26" s="24"/>
      <c r="V26" s="24"/>
      <c r="X26" s="24"/>
      <c r="Y26" s="24"/>
      <c r="AA26" s="24"/>
      <c r="AB26" s="24"/>
      <c r="AD26" s="24"/>
      <c r="AE26" s="24"/>
      <c r="AG26" s="24"/>
      <c r="AH26" s="24"/>
      <c r="AJ26" s="24"/>
      <c r="AK26" s="24"/>
      <c r="AM26" s="24"/>
      <c r="AN26" s="24"/>
    </row>
    <row r="27" spans="1:40" x14ac:dyDescent="0.25">
      <c r="A27" s="26" t="s">
        <v>164</v>
      </c>
      <c r="B27" s="24"/>
      <c r="C27" s="25"/>
      <c r="D27" s="25"/>
      <c r="E27" s="25"/>
      <c r="F27" s="25"/>
      <c r="G27" s="25"/>
      <c r="H27" s="25"/>
      <c r="I27" s="25"/>
      <c r="J27" s="25"/>
      <c r="L27" s="25"/>
      <c r="M27" s="25"/>
      <c r="O27" s="25"/>
      <c r="P27" s="25"/>
      <c r="R27" s="25"/>
      <c r="S27" s="25"/>
      <c r="U27" s="25"/>
      <c r="V27" s="25"/>
      <c r="X27" s="25"/>
      <c r="Y27" s="25"/>
      <c r="AA27" s="25"/>
      <c r="AB27" s="25"/>
      <c r="AD27" s="25"/>
      <c r="AE27" s="25"/>
      <c r="AG27" s="25"/>
      <c r="AH27" s="25"/>
      <c r="AJ27" s="25"/>
      <c r="AK27" s="25"/>
      <c r="AM27" s="25"/>
      <c r="AN27" s="25"/>
    </row>
    <row r="28" spans="1:40" x14ac:dyDescent="0.25">
      <c r="A28" s="28" t="s">
        <v>165</v>
      </c>
      <c r="B28" s="27">
        <v>-1064.05</v>
      </c>
      <c r="C28" s="24"/>
      <c r="D28" s="24"/>
      <c r="E28" s="24"/>
      <c r="F28" s="24"/>
      <c r="G28" s="24"/>
      <c r="H28" s="24"/>
      <c r="I28" s="24"/>
      <c r="J28" s="24"/>
      <c r="L28" s="24"/>
      <c r="M28" s="24"/>
      <c r="O28" s="24"/>
      <c r="P28" s="24"/>
      <c r="R28" s="24"/>
      <c r="S28" s="24"/>
      <c r="U28" s="24"/>
      <c r="V28" s="24"/>
      <c r="X28" s="24"/>
      <c r="Y28" s="24"/>
      <c r="AA28" s="24"/>
      <c r="AB28" s="24"/>
      <c r="AD28" s="24"/>
      <c r="AE28" s="24"/>
      <c r="AG28" s="24"/>
      <c r="AH28" s="24"/>
      <c r="AJ28" s="24"/>
      <c r="AK28" s="24"/>
      <c r="AM28" s="24"/>
      <c r="AN28" s="24"/>
    </row>
    <row r="29" spans="1:40" x14ac:dyDescent="0.25">
      <c r="A29" s="26" t="s">
        <v>166</v>
      </c>
      <c r="B29" s="24"/>
      <c r="C29" s="25"/>
      <c r="D29" s="25"/>
      <c r="E29" s="25"/>
      <c r="F29" s="25"/>
      <c r="G29" s="25"/>
      <c r="H29" s="25"/>
      <c r="I29" s="25"/>
      <c r="J29" s="25"/>
      <c r="L29" s="25"/>
      <c r="M29" s="25"/>
      <c r="O29" s="25"/>
      <c r="P29" s="25"/>
      <c r="R29" s="25"/>
      <c r="S29" s="25"/>
      <c r="U29" s="25"/>
      <c r="V29" s="25"/>
      <c r="X29" s="25"/>
      <c r="Y29" s="25"/>
      <c r="AA29" s="25"/>
      <c r="AB29" s="25"/>
      <c r="AD29" s="25"/>
      <c r="AE29" s="25"/>
      <c r="AG29" s="25"/>
      <c r="AH29" s="25"/>
      <c r="AJ29" s="25"/>
      <c r="AK29" s="25"/>
      <c r="AM29" s="25"/>
      <c r="AN29" s="25"/>
    </row>
    <row r="30" spans="1:40" x14ac:dyDescent="0.25">
      <c r="A30" s="28" t="s">
        <v>167</v>
      </c>
      <c r="B30" s="27">
        <v>9511.65</v>
      </c>
      <c r="C30" s="24"/>
      <c r="D30" s="24"/>
      <c r="E30" s="24"/>
      <c r="F30" s="24"/>
      <c r="G30" s="24"/>
      <c r="H30" s="24"/>
      <c r="I30" s="24"/>
      <c r="J30" s="24"/>
      <c r="L30" s="24"/>
      <c r="M30" s="24"/>
      <c r="O30" s="24"/>
      <c r="P30" s="24"/>
      <c r="R30" s="24"/>
      <c r="S30" s="24"/>
      <c r="U30" s="24"/>
      <c r="V30" s="24"/>
      <c r="X30" s="24"/>
      <c r="Y30" s="24"/>
      <c r="AA30" s="24"/>
      <c r="AB30" s="24"/>
      <c r="AD30" s="24"/>
      <c r="AE30" s="24"/>
      <c r="AG30" s="24"/>
      <c r="AH30" s="24"/>
      <c r="AJ30" s="24"/>
      <c r="AK30" s="24"/>
      <c r="AM30" s="24"/>
      <c r="AN30" s="24"/>
    </row>
    <row r="31" spans="1:40" x14ac:dyDescent="0.25">
      <c r="A31" s="28" t="s">
        <v>168</v>
      </c>
      <c r="B31" s="27">
        <v>18777.439999999999</v>
      </c>
      <c r="C31" s="24"/>
      <c r="D31" s="24"/>
      <c r="E31" s="24"/>
      <c r="F31" s="24"/>
      <c r="G31" s="24"/>
      <c r="H31" s="24"/>
      <c r="I31" s="24"/>
      <c r="J31" s="24"/>
      <c r="L31" s="24"/>
      <c r="M31" s="24"/>
      <c r="O31" s="24"/>
      <c r="P31" s="24"/>
      <c r="R31" s="24"/>
      <c r="S31" s="24"/>
      <c r="U31" s="24"/>
      <c r="V31" s="24"/>
      <c r="X31" s="24"/>
      <c r="Y31" s="24"/>
      <c r="AA31" s="24"/>
      <c r="AB31" s="24"/>
      <c r="AD31" s="24"/>
      <c r="AE31" s="24"/>
      <c r="AG31" s="24"/>
      <c r="AH31" s="24"/>
      <c r="AJ31" s="24"/>
      <c r="AK31" s="24"/>
      <c r="AM31" s="24"/>
      <c r="AN31" s="24"/>
    </row>
    <row r="32" spans="1:40" x14ac:dyDescent="0.25">
      <c r="A32" s="26" t="s">
        <v>169</v>
      </c>
      <c r="B32" s="24"/>
      <c r="C32" s="25"/>
      <c r="D32" s="25"/>
      <c r="E32" s="25"/>
      <c r="F32" s="25"/>
      <c r="G32" s="25"/>
      <c r="H32" s="25"/>
      <c r="I32" s="25"/>
      <c r="J32" s="25"/>
      <c r="L32" s="25"/>
      <c r="M32" s="25"/>
      <c r="O32" s="25"/>
      <c r="P32" s="25"/>
      <c r="R32" s="25"/>
      <c r="S32" s="25"/>
      <c r="U32" s="25"/>
      <c r="V32" s="25"/>
      <c r="X32" s="25"/>
      <c r="Y32" s="25"/>
      <c r="AA32" s="25"/>
      <c r="AB32" s="25"/>
      <c r="AD32" s="25"/>
      <c r="AE32" s="25"/>
      <c r="AG32" s="25"/>
      <c r="AH32" s="25"/>
      <c r="AJ32" s="25"/>
      <c r="AK32" s="25"/>
      <c r="AM32" s="25"/>
      <c r="AN32" s="25"/>
    </row>
  </sheetData>
  <phoneticPr fontId="9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3AB1-8DA4-46CE-A427-26425C5A5CBF}">
  <dimension ref="A1:AA53"/>
  <sheetViews>
    <sheetView workbookViewId="0">
      <selection activeCell="F5" sqref="F5"/>
    </sheetView>
  </sheetViews>
  <sheetFormatPr defaultRowHeight="15" x14ac:dyDescent="0.25"/>
  <cols>
    <col min="1" max="1" width="6.140625" style="31" customWidth="1"/>
    <col min="2" max="2" width="12.7109375" style="31" customWidth="1"/>
    <col min="3" max="3" width="21.28515625" style="31" customWidth="1"/>
    <col min="4" max="4" width="11.140625" style="31" bestFit="1" customWidth="1"/>
    <col min="5" max="5" width="9.85546875" style="31" customWidth="1"/>
    <col min="6" max="6" width="3.140625" style="31" bestFit="1" customWidth="1"/>
    <col min="7" max="7" width="9.140625" style="31"/>
    <col min="8" max="8" width="3.140625" style="31" bestFit="1" customWidth="1"/>
    <col min="9" max="9" width="9.140625" style="31"/>
    <col min="10" max="10" width="3.140625" style="31" bestFit="1" customWidth="1"/>
    <col min="11" max="11" width="5.42578125" style="31" bestFit="1" customWidth="1"/>
    <col min="12" max="12" width="3.140625" style="31" bestFit="1" customWidth="1"/>
    <col min="13" max="13" width="9.140625" style="31"/>
    <col min="14" max="14" width="3.140625" style="31" bestFit="1" customWidth="1"/>
    <col min="15" max="15" width="6.140625" style="31" bestFit="1" customWidth="1"/>
    <col min="16" max="16" width="3.140625" style="31" bestFit="1" customWidth="1"/>
    <col min="17" max="17" width="7.5703125" style="31" bestFit="1" customWidth="1"/>
    <col min="18" max="18" width="3.140625" style="31" bestFit="1" customWidth="1"/>
    <col min="19" max="19" width="12.42578125" style="31" customWidth="1"/>
    <col min="20" max="20" width="3.140625" style="31" bestFit="1" customWidth="1"/>
    <col min="21" max="21" width="8.7109375" style="31" bestFit="1" customWidth="1"/>
    <col min="22" max="22" width="3.140625" style="31" bestFit="1" customWidth="1"/>
    <col min="23" max="23" width="9.7109375" style="31" bestFit="1" customWidth="1"/>
    <col min="24" max="24" width="3.140625" style="31" bestFit="1" customWidth="1"/>
    <col min="25" max="25" width="9.5703125" style="31" bestFit="1" customWidth="1"/>
    <col min="26" max="26" width="3.140625" style="31" bestFit="1" customWidth="1"/>
    <col min="27" max="27" width="6.140625" style="31" bestFit="1" customWidth="1"/>
    <col min="28" max="259" width="9.140625" style="31"/>
    <col min="260" max="260" width="6.140625" style="31" customWidth="1"/>
    <col min="261" max="261" width="12.7109375" style="31" customWidth="1"/>
    <col min="262" max="262" width="6.28515625" style="31" customWidth="1"/>
    <col min="263" max="263" width="21.28515625" style="31" customWidth="1"/>
    <col min="264" max="264" width="14.7109375" style="31" customWidth="1"/>
    <col min="265" max="265" width="5.28515625" style="31" customWidth="1"/>
    <col min="266" max="266" width="17" style="31" customWidth="1"/>
    <col min="267" max="267" width="9.7109375" style="31" customWidth="1"/>
    <col min="268" max="268" width="6.28515625" style="31" customWidth="1"/>
    <col min="269" max="269" width="11.140625" style="31" customWidth="1"/>
    <col min="270" max="270" width="5" style="31" customWidth="1"/>
    <col min="271" max="271" width="8.140625" style="31" customWidth="1"/>
    <col min="272" max="272" width="6.5703125" style="31" customWidth="1"/>
    <col min="273" max="515" width="9.140625" style="31"/>
    <col min="516" max="516" width="6.140625" style="31" customWidth="1"/>
    <col min="517" max="517" width="12.7109375" style="31" customWidth="1"/>
    <col min="518" max="518" width="6.28515625" style="31" customWidth="1"/>
    <col min="519" max="519" width="21.28515625" style="31" customWidth="1"/>
    <col min="520" max="520" width="14.7109375" style="31" customWidth="1"/>
    <col min="521" max="521" width="5.28515625" style="31" customWidth="1"/>
    <col min="522" max="522" width="17" style="31" customWidth="1"/>
    <col min="523" max="523" width="9.7109375" style="31" customWidth="1"/>
    <col min="524" max="524" width="6.28515625" style="31" customWidth="1"/>
    <col min="525" max="525" width="11.140625" style="31" customWidth="1"/>
    <col min="526" max="526" width="5" style="31" customWidth="1"/>
    <col min="527" max="527" width="8.140625" style="31" customWidth="1"/>
    <col min="528" max="528" width="6.5703125" style="31" customWidth="1"/>
    <col min="529" max="771" width="9.140625" style="31"/>
    <col min="772" max="772" width="6.140625" style="31" customWidth="1"/>
    <col min="773" max="773" width="12.7109375" style="31" customWidth="1"/>
    <col min="774" max="774" width="6.28515625" style="31" customWidth="1"/>
    <col min="775" max="775" width="21.28515625" style="31" customWidth="1"/>
    <col min="776" max="776" width="14.7109375" style="31" customWidth="1"/>
    <col min="777" max="777" width="5.28515625" style="31" customWidth="1"/>
    <col min="778" max="778" width="17" style="31" customWidth="1"/>
    <col min="779" max="779" width="9.7109375" style="31" customWidth="1"/>
    <col min="780" max="780" width="6.28515625" style="31" customWidth="1"/>
    <col min="781" max="781" width="11.140625" style="31" customWidth="1"/>
    <col min="782" max="782" width="5" style="31" customWidth="1"/>
    <col min="783" max="783" width="8.140625" style="31" customWidth="1"/>
    <col min="784" max="784" width="6.5703125" style="31" customWidth="1"/>
    <col min="785" max="1027" width="9.140625" style="31"/>
    <col min="1028" max="1028" width="6.140625" style="31" customWidth="1"/>
    <col min="1029" max="1029" width="12.7109375" style="31" customWidth="1"/>
    <col min="1030" max="1030" width="6.28515625" style="31" customWidth="1"/>
    <col min="1031" max="1031" width="21.28515625" style="31" customWidth="1"/>
    <col min="1032" max="1032" width="14.7109375" style="31" customWidth="1"/>
    <col min="1033" max="1033" width="5.28515625" style="31" customWidth="1"/>
    <col min="1034" max="1034" width="17" style="31" customWidth="1"/>
    <col min="1035" max="1035" width="9.7109375" style="31" customWidth="1"/>
    <col min="1036" max="1036" width="6.28515625" style="31" customWidth="1"/>
    <col min="1037" max="1037" width="11.140625" style="31" customWidth="1"/>
    <col min="1038" max="1038" width="5" style="31" customWidth="1"/>
    <col min="1039" max="1039" width="8.140625" style="31" customWidth="1"/>
    <col min="1040" max="1040" width="6.5703125" style="31" customWidth="1"/>
    <col min="1041" max="1283" width="9.140625" style="31"/>
    <col min="1284" max="1284" width="6.140625" style="31" customWidth="1"/>
    <col min="1285" max="1285" width="12.7109375" style="31" customWidth="1"/>
    <col min="1286" max="1286" width="6.28515625" style="31" customWidth="1"/>
    <col min="1287" max="1287" width="21.28515625" style="31" customWidth="1"/>
    <col min="1288" max="1288" width="14.7109375" style="31" customWidth="1"/>
    <col min="1289" max="1289" width="5.28515625" style="31" customWidth="1"/>
    <col min="1290" max="1290" width="17" style="31" customWidth="1"/>
    <col min="1291" max="1291" width="9.7109375" style="31" customWidth="1"/>
    <col min="1292" max="1292" width="6.28515625" style="31" customWidth="1"/>
    <col min="1293" max="1293" width="11.140625" style="31" customWidth="1"/>
    <col min="1294" max="1294" width="5" style="31" customWidth="1"/>
    <col min="1295" max="1295" width="8.140625" style="31" customWidth="1"/>
    <col min="1296" max="1296" width="6.5703125" style="31" customWidth="1"/>
    <col min="1297" max="1539" width="9.140625" style="31"/>
    <col min="1540" max="1540" width="6.140625" style="31" customWidth="1"/>
    <col min="1541" max="1541" width="12.7109375" style="31" customWidth="1"/>
    <col min="1542" max="1542" width="6.28515625" style="31" customWidth="1"/>
    <col min="1543" max="1543" width="21.28515625" style="31" customWidth="1"/>
    <col min="1544" max="1544" width="14.7109375" style="31" customWidth="1"/>
    <col min="1545" max="1545" width="5.28515625" style="31" customWidth="1"/>
    <col min="1546" max="1546" width="17" style="31" customWidth="1"/>
    <col min="1547" max="1547" width="9.7109375" style="31" customWidth="1"/>
    <col min="1548" max="1548" width="6.28515625" style="31" customWidth="1"/>
    <col min="1549" max="1549" width="11.140625" style="31" customWidth="1"/>
    <col min="1550" max="1550" width="5" style="31" customWidth="1"/>
    <col min="1551" max="1551" width="8.140625" style="31" customWidth="1"/>
    <col min="1552" max="1552" width="6.5703125" style="31" customWidth="1"/>
    <col min="1553" max="1795" width="9.140625" style="31"/>
    <col min="1796" max="1796" width="6.140625" style="31" customWidth="1"/>
    <col min="1797" max="1797" width="12.7109375" style="31" customWidth="1"/>
    <col min="1798" max="1798" width="6.28515625" style="31" customWidth="1"/>
    <col min="1799" max="1799" width="21.28515625" style="31" customWidth="1"/>
    <col min="1800" max="1800" width="14.7109375" style="31" customWidth="1"/>
    <col min="1801" max="1801" width="5.28515625" style="31" customWidth="1"/>
    <col min="1802" max="1802" width="17" style="31" customWidth="1"/>
    <col min="1803" max="1803" width="9.7109375" style="31" customWidth="1"/>
    <col min="1804" max="1804" width="6.28515625" style="31" customWidth="1"/>
    <col min="1805" max="1805" width="11.140625" style="31" customWidth="1"/>
    <col min="1806" max="1806" width="5" style="31" customWidth="1"/>
    <col min="1807" max="1807" width="8.140625" style="31" customWidth="1"/>
    <col min="1808" max="1808" width="6.5703125" style="31" customWidth="1"/>
    <col min="1809" max="2051" width="9.140625" style="31"/>
    <col min="2052" max="2052" width="6.140625" style="31" customWidth="1"/>
    <col min="2053" max="2053" width="12.7109375" style="31" customWidth="1"/>
    <col min="2054" max="2054" width="6.28515625" style="31" customWidth="1"/>
    <col min="2055" max="2055" width="21.28515625" style="31" customWidth="1"/>
    <col min="2056" max="2056" width="14.7109375" style="31" customWidth="1"/>
    <col min="2057" max="2057" width="5.28515625" style="31" customWidth="1"/>
    <col min="2058" max="2058" width="17" style="31" customWidth="1"/>
    <col min="2059" max="2059" width="9.7109375" style="31" customWidth="1"/>
    <col min="2060" max="2060" width="6.28515625" style="31" customWidth="1"/>
    <col min="2061" max="2061" width="11.140625" style="31" customWidth="1"/>
    <col min="2062" max="2062" width="5" style="31" customWidth="1"/>
    <col min="2063" max="2063" width="8.140625" style="31" customWidth="1"/>
    <col min="2064" max="2064" width="6.5703125" style="31" customWidth="1"/>
    <col min="2065" max="2307" width="9.140625" style="31"/>
    <col min="2308" max="2308" width="6.140625" style="31" customWidth="1"/>
    <col min="2309" max="2309" width="12.7109375" style="31" customWidth="1"/>
    <col min="2310" max="2310" width="6.28515625" style="31" customWidth="1"/>
    <col min="2311" max="2311" width="21.28515625" style="31" customWidth="1"/>
    <col min="2312" max="2312" width="14.7109375" style="31" customWidth="1"/>
    <col min="2313" max="2313" width="5.28515625" style="31" customWidth="1"/>
    <col min="2314" max="2314" width="17" style="31" customWidth="1"/>
    <col min="2315" max="2315" width="9.7109375" style="31" customWidth="1"/>
    <col min="2316" max="2316" width="6.28515625" style="31" customWidth="1"/>
    <col min="2317" max="2317" width="11.140625" style="31" customWidth="1"/>
    <col min="2318" max="2318" width="5" style="31" customWidth="1"/>
    <col min="2319" max="2319" width="8.140625" style="31" customWidth="1"/>
    <col min="2320" max="2320" width="6.5703125" style="31" customWidth="1"/>
    <col min="2321" max="2563" width="9.140625" style="31"/>
    <col min="2564" max="2564" width="6.140625" style="31" customWidth="1"/>
    <col min="2565" max="2565" width="12.7109375" style="31" customWidth="1"/>
    <col min="2566" max="2566" width="6.28515625" style="31" customWidth="1"/>
    <col min="2567" max="2567" width="21.28515625" style="31" customWidth="1"/>
    <col min="2568" max="2568" width="14.7109375" style="31" customWidth="1"/>
    <col min="2569" max="2569" width="5.28515625" style="31" customWidth="1"/>
    <col min="2570" max="2570" width="17" style="31" customWidth="1"/>
    <col min="2571" max="2571" width="9.7109375" style="31" customWidth="1"/>
    <col min="2572" max="2572" width="6.28515625" style="31" customWidth="1"/>
    <col min="2573" max="2573" width="11.140625" style="31" customWidth="1"/>
    <col min="2574" max="2574" width="5" style="31" customWidth="1"/>
    <col min="2575" max="2575" width="8.140625" style="31" customWidth="1"/>
    <col min="2576" max="2576" width="6.5703125" style="31" customWidth="1"/>
    <col min="2577" max="2819" width="9.140625" style="31"/>
    <col min="2820" max="2820" width="6.140625" style="31" customWidth="1"/>
    <col min="2821" max="2821" width="12.7109375" style="31" customWidth="1"/>
    <col min="2822" max="2822" width="6.28515625" style="31" customWidth="1"/>
    <col min="2823" max="2823" width="21.28515625" style="31" customWidth="1"/>
    <col min="2824" max="2824" width="14.7109375" style="31" customWidth="1"/>
    <col min="2825" max="2825" width="5.28515625" style="31" customWidth="1"/>
    <col min="2826" max="2826" width="17" style="31" customWidth="1"/>
    <col min="2827" max="2827" width="9.7109375" style="31" customWidth="1"/>
    <col min="2828" max="2828" width="6.28515625" style="31" customWidth="1"/>
    <col min="2829" max="2829" width="11.140625" style="31" customWidth="1"/>
    <col min="2830" max="2830" width="5" style="31" customWidth="1"/>
    <col min="2831" max="2831" width="8.140625" style="31" customWidth="1"/>
    <col min="2832" max="2832" width="6.5703125" style="31" customWidth="1"/>
    <col min="2833" max="3075" width="9.140625" style="31"/>
    <col min="3076" max="3076" width="6.140625" style="31" customWidth="1"/>
    <col min="3077" max="3077" width="12.7109375" style="31" customWidth="1"/>
    <col min="3078" max="3078" width="6.28515625" style="31" customWidth="1"/>
    <col min="3079" max="3079" width="21.28515625" style="31" customWidth="1"/>
    <col min="3080" max="3080" width="14.7109375" style="31" customWidth="1"/>
    <col min="3081" max="3081" width="5.28515625" style="31" customWidth="1"/>
    <col min="3082" max="3082" width="17" style="31" customWidth="1"/>
    <col min="3083" max="3083" width="9.7109375" style="31" customWidth="1"/>
    <col min="3084" max="3084" width="6.28515625" style="31" customWidth="1"/>
    <col min="3085" max="3085" width="11.140625" style="31" customWidth="1"/>
    <col min="3086" max="3086" width="5" style="31" customWidth="1"/>
    <col min="3087" max="3087" width="8.140625" style="31" customWidth="1"/>
    <col min="3088" max="3088" width="6.5703125" style="31" customWidth="1"/>
    <col min="3089" max="3331" width="9.140625" style="31"/>
    <col min="3332" max="3332" width="6.140625" style="31" customWidth="1"/>
    <col min="3333" max="3333" width="12.7109375" style="31" customWidth="1"/>
    <col min="3334" max="3334" width="6.28515625" style="31" customWidth="1"/>
    <col min="3335" max="3335" width="21.28515625" style="31" customWidth="1"/>
    <col min="3336" max="3336" width="14.7109375" style="31" customWidth="1"/>
    <col min="3337" max="3337" width="5.28515625" style="31" customWidth="1"/>
    <col min="3338" max="3338" width="17" style="31" customWidth="1"/>
    <col min="3339" max="3339" width="9.7109375" style="31" customWidth="1"/>
    <col min="3340" max="3340" width="6.28515625" style="31" customWidth="1"/>
    <col min="3341" max="3341" width="11.140625" style="31" customWidth="1"/>
    <col min="3342" max="3342" width="5" style="31" customWidth="1"/>
    <col min="3343" max="3343" width="8.140625" style="31" customWidth="1"/>
    <col min="3344" max="3344" width="6.5703125" style="31" customWidth="1"/>
    <col min="3345" max="3587" width="9.140625" style="31"/>
    <col min="3588" max="3588" width="6.140625" style="31" customWidth="1"/>
    <col min="3589" max="3589" width="12.7109375" style="31" customWidth="1"/>
    <col min="3590" max="3590" width="6.28515625" style="31" customWidth="1"/>
    <col min="3591" max="3591" width="21.28515625" style="31" customWidth="1"/>
    <col min="3592" max="3592" width="14.7109375" style="31" customWidth="1"/>
    <col min="3593" max="3593" width="5.28515625" style="31" customWidth="1"/>
    <col min="3594" max="3594" width="17" style="31" customWidth="1"/>
    <col min="3595" max="3595" width="9.7109375" style="31" customWidth="1"/>
    <col min="3596" max="3596" width="6.28515625" style="31" customWidth="1"/>
    <col min="3597" max="3597" width="11.140625" style="31" customWidth="1"/>
    <col min="3598" max="3598" width="5" style="31" customWidth="1"/>
    <col min="3599" max="3599" width="8.140625" style="31" customWidth="1"/>
    <col min="3600" max="3600" width="6.5703125" style="31" customWidth="1"/>
    <col min="3601" max="3843" width="9.140625" style="31"/>
    <col min="3844" max="3844" width="6.140625" style="31" customWidth="1"/>
    <col min="3845" max="3845" width="12.7109375" style="31" customWidth="1"/>
    <col min="3846" max="3846" width="6.28515625" style="31" customWidth="1"/>
    <col min="3847" max="3847" width="21.28515625" style="31" customWidth="1"/>
    <col min="3848" max="3848" width="14.7109375" style="31" customWidth="1"/>
    <col min="3849" max="3849" width="5.28515625" style="31" customWidth="1"/>
    <col min="3850" max="3850" width="17" style="31" customWidth="1"/>
    <col min="3851" max="3851" width="9.7109375" style="31" customWidth="1"/>
    <col min="3852" max="3852" width="6.28515625" style="31" customWidth="1"/>
    <col min="3853" max="3853" width="11.140625" style="31" customWidth="1"/>
    <col min="3854" max="3854" width="5" style="31" customWidth="1"/>
    <col min="3855" max="3855" width="8.140625" style="31" customWidth="1"/>
    <col min="3856" max="3856" width="6.5703125" style="31" customWidth="1"/>
    <col min="3857" max="4099" width="9.140625" style="31"/>
    <col min="4100" max="4100" width="6.140625" style="31" customWidth="1"/>
    <col min="4101" max="4101" width="12.7109375" style="31" customWidth="1"/>
    <col min="4102" max="4102" width="6.28515625" style="31" customWidth="1"/>
    <col min="4103" max="4103" width="21.28515625" style="31" customWidth="1"/>
    <col min="4104" max="4104" width="14.7109375" style="31" customWidth="1"/>
    <col min="4105" max="4105" width="5.28515625" style="31" customWidth="1"/>
    <col min="4106" max="4106" width="17" style="31" customWidth="1"/>
    <col min="4107" max="4107" width="9.7109375" style="31" customWidth="1"/>
    <col min="4108" max="4108" width="6.28515625" style="31" customWidth="1"/>
    <col min="4109" max="4109" width="11.140625" style="31" customWidth="1"/>
    <col min="4110" max="4110" width="5" style="31" customWidth="1"/>
    <col min="4111" max="4111" width="8.140625" style="31" customWidth="1"/>
    <col min="4112" max="4112" width="6.5703125" style="31" customWidth="1"/>
    <col min="4113" max="4355" width="9.140625" style="31"/>
    <col min="4356" max="4356" width="6.140625" style="31" customWidth="1"/>
    <col min="4357" max="4357" width="12.7109375" style="31" customWidth="1"/>
    <col min="4358" max="4358" width="6.28515625" style="31" customWidth="1"/>
    <col min="4359" max="4359" width="21.28515625" style="31" customWidth="1"/>
    <col min="4360" max="4360" width="14.7109375" style="31" customWidth="1"/>
    <col min="4361" max="4361" width="5.28515625" style="31" customWidth="1"/>
    <col min="4362" max="4362" width="17" style="31" customWidth="1"/>
    <col min="4363" max="4363" width="9.7109375" style="31" customWidth="1"/>
    <col min="4364" max="4364" width="6.28515625" style="31" customWidth="1"/>
    <col min="4365" max="4365" width="11.140625" style="31" customWidth="1"/>
    <col min="4366" max="4366" width="5" style="31" customWidth="1"/>
    <col min="4367" max="4367" width="8.140625" style="31" customWidth="1"/>
    <col min="4368" max="4368" width="6.5703125" style="31" customWidth="1"/>
    <col min="4369" max="4611" width="9.140625" style="31"/>
    <col min="4612" max="4612" width="6.140625" style="31" customWidth="1"/>
    <col min="4613" max="4613" width="12.7109375" style="31" customWidth="1"/>
    <col min="4614" max="4614" width="6.28515625" style="31" customWidth="1"/>
    <col min="4615" max="4615" width="21.28515625" style="31" customWidth="1"/>
    <col min="4616" max="4616" width="14.7109375" style="31" customWidth="1"/>
    <col min="4617" max="4617" width="5.28515625" style="31" customWidth="1"/>
    <col min="4618" max="4618" width="17" style="31" customWidth="1"/>
    <col min="4619" max="4619" width="9.7109375" style="31" customWidth="1"/>
    <col min="4620" max="4620" width="6.28515625" style="31" customWidth="1"/>
    <col min="4621" max="4621" width="11.140625" style="31" customWidth="1"/>
    <col min="4622" max="4622" width="5" style="31" customWidth="1"/>
    <col min="4623" max="4623" width="8.140625" style="31" customWidth="1"/>
    <col min="4624" max="4624" width="6.5703125" style="31" customWidth="1"/>
    <col min="4625" max="4867" width="9.140625" style="31"/>
    <col min="4868" max="4868" width="6.140625" style="31" customWidth="1"/>
    <col min="4869" max="4869" width="12.7109375" style="31" customWidth="1"/>
    <col min="4870" max="4870" width="6.28515625" style="31" customWidth="1"/>
    <col min="4871" max="4871" width="21.28515625" style="31" customWidth="1"/>
    <col min="4872" max="4872" width="14.7109375" style="31" customWidth="1"/>
    <col min="4873" max="4873" width="5.28515625" style="31" customWidth="1"/>
    <col min="4874" max="4874" width="17" style="31" customWidth="1"/>
    <col min="4875" max="4875" width="9.7109375" style="31" customWidth="1"/>
    <col min="4876" max="4876" width="6.28515625" style="31" customWidth="1"/>
    <col min="4877" max="4877" width="11.140625" style="31" customWidth="1"/>
    <col min="4878" max="4878" width="5" style="31" customWidth="1"/>
    <col min="4879" max="4879" width="8.140625" style="31" customWidth="1"/>
    <col min="4880" max="4880" width="6.5703125" style="31" customWidth="1"/>
    <col min="4881" max="5123" width="9.140625" style="31"/>
    <col min="5124" max="5124" width="6.140625" style="31" customWidth="1"/>
    <col min="5125" max="5125" width="12.7109375" style="31" customWidth="1"/>
    <col min="5126" max="5126" width="6.28515625" style="31" customWidth="1"/>
    <col min="5127" max="5127" width="21.28515625" style="31" customWidth="1"/>
    <col min="5128" max="5128" width="14.7109375" style="31" customWidth="1"/>
    <col min="5129" max="5129" width="5.28515625" style="31" customWidth="1"/>
    <col min="5130" max="5130" width="17" style="31" customWidth="1"/>
    <col min="5131" max="5131" width="9.7109375" style="31" customWidth="1"/>
    <col min="5132" max="5132" width="6.28515625" style="31" customWidth="1"/>
    <col min="5133" max="5133" width="11.140625" style="31" customWidth="1"/>
    <col min="5134" max="5134" width="5" style="31" customWidth="1"/>
    <col min="5135" max="5135" width="8.140625" style="31" customWidth="1"/>
    <col min="5136" max="5136" width="6.5703125" style="31" customWidth="1"/>
    <col min="5137" max="5379" width="9.140625" style="31"/>
    <col min="5380" max="5380" width="6.140625" style="31" customWidth="1"/>
    <col min="5381" max="5381" width="12.7109375" style="31" customWidth="1"/>
    <col min="5382" max="5382" width="6.28515625" style="31" customWidth="1"/>
    <col min="5383" max="5383" width="21.28515625" style="31" customWidth="1"/>
    <col min="5384" max="5384" width="14.7109375" style="31" customWidth="1"/>
    <col min="5385" max="5385" width="5.28515625" style="31" customWidth="1"/>
    <col min="5386" max="5386" width="17" style="31" customWidth="1"/>
    <col min="5387" max="5387" width="9.7109375" style="31" customWidth="1"/>
    <col min="5388" max="5388" width="6.28515625" style="31" customWidth="1"/>
    <col min="5389" max="5389" width="11.140625" style="31" customWidth="1"/>
    <col min="5390" max="5390" width="5" style="31" customWidth="1"/>
    <col min="5391" max="5391" width="8.140625" style="31" customWidth="1"/>
    <col min="5392" max="5392" width="6.5703125" style="31" customWidth="1"/>
    <col min="5393" max="5635" width="9.140625" style="31"/>
    <col min="5636" max="5636" width="6.140625" style="31" customWidth="1"/>
    <col min="5637" max="5637" width="12.7109375" style="31" customWidth="1"/>
    <col min="5638" max="5638" width="6.28515625" style="31" customWidth="1"/>
    <col min="5639" max="5639" width="21.28515625" style="31" customWidth="1"/>
    <col min="5640" max="5640" width="14.7109375" style="31" customWidth="1"/>
    <col min="5641" max="5641" width="5.28515625" style="31" customWidth="1"/>
    <col min="5642" max="5642" width="17" style="31" customWidth="1"/>
    <col min="5643" max="5643" width="9.7109375" style="31" customWidth="1"/>
    <col min="5644" max="5644" width="6.28515625" style="31" customWidth="1"/>
    <col min="5645" max="5645" width="11.140625" style="31" customWidth="1"/>
    <col min="5646" max="5646" width="5" style="31" customWidth="1"/>
    <col min="5647" max="5647" width="8.140625" style="31" customWidth="1"/>
    <col min="5648" max="5648" width="6.5703125" style="31" customWidth="1"/>
    <col min="5649" max="5891" width="9.140625" style="31"/>
    <col min="5892" max="5892" width="6.140625" style="31" customWidth="1"/>
    <col min="5893" max="5893" width="12.7109375" style="31" customWidth="1"/>
    <col min="5894" max="5894" width="6.28515625" style="31" customWidth="1"/>
    <col min="5895" max="5895" width="21.28515625" style="31" customWidth="1"/>
    <col min="5896" max="5896" width="14.7109375" style="31" customWidth="1"/>
    <col min="5897" max="5897" width="5.28515625" style="31" customWidth="1"/>
    <col min="5898" max="5898" width="17" style="31" customWidth="1"/>
    <col min="5899" max="5899" width="9.7109375" style="31" customWidth="1"/>
    <col min="5900" max="5900" width="6.28515625" style="31" customWidth="1"/>
    <col min="5901" max="5901" width="11.140625" style="31" customWidth="1"/>
    <col min="5902" max="5902" width="5" style="31" customWidth="1"/>
    <col min="5903" max="5903" width="8.140625" style="31" customWidth="1"/>
    <col min="5904" max="5904" width="6.5703125" style="31" customWidth="1"/>
    <col min="5905" max="6147" width="9.140625" style="31"/>
    <col min="6148" max="6148" width="6.140625" style="31" customWidth="1"/>
    <col min="6149" max="6149" width="12.7109375" style="31" customWidth="1"/>
    <col min="6150" max="6150" width="6.28515625" style="31" customWidth="1"/>
    <col min="6151" max="6151" width="21.28515625" style="31" customWidth="1"/>
    <col min="6152" max="6152" width="14.7109375" style="31" customWidth="1"/>
    <col min="6153" max="6153" width="5.28515625" style="31" customWidth="1"/>
    <col min="6154" max="6154" width="17" style="31" customWidth="1"/>
    <col min="6155" max="6155" width="9.7109375" style="31" customWidth="1"/>
    <col min="6156" max="6156" width="6.28515625" style="31" customWidth="1"/>
    <col min="6157" max="6157" width="11.140625" style="31" customWidth="1"/>
    <col min="6158" max="6158" width="5" style="31" customWidth="1"/>
    <col min="6159" max="6159" width="8.140625" style="31" customWidth="1"/>
    <col min="6160" max="6160" width="6.5703125" style="31" customWidth="1"/>
    <col min="6161" max="6403" width="9.140625" style="31"/>
    <col min="6404" max="6404" width="6.140625" style="31" customWidth="1"/>
    <col min="6405" max="6405" width="12.7109375" style="31" customWidth="1"/>
    <col min="6406" max="6406" width="6.28515625" style="31" customWidth="1"/>
    <col min="6407" max="6407" width="21.28515625" style="31" customWidth="1"/>
    <col min="6408" max="6408" width="14.7109375" style="31" customWidth="1"/>
    <col min="6409" max="6409" width="5.28515625" style="31" customWidth="1"/>
    <col min="6410" max="6410" width="17" style="31" customWidth="1"/>
    <col min="6411" max="6411" width="9.7109375" style="31" customWidth="1"/>
    <col min="6412" max="6412" width="6.28515625" style="31" customWidth="1"/>
    <col min="6413" max="6413" width="11.140625" style="31" customWidth="1"/>
    <col min="6414" max="6414" width="5" style="31" customWidth="1"/>
    <col min="6415" max="6415" width="8.140625" style="31" customWidth="1"/>
    <col min="6416" max="6416" width="6.5703125" style="31" customWidth="1"/>
    <col min="6417" max="6659" width="9.140625" style="31"/>
    <col min="6660" max="6660" width="6.140625" style="31" customWidth="1"/>
    <col min="6661" max="6661" width="12.7109375" style="31" customWidth="1"/>
    <col min="6662" max="6662" width="6.28515625" style="31" customWidth="1"/>
    <col min="6663" max="6663" width="21.28515625" style="31" customWidth="1"/>
    <col min="6664" max="6664" width="14.7109375" style="31" customWidth="1"/>
    <col min="6665" max="6665" width="5.28515625" style="31" customWidth="1"/>
    <col min="6666" max="6666" width="17" style="31" customWidth="1"/>
    <col min="6667" max="6667" width="9.7109375" style="31" customWidth="1"/>
    <col min="6668" max="6668" width="6.28515625" style="31" customWidth="1"/>
    <col min="6669" max="6669" width="11.140625" style="31" customWidth="1"/>
    <col min="6670" max="6670" width="5" style="31" customWidth="1"/>
    <col min="6671" max="6671" width="8.140625" style="31" customWidth="1"/>
    <col min="6672" max="6672" width="6.5703125" style="31" customWidth="1"/>
    <col min="6673" max="6915" width="9.140625" style="31"/>
    <col min="6916" max="6916" width="6.140625" style="31" customWidth="1"/>
    <col min="6917" max="6917" width="12.7109375" style="31" customWidth="1"/>
    <col min="6918" max="6918" width="6.28515625" style="31" customWidth="1"/>
    <col min="6919" max="6919" width="21.28515625" style="31" customWidth="1"/>
    <col min="6920" max="6920" width="14.7109375" style="31" customWidth="1"/>
    <col min="6921" max="6921" width="5.28515625" style="31" customWidth="1"/>
    <col min="6922" max="6922" width="17" style="31" customWidth="1"/>
    <col min="6923" max="6923" width="9.7109375" style="31" customWidth="1"/>
    <col min="6924" max="6924" width="6.28515625" style="31" customWidth="1"/>
    <col min="6925" max="6925" width="11.140625" style="31" customWidth="1"/>
    <col min="6926" max="6926" width="5" style="31" customWidth="1"/>
    <col min="6927" max="6927" width="8.140625" style="31" customWidth="1"/>
    <col min="6928" max="6928" width="6.5703125" style="31" customWidth="1"/>
    <col min="6929" max="7171" width="9.140625" style="31"/>
    <col min="7172" max="7172" width="6.140625" style="31" customWidth="1"/>
    <col min="7173" max="7173" width="12.7109375" style="31" customWidth="1"/>
    <col min="7174" max="7174" width="6.28515625" style="31" customWidth="1"/>
    <col min="7175" max="7175" width="21.28515625" style="31" customWidth="1"/>
    <col min="7176" max="7176" width="14.7109375" style="31" customWidth="1"/>
    <col min="7177" max="7177" width="5.28515625" style="31" customWidth="1"/>
    <col min="7178" max="7178" width="17" style="31" customWidth="1"/>
    <col min="7179" max="7179" width="9.7109375" style="31" customWidth="1"/>
    <col min="7180" max="7180" width="6.28515625" style="31" customWidth="1"/>
    <col min="7181" max="7181" width="11.140625" style="31" customWidth="1"/>
    <col min="7182" max="7182" width="5" style="31" customWidth="1"/>
    <col min="7183" max="7183" width="8.140625" style="31" customWidth="1"/>
    <col min="7184" max="7184" width="6.5703125" style="31" customWidth="1"/>
    <col min="7185" max="7427" width="9.140625" style="31"/>
    <col min="7428" max="7428" width="6.140625" style="31" customWidth="1"/>
    <col min="7429" max="7429" width="12.7109375" style="31" customWidth="1"/>
    <col min="7430" max="7430" width="6.28515625" style="31" customWidth="1"/>
    <col min="7431" max="7431" width="21.28515625" style="31" customWidth="1"/>
    <col min="7432" max="7432" width="14.7109375" style="31" customWidth="1"/>
    <col min="7433" max="7433" width="5.28515625" style="31" customWidth="1"/>
    <col min="7434" max="7434" width="17" style="31" customWidth="1"/>
    <col min="7435" max="7435" width="9.7109375" style="31" customWidth="1"/>
    <col min="7436" max="7436" width="6.28515625" style="31" customWidth="1"/>
    <col min="7437" max="7437" width="11.140625" style="31" customWidth="1"/>
    <col min="7438" max="7438" width="5" style="31" customWidth="1"/>
    <col min="7439" max="7439" width="8.140625" style="31" customWidth="1"/>
    <col min="7440" max="7440" width="6.5703125" style="31" customWidth="1"/>
    <col min="7441" max="7683" width="9.140625" style="31"/>
    <col min="7684" max="7684" width="6.140625" style="31" customWidth="1"/>
    <col min="7685" max="7685" width="12.7109375" style="31" customWidth="1"/>
    <col min="7686" max="7686" width="6.28515625" style="31" customWidth="1"/>
    <col min="7687" max="7687" width="21.28515625" style="31" customWidth="1"/>
    <col min="7688" max="7688" width="14.7109375" style="31" customWidth="1"/>
    <col min="7689" max="7689" width="5.28515625" style="31" customWidth="1"/>
    <col min="7690" max="7690" width="17" style="31" customWidth="1"/>
    <col min="7691" max="7691" width="9.7109375" style="31" customWidth="1"/>
    <col min="7692" max="7692" width="6.28515625" style="31" customWidth="1"/>
    <col min="7693" max="7693" width="11.140625" style="31" customWidth="1"/>
    <col min="7694" max="7694" width="5" style="31" customWidth="1"/>
    <col min="7695" max="7695" width="8.140625" style="31" customWidth="1"/>
    <col min="7696" max="7696" width="6.5703125" style="31" customWidth="1"/>
    <col min="7697" max="7939" width="9.140625" style="31"/>
    <col min="7940" max="7940" width="6.140625" style="31" customWidth="1"/>
    <col min="7941" max="7941" width="12.7109375" style="31" customWidth="1"/>
    <col min="7942" max="7942" width="6.28515625" style="31" customWidth="1"/>
    <col min="7943" max="7943" width="21.28515625" style="31" customWidth="1"/>
    <col min="7944" max="7944" width="14.7109375" style="31" customWidth="1"/>
    <col min="7945" max="7945" width="5.28515625" style="31" customWidth="1"/>
    <col min="7946" max="7946" width="17" style="31" customWidth="1"/>
    <col min="7947" max="7947" width="9.7109375" style="31" customWidth="1"/>
    <col min="7948" max="7948" width="6.28515625" style="31" customWidth="1"/>
    <col min="7949" max="7949" width="11.140625" style="31" customWidth="1"/>
    <col min="7950" max="7950" width="5" style="31" customWidth="1"/>
    <col min="7951" max="7951" width="8.140625" style="31" customWidth="1"/>
    <col min="7952" max="7952" width="6.5703125" style="31" customWidth="1"/>
    <col min="7953" max="8195" width="9.140625" style="31"/>
    <col min="8196" max="8196" width="6.140625" style="31" customWidth="1"/>
    <col min="8197" max="8197" width="12.7109375" style="31" customWidth="1"/>
    <col min="8198" max="8198" width="6.28515625" style="31" customWidth="1"/>
    <col min="8199" max="8199" width="21.28515625" style="31" customWidth="1"/>
    <col min="8200" max="8200" width="14.7109375" style="31" customWidth="1"/>
    <col min="8201" max="8201" width="5.28515625" style="31" customWidth="1"/>
    <col min="8202" max="8202" width="17" style="31" customWidth="1"/>
    <col min="8203" max="8203" width="9.7109375" style="31" customWidth="1"/>
    <col min="8204" max="8204" width="6.28515625" style="31" customWidth="1"/>
    <col min="8205" max="8205" width="11.140625" style="31" customWidth="1"/>
    <col min="8206" max="8206" width="5" style="31" customWidth="1"/>
    <col min="8207" max="8207" width="8.140625" style="31" customWidth="1"/>
    <col min="8208" max="8208" width="6.5703125" style="31" customWidth="1"/>
    <col min="8209" max="8451" width="9.140625" style="31"/>
    <col min="8452" max="8452" width="6.140625" style="31" customWidth="1"/>
    <col min="8453" max="8453" width="12.7109375" style="31" customWidth="1"/>
    <col min="8454" max="8454" width="6.28515625" style="31" customWidth="1"/>
    <col min="8455" max="8455" width="21.28515625" style="31" customWidth="1"/>
    <col min="8456" max="8456" width="14.7109375" style="31" customWidth="1"/>
    <col min="8457" max="8457" width="5.28515625" style="31" customWidth="1"/>
    <col min="8458" max="8458" width="17" style="31" customWidth="1"/>
    <col min="8459" max="8459" width="9.7109375" style="31" customWidth="1"/>
    <col min="8460" max="8460" width="6.28515625" style="31" customWidth="1"/>
    <col min="8461" max="8461" width="11.140625" style="31" customWidth="1"/>
    <col min="8462" max="8462" width="5" style="31" customWidth="1"/>
    <col min="8463" max="8463" width="8.140625" style="31" customWidth="1"/>
    <col min="8464" max="8464" width="6.5703125" style="31" customWidth="1"/>
    <col min="8465" max="8707" width="9.140625" style="31"/>
    <col min="8708" max="8708" width="6.140625" style="31" customWidth="1"/>
    <col min="8709" max="8709" width="12.7109375" style="31" customWidth="1"/>
    <col min="8710" max="8710" width="6.28515625" style="31" customWidth="1"/>
    <col min="8711" max="8711" width="21.28515625" style="31" customWidth="1"/>
    <col min="8712" max="8712" width="14.7109375" style="31" customWidth="1"/>
    <col min="8713" max="8713" width="5.28515625" style="31" customWidth="1"/>
    <col min="8714" max="8714" width="17" style="31" customWidth="1"/>
    <col min="8715" max="8715" width="9.7109375" style="31" customWidth="1"/>
    <col min="8716" max="8716" width="6.28515625" style="31" customWidth="1"/>
    <col min="8717" max="8717" width="11.140625" style="31" customWidth="1"/>
    <col min="8718" max="8718" width="5" style="31" customWidth="1"/>
    <col min="8719" max="8719" width="8.140625" style="31" customWidth="1"/>
    <col min="8720" max="8720" width="6.5703125" style="31" customWidth="1"/>
    <col min="8721" max="8963" width="9.140625" style="31"/>
    <col min="8964" max="8964" width="6.140625" style="31" customWidth="1"/>
    <col min="8965" max="8965" width="12.7109375" style="31" customWidth="1"/>
    <col min="8966" max="8966" width="6.28515625" style="31" customWidth="1"/>
    <col min="8967" max="8967" width="21.28515625" style="31" customWidth="1"/>
    <col min="8968" max="8968" width="14.7109375" style="31" customWidth="1"/>
    <col min="8969" max="8969" width="5.28515625" style="31" customWidth="1"/>
    <col min="8970" max="8970" width="17" style="31" customWidth="1"/>
    <col min="8971" max="8971" width="9.7109375" style="31" customWidth="1"/>
    <col min="8972" max="8972" width="6.28515625" style="31" customWidth="1"/>
    <col min="8973" max="8973" width="11.140625" style="31" customWidth="1"/>
    <col min="8974" max="8974" width="5" style="31" customWidth="1"/>
    <col min="8975" max="8975" width="8.140625" style="31" customWidth="1"/>
    <col min="8976" max="8976" width="6.5703125" style="31" customWidth="1"/>
    <col min="8977" max="9219" width="9.140625" style="31"/>
    <col min="9220" max="9220" width="6.140625" style="31" customWidth="1"/>
    <col min="9221" max="9221" width="12.7109375" style="31" customWidth="1"/>
    <col min="9222" max="9222" width="6.28515625" style="31" customWidth="1"/>
    <col min="9223" max="9223" width="21.28515625" style="31" customWidth="1"/>
    <col min="9224" max="9224" width="14.7109375" style="31" customWidth="1"/>
    <col min="9225" max="9225" width="5.28515625" style="31" customWidth="1"/>
    <col min="9226" max="9226" width="17" style="31" customWidth="1"/>
    <col min="9227" max="9227" width="9.7109375" style="31" customWidth="1"/>
    <col min="9228" max="9228" width="6.28515625" style="31" customWidth="1"/>
    <col min="9229" max="9229" width="11.140625" style="31" customWidth="1"/>
    <col min="9230" max="9230" width="5" style="31" customWidth="1"/>
    <col min="9231" max="9231" width="8.140625" style="31" customWidth="1"/>
    <col min="9232" max="9232" width="6.5703125" style="31" customWidth="1"/>
    <col min="9233" max="9475" width="9.140625" style="31"/>
    <col min="9476" max="9476" width="6.140625" style="31" customWidth="1"/>
    <col min="9477" max="9477" width="12.7109375" style="31" customWidth="1"/>
    <col min="9478" max="9478" width="6.28515625" style="31" customWidth="1"/>
    <col min="9479" max="9479" width="21.28515625" style="31" customWidth="1"/>
    <col min="9480" max="9480" width="14.7109375" style="31" customWidth="1"/>
    <col min="9481" max="9481" width="5.28515625" style="31" customWidth="1"/>
    <col min="9482" max="9482" width="17" style="31" customWidth="1"/>
    <col min="9483" max="9483" width="9.7109375" style="31" customWidth="1"/>
    <col min="9484" max="9484" width="6.28515625" style="31" customWidth="1"/>
    <col min="9485" max="9485" width="11.140625" style="31" customWidth="1"/>
    <col min="9486" max="9486" width="5" style="31" customWidth="1"/>
    <col min="9487" max="9487" width="8.140625" style="31" customWidth="1"/>
    <col min="9488" max="9488" width="6.5703125" style="31" customWidth="1"/>
    <col min="9489" max="9731" width="9.140625" style="31"/>
    <col min="9732" max="9732" width="6.140625" style="31" customWidth="1"/>
    <col min="9733" max="9733" width="12.7109375" style="31" customWidth="1"/>
    <col min="9734" max="9734" width="6.28515625" style="31" customWidth="1"/>
    <col min="9735" max="9735" width="21.28515625" style="31" customWidth="1"/>
    <col min="9736" max="9736" width="14.7109375" style="31" customWidth="1"/>
    <col min="9737" max="9737" width="5.28515625" style="31" customWidth="1"/>
    <col min="9738" max="9738" width="17" style="31" customWidth="1"/>
    <col min="9739" max="9739" width="9.7109375" style="31" customWidth="1"/>
    <col min="9740" max="9740" width="6.28515625" style="31" customWidth="1"/>
    <col min="9741" max="9741" width="11.140625" style="31" customWidth="1"/>
    <col min="9742" max="9742" width="5" style="31" customWidth="1"/>
    <col min="9743" max="9743" width="8.140625" style="31" customWidth="1"/>
    <col min="9744" max="9744" width="6.5703125" style="31" customWidth="1"/>
    <col min="9745" max="9987" width="9.140625" style="31"/>
    <col min="9988" max="9988" width="6.140625" style="31" customWidth="1"/>
    <col min="9989" max="9989" width="12.7109375" style="31" customWidth="1"/>
    <col min="9990" max="9990" width="6.28515625" style="31" customWidth="1"/>
    <col min="9991" max="9991" width="21.28515625" style="31" customWidth="1"/>
    <col min="9992" max="9992" width="14.7109375" style="31" customWidth="1"/>
    <col min="9993" max="9993" width="5.28515625" style="31" customWidth="1"/>
    <col min="9994" max="9994" width="17" style="31" customWidth="1"/>
    <col min="9995" max="9995" width="9.7109375" style="31" customWidth="1"/>
    <col min="9996" max="9996" width="6.28515625" style="31" customWidth="1"/>
    <col min="9997" max="9997" width="11.140625" style="31" customWidth="1"/>
    <col min="9998" max="9998" width="5" style="31" customWidth="1"/>
    <col min="9999" max="9999" width="8.140625" style="31" customWidth="1"/>
    <col min="10000" max="10000" width="6.5703125" style="31" customWidth="1"/>
    <col min="10001" max="10243" width="9.140625" style="31"/>
    <col min="10244" max="10244" width="6.140625" style="31" customWidth="1"/>
    <col min="10245" max="10245" width="12.7109375" style="31" customWidth="1"/>
    <col min="10246" max="10246" width="6.28515625" style="31" customWidth="1"/>
    <col min="10247" max="10247" width="21.28515625" style="31" customWidth="1"/>
    <col min="10248" max="10248" width="14.7109375" style="31" customWidth="1"/>
    <col min="10249" max="10249" width="5.28515625" style="31" customWidth="1"/>
    <col min="10250" max="10250" width="17" style="31" customWidth="1"/>
    <col min="10251" max="10251" width="9.7109375" style="31" customWidth="1"/>
    <col min="10252" max="10252" width="6.28515625" style="31" customWidth="1"/>
    <col min="10253" max="10253" width="11.140625" style="31" customWidth="1"/>
    <col min="10254" max="10254" width="5" style="31" customWidth="1"/>
    <col min="10255" max="10255" width="8.140625" style="31" customWidth="1"/>
    <col min="10256" max="10256" width="6.5703125" style="31" customWidth="1"/>
    <col min="10257" max="10499" width="9.140625" style="31"/>
    <col min="10500" max="10500" width="6.140625" style="31" customWidth="1"/>
    <col min="10501" max="10501" width="12.7109375" style="31" customWidth="1"/>
    <col min="10502" max="10502" width="6.28515625" style="31" customWidth="1"/>
    <col min="10503" max="10503" width="21.28515625" style="31" customWidth="1"/>
    <col min="10504" max="10504" width="14.7109375" style="31" customWidth="1"/>
    <col min="10505" max="10505" width="5.28515625" style="31" customWidth="1"/>
    <col min="10506" max="10506" width="17" style="31" customWidth="1"/>
    <col min="10507" max="10507" width="9.7109375" style="31" customWidth="1"/>
    <col min="10508" max="10508" width="6.28515625" style="31" customWidth="1"/>
    <col min="10509" max="10509" width="11.140625" style="31" customWidth="1"/>
    <col min="10510" max="10510" width="5" style="31" customWidth="1"/>
    <col min="10511" max="10511" width="8.140625" style="31" customWidth="1"/>
    <col min="10512" max="10512" width="6.5703125" style="31" customWidth="1"/>
    <col min="10513" max="10755" width="9.140625" style="31"/>
    <col min="10756" max="10756" width="6.140625" style="31" customWidth="1"/>
    <col min="10757" max="10757" width="12.7109375" style="31" customWidth="1"/>
    <col min="10758" max="10758" width="6.28515625" style="31" customWidth="1"/>
    <col min="10759" max="10759" width="21.28515625" style="31" customWidth="1"/>
    <col min="10760" max="10760" width="14.7109375" style="31" customWidth="1"/>
    <col min="10761" max="10761" width="5.28515625" style="31" customWidth="1"/>
    <col min="10762" max="10762" width="17" style="31" customWidth="1"/>
    <col min="10763" max="10763" width="9.7109375" style="31" customWidth="1"/>
    <col min="10764" max="10764" width="6.28515625" style="31" customWidth="1"/>
    <col min="10765" max="10765" width="11.140625" style="31" customWidth="1"/>
    <col min="10766" max="10766" width="5" style="31" customWidth="1"/>
    <col min="10767" max="10767" width="8.140625" style="31" customWidth="1"/>
    <col min="10768" max="10768" width="6.5703125" style="31" customWidth="1"/>
    <col min="10769" max="11011" width="9.140625" style="31"/>
    <col min="11012" max="11012" width="6.140625" style="31" customWidth="1"/>
    <col min="11013" max="11013" width="12.7109375" style="31" customWidth="1"/>
    <col min="11014" max="11014" width="6.28515625" style="31" customWidth="1"/>
    <col min="11015" max="11015" width="21.28515625" style="31" customWidth="1"/>
    <col min="11016" max="11016" width="14.7109375" style="31" customWidth="1"/>
    <col min="11017" max="11017" width="5.28515625" style="31" customWidth="1"/>
    <col min="11018" max="11018" width="17" style="31" customWidth="1"/>
    <col min="11019" max="11019" width="9.7109375" style="31" customWidth="1"/>
    <col min="11020" max="11020" width="6.28515625" style="31" customWidth="1"/>
    <col min="11021" max="11021" width="11.140625" style="31" customWidth="1"/>
    <col min="11022" max="11022" width="5" style="31" customWidth="1"/>
    <col min="11023" max="11023" width="8.140625" style="31" customWidth="1"/>
    <col min="11024" max="11024" width="6.5703125" style="31" customWidth="1"/>
    <col min="11025" max="11267" width="9.140625" style="31"/>
    <col min="11268" max="11268" width="6.140625" style="31" customWidth="1"/>
    <col min="11269" max="11269" width="12.7109375" style="31" customWidth="1"/>
    <col min="11270" max="11270" width="6.28515625" style="31" customWidth="1"/>
    <col min="11271" max="11271" width="21.28515625" style="31" customWidth="1"/>
    <col min="11272" max="11272" width="14.7109375" style="31" customWidth="1"/>
    <col min="11273" max="11273" width="5.28515625" style="31" customWidth="1"/>
    <col min="11274" max="11274" width="17" style="31" customWidth="1"/>
    <col min="11275" max="11275" width="9.7109375" style="31" customWidth="1"/>
    <col min="11276" max="11276" width="6.28515625" style="31" customWidth="1"/>
    <col min="11277" max="11277" width="11.140625" style="31" customWidth="1"/>
    <col min="11278" max="11278" width="5" style="31" customWidth="1"/>
    <col min="11279" max="11279" width="8.140625" style="31" customWidth="1"/>
    <col min="11280" max="11280" width="6.5703125" style="31" customWidth="1"/>
    <col min="11281" max="11523" width="9.140625" style="31"/>
    <col min="11524" max="11524" width="6.140625" style="31" customWidth="1"/>
    <col min="11525" max="11525" width="12.7109375" style="31" customWidth="1"/>
    <col min="11526" max="11526" width="6.28515625" style="31" customWidth="1"/>
    <col min="11527" max="11527" width="21.28515625" style="31" customWidth="1"/>
    <col min="11528" max="11528" width="14.7109375" style="31" customWidth="1"/>
    <col min="11529" max="11529" width="5.28515625" style="31" customWidth="1"/>
    <col min="11530" max="11530" width="17" style="31" customWidth="1"/>
    <col min="11531" max="11531" width="9.7109375" style="31" customWidth="1"/>
    <col min="11532" max="11532" width="6.28515625" style="31" customWidth="1"/>
    <col min="11533" max="11533" width="11.140625" style="31" customWidth="1"/>
    <col min="11534" max="11534" width="5" style="31" customWidth="1"/>
    <col min="11535" max="11535" width="8.140625" style="31" customWidth="1"/>
    <col min="11536" max="11536" width="6.5703125" style="31" customWidth="1"/>
    <col min="11537" max="11779" width="9.140625" style="31"/>
    <col min="11780" max="11780" width="6.140625" style="31" customWidth="1"/>
    <col min="11781" max="11781" width="12.7109375" style="31" customWidth="1"/>
    <col min="11782" max="11782" width="6.28515625" style="31" customWidth="1"/>
    <col min="11783" max="11783" width="21.28515625" style="31" customWidth="1"/>
    <col min="11784" max="11784" width="14.7109375" style="31" customWidth="1"/>
    <col min="11785" max="11785" width="5.28515625" style="31" customWidth="1"/>
    <col min="11786" max="11786" width="17" style="31" customWidth="1"/>
    <col min="11787" max="11787" width="9.7109375" style="31" customWidth="1"/>
    <col min="11788" max="11788" width="6.28515625" style="31" customWidth="1"/>
    <col min="11789" max="11789" width="11.140625" style="31" customWidth="1"/>
    <col min="11790" max="11790" width="5" style="31" customWidth="1"/>
    <col min="11791" max="11791" width="8.140625" style="31" customWidth="1"/>
    <col min="11792" max="11792" width="6.5703125" style="31" customWidth="1"/>
    <col min="11793" max="12035" width="9.140625" style="31"/>
    <col min="12036" max="12036" width="6.140625" style="31" customWidth="1"/>
    <col min="12037" max="12037" width="12.7109375" style="31" customWidth="1"/>
    <col min="12038" max="12038" width="6.28515625" style="31" customWidth="1"/>
    <col min="12039" max="12039" width="21.28515625" style="31" customWidth="1"/>
    <col min="12040" max="12040" width="14.7109375" style="31" customWidth="1"/>
    <col min="12041" max="12041" width="5.28515625" style="31" customWidth="1"/>
    <col min="12042" max="12042" width="17" style="31" customWidth="1"/>
    <col min="12043" max="12043" width="9.7109375" style="31" customWidth="1"/>
    <col min="12044" max="12044" width="6.28515625" style="31" customWidth="1"/>
    <col min="12045" max="12045" width="11.140625" style="31" customWidth="1"/>
    <col min="12046" max="12046" width="5" style="31" customWidth="1"/>
    <col min="12047" max="12047" width="8.140625" style="31" customWidth="1"/>
    <col min="12048" max="12048" width="6.5703125" style="31" customWidth="1"/>
    <col min="12049" max="12291" width="9.140625" style="31"/>
    <col min="12292" max="12292" width="6.140625" style="31" customWidth="1"/>
    <col min="12293" max="12293" width="12.7109375" style="31" customWidth="1"/>
    <col min="12294" max="12294" width="6.28515625" style="31" customWidth="1"/>
    <col min="12295" max="12295" width="21.28515625" style="31" customWidth="1"/>
    <col min="12296" max="12296" width="14.7109375" style="31" customWidth="1"/>
    <col min="12297" max="12297" width="5.28515625" style="31" customWidth="1"/>
    <col min="12298" max="12298" width="17" style="31" customWidth="1"/>
    <col min="12299" max="12299" width="9.7109375" style="31" customWidth="1"/>
    <col min="12300" max="12300" width="6.28515625" style="31" customWidth="1"/>
    <col min="12301" max="12301" width="11.140625" style="31" customWidth="1"/>
    <col min="12302" max="12302" width="5" style="31" customWidth="1"/>
    <col min="12303" max="12303" width="8.140625" style="31" customWidth="1"/>
    <col min="12304" max="12304" width="6.5703125" style="31" customWidth="1"/>
    <col min="12305" max="12547" width="9.140625" style="31"/>
    <col min="12548" max="12548" width="6.140625" style="31" customWidth="1"/>
    <col min="12549" max="12549" width="12.7109375" style="31" customWidth="1"/>
    <col min="12550" max="12550" width="6.28515625" style="31" customWidth="1"/>
    <col min="12551" max="12551" width="21.28515625" style="31" customWidth="1"/>
    <col min="12552" max="12552" width="14.7109375" style="31" customWidth="1"/>
    <col min="12553" max="12553" width="5.28515625" style="31" customWidth="1"/>
    <col min="12554" max="12554" width="17" style="31" customWidth="1"/>
    <col min="12555" max="12555" width="9.7109375" style="31" customWidth="1"/>
    <col min="12556" max="12556" width="6.28515625" style="31" customWidth="1"/>
    <col min="12557" max="12557" width="11.140625" style="31" customWidth="1"/>
    <col min="12558" max="12558" width="5" style="31" customWidth="1"/>
    <col min="12559" max="12559" width="8.140625" style="31" customWidth="1"/>
    <col min="12560" max="12560" width="6.5703125" style="31" customWidth="1"/>
    <col min="12561" max="12803" width="9.140625" style="31"/>
    <col min="12804" max="12804" width="6.140625" style="31" customWidth="1"/>
    <col min="12805" max="12805" width="12.7109375" style="31" customWidth="1"/>
    <col min="12806" max="12806" width="6.28515625" style="31" customWidth="1"/>
    <col min="12807" max="12807" width="21.28515625" style="31" customWidth="1"/>
    <col min="12808" max="12808" width="14.7109375" style="31" customWidth="1"/>
    <col min="12809" max="12809" width="5.28515625" style="31" customWidth="1"/>
    <col min="12810" max="12810" width="17" style="31" customWidth="1"/>
    <col min="12811" max="12811" width="9.7109375" style="31" customWidth="1"/>
    <col min="12812" max="12812" width="6.28515625" style="31" customWidth="1"/>
    <col min="12813" max="12813" width="11.140625" style="31" customWidth="1"/>
    <col min="12814" max="12814" width="5" style="31" customWidth="1"/>
    <col min="12815" max="12815" width="8.140625" style="31" customWidth="1"/>
    <col min="12816" max="12816" width="6.5703125" style="31" customWidth="1"/>
    <col min="12817" max="13059" width="9.140625" style="31"/>
    <col min="13060" max="13060" width="6.140625" style="31" customWidth="1"/>
    <col min="13061" max="13061" width="12.7109375" style="31" customWidth="1"/>
    <col min="13062" max="13062" width="6.28515625" style="31" customWidth="1"/>
    <col min="13063" max="13063" width="21.28515625" style="31" customWidth="1"/>
    <col min="13064" max="13064" width="14.7109375" style="31" customWidth="1"/>
    <col min="13065" max="13065" width="5.28515625" style="31" customWidth="1"/>
    <col min="13066" max="13066" width="17" style="31" customWidth="1"/>
    <col min="13067" max="13067" width="9.7109375" style="31" customWidth="1"/>
    <col min="13068" max="13068" width="6.28515625" style="31" customWidth="1"/>
    <col min="13069" max="13069" width="11.140625" style="31" customWidth="1"/>
    <col min="13070" max="13070" width="5" style="31" customWidth="1"/>
    <col min="13071" max="13071" width="8.140625" style="31" customWidth="1"/>
    <col min="13072" max="13072" width="6.5703125" style="31" customWidth="1"/>
    <col min="13073" max="13315" width="9.140625" style="31"/>
    <col min="13316" max="13316" width="6.140625" style="31" customWidth="1"/>
    <col min="13317" max="13317" width="12.7109375" style="31" customWidth="1"/>
    <col min="13318" max="13318" width="6.28515625" style="31" customWidth="1"/>
    <col min="13319" max="13319" width="21.28515625" style="31" customWidth="1"/>
    <col min="13320" max="13320" width="14.7109375" style="31" customWidth="1"/>
    <col min="13321" max="13321" width="5.28515625" style="31" customWidth="1"/>
    <col min="13322" max="13322" width="17" style="31" customWidth="1"/>
    <col min="13323" max="13323" width="9.7109375" style="31" customWidth="1"/>
    <col min="13324" max="13324" width="6.28515625" style="31" customWidth="1"/>
    <col min="13325" max="13325" width="11.140625" style="31" customWidth="1"/>
    <col min="13326" max="13326" width="5" style="31" customWidth="1"/>
    <col min="13327" max="13327" width="8.140625" style="31" customWidth="1"/>
    <col min="13328" max="13328" width="6.5703125" style="31" customWidth="1"/>
    <col min="13329" max="13571" width="9.140625" style="31"/>
    <col min="13572" max="13572" width="6.140625" style="31" customWidth="1"/>
    <col min="13573" max="13573" width="12.7109375" style="31" customWidth="1"/>
    <col min="13574" max="13574" width="6.28515625" style="31" customWidth="1"/>
    <col min="13575" max="13575" width="21.28515625" style="31" customWidth="1"/>
    <col min="13576" max="13576" width="14.7109375" style="31" customWidth="1"/>
    <col min="13577" max="13577" width="5.28515625" style="31" customWidth="1"/>
    <col min="13578" max="13578" width="17" style="31" customWidth="1"/>
    <col min="13579" max="13579" width="9.7109375" style="31" customWidth="1"/>
    <col min="13580" max="13580" width="6.28515625" style="31" customWidth="1"/>
    <col min="13581" max="13581" width="11.140625" style="31" customWidth="1"/>
    <col min="13582" max="13582" width="5" style="31" customWidth="1"/>
    <col min="13583" max="13583" width="8.140625" style="31" customWidth="1"/>
    <col min="13584" max="13584" width="6.5703125" style="31" customWidth="1"/>
    <col min="13585" max="13827" width="9.140625" style="31"/>
    <col min="13828" max="13828" width="6.140625" style="31" customWidth="1"/>
    <col min="13829" max="13829" width="12.7109375" style="31" customWidth="1"/>
    <col min="13830" max="13830" width="6.28515625" style="31" customWidth="1"/>
    <col min="13831" max="13831" width="21.28515625" style="31" customWidth="1"/>
    <col min="13832" max="13832" width="14.7109375" style="31" customWidth="1"/>
    <col min="13833" max="13833" width="5.28515625" style="31" customWidth="1"/>
    <col min="13834" max="13834" width="17" style="31" customWidth="1"/>
    <col min="13835" max="13835" width="9.7109375" style="31" customWidth="1"/>
    <col min="13836" max="13836" width="6.28515625" style="31" customWidth="1"/>
    <col min="13837" max="13837" width="11.140625" style="31" customWidth="1"/>
    <col min="13838" max="13838" width="5" style="31" customWidth="1"/>
    <col min="13839" max="13839" width="8.140625" style="31" customWidth="1"/>
    <col min="13840" max="13840" width="6.5703125" style="31" customWidth="1"/>
    <col min="13841" max="14083" width="9.140625" style="31"/>
    <col min="14084" max="14084" width="6.140625" style="31" customWidth="1"/>
    <col min="14085" max="14085" width="12.7109375" style="31" customWidth="1"/>
    <col min="14086" max="14086" width="6.28515625" style="31" customWidth="1"/>
    <col min="14087" max="14087" width="21.28515625" style="31" customWidth="1"/>
    <col min="14088" max="14088" width="14.7109375" style="31" customWidth="1"/>
    <col min="14089" max="14089" width="5.28515625" style="31" customWidth="1"/>
    <col min="14090" max="14090" width="17" style="31" customWidth="1"/>
    <col min="14091" max="14091" width="9.7109375" style="31" customWidth="1"/>
    <col min="14092" max="14092" width="6.28515625" style="31" customWidth="1"/>
    <col min="14093" max="14093" width="11.140625" style="31" customWidth="1"/>
    <col min="14094" max="14094" width="5" style="31" customWidth="1"/>
    <col min="14095" max="14095" width="8.140625" style="31" customWidth="1"/>
    <col min="14096" max="14096" width="6.5703125" style="31" customWidth="1"/>
    <col min="14097" max="14339" width="9.140625" style="31"/>
    <col min="14340" max="14340" width="6.140625" style="31" customWidth="1"/>
    <col min="14341" max="14341" width="12.7109375" style="31" customWidth="1"/>
    <col min="14342" max="14342" width="6.28515625" style="31" customWidth="1"/>
    <col min="14343" max="14343" width="21.28515625" style="31" customWidth="1"/>
    <col min="14344" max="14344" width="14.7109375" style="31" customWidth="1"/>
    <col min="14345" max="14345" width="5.28515625" style="31" customWidth="1"/>
    <col min="14346" max="14346" width="17" style="31" customWidth="1"/>
    <col min="14347" max="14347" width="9.7109375" style="31" customWidth="1"/>
    <col min="14348" max="14348" width="6.28515625" style="31" customWidth="1"/>
    <col min="14349" max="14349" width="11.140625" style="31" customWidth="1"/>
    <col min="14350" max="14350" width="5" style="31" customWidth="1"/>
    <col min="14351" max="14351" width="8.140625" style="31" customWidth="1"/>
    <col min="14352" max="14352" width="6.5703125" style="31" customWidth="1"/>
    <col min="14353" max="14595" width="9.140625" style="31"/>
    <col min="14596" max="14596" width="6.140625" style="31" customWidth="1"/>
    <col min="14597" max="14597" width="12.7109375" style="31" customWidth="1"/>
    <col min="14598" max="14598" width="6.28515625" style="31" customWidth="1"/>
    <col min="14599" max="14599" width="21.28515625" style="31" customWidth="1"/>
    <col min="14600" max="14600" width="14.7109375" style="31" customWidth="1"/>
    <col min="14601" max="14601" width="5.28515625" style="31" customWidth="1"/>
    <col min="14602" max="14602" width="17" style="31" customWidth="1"/>
    <col min="14603" max="14603" width="9.7109375" style="31" customWidth="1"/>
    <col min="14604" max="14604" width="6.28515625" style="31" customWidth="1"/>
    <col min="14605" max="14605" width="11.140625" style="31" customWidth="1"/>
    <col min="14606" max="14606" width="5" style="31" customWidth="1"/>
    <col min="14607" max="14607" width="8.140625" style="31" customWidth="1"/>
    <col min="14608" max="14608" width="6.5703125" style="31" customWidth="1"/>
    <col min="14609" max="14851" width="9.140625" style="31"/>
    <col min="14852" max="14852" width="6.140625" style="31" customWidth="1"/>
    <col min="14853" max="14853" width="12.7109375" style="31" customWidth="1"/>
    <col min="14854" max="14854" width="6.28515625" style="31" customWidth="1"/>
    <col min="14855" max="14855" width="21.28515625" style="31" customWidth="1"/>
    <col min="14856" max="14856" width="14.7109375" style="31" customWidth="1"/>
    <col min="14857" max="14857" width="5.28515625" style="31" customWidth="1"/>
    <col min="14858" max="14858" width="17" style="31" customWidth="1"/>
    <col min="14859" max="14859" width="9.7109375" style="31" customWidth="1"/>
    <col min="14860" max="14860" width="6.28515625" style="31" customWidth="1"/>
    <col min="14861" max="14861" width="11.140625" style="31" customWidth="1"/>
    <col min="14862" max="14862" width="5" style="31" customWidth="1"/>
    <col min="14863" max="14863" width="8.140625" style="31" customWidth="1"/>
    <col min="14864" max="14864" width="6.5703125" style="31" customWidth="1"/>
    <col min="14865" max="15107" width="9.140625" style="31"/>
    <col min="15108" max="15108" width="6.140625" style="31" customWidth="1"/>
    <col min="15109" max="15109" width="12.7109375" style="31" customWidth="1"/>
    <col min="15110" max="15110" width="6.28515625" style="31" customWidth="1"/>
    <col min="15111" max="15111" width="21.28515625" style="31" customWidth="1"/>
    <col min="15112" max="15112" width="14.7109375" style="31" customWidth="1"/>
    <col min="15113" max="15113" width="5.28515625" style="31" customWidth="1"/>
    <col min="15114" max="15114" width="17" style="31" customWidth="1"/>
    <col min="15115" max="15115" width="9.7109375" style="31" customWidth="1"/>
    <col min="15116" max="15116" width="6.28515625" style="31" customWidth="1"/>
    <col min="15117" max="15117" width="11.140625" style="31" customWidth="1"/>
    <col min="15118" max="15118" width="5" style="31" customWidth="1"/>
    <col min="15119" max="15119" width="8.140625" style="31" customWidth="1"/>
    <col min="15120" max="15120" width="6.5703125" style="31" customWidth="1"/>
    <col min="15121" max="15363" width="9.140625" style="31"/>
    <col min="15364" max="15364" width="6.140625" style="31" customWidth="1"/>
    <col min="15365" max="15365" width="12.7109375" style="31" customWidth="1"/>
    <col min="15366" max="15366" width="6.28515625" style="31" customWidth="1"/>
    <col min="15367" max="15367" width="21.28515625" style="31" customWidth="1"/>
    <col min="15368" max="15368" width="14.7109375" style="31" customWidth="1"/>
    <col min="15369" max="15369" width="5.28515625" style="31" customWidth="1"/>
    <col min="15370" max="15370" width="17" style="31" customWidth="1"/>
    <col min="15371" max="15371" width="9.7109375" style="31" customWidth="1"/>
    <col min="15372" max="15372" width="6.28515625" style="31" customWidth="1"/>
    <col min="15373" max="15373" width="11.140625" style="31" customWidth="1"/>
    <col min="15374" max="15374" width="5" style="31" customWidth="1"/>
    <col min="15375" max="15375" width="8.140625" style="31" customWidth="1"/>
    <col min="15376" max="15376" width="6.5703125" style="31" customWidth="1"/>
    <col min="15377" max="15619" width="9.140625" style="31"/>
    <col min="15620" max="15620" width="6.140625" style="31" customWidth="1"/>
    <col min="15621" max="15621" width="12.7109375" style="31" customWidth="1"/>
    <col min="15622" max="15622" width="6.28515625" style="31" customWidth="1"/>
    <col min="15623" max="15623" width="21.28515625" style="31" customWidth="1"/>
    <col min="15624" max="15624" width="14.7109375" style="31" customWidth="1"/>
    <col min="15625" max="15625" width="5.28515625" style="31" customWidth="1"/>
    <col min="15626" max="15626" width="17" style="31" customWidth="1"/>
    <col min="15627" max="15627" width="9.7109375" style="31" customWidth="1"/>
    <col min="15628" max="15628" width="6.28515625" style="31" customWidth="1"/>
    <col min="15629" max="15629" width="11.140625" style="31" customWidth="1"/>
    <col min="15630" max="15630" width="5" style="31" customWidth="1"/>
    <col min="15631" max="15631" width="8.140625" style="31" customWidth="1"/>
    <col min="15632" max="15632" width="6.5703125" style="31" customWidth="1"/>
    <col min="15633" max="15875" width="9.140625" style="31"/>
    <col min="15876" max="15876" width="6.140625" style="31" customWidth="1"/>
    <col min="15877" max="15877" width="12.7109375" style="31" customWidth="1"/>
    <col min="15878" max="15878" width="6.28515625" style="31" customWidth="1"/>
    <col min="15879" max="15879" width="21.28515625" style="31" customWidth="1"/>
    <col min="15880" max="15880" width="14.7109375" style="31" customWidth="1"/>
    <col min="15881" max="15881" width="5.28515625" style="31" customWidth="1"/>
    <col min="15882" max="15882" width="17" style="31" customWidth="1"/>
    <col min="15883" max="15883" width="9.7109375" style="31" customWidth="1"/>
    <col min="15884" max="15884" width="6.28515625" style="31" customWidth="1"/>
    <col min="15885" max="15885" width="11.140625" style="31" customWidth="1"/>
    <col min="15886" max="15886" width="5" style="31" customWidth="1"/>
    <col min="15887" max="15887" width="8.140625" style="31" customWidth="1"/>
    <col min="15888" max="15888" width="6.5703125" style="31" customWidth="1"/>
    <col min="15889" max="16131" width="9.140625" style="31"/>
    <col min="16132" max="16132" width="6.140625" style="31" customWidth="1"/>
    <col min="16133" max="16133" width="12.7109375" style="31" customWidth="1"/>
    <col min="16134" max="16134" width="6.28515625" style="31" customWidth="1"/>
    <col min="16135" max="16135" width="21.28515625" style="31" customWidth="1"/>
    <col min="16136" max="16136" width="14.7109375" style="31" customWidth="1"/>
    <col min="16137" max="16137" width="5.28515625" style="31" customWidth="1"/>
    <col min="16138" max="16138" width="17" style="31" customWidth="1"/>
    <col min="16139" max="16139" width="9.7109375" style="31" customWidth="1"/>
    <col min="16140" max="16140" width="6.28515625" style="31" customWidth="1"/>
    <col min="16141" max="16141" width="11.140625" style="31" customWidth="1"/>
    <col min="16142" max="16142" width="5" style="31" customWidth="1"/>
    <col min="16143" max="16143" width="8.140625" style="31" customWidth="1"/>
    <col min="16144" max="16144" width="6.5703125" style="31" customWidth="1"/>
    <col min="16145" max="16384" width="9.140625" style="31"/>
  </cols>
  <sheetData>
    <row r="1" spans="1:27" ht="27.75" customHeight="1" x14ac:dyDescent="0.25">
      <c r="A1" s="13" t="s">
        <v>184</v>
      </c>
      <c r="B1" s="13" t="s">
        <v>185</v>
      </c>
      <c r="C1" s="13" t="s">
        <v>186</v>
      </c>
      <c r="D1" s="13" t="s">
        <v>170</v>
      </c>
      <c r="E1" s="13" t="s">
        <v>173</v>
      </c>
      <c r="F1" s="13" t="s">
        <v>171</v>
      </c>
      <c r="G1" s="13" t="s">
        <v>174</v>
      </c>
      <c r="H1" s="13" t="s">
        <v>171</v>
      </c>
      <c r="I1" s="13" t="s">
        <v>175</v>
      </c>
      <c r="J1" s="13" t="s">
        <v>171</v>
      </c>
      <c r="K1" s="13" t="s">
        <v>176</v>
      </c>
      <c r="L1" s="13" t="s">
        <v>171</v>
      </c>
      <c r="M1" s="13" t="s">
        <v>177</v>
      </c>
      <c r="N1" s="13" t="s">
        <v>171</v>
      </c>
      <c r="O1" s="13" t="s">
        <v>178</v>
      </c>
      <c r="P1" s="13" t="s">
        <v>171</v>
      </c>
      <c r="Q1" s="13" t="s">
        <v>179</v>
      </c>
      <c r="R1" s="13" t="s">
        <v>171</v>
      </c>
      <c r="S1" s="13" t="s">
        <v>180</v>
      </c>
      <c r="T1" s="13" t="s">
        <v>171</v>
      </c>
      <c r="U1" s="13" t="s">
        <v>181</v>
      </c>
      <c r="V1" s="13" t="s">
        <v>171</v>
      </c>
      <c r="W1" s="13" t="s">
        <v>182</v>
      </c>
      <c r="X1" s="13" t="s">
        <v>171</v>
      </c>
      <c r="Y1" s="13" t="s">
        <v>183</v>
      </c>
      <c r="Z1" s="13" t="s">
        <v>171</v>
      </c>
      <c r="AA1" s="13" t="s">
        <v>2</v>
      </c>
    </row>
    <row r="2" spans="1:27" ht="10.35" customHeight="1" x14ac:dyDescent="0.25">
      <c r="A2" s="32">
        <v>1</v>
      </c>
      <c r="B2" s="33">
        <v>1</v>
      </c>
      <c r="C2" s="33" t="s">
        <v>187</v>
      </c>
      <c r="D2" s="34">
        <v>3315866.01</v>
      </c>
      <c r="E2" s="34"/>
      <c r="F2" s="34"/>
    </row>
    <row r="3" spans="1:27" ht="10.35" customHeight="1" x14ac:dyDescent="0.25">
      <c r="A3" s="32">
        <v>2</v>
      </c>
      <c r="B3" s="33" t="s">
        <v>188</v>
      </c>
      <c r="C3" s="33" t="s">
        <v>189</v>
      </c>
      <c r="D3" s="34">
        <v>3315866.01</v>
      </c>
      <c r="E3" s="34"/>
      <c r="F3" s="34"/>
    </row>
    <row r="4" spans="1:27" ht="10.35" customHeight="1" x14ac:dyDescent="0.25">
      <c r="A4" s="32">
        <v>3</v>
      </c>
      <c r="B4" s="33" t="s">
        <v>190</v>
      </c>
      <c r="C4" s="33" t="s">
        <v>191</v>
      </c>
      <c r="D4" s="34">
        <v>34290.92</v>
      </c>
      <c r="E4" s="34"/>
      <c r="F4" s="34"/>
    </row>
    <row r="5" spans="1:27" ht="10.35" customHeight="1" x14ac:dyDescent="0.25">
      <c r="A5" s="32">
        <v>7</v>
      </c>
      <c r="B5" s="33" t="s">
        <v>192</v>
      </c>
      <c r="C5" s="33" t="s">
        <v>193</v>
      </c>
      <c r="D5" s="34">
        <v>34290.92</v>
      </c>
      <c r="E5" s="34"/>
      <c r="F5" s="34"/>
    </row>
    <row r="6" spans="1:27" ht="10.35" customHeight="1" x14ac:dyDescent="0.25">
      <c r="A6" s="35">
        <v>8</v>
      </c>
      <c r="B6" s="36" t="s">
        <v>194</v>
      </c>
      <c r="C6" s="36" t="s">
        <v>195</v>
      </c>
      <c r="D6" s="37">
        <v>1830.39</v>
      </c>
      <c r="E6" s="37"/>
      <c r="F6" s="37"/>
    </row>
    <row r="7" spans="1:27" ht="10.35" customHeight="1" x14ac:dyDescent="0.25">
      <c r="A7" s="35">
        <v>9</v>
      </c>
      <c r="B7" s="36" t="s">
        <v>196</v>
      </c>
      <c r="C7" s="36" t="s">
        <v>197</v>
      </c>
      <c r="D7" s="37">
        <v>32460.53</v>
      </c>
      <c r="E7" s="37"/>
      <c r="F7" s="37"/>
    </row>
    <row r="8" spans="1:27" ht="10.35" customHeight="1" x14ac:dyDescent="0.25">
      <c r="A8" s="32">
        <v>12</v>
      </c>
      <c r="B8" s="33" t="s">
        <v>198</v>
      </c>
      <c r="C8" s="33" t="s">
        <v>199</v>
      </c>
      <c r="D8" s="34">
        <v>3359214.69</v>
      </c>
      <c r="E8" s="34"/>
      <c r="F8" s="34"/>
    </row>
    <row r="9" spans="1:27" ht="10.35" customHeight="1" x14ac:dyDescent="0.25">
      <c r="A9" s="32">
        <v>13</v>
      </c>
      <c r="B9" s="33" t="s">
        <v>200</v>
      </c>
      <c r="C9" s="33" t="s">
        <v>201</v>
      </c>
      <c r="D9" s="34">
        <v>3359214.69</v>
      </c>
      <c r="E9" s="34"/>
      <c r="F9" s="34"/>
    </row>
    <row r="10" spans="1:27" ht="10.35" customHeight="1" x14ac:dyDescent="0.25">
      <c r="A10" s="35">
        <v>1000</v>
      </c>
      <c r="B10" s="36" t="s">
        <v>202</v>
      </c>
      <c r="C10" s="36" t="s">
        <v>203</v>
      </c>
      <c r="D10" s="37">
        <v>3359214.69</v>
      </c>
      <c r="E10" s="37"/>
      <c r="F10" s="37"/>
    </row>
    <row r="11" spans="1:27" ht="10.35" customHeight="1" x14ac:dyDescent="0.25">
      <c r="A11" s="32">
        <v>18</v>
      </c>
      <c r="B11" s="33" t="s">
        <v>204</v>
      </c>
      <c r="C11" s="33" t="s">
        <v>205</v>
      </c>
      <c r="D11" s="34">
        <v>130452.97</v>
      </c>
      <c r="E11" s="34"/>
      <c r="F11" s="34"/>
    </row>
    <row r="12" spans="1:27" ht="10.35" customHeight="1" x14ac:dyDescent="0.25">
      <c r="A12" s="32">
        <v>21</v>
      </c>
      <c r="B12" s="33" t="s">
        <v>206</v>
      </c>
      <c r="C12" s="33" t="s">
        <v>207</v>
      </c>
      <c r="D12" s="34">
        <v>84456.09</v>
      </c>
      <c r="E12" s="34"/>
      <c r="F12" s="34"/>
    </row>
    <row r="13" spans="1:27" ht="10.35" customHeight="1" x14ac:dyDescent="0.25">
      <c r="A13" s="35">
        <v>1029</v>
      </c>
      <c r="B13" s="36" t="s">
        <v>208</v>
      </c>
      <c r="C13" s="36" t="s">
        <v>209</v>
      </c>
      <c r="D13" s="37">
        <v>84456.09</v>
      </c>
      <c r="E13" s="37"/>
      <c r="F13" s="37"/>
    </row>
    <row r="14" spans="1:27" ht="10.35" customHeight="1" x14ac:dyDescent="0.25">
      <c r="A14" s="32">
        <v>28</v>
      </c>
      <c r="B14" s="33" t="s">
        <v>210</v>
      </c>
      <c r="C14" s="33" t="s">
        <v>211</v>
      </c>
      <c r="D14" s="34">
        <v>45996.88</v>
      </c>
      <c r="E14" s="34"/>
      <c r="F14" s="34"/>
    </row>
    <row r="15" spans="1:27" ht="10.35" customHeight="1" x14ac:dyDescent="0.25">
      <c r="A15" s="35">
        <v>30</v>
      </c>
      <c r="B15" s="36" t="s">
        <v>212</v>
      </c>
      <c r="C15" s="36" t="s">
        <v>213</v>
      </c>
      <c r="D15" s="37">
        <v>-29758.66</v>
      </c>
      <c r="E15" s="37"/>
      <c r="F15" s="37"/>
    </row>
    <row r="16" spans="1:27" ht="10.35" customHeight="1" x14ac:dyDescent="0.25">
      <c r="A16" s="35">
        <v>40</v>
      </c>
      <c r="B16" s="36" t="s">
        <v>214</v>
      </c>
      <c r="C16" s="36" t="s">
        <v>215</v>
      </c>
      <c r="D16" s="37">
        <v>55151.97</v>
      </c>
      <c r="E16" s="37"/>
      <c r="F16" s="37"/>
    </row>
    <row r="17" spans="1:6" ht="10.35" customHeight="1" x14ac:dyDescent="0.25">
      <c r="A17" s="35">
        <v>41</v>
      </c>
      <c r="B17" s="36" t="s">
        <v>216</v>
      </c>
      <c r="C17" s="36" t="s">
        <v>217</v>
      </c>
      <c r="D17" s="37">
        <v>20603.57</v>
      </c>
      <c r="E17" s="37"/>
      <c r="F17" s="37"/>
    </row>
    <row r="18" spans="1:6" ht="10.35" customHeight="1" x14ac:dyDescent="0.25">
      <c r="A18" s="32">
        <v>53</v>
      </c>
      <c r="B18" s="33" t="s">
        <v>218</v>
      </c>
      <c r="C18" s="33" t="s">
        <v>219</v>
      </c>
      <c r="D18" s="34">
        <v>-208092.57</v>
      </c>
      <c r="E18" s="34"/>
      <c r="F18" s="34"/>
    </row>
    <row r="19" spans="1:6" ht="10.35" customHeight="1" x14ac:dyDescent="0.25">
      <c r="A19" s="32">
        <v>54</v>
      </c>
      <c r="B19" s="33" t="s">
        <v>220</v>
      </c>
      <c r="C19" s="33" t="s">
        <v>221</v>
      </c>
      <c r="D19" s="34">
        <v>-208092.57</v>
      </c>
      <c r="E19" s="34"/>
      <c r="F19" s="34"/>
    </row>
    <row r="20" spans="1:6" ht="10.35" customHeight="1" x14ac:dyDescent="0.25">
      <c r="A20" s="35">
        <v>55</v>
      </c>
      <c r="B20" s="36" t="s">
        <v>222</v>
      </c>
      <c r="C20" s="36" t="s">
        <v>223</v>
      </c>
      <c r="D20" s="37">
        <v>-955963.2</v>
      </c>
      <c r="E20" s="37"/>
      <c r="F20" s="37"/>
    </row>
    <row r="21" spans="1:6" ht="10.35" customHeight="1" x14ac:dyDescent="0.25">
      <c r="A21" s="35">
        <v>56</v>
      </c>
      <c r="B21" s="36" t="s">
        <v>224</v>
      </c>
      <c r="C21" s="36" t="s">
        <v>225</v>
      </c>
      <c r="D21" s="37">
        <v>747870.63</v>
      </c>
      <c r="E21" s="37"/>
      <c r="F21" s="37"/>
    </row>
    <row r="22" spans="1:6" ht="10.35" customHeight="1" x14ac:dyDescent="0.25">
      <c r="A22" s="32">
        <v>149</v>
      </c>
      <c r="B22" s="33">
        <v>2</v>
      </c>
      <c r="C22" s="33" t="s">
        <v>226</v>
      </c>
      <c r="D22" s="34">
        <v>-3203632.39</v>
      </c>
      <c r="E22" s="34"/>
      <c r="F22" s="34"/>
    </row>
    <row r="23" spans="1:6" ht="10.35" customHeight="1" x14ac:dyDescent="0.25">
      <c r="A23" s="32">
        <v>150</v>
      </c>
      <c r="B23" s="33" t="s">
        <v>227</v>
      </c>
      <c r="C23" s="33" t="s">
        <v>228</v>
      </c>
      <c r="D23" s="34">
        <v>-3262314.89</v>
      </c>
      <c r="E23" s="34"/>
      <c r="F23" s="34"/>
    </row>
    <row r="24" spans="1:6" ht="10.35" customHeight="1" x14ac:dyDescent="0.25">
      <c r="A24" s="32">
        <v>164</v>
      </c>
      <c r="B24" s="33" t="s">
        <v>229</v>
      </c>
      <c r="C24" s="33" t="s">
        <v>230</v>
      </c>
      <c r="D24" s="34">
        <v>-3076212.38</v>
      </c>
      <c r="E24" s="34"/>
      <c r="F24" s="34"/>
    </row>
    <row r="25" spans="1:6" ht="10.35" customHeight="1" x14ac:dyDescent="0.25">
      <c r="A25" s="32">
        <v>165</v>
      </c>
      <c r="B25" s="33" t="s">
        <v>231</v>
      </c>
      <c r="C25" s="33" t="s">
        <v>232</v>
      </c>
      <c r="D25" s="34">
        <v>-3076212.38</v>
      </c>
      <c r="E25" s="34"/>
      <c r="F25" s="34"/>
    </row>
    <row r="26" spans="1:6" ht="10.35" customHeight="1" x14ac:dyDescent="0.25">
      <c r="A26" s="35">
        <v>1004</v>
      </c>
      <c r="B26" s="36" t="s">
        <v>233</v>
      </c>
      <c r="C26" s="36" t="s">
        <v>234</v>
      </c>
      <c r="D26" s="37">
        <v>-3076212.38</v>
      </c>
      <c r="E26" s="37"/>
      <c r="F26" s="37"/>
    </row>
    <row r="27" spans="1:6" ht="10.35" customHeight="1" x14ac:dyDescent="0.25">
      <c r="A27" s="32">
        <v>169</v>
      </c>
      <c r="B27" s="33" t="s">
        <v>235</v>
      </c>
      <c r="C27" s="33" t="s">
        <v>236</v>
      </c>
      <c r="D27" s="34">
        <v>-18591.560000000001</v>
      </c>
      <c r="E27" s="34"/>
      <c r="F27" s="34"/>
    </row>
    <row r="28" spans="1:6" ht="10.35" customHeight="1" x14ac:dyDescent="0.25">
      <c r="A28" s="32">
        <v>170</v>
      </c>
      <c r="B28" s="33" t="s">
        <v>237</v>
      </c>
      <c r="C28" s="33" t="s">
        <v>238</v>
      </c>
      <c r="D28" s="34">
        <v>-18591.560000000001</v>
      </c>
      <c r="E28" s="34"/>
      <c r="F28" s="34"/>
    </row>
    <row r="29" spans="1:6" ht="10.35" customHeight="1" x14ac:dyDescent="0.25">
      <c r="A29" s="35">
        <v>172</v>
      </c>
      <c r="B29" s="36" t="s">
        <v>239</v>
      </c>
      <c r="C29" s="36" t="s">
        <v>240</v>
      </c>
      <c r="D29" s="37">
        <v>-18055.650000000001</v>
      </c>
      <c r="E29" s="37"/>
      <c r="F29" s="37"/>
    </row>
    <row r="30" spans="1:6" ht="10.35" customHeight="1" x14ac:dyDescent="0.25">
      <c r="A30" s="35">
        <v>179</v>
      </c>
      <c r="B30" s="36" t="s">
        <v>241</v>
      </c>
      <c r="C30" s="36" t="s">
        <v>242</v>
      </c>
      <c r="D30" s="37">
        <v>0</v>
      </c>
      <c r="E30" s="37"/>
      <c r="F30" s="37"/>
    </row>
    <row r="31" spans="1:6" ht="10.35" customHeight="1" x14ac:dyDescent="0.25">
      <c r="A31" s="35">
        <v>180</v>
      </c>
      <c r="B31" s="36" t="s">
        <v>243</v>
      </c>
      <c r="C31" s="36" t="s">
        <v>244</v>
      </c>
      <c r="D31" s="37">
        <v>0</v>
      </c>
      <c r="E31" s="37"/>
      <c r="F31" s="37"/>
    </row>
    <row r="32" spans="1:6" ht="10.35" customHeight="1" x14ac:dyDescent="0.25">
      <c r="A32" s="35">
        <v>481</v>
      </c>
      <c r="B32" s="36" t="s">
        <v>245</v>
      </c>
      <c r="C32" s="36" t="s">
        <v>246</v>
      </c>
      <c r="D32" s="37">
        <v>-535.91</v>
      </c>
      <c r="E32" s="37"/>
      <c r="F32" s="37"/>
    </row>
    <row r="33" spans="1:6" ht="10.35" customHeight="1" x14ac:dyDescent="0.25">
      <c r="A33" s="32">
        <v>185</v>
      </c>
      <c r="B33" s="33" t="s">
        <v>247</v>
      </c>
      <c r="C33" s="33" t="s">
        <v>248</v>
      </c>
      <c r="D33" s="34">
        <v>-7575.3</v>
      </c>
      <c r="E33" s="34"/>
      <c r="F33" s="34"/>
    </row>
    <row r="34" spans="1:6" ht="10.35" customHeight="1" x14ac:dyDescent="0.25">
      <c r="A34" s="32">
        <v>186</v>
      </c>
      <c r="B34" s="33" t="s">
        <v>249</v>
      </c>
      <c r="C34" s="33" t="s">
        <v>250</v>
      </c>
      <c r="D34" s="34">
        <v>-3067.9</v>
      </c>
      <c r="E34" s="34"/>
      <c r="F34" s="34"/>
    </row>
    <row r="35" spans="1:6" ht="10.35" customHeight="1" x14ac:dyDescent="0.25">
      <c r="A35" s="35">
        <v>187</v>
      </c>
      <c r="B35" s="36" t="s">
        <v>251</v>
      </c>
      <c r="C35" s="36" t="s">
        <v>252</v>
      </c>
      <c r="D35" s="37">
        <v>-4148.46</v>
      </c>
      <c r="E35" s="37"/>
      <c r="F35" s="37"/>
    </row>
    <row r="36" spans="1:6" ht="10.35" customHeight="1" x14ac:dyDescent="0.25">
      <c r="A36" s="35">
        <v>167</v>
      </c>
      <c r="B36" s="36" t="s">
        <v>253</v>
      </c>
      <c r="C36" s="36" t="s">
        <v>254</v>
      </c>
      <c r="D36" s="37">
        <v>1080.56</v>
      </c>
      <c r="E36" s="37"/>
      <c r="F36" s="37"/>
    </row>
    <row r="37" spans="1:6" ht="10.35" customHeight="1" x14ac:dyDescent="0.25">
      <c r="A37" s="32">
        <v>190</v>
      </c>
      <c r="B37" s="33" t="s">
        <v>255</v>
      </c>
      <c r="C37" s="33" t="s">
        <v>256</v>
      </c>
      <c r="D37" s="34">
        <v>-4507.3999999999996</v>
      </c>
      <c r="E37" s="34"/>
      <c r="F37" s="34"/>
    </row>
    <row r="38" spans="1:6" ht="10.35" customHeight="1" x14ac:dyDescent="0.25">
      <c r="A38" s="35">
        <v>191</v>
      </c>
      <c r="B38" s="36" t="s">
        <v>257</v>
      </c>
      <c r="C38" s="36" t="s">
        <v>258</v>
      </c>
      <c r="D38" s="37">
        <v>-3725.75</v>
      </c>
      <c r="E38" s="37"/>
      <c r="F38" s="37"/>
    </row>
    <row r="39" spans="1:6" ht="10.35" customHeight="1" x14ac:dyDescent="0.25">
      <c r="A39" s="35">
        <v>192</v>
      </c>
      <c r="B39" s="36" t="s">
        <v>259</v>
      </c>
      <c r="C39" s="36" t="s">
        <v>260</v>
      </c>
      <c r="D39" s="37">
        <v>-781.65</v>
      </c>
      <c r="E39" s="37"/>
      <c r="F39" s="37"/>
    </row>
    <row r="40" spans="1:6" ht="10.35" customHeight="1" x14ac:dyDescent="0.25">
      <c r="A40" s="32">
        <v>200</v>
      </c>
      <c r="B40" s="33" t="s">
        <v>261</v>
      </c>
      <c r="C40" s="33" t="s">
        <v>262</v>
      </c>
      <c r="D40" s="34">
        <v>-159935.65</v>
      </c>
      <c r="E40" s="34"/>
      <c r="F40" s="34"/>
    </row>
    <row r="41" spans="1:6" ht="10.35" customHeight="1" x14ac:dyDescent="0.25">
      <c r="A41" s="32">
        <v>202</v>
      </c>
      <c r="B41" s="33" t="s">
        <v>263</v>
      </c>
      <c r="C41" s="33" t="s">
        <v>264</v>
      </c>
      <c r="D41" s="34">
        <v>-159935.65</v>
      </c>
      <c r="E41" s="34"/>
      <c r="F41" s="34"/>
    </row>
    <row r="42" spans="1:6" ht="10.35" customHeight="1" x14ac:dyDescent="0.25">
      <c r="A42" s="35">
        <v>1026</v>
      </c>
      <c r="B42" s="36" t="s">
        <v>265</v>
      </c>
      <c r="C42" s="36" t="s">
        <v>266</v>
      </c>
      <c r="D42" s="37">
        <v>-159935.65</v>
      </c>
      <c r="E42" s="37"/>
      <c r="F42" s="37"/>
    </row>
    <row r="43" spans="1:6" ht="10.35" customHeight="1" x14ac:dyDescent="0.25">
      <c r="A43" s="32">
        <v>242</v>
      </c>
      <c r="B43" s="33" t="s">
        <v>267</v>
      </c>
      <c r="C43" s="33" t="s">
        <v>268</v>
      </c>
      <c r="D43" s="34">
        <v>58682.5</v>
      </c>
      <c r="E43" s="34"/>
      <c r="F43" s="34"/>
    </row>
    <row r="44" spans="1:6" ht="10.35" customHeight="1" x14ac:dyDescent="0.25">
      <c r="A44" s="32">
        <v>243</v>
      </c>
      <c r="B44" s="33" t="s">
        <v>269</v>
      </c>
      <c r="C44" s="33" t="s">
        <v>270</v>
      </c>
      <c r="D44" s="34">
        <v>-50000</v>
      </c>
      <c r="E44" s="34"/>
      <c r="F44" s="34"/>
    </row>
    <row r="45" spans="1:6" ht="10.35" customHeight="1" x14ac:dyDescent="0.25">
      <c r="A45" s="32">
        <v>244</v>
      </c>
      <c r="B45" s="33" t="s">
        <v>271</v>
      </c>
      <c r="C45" s="33" t="s">
        <v>272</v>
      </c>
      <c r="D45" s="34">
        <v>-50000</v>
      </c>
      <c r="E45" s="34"/>
      <c r="F45" s="34"/>
    </row>
    <row r="46" spans="1:6" ht="10.35" customHeight="1" x14ac:dyDescent="0.25">
      <c r="A46" s="35">
        <v>245</v>
      </c>
      <c r="B46" s="36" t="s">
        <v>273</v>
      </c>
      <c r="C46" s="36" t="s">
        <v>274</v>
      </c>
      <c r="D46" s="37">
        <v>-50000</v>
      </c>
      <c r="E46" s="37"/>
      <c r="F46" s="37"/>
    </row>
    <row r="47" spans="1:6" ht="10.35" customHeight="1" x14ac:dyDescent="0.25">
      <c r="A47" s="32">
        <v>264</v>
      </c>
      <c r="B47" s="33" t="s">
        <v>275</v>
      </c>
      <c r="C47" s="33" t="s">
        <v>276</v>
      </c>
      <c r="D47" s="34">
        <v>108682.5</v>
      </c>
      <c r="E47" s="34"/>
      <c r="F47" s="34"/>
    </row>
    <row r="48" spans="1:6" ht="10.35" customHeight="1" x14ac:dyDescent="0.25">
      <c r="A48" s="32">
        <v>265</v>
      </c>
      <c r="B48" s="33" t="s">
        <v>277</v>
      </c>
      <c r="C48" s="33" t="s">
        <v>278</v>
      </c>
      <c r="D48" s="34">
        <v>108682.5</v>
      </c>
      <c r="E48" s="34"/>
      <c r="F48" s="34"/>
    </row>
    <row r="49" spans="1:6" ht="10.35" customHeight="1" x14ac:dyDescent="0.25">
      <c r="A49" s="35">
        <v>267</v>
      </c>
      <c r="B49" s="36" t="s">
        <v>279</v>
      </c>
      <c r="C49" s="36" t="s">
        <v>280</v>
      </c>
      <c r="D49" s="37">
        <v>86063.91</v>
      </c>
      <c r="E49" s="37"/>
      <c r="F49" s="37"/>
    </row>
    <row r="50" spans="1:6" ht="10.35" customHeight="1" x14ac:dyDescent="0.25">
      <c r="A50" s="35">
        <v>522</v>
      </c>
      <c r="B50" s="36" t="s">
        <v>281</v>
      </c>
      <c r="C50" s="36" t="s">
        <v>282</v>
      </c>
      <c r="D50" s="37">
        <v>-62779.15</v>
      </c>
      <c r="E50" s="37"/>
      <c r="F50" s="37"/>
    </row>
    <row r="51" spans="1:6" ht="10.35" customHeight="1" x14ac:dyDescent="0.25">
      <c r="A51" s="35">
        <v>523</v>
      </c>
      <c r="B51" s="36" t="s">
        <v>283</v>
      </c>
      <c r="C51" s="36" t="s">
        <v>284</v>
      </c>
      <c r="D51" s="37">
        <v>76492.02</v>
      </c>
      <c r="E51" s="37"/>
      <c r="F51" s="37"/>
    </row>
    <row r="52" spans="1:6" ht="10.35" customHeight="1" x14ac:dyDescent="0.25">
      <c r="A52" s="35">
        <v>563</v>
      </c>
      <c r="B52" s="36" t="s">
        <v>285</v>
      </c>
      <c r="C52" s="36" t="s">
        <v>286</v>
      </c>
      <c r="D52" s="37">
        <v>8905.7199999999993</v>
      </c>
      <c r="E52" s="37"/>
      <c r="F52" s="37"/>
    </row>
    <row r="53" spans="1:6" ht="12.6" customHeight="1" x14ac:dyDescent="0.25">
      <c r="A53" s="38" t="s">
        <v>103</v>
      </c>
      <c r="B53" s="38"/>
      <c r="C53" s="38"/>
    </row>
  </sheetData>
  <phoneticPr fontId="9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31" sqref="B31"/>
    </sheetView>
  </sheetViews>
  <sheetFormatPr defaultColWidth="14.42578125" defaultRowHeight="15" customHeight="1" x14ac:dyDescent="0.25"/>
  <cols>
    <col min="1" max="1" width="30.140625" customWidth="1"/>
    <col min="2" max="2" width="24.85546875" customWidth="1"/>
    <col min="3" max="26" width="8.7109375" customWidth="1"/>
  </cols>
  <sheetData>
    <row r="1" spans="1:2" x14ac:dyDescent="0.25">
      <c r="A1" s="1" t="s">
        <v>0</v>
      </c>
      <c r="B1" s="2">
        <v>85763.18</v>
      </c>
    </row>
    <row r="2" spans="1:2" x14ac:dyDescent="0.25">
      <c r="A2" s="1" t="s">
        <v>1</v>
      </c>
      <c r="B2" s="2">
        <v>38536.92</v>
      </c>
    </row>
    <row r="3" spans="1:2" x14ac:dyDescent="0.25">
      <c r="A3" s="3" t="s">
        <v>2</v>
      </c>
      <c r="B3" s="2">
        <f>SUM(B1:B2)</f>
        <v>124300.09999999999</v>
      </c>
    </row>
    <row r="4" spans="1:2" x14ac:dyDescent="0.25">
      <c r="B4" s="4"/>
    </row>
    <row r="5" spans="1:2" x14ac:dyDescent="0.25">
      <c r="A5" s="3" t="s">
        <v>3</v>
      </c>
      <c r="B5" s="2">
        <v>56756.77</v>
      </c>
    </row>
    <row r="6" spans="1:2" x14ac:dyDescent="0.25">
      <c r="A6" s="3" t="s">
        <v>4</v>
      </c>
      <c r="B6" s="2">
        <v>54601.5</v>
      </c>
    </row>
    <row r="7" spans="1:2" x14ac:dyDescent="0.25">
      <c r="A7" s="3" t="s">
        <v>2</v>
      </c>
      <c r="B7" s="2">
        <f>B5-B6</f>
        <v>2155.2699999999968</v>
      </c>
    </row>
    <row r="8" spans="1:2" x14ac:dyDescent="0.25">
      <c r="B8" s="4"/>
    </row>
    <row r="9" spans="1:2" x14ac:dyDescent="0.25">
      <c r="A9" s="3" t="s">
        <v>5</v>
      </c>
      <c r="B9" s="2">
        <v>168.16</v>
      </c>
    </row>
    <row r="10" spans="1:2" x14ac:dyDescent="0.25">
      <c r="A10" s="3" t="s">
        <v>6</v>
      </c>
      <c r="B10" s="2">
        <v>3970.56</v>
      </c>
    </row>
    <row r="11" spans="1:2" x14ac:dyDescent="0.25">
      <c r="A11" s="3" t="s">
        <v>7</v>
      </c>
      <c r="B11" s="2">
        <v>254.15</v>
      </c>
    </row>
    <row r="12" spans="1:2" x14ac:dyDescent="0.25">
      <c r="A12" s="3" t="s">
        <v>2</v>
      </c>
      <c r="B12" s="2">
        <f>B9-B10-B11</f>
        <v>-4056.55</v>
      </c>
    </row>
    <row r="14" spans="1:2" x14ac:dyDescent="0.25">
      <c r="A14" s="3" t="s">
        <v>8</v>
      </c>
      <c r="B14" s="2">
        <f>B7+B12</f>
        <v>-1901.2800000000034</v>
      </c>
    </row>
    <row r="15" spans="1:2" x14ac:dyDescent="0.25">
      <c r="B15" s="4"/>
    </row>
    <row r="16" spans="1:2" x14ac:dyDescent="0.25">
      <c r="A16" s="5" t="s">
        <v>9</v>
      </c>
      <c r="B16" s="4">
        <f>B1-B5+(B6-B2)</f>
        <v>45070.99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43D1-6611-4C31-8516-FD73071194FD}">
  <dimension ref="A1:H14"/>
  <sheetViews>
    <sheetView workbookViewId="0">
      <selection activeCell="G24" sqref="G24"/>
    </sheetView>
  </sheetViews>
  <sheetFormatPr defaultRowHeight="15" x14ac:dyDescent="0.25"/>
  <cols>
    <col min="2" max="2" width="19.28515625" bestFit="1" customWidth="1"/>
    <col min="3" max="3" width="16.42578125" bestFit="1" customWidth="1"/>
    <col min="4" max="4" width="17.28515625" bestFit="1" customWidth="1"/>
    <col min="5" max="5" width="26.5703125" bestFit="1" customWidth="1"/>
    <col min="6" max="6" width="15" bestFit="1" customWidth="1"/>
    <col min="7" max="7" width="10.140625" bestFit="1" customWidth="1"/>
    <col min="8" max="8" width="15.85546875" bestFit="1" customWidth="1"/>
  </cols>
  <sheetData>
    <row r="1" spans="1:8" x14ac:dyDescent="0.25">
      <c r="B1" t="s">
        <v>17</v>
      </c>
    </row>
    <row r="2" spans="1:8" x14ac:dyDescent="0.25">
      <c r="A2" s="7"/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</row>
    <row r="3" spans="1:8" x14ac:dyDescent="0.25">
      <c r="A3" s="7" t="s">
        <v>20</v>
      </c>
      <c r="B3" s="7"/>
      <c r="C3" s="7"/>
      <c r="D3" s="7"/>
      <c r="E3" s="7"/>
      <c r="F3" s="7"/>
      <c r="G3" s="7"/>
      <c r="H3" s="7"/>
    </row>
    <row r="4" spans="1:8" x14ac:dyDescent="0.25">
      <c r="A4" s="7" t="s">
        <v>23</v>
      </c>
      <c r="B4" s="7"/>
      <c r="C4" s="7"/>
      <c r="D4" s="7"/>
      <c r="E4" s="7"/>
      <c r="F4" s="7"/>
      <c r="G4" s="7"/>
      <c r="H4" s="7"/>
    </row>
    <row r="5" spans="1:8" x14ac:dyDescent="0.25">
      <c r="B5" t="s">
        <v>18</v>
      </c>
    </row>
    <row r="6" spans="1:8" x14ac:dyDescent="0.25">
      <c r="A6" s="7"/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</row>
    <row r="7" spans="1:8" x14ac:dyDescent="0.25">
      <c r="A7" s="7" t="s">
        <v>20</v>
      </c>
      <c r="B7" s="7"/>
      <c r="C7" s="7"/>
      <c r="D7" s="7"/>
      <c r="E7" s="7"/>
      <c r="F7" s="7"/>
      <c r="G7" s="7"/>
      <c r="H7" s="7"/>
    </row>
    <row r="8" spans="1:8" x14ac:dyDescent="0.25">
      <c r="A8" s="7" t="s">
        <v>23</v>
      </c>
      <c r="B8" s="7"/>
      <c r="C8" s="7"/>
      <c r="D8" s="7"/>
      <c r="E8" s="7"/>
      <c r="F8" s="7"/>
      <c r="G8" s="7"/>
      <c r="H8" s="7"/>
    </row>
    <row r="9" spans="1:8" x14ac:dyDescent="0.25">
      <c r="B9" t="s">
        <v>19</v>
      </c>
    </row>
    <row r="11" spans="1:8" x14ac:dyDescent="0.25">
      <c r="B11" s="6" t="s">
        <v>20</v>
      </c>
      <c r="C11" s="6" t="s">
        <v>17</v>
      </c>
      <c r="D11" s="6" t="s">
        <v>18</v>
      </c>
      <c r="E11" s="6" t="s">
        <v>21</v>
      </c>
      <c r="F11" s="6" t="s">
        <v>22</v>
      </c>
    </row>
    <row r="12" spans="1:8" x14ac:dyDescent="0.25">
      <c r="B12" s="6"/>
      <c r="C12" s="6"/>
      <c r="D12" s="6"/>
      <c r="E12" s="6"/>
      <c r="F12" s="6"/>
    </row>
    <row r="13" spans="1:8" x14ac:dyDescent="0.25">
      <c r="B13" s="7" t="s">
        <v>23</v>
      </c>
      <c r="C13" s="7"/>
      <c r="D13" s="7"/>
      <c r="E13" s="7"/>
      <c r="F13" s="7"/>
    </row>
    <row r="14" spans="1:8" x14ac:dyDescent="0.25">
      <c r="B14" s="7"/>
      <c r="C14" s="7"/>
      <c r="D14" s="7"/>
      <c r="E14" s="7"/>
      <c r="F14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C718-9947-4CD0-906B-56DC21BCC42F}">
  <dimension ref="A1:J55"/>
  <sheetViews>
    <sheetView topLeftCell="A14" workbookViewId="0">
      <selection activeCell="C49" sqref="C49"/>
    </sheetView>
  </sheetViews>
  <sheetFormatPr defaultRowHeight="15" x14ac:dyDescent="0.25"/>
  <cols>
    <col min="1" max="1" width="48.85546875" customWidth="1"/>
    <col min="2" max="2" width="15.140625" customWidth="1"/>
    <col min="3" max="3" width="13.5703125" customWidth="1"/>
    <col min="4" max="4" width="13.42578125" customWidth="1"/>
    <col min="5" max="5" width="10.5703125" customWidth="1"/>
    <col min="6" max="6" width="13" customWidth="1"/>
    <col min="7" max="7" width="12.28515625" customWidth="1"/>
    <col min="8" max="8" width="9.140625" customWidth="1"/>
    <col min="9" max="9" width="5.42578125" customWidth="1"/>
    <col min="10" max="10" width="9.42578125" customWidth="1"/>
    <col min="247" max="247" width="4.5703125" customWidth="1"/>
    <col min="248" max="248" width="6.42578125" customWidth="1"/>
    <col min="249" max="249" width="2.7109375" customWidth="1"/>
    <col min="250" max="250" width="6.28515625" customWidth="1"/>
    <col min="251" max="251" width="6.5703125" customWidth="1"/>
    <col min="252" max="252" width="28.5703125" customWidth="1"/>
    <col min="253" max="253" width="3.28515625" customWidth="1"/>
    <col min="254" max="254" width="1.5703125" customWidth="1"/>
    <col min="255" max="255" width="15.140625" customWidth="1"/>
    <col min="256" max="256" width="1.5703125" customWidth="1"/>
    <col min="257" max="257" width="13.5703125" customWidth="1"/>
    <col min="258" max="258" width="1.5703125" customWidth="1"/>
    <col min="259" max="259" width="4.7109375" customWidth="1"/>
    <col min="260" max="260" width="1.42578125" customWidth="1"/>
    <col min="261" max="261" width="3.28515625" customWidth="1"/>
    <col min="262" max="262" width="2" customWidth="1"/>
    <col min="263" max="263" width="5.5703125" customWidth="1"/>
    <col min="264" max="264" width="1.7109375" customWidth="1"/>
    <col min="265" max="265" width="1.5703125" customWidth="1"/>
    <col min="266" max="266" width="8.5703125" customWidth="1"/>
    <col min="503" max="503" width="4.5703125" customWidth="1"/>
    <col min="504" max="504" width="6.42578125" customWidth="1"/>
    <col min="505" max="505" width="2.7109375" customWidth="1"/>
    <col min="506" max="506" width="6.28515625" customWidth="1"/>
    <col min="507" max="507" width="6.5703125" customWidth="1"/>
    <col min="508" max="508" width="28.5703125" customWidth="1"/>
    <col min="509" max="509" width="3.28515625" customWidth="1"/>
    <col min="510" max="510" width="1.5703125" customWidth="1"/>
    <col min="511" max="511" width="15.140625" customWidth="1"/>
    <col min="512" max="512" width="1.5703125" customWidth="1"/>
    <col min="513" max="513" width="13.5703125" customWidth="1"/>
    <col min="514" max="514" width="1.5703125" customWidth="1"/>
    <col min="515" max="515" width="4.7109375" customWidth="1"/>
    <col min="516" max="516" width="1.42578125" customWidth="1"/>
    <col min="517" max="517" width="3.28515625" customWidth="1"/>
    <col min="518" max="518" width="2" customWidth="1"/>
    <col min="519" max="519" width="5.5703125" customWidth="1"/>
    <col min="520" max="520" width="1.7109375" customWidth="1"/>
    <col min="521" max="521" width="1.5703125" customWidth="1"/>
    <col min="522" max="522" width="8.5703125" customWidth="1"/>
    <col min="759" max="759" width="4.5703125" customWidth="1"/>
    <col min="760" max="760" width="6.42578125" customWidth="1"/>
    <col min="761" max="761" width="2.7109375" customWidth="1"/>
    <col min="762" max="762" width="6.28515625" customWidth="1"/>
    <col min="763" max="763" width="6.5703125" customWidth="1"/>
    <col min="764" max="764" width="28.5703125" customWidth="1"/>
    <col min="765" max="765" width="3.28515625" customWidth="1"/>
    <col min="766" max="766" width="1.5703125" customWidth="1"/>
    <col min="767" max="767" width="15.140625" customWidth="1"/>
    <col min="768" max="768" width="1.5703125" customWidth="1"/>
    <col min="769" max="769" width="13.5703125" customWidth="1"/>
    <col min="770" max="770" width="1.5703125" customWidth="1"/>
    <col min="771" max="771" width="4.7109375" customWidth="1"/>
    <col min="772" max="772" width="1.42578125" customWidth="1"/>
    <col min="773" max="773" width="3.28515625" customWidth="1"/>
    <col min="774" max="774" width="2" customWidth="1"/>
    <col min="775" max="775" width="5.5703125" customWidth="1"/>
    <col min="776" max="776" width="1.7109375" customWidth="1"/>
    <col min="777" max="777" width="1.5703125" customWidth="1"/>
    <col min="778" max="778" width="8.5703125" customWidth="1"/>
    <col min="1015" max="1015" width="4.5703125" customWidth="1"/>
    <col min="1016" max="1016" width="6.42578125" customWidth="1"/>
    <col min="1017" max="1017" width="2.7109375" customWidth="1"/>
    <col min="1018" max="1018" width="6.28515625" customWidth="1"/>
    <col min="1019" max="1019" width="6.5703125" customWidth="1"/>
    <col min="1020" max="1020" width="28.5703125" customWidth="1"/>
    <col min="1021" max="1021" width="3.28515625" customWidth="1"/>
    <col min="1022" max="1022" width="1.5703125" customWidth="1"/>
    <col min="1023" max="1023" width="15.140625" customWidth="1"/>
    <col min="1024" max="1024" width="1.5703125" customWidth="1"/>
    <col min="1025" max="1025" width="13.5703125" customWidth="1"/>
    <col min="1026" max="1026" width="1.5703125" customWidth="1"/>
    <col min="1027" max="1027" width="4.7109375" customWidth="1"/>
    <col min="1028" max="1028" width="1.42578125" customWidth="1"/>
    <col min="1029" max="1029" width="3.28515625" customWidth="1"/>
    <col min="1030" max="1030" width="2" customWidth="1"/>
    <col min="1031" max="1031" width="5.5703125" customWidth="1"/>
    <col min="1032" max="1032" width="1.7109375" customWidth="1"/>
    <col min="1033" max="1033" width="1.5703125" customWidth="1"/>
    <col min="1034" max="1034" width="8.5703125" customWidth="1"/>
    <col min="1271" max="1271" width="4.5703125" customWidth="1"/>
    <col min="1272" max="1272" width="6.42578125" customWidth="1"/>
    <col min="1273" max="1273" width="2.7109375" customWidth="1"/>
    <col min="1274" max="1274" width="6.28515625" customWidth="1"/>
    <col min="1275" max="1275" width="6.5703125" customWidth="1"/>
    <col min="1276" max="1276" width="28.5703125" customWidth="1"/>
    <col min="1277" max="1277" width="3.28515625" customWidth="1"/>
    <col min="1278" max="1278" width="1.5703125" customWidth="1"/>
    <col min="1279" max="1279" width="15.140625" customWidth="1"/>
    <col min="1280" max="1280" width="1.5703125" customWidth="1"/>
    <col min="1281" max="1281" width="13.5703125" customWidth="1"/>
    <col min="1282" max="1282" width="1.5703125" customWidth="1"/>
    <col min="1283" max="1283" width="4.7109375" customWidth="1"/>
    <col min="1284" max="1284" width="1.42578125" customWidth="1"/>
    <col min="1285" max="1285" width="3.28515625" customWidth="1"/>
    <col min="1286" max="1286" width="2" customWidth="1"/>
    <col min="1287" max="1287" width="5.5703125" customWidth="1"/>
    <col min="1288" max="1288" width="1.7109375" customWidth="1"/>
    <col min="1289" max="1289" width="1.5703125" customWidth="1"/>
    <col min="1290" max="1290" width="8.5703125" customWidth="1"/>
    <col min="1527" max="1527" width="4.5703125" customWidth="1"/>
    <col min="1528" max="1528" width="6.42578125" customWidth="1"/>
    <col min="1529" max="1529" width="2.7109375" customWidth="1"/>
    <col min="1530" max="1530" width="6.28515625" customWidth="1"/>
    <col min="1531" max="1531" width="6.5703125" customWidth="1"/>
    <col min="1532" max="1532" width="28.5703125" customWidth="1"/>
    <col min="1533" max="1533" width="3.28515625" customWidth="1"/>
    <col min="1534" max="1534" width="1.5703125" customWidth="1"/>
    <col min="1535" max="1535" width="15.140625" customWidth="1"/>
    <col min="1536" max="1536" width="1.5703125" customWidth="1"/>
    <col min="1537" max="1537" width="13.5703125" customWidth="1"/>
    <col min="1538" max="1538" width="1.5703125" customWidth="1"/>
    <col min="1539" max="1539" width="4.7109375" customWidth="1"/>
    <col min="1540" max="1540" width="1.42578125" customWidth="1"/>
    <col min="1541" max="1541" width="3.28515625" customWidth="1"/>
    <col min="1542" max="1542" width="2" customWidth="1"/>
    <col min="1543" max="1543" width="5.5703125" customWidth="1"/>
    <col min="1544" max="1544" width="1.7109375" customWidth="1"/>
    <col min="1545" max="1545" width="1.5703125" customWidth="1"/>
    <col min="1546" max="1546" width="8.5703125" customWidth="1"/>
    <col min="1783" max="1783" width="4.5703125" customWidth="1"/>
    <col min="1784" max="1784" width="6.42578125" customWidth="1"/>
    <col min="1785" max="1785" width="2.7109375" customWidth="1"/>
    <col min="1786" max="1786" width="6.28515625" customWidth="1"/>
    <col min="1787" max="1787" width="6.5703125" customWidth="1"/>
    <col min="1788" max="1788" width="28.5703125" customWidth="1"/>
    <col min="1789" max="1789" width="3.28515625" customWidth="1"/>
    <col min="1790" max="1790" width="1.5703125" customWidth="1"/>
    <col min="1791" max="1791" width="15.140625" customWidth="1"/>
    <col min="1792" max="1792" width="1.5703125" customWidth="1"/>
    <col min="1793" max="1793" width="13.5703125" customWidth="1"/>
    <col min="1794" max="1794" width="1.5703125" customWidth="1"/>
    <col min="1795" max="1795" width="4.7109375" customWidth="1"/>
    <col min="1796" max="1796" width="1.42578125" customWidth="1"/>
    <col min="1797" max="1797" width="3.28515625" customWidth="1"/>
    <col min="1798" max="1798" width="2" customWidth="1"/>
    <col min="1799" max="1799" width="5.5703125" customWidth="1"/>
    <col min="1800" max="1800" width="1.7109375" customWidth="1"/>
    <col min="1801" max="1801" width="1.5703125" customWidth="1"/>
    <col min="1802" max="1802" width="8.5703125" customWidth="1"/>
    <col min="2039" max="2039" width="4.5703125" customWidth="1"/>
    <col min="2040" max="2040" width="6.42578125" customWidth="1"/>
    <col min="2041" max="2041" width="2.7109375" customWidth="1"/>
    <col min="2042" max="2042" width="6.28515625" customWidth="1"/>
    <col min="2043" max="2043" width="6.5703125" customWidth="1"/>
    <col min="2044" max="2044" width="28.5703125" customWidth="1"/>
    <col min="2045" max="2045" width="3.28515625" customWidth="1"/>
    <col min="2046" max="2046" width="1.5703125" customWidth="1"/>
    <col min="2047" max="2047" width="15.140625" customWidth="1"/>
    <col min="2048" max="2048" width="1.5703125" customWidth="1"/>
    <col min="2049" max="2049" width="13.5703125" customWidth="1"/>
    <col min="2050" max="2050" width="1.5703125" customWidth="1"/>
    <col min="2051" max="2051" width="4.7109375" customWidth="1"/>
    <col min="2052" max="2052" width="1.42578125" customWidth="1"/>
    <col min="2053" max="2053" width="3.28515625" customWidth="1"/>
    <col min="2054" max="2054" width="2" customWidth="1"/>
    <col min="2055" max="2055" width="5.5703125" customWidth="1"/>
    <col min="2056" max="2056" width="1.7109375" customWidth="1"/>
    <col min="2057" max="2057" width="1.5703125" customWidth="1"/>
    <col min="2058" max="2058" width="8.5703125" customWidth="1"/>
    <col min="2295" max="2295" width="4.5703125" customWidth="1"/>
    <col min="2296" max="2296" width="6.42578125" customWidth="1"/>
    <col min="2297" max="2297" width="2.7109375" customWidth="1"/>
    <col min="2298" max="2298" width="6.28515625" customWidth="1"/>
    <col min="2299" max="2299" width="6.5703125" customWidth="1"/>
    <col min="2300" max="2300" width="28.5703125" customWidth="1"/>
    <col min="2301" max="2301" width="3.28515625" customWidth="1"/>
    <col min="2302" max="2302" width="1.5703125" customWidth="1"/>
    <col min="2303" max="2303" width="15.140625" customWidth="1"/>
    <col min="2304" max="2304" width="1.5703125" customWidth="1"/>
    <col min="2305" max="2305" width="13.5703125" customWidth="1"/>
    <col min="2306" max="2306" width="1.5703125" customWidth="1"/>
    <col min="2307" max="2307" width="4.7109375" customWidth="1"/>
    <col min="2308" max="2308" width="1.42578125" customWidth="1"/>
    <col min="2309" max="2309" width="3.28515625" customWidth="1"/>
    <col min="2310" max="2310" width="2" customWidth="1"/>
    <col min="2311" max="2311" width="5.5703125" customWidth="1"/>
    <col min="2312" max="2312" width="1.7109375" customWidth="1"/>
    <col min="2313" max="2313" width="1.5703125" customWidth="1"/>
    <col min="2314" max="2314" width="8.5703125" customWidth="1"/>
    <col min="2551" max="2551" width="4.5703125" customWidth="1"/>
    <col min="2552" max="2552" width="6.42578125" customWidth="1"/>
    <col min="2553" max="2553" width="2.7109375" customWidth="1"/>
    <col min="2554" max="2554" width="6.28515625" customWidth="1"/>
    <col min="2555" max="2555" width="6.5703125" customWidth="1"/>
    <col min="2556" max="2556" width="28.5703125" customWidth="1"/>
    <col min="2557" max="2557" width="3.28515625" customWidth="1"/>
    <col min="2558" max="2558" width="1.5703125" customWidth="1"/>
    <col min="2559" max="2559" width="15.140625" customWidth="1"/>
    <col min="2560" max="2560" width="1.5703125" customWidth="1"/>
    <col min="2561" max="2561" width="13.5703125" customWidth="1"/>
    <col min="2562" max="2562" width="1.5703125" customWidth="1"/>
    <col min="2563" max="2563" width="4.7109375" customWidth="1"/>
    <col min="2564" max="2564" width="1.42578125" customWidth="1"/>
    <col min="2565" max="2565" width="3.28515625" customWidth="1"/>
    <col min="2566" max="2566" width="2" customWidth="1"/>
    <col min="2567" max="2567" width="5.5703125" customWidth="1"/>
    <col min="2568" max="2568" width="1.7109375" customWidth="1"/>
    <col min="2569" max="2569" width="1.5703125" customWidth="1"/>
    <col min="2570" max="2570" width="8.5703125" customWidth="1"/>
    <col min="2807" max="2807" width="4.5703125" customWidth="1"/>
    <col min="2808" max="2808" width="6.42578125" customWidth="1"/>
    <col min="2809" max="2809" width="2.7109375" customWidth="1"/>
    <col min="2810" max="2810" width="6.28515625" customWidth="1"/>
    <col min="2811" max="2811" width="6.5703125" customWidth="1"/>
    <col min="2812" max="2812" width="28.5703125" customWidth="1"/>
    <col min="2813" max="2813" width="3.28515625" customWidth="1"/>
    <col min="2814" max="2814" width="1.5703125" customWidth="1"/>
    <col min="2815" max="2815" width="15.140625" customWidth="1"/>
    <col min="2816" max="2816" width="1.5703125" customWidth="1"/>
    <col min="2817" max="2817" width="13.5703125" customWidth="1"/>
    <col min="2818" max="2818" width="1.5703125" customWidth="1"/>
    <col min="2819" max="2819" width="4.7109375" customWidth="1"/>
    <col min="2820" max="2820" width="1.42578125" customWidth="1"/>
    <col min="2821" max="2821" width="3.28515625" customWidth="1"/>
    <col min="2822" max="2822" width="2" customWidth="1"/>
    <col min="2823" max="2823" width="5.5703125" customWidth="1"/>
    <col min="2824" max="2824" width="1.7109375" customWidth="1"/>
    <col min="2825" max="2825" width="1.5703125" customWidth="1"/>
    <col min="2826" max="2826" width="8.5703125" customWidth="1"/>
    <col min="3063" max="3063" width="4.5703125" customWidth="1"/>
    <col min="3064" max="3064" width="6.42578125" customWidth="1"/>
    <col min="3065" max="3065" width="2.7109375" customWidth="1"/>
    <col min="3066" max="3066" width="6.28515625" customWidth="1"/>
    <col min="3067" max="3067" width="6.5703125" customWidth="1"/>
    <col min="3068" max="3068" width="28.5703125" customWidth="1"/>
    <col min="3069" max="3069" width="3.28515625" customWidth="1"/>
    <col min="3070" max="3070" width="1.5703125" customWidth="1"/>
    <col min="3071" max="3071" width="15.140625" customWidth="1"/>
    <col min="3072" max="3072" width="1.5703125" customWidth="1"/>
    <col min="3073" max="3073" width="13.5703125" customWidth="1"/>
    <col min="3074" max="3074" width="1.5703125" customWidth="1"/>
    <col min="3075" max="3075" width="4.7109375" customWidth="1"/>
    <col min="3076" max="3076" width="1.42578125" customWidth="1"/>
    <col min="3077" max="3077" width="3.28515625" customWidth="1"/>
    <col min="3078" max="3078" width="2" customWidth="1"/>
    <col min="3079" max="3079" width="5.5703125" customWidth="1"/>
    <col min="3080" max="3080" width="1.7109375" customWidth="1"/>
    <col min="3081" max="3081" width="1.5703125" customWidth="1"/>
    <col min="3082" max="3082" width="8.5703125" customWidth="1"/>
    <col min="3319" max="3319" width="4.5703125" customWidth="1"/>
    <col min="3320" max="3320" width="6.42578125" customWidth="1"/>
    <col min="3321" max="3321" width="2.7109375" customWidth="1"/>
    <col min="3322" max="3322" width="6.28515625" customWidth="1"/>
    <col min="3323" max="3323" width="6.5703125" customWidth="1"/>
    <col min="3324" max="3324" width="28.5703125" customWidth="1"/>
    <col min="3325" max="3325" width="3.28515625" customWidth="1"/>
    <col min="3326" max="3326" width="1.5703125" customWidth="1"/>
    <col min="3327" max="3327" width="15.140625" customWidth="1"/>
    <col min="3328" max="3328" width="1.5703125" customWidth="1"/>
    <col min="3329" max="3329" width="13.5703125" customWidth="1"/>
    <col min="3330" max="3330" width="1.5703125" customWidth="1"/>
    <col min="3331" max="3331" width="4.7109375" customWidth="1"/>
    <col min="3332" max="3332" width="1.42578125" customWidth="1"/>
    <col min="3333" max="3333" width="3.28515625" customWidth="1"/>
    <col min="3334" max="3334" width="2" customWidth="1"/>
    <col min="3335" max="3335" width="5.5703125" customWidth="1"/>
    <col min="3336" max="3336" width="1.7109375" customWidth="1"/>
    <col min="3337" max="3337" width="1.5703125" customWidth="1"/>
    <col min="3338" max="3338" width="8.5703125" customWidth="1"/>
    <col min="3575" max="3575" width="4.5703125" customWidth="1"/>
    <col min="3576" max="3576" width="6.42578125" customWidth="1"/>
    <col min="3577" max="3577" width="2.7109375" customWidth="1"/>
    <col min="3578" max="3578" width="6.28515625" customWidth="1"/>
    <col min="3579" max="3579" width="6.5703125" customWidth="1"/>
    <col min="3580" max="3580" width="28.5703125" customWidth="1"/>
    <col min="3581" max="3581" width="3.28515625" customWidth="1"/>
    <col min="3582" max="3582" width="1.5703125" customWidth="1"/>
    <col min="3583" max="3583" width="15.140625" customWidth="1"/>
    <col min="3584" max="3584" width="1.5703125" customWidth="1"/>
    <col min="3585" max="3585" width="13.5703125" customWidth="1"/>
    <col min="3586" max="3586" width="1.5703125" customWidth="1"/>
    <col min="3587" max="3587" width="4.7109375" customWidth="1"/>
    <col min="3588" max="3588" width="1.42578125" customWidth="1"/>
    <col min="3589" max="3589" width="3.28515625" customWidth="1"/>
    <col min="3590" max="3590" width="2" customWidth="1"/>
    <col min="3591" max="3591" width="5.5703125" customWidth="1"/>
    <col min="3592" max="3592" width="1.7109375" customWidth="1"/>
    <col min="3593" max="3593" width="1.5703125" customWidth="1"/>
    <col min="3594" max="3594" width="8.5703125" customWidth="1"/>
    <col min="3831" max="3831" width="4.5703125" customWidth="1"/>
    <col min="3832" max="3832" width="6.42578125" customWidth="1"/>
    <col min="3833" max="3833" width="2.7109375" customWidth="1"/>
    <col min="3834" max="3834" width="6.28515625" customWidth="1"/>
    <col min="3835" max="3835" width="6.5703125" customWidth="1"/>
    <col min="3836" max="3836" width="28.5703125" customWidth="1"/>
    <col min="3837" max="3837" width="3.28515625" customWidth="1"/>
    <col min="3838" max="3838" width="1.5703125" customWidth="1"/>
    <col min="3839" max="3839" width="15.140625" customWidth="1"/>
    <col min="3840" max="3840" width="1.5703125" customWidth="1"/>
    <col min="3841" max="3841" width="13.5703125" customWidth="1"/>
    <col min="3842" max="3842" width="1.5703125" customWidth="1"/>
    <col min="3843" max="3843" width="4.7109375" customWidth="1"/>
    <col min="3844" max="3844" width="1.42578125" customWidth="1"/>
    <col min="3845" max="3845" width="3.28515625" customWidth="1"/>
    <col min="3846" max="3846" width="2" customWidth="1"/>
    <col min="3847" max="3847" width="5.5703125" customWidth="1"/>
    <col min="3848" max="3848" width="1.7109375" customWidth="1"/>
    <col min="3849" max="3849" width="1.5703125" customWidth="1"/>
    <col min="3850" max="3850" width="8.5703125" customWidth="1"/>
    <col min="4087" max="4087" width="4.5703125" customWidth="1"/>
    <col min="4088" max="4088" width="6.42578125" customWidth="1"/>
    <col min="4089" max="4089" width="2.7109375" customWidth="1"/>
    <col min="4090" max="4090" width="6.28515625" customWidth="1"/>
    <col min="4091" max="4091" width="6.5703125" customWidth="1"/>
    <col min="4092" max="4092" width="28.5703125" customWidth="1"/>
    <col min="4093" max="4093" width="3.28515625" customWidth="1"/>
    <col min="4094" max="4094" width="1.5703125" customWidth="1"/>
    <col min="4095" max="4095" width="15.140625" customWidth="1"/>
    <col min="4096" max="4096" width="1.5703125" customWidth="1"/>
    <col min="4097" max="4097" width="13.5703125" customWidth="1"/>
    <col min="4098" max="4098" width="1.5703125" customWidth="1"/>
    <col min="4099" max="4099" width="4.7109375" customWidth="1"/>
    <col min="4100" max="4100" width="1.42578125" customWidth="1"/>
    <col min="4101" max="4101" width="3.28515625" customWidth="1"/>
    <col min="4102" max="4102" width="2" customWidth="1"/>
    <col min="4103" max="4103" width="5.5703125" customWidth="1"/>
    <col min="4104" max="4104" width="1.7109375" customWidth="1"/>
    <col min="4105" max="4105" width="1.5703125" customWidth="1"/>
    <col min="4106" max="4106" width="8.5703125" customWidth="1"/>
    <col min="4343" max="4343" width="4.5703125" customWidth="1"/>
    <col min="4344" max="4344" width="6.42578125" customWidth="1"/>
    <col min="4345" max="4345" width="2.7109375" customWidth="1"/>
    <col min="4346" max="4346" width="6.28515625" customWidth="1"/>
    <col min="4347" max="4347" width="6.5703125" customWidth="1"/>
    <col min="4348" max="4348" width="28.5703125" customWidth="1"/>
    <col min="4349" max="4349" width="3.28515625" customWidth="1"/>
    <col min="4350" max="4350" width="1.5703125" customWidth="1"/>
    <col min="4351" max="4351" width="15.140625" customWidth="1"/>
    <col min="4352" max="4352" width="1.5703125" customWidth="1"/>
    <col min="4353" max="4353" width="13.5703125" customWidth="1"/>
    <col min="4354" max="4354" width="1.5703125" customWidth="1"/>
    <col min="4355" max="4355" width="4.7109375" customWidth="1"/>
    <col min="4356" max="4356" width="1.42578125" customWidth="1"/>
    <col min="4357" max="4357" width="3.28515625" customWidth="1"/>
    <col min="4358" max="4358" width="2" customWidth="1"/>
    <col min="4359" max="4359" width="5.5703125" customWidth="1"/>
    <col min="4360" max="4360" width="1.7109375" customWidth="1"/>
    <col min="4361" max="4361" width="1.5703125" customWidth="1"/>
    <col min="4362" max="4362" width="8.5703125" customWidth="1"/>
    <col min="4599" max="4599" width="4.5703125" customWidth="1"/>
    <col min="4600" max="4600" width="6.42578125" customWidth="1"/>
    <col min="4601" max="4601" width="2.7109375" customWidth="1"/>
    <col min="4602" max="4602" width="6.28515625" customWidth="1"/>
    <col min="4603" max="4603" width="6.5703125" customWidth="1"/>
    <col min="4604" max="4604" width="28.5703125" customWidth="1"/>
    <col min="4605" max="4605" width="3.28515625" customWidth="1"/>
    <col min="4606" max="4606" width="1.5703125" customWidth="1"/>
    <col min="4607" max="4607" width="15.140625" customWidth="1"/>
    <col min="4608" max="4608" width="1.5703125" customWidth="1"/>
    <col min="4609" max="4609" width="13.5703125" customWidth="1"/>
    <col min="4610" max="4610" width="1.5703125" customWidth="1"/>
    <col min="4611" max="4611" width="4.7109375" customWidth="1"/>
    <col min="4612" max="4612" width="1.42578125" customWidth="1"/>
    <col min="4613" max="4613" width="3.28515625" customWidth="1"/>
    <col min="4614" max="4614" width="2" customWidth="1"/>
    <col min="4615" max="4615" width="5.5703125" customWidth="1"/>
    <col min="4616" max="4616" width="1.7109375" customWidth="1"/>
    <col min="4617" max="4617" width="1.5703125" customWidth="1"/>
    <col min="4618" max="4618" width="8.5703125" customWidth="1"/>
    <col min="4855" max="4855" width="4.5703125" customWidth="1"/>
    <col min="4856" max="4856" width="6.42578125" customWidth="1"/>
    <col min="4857" max="4857" width="2.7109375" customWidth="1"/>
    <col min="4858" max="4858" width="6.28515625" customWidth="1"/>
    <col min="4859" max="4859" width="6.5703125" customWidth="1"/>
    <col min="4860" max="4860" width="28.5703125" customWidth="1"/>
    <col min="4861" max="4861" width="3.28515625" customWidth="1"/>
    <col min="4862" max="4862" width="1.5703125" customWidth="1"/>
    <col min="4863" max="4863" width="15.140625" customWidth="1"/>
    <col min="4864" max="4864" width="1.5703125" customWidth="1"/>
    <col min="4865" max="4865" width="13.5703125" customWidth="1"/>
    <col min="4866" max="4866" width="1.5703125" customWidth="1"/>
    <col min="4867" max="4867" width="4.7109375" customWidth="1"/>
    <col min="4868" max="4868" width="1.42578125" customWidth="1"/>
    <col min="4869" max="4869" width="3.28515625" customWidth="1"/>
    <col min="4870" max="4870" width="2" customWidth="1"/>
    <col min="4871" max="4871" width="5.5703125" customWidth="1"/>
    <col min="4872" max="4872" width="1.7109375" customWidth="1"/>
    <col min="4873" max="4873" width="1.5703125" customWidth="1"/>
    <col min="4874" max="4874" width="8.5703125" customWidth="1"/>
    <col min="5111" max="5111" width="4.5703125" customWidth="1"/>
    <col min="5112" max="5112" width="6.42578125" customWidth="1"/>
    <col min="5113" max="5113" width="2.7109375" customWidth="1"/>
    <col min="5114" max="5114" width="6.28515625" customWidth="1"/>
    <col min="5115" max="5115" width="6.5703125" customWidth="1"/>
    <col min="5116" max="5116" width="28.5703125" customWidth="1"/>
    <col min="5117" max="5117" width="3.28515625" customWidth="1"/>
    <col min="5118" max="5118" width="1.5703125" customWidth="1"/>
    <col min="5119" max="5119" width="15.140625" customWidth="1"/>
    <col min="5120" max="5120" width="1.5703125" customWidth="1"/>
    <col min="5121" max="5121" width="13.5703125" customWidth="1"/>
    <col min="5122" max="5122" width="1.5703125" customWidth="1"/>
    <col min="5123" max="5123" width="4.7109375" customWidth="1"/>
    <col min="5124" max="5124" width="1.42578125" customWidth="1"/>
    <col min="5125" max="5125" width="3.28515625" customWidth="1"/>
    <col min="5126" max="5126" width="2" customWidth="1"/>
    <col min="5127" max="5127" width="5.5703125" customWidth="1"/>
    <col min="5128" max="5128" width="1.7109375" customWidth="1"/>
    <col min="5129" max="5129" width="1.5703125" customWidth="1"/>
    <col min="5130" max="5130" width="8.5703125" customWidth="1"/>
    <col min="5367" max="5367" width="4.5703125" customWidth="1"/>
    <col min="5368" max="5368" width="6.42578125" customWidth="1"/>
    <col min="5369" max="5369" width="2.7109375" customWidth="1"/>
    <col min="5370" max="5370" width="6.28515625" customWidth="1"/>
    <col min="5371" max="5371" width="6.5703125" customWidth="1"/>
    <col min="5372" max="5372" width="28.5703125" customWidth="1"/>
    <col min="5373" max="5373" width="3.28515625" customWidth="1"/>
    <col min="5374" max="5374" width="1.5703125" customWidth="1"/>
    <col min="5375" max="5375" width="15.140625" customWidth="1"/>
    <col min="5376" max="5376" width="1.5703125" customWidth="1"/>
    <col min="5377" max="5377" width="13.5703125" customWidth="1"/>
    <col min="5378" max="5378" width="1.5703125" customWidth="1"/>
    <col min="5379" max="5379" width="4.7109375" customWidth="1"/>
    <col min="5380" max="5380" width="1.42578125" customWidth="1"/>
    <col min="5381" max="5381" width="3.28515625" customWidth="1"/>
    <col min="5382" max="5382" width="2" customWidth="1"/>
    <col min="5383" max="5383" width="5.5703125" customWidth="1"/>
    <col min="5384" max="5384" width="1.7109375" customWidth="1"/>
    <col min="5385" max="5385" width="1.5703125" customWidth="1"/>
    <col min="5386" max="5386" width="8.5703125" customWidth="1"/>
    <col min="5623" max="5623" width="4.5703125" customWidth="1"/>
    <col min="5624" max="5624" width="6.42578125" customWidth="1"/>
    <col min="5625" max="5625" width="2.7109375" customWidth="1"/>
    <col min="5626" max="5626" width="6.28515625" customWidth="1"/>
    <col min="5627" max="5627" width="6.5703125" customWidth="1"/>
    <col min="5628" max="5628" width="28.5703125" customWidth="1"/>
    <col min="5629" max="5629" width="3.28515625" customWidth="1"/>
    <col min="5630" max="5630" width="1.5703125" customWidth="1"/>
    <col min="5631" max="5631" width="15.140625" customWidth="1"/>
    <col min="5632" max="5632" width="1.5703125" customWidth="1"/>
    <col min="5633" max="5633" width="13.5703125" customWidth="1"/>
    <col min="5634" max="5634" width="1.5703125" customWidth="1"/>
    <col min="5635" max="5635" width="4.7109375" customWidth="1"/>
    <col min="5636" max="5636" width="1.42578125" customWidth="1"/>
    <col min="5637" max="5637" width="3.28515625" customWidth="1"/>
    <col min="5638" max="5638" width="2" customWidth="1"/>
    <col min="5639" max="5639" width="5.5703125" customWidth="1"/>
    <col min="5640" max="5640" width="1.7109375" customWidth="1"/>
    <col min="5641" max="5641" width="1.5703125" customWidth="1"/>
    <col min="5642" max="5642" width="8.5703125" customWidth="1"/>
    <col min="5879" max="5879" width="4.5703125" customWidth="1"/>
    <col min="5880" max="5880" width="6.42578125" customWidth="1"/>
    <col min="5881" max="5881" width="2.7109375" customWidth="1"/>
    <col min="5882" max="5882" width="6.28515625" customWidth="1"/>
    <col min="5883" max="5883" width="6.5703125" customWidth="1"/>
    <col min="5884" max="5884" width="28.5703125" customWidth="1"/>
    <col min="5885" max="5885" width="3.28515625" customWidth="1"/>
    <col min="5886" max="5886" width="1.5703125" customWidth="1"/>
    <col min="5887" max="5887" width="15.140625" customWidth="1"/>
    <col min="5888" max="5888" width="1.5703125" customWidth="1"/>
    <col min="5889" max="5889" width="13.5703125" customWidth="1"/>
    <col min="5890" max="5890" width="1.5703125" customWidth="1"/>
    <col min="5891" max="5891" width="4.7109375" customWidth="1"/>
    <col min="5892" max="5892" width="1.42578125" customWidth="1"/>
    <col min="5893" max="5893" width="3.28515625" customWidth="1"/>
    <col min="5894" max="5894" width="2" customWidth="1"/>
    <col min="5895" max="5895" width="5.5703125" customWidth="1"/>
    <col min="5896" max="5896" width="1.7109375" customWidth="1"/>
    <col min="5897" max="5897" width="1.5703125" customWidth="1"/>
    <col min="5898" max="5898" width="8.5703125" customWidth="1"/>
    <col min="6135" max="6135" width="4.5703125" customWidth="1"/>
    <col min="6136" max="6136" width="6.42578125" customWidth="1"/>
    <col min="6137" max="6137" width="2.7109375" customWidth="1"/>
    <col min="6138" max="6138" width="6.28515625" customWidth="1"/>
    <col min="6139" max="6139" width="6.5703125" customWidth="1"/>
    <col min="6140" max="6140" width="28.5703125" customWidth="1"/>
    <col min="6141" max="6141" width="3.28515625" customWidth="1"/>
    <col min="6142" max="6142" width="1.5703125" customWidth="1"/>
    <col min="6143" max="6143" width="15.140625" customWidth="1"/>
    <col min="6144" max="6144" width="1.5703125" customWidth="1"/>
    <col min="6145" max="6145" width="13.5703125" customWidth="1"/>
    <col min="6146" max="6146" width="1.5703125" customWidth="1"/>
    <col min="6147" max="6147" width="4.7109375" customWidth="1"/>
    <col min="6148" max="6148" width="1.42578125" customWidth="1"/>
    <col min="6149" max="6149" width="3.28515625" customWidth="1"/>
    <col min="6150" max="6150" width="2" customWidth="1"/>
    <col min="6151" max="6151" width="5.5703125" customWidth="1"/>
    <col min="6152" max="6152" width="1.7109375" customWidth="1"/>
    <col min="6153" max="6153" width="1.5703125" customWidth="1"/>
    <col min="6154" max="6154" width="8.5703125" customWidth="1"/>
    <col min="6391" max="6391" width="4.5703125" customWidth="1"/>
    <col min="6392" max="6392" width="6.42578125" customWidth="1"/>
    <col min="6393" max="6393" width="2.7109375" customWidth="1"/>
    <col min="6394" max="6394" width="6.28515625" customWidth="1"/>
    <col min="6395" max="6395" width="6.5703125" customWidth="1"/>
    <col min="6396" max="6396" width="28.5703125" customWidth="1"/>
    <col min="6397" max="6397" width="3.28515625" customWidth="1"/>
    <col min="6398" max="6398" width="1.5703125" customWidth="1"/>
    <col min="6399" max="6399" width="15.140625" customWidth="1"/>
    <col min="6400" max="6400" width="1.5703125" customWidth="1"/>
    <col min="6401" max="6401" width="13.5703125" customWidth="1"/>
    <col min="6402" max="6402" width="1.5703125" customWidth="1"/>
    <col min="6403" max="6403" width="4.7109375" customWidth="1"/>
    <col min="6404" max="6404" width="1.42578125" customWidth="1"/>
    <col min="6405" max="6405" width="3.28515625" customWidth="1"/>
    <col min="6406" max="6406" width="2" customWidth="1"/>
    <col min="6407" max="6407" width="5.5703125" customWidth="1"/>
    <col min="6408" max="6408" width="1.7109375" customWidth="1"/>
    <col min="6409" max="6409" width="1.5703125" customWidth="1"/>
    <col min="6410" max="6410" width="8.5703125" customWidth="1"/>
    <col min="6647" max="6647" width="4.5703125" customWidth="1"/>
    <col min="6648" max="6648" width="6.42578125" customWidth="1"/>
    <col min="6649" max="6649" width="2.7109375" customWidth="1"/>
    <col min="6650" max="6650" width="6.28515625" customWidth="1"/>
    <col min="6651" max="6651" width="6.5703125" customWidth="1"/>
    <col min="6652" max="6652" width="28.5703125" customWidth="1"/>
    <col min="6653" max="6653" width="3.28515625" customWidth="1"/>
    <col min="6654" max="6654" width="1.5703125" customWidth="1"/>
    <col min="6655" max="6655" width="15.140625" customWidth="1"/>
    <col min="6656" max="6656" width="1.5703125" customWidth="1"/>
    <col min="6657" max="6657" width="13.5703125" customWidth="1"/>
    <col min="6658" max="6658" width="1.5703125" customWidth="1"/>
    <col min="6659" max="6659" width="4.7109375" customWidth="1"/>
    <col min="6660" max="6660" width="1.42578125" customWidth="1"/>
    <col min="6661" max="6661" width="3.28515625" customWidth="1"/>
    <col min="6662" max="6662" width="2" customWidth="1"/>
    <col min="6663" max="6663" width="5.5703125" customWidth="1"/>
    <col min="6664" max="6664" width="1.7109375" customWidth="1"/>
    <col min="6665" max="6665" width="1.5703125" customWidth="1"/>
    <col min="6666" max="6666" width="8.5703125" customWidth="1"/>
    <col min="6903" max="6903" width="4.5703125" customWidth="1"/>
    <col min="6904" max="6904" width="6.42578125" customWidth="1"/>
    <col min="6905" max="6905" width="2.7109375" customWidth="1"/>
    <col min="6906" max="6906" width="6.28515625" customWidth="1"/>
    <col min="6907" max="6907" width="6.5703125" customWidth="1"/>
    <col min="6908" max="6908" width="28.5703125" customWidth="1"/>
    <col min="6909" max="6909" width="3.28515625" customWidth="1"/>
    <col min="6910" max="6910" width="1.5703125" customWidth="1"/>
    <col min="6911" max="6911" width="15.140625" customWidth="1"/>
    <col min="6912" max="6912" width="1.5703125" customWidth="1"/>
    <col min="6913" max="6913" width="13.5703125" customWidth="1"/>
    <col min="6914" max="6914" width="1.5703125" customWidth="1"/>
    <col min="6915" max="6915" width="4.7109375" customWidth="1"/>
    <col min="6916" max="6916" width="1.42578125" customWidth="1"/>
    <col min="6917" max="6917" width="3.28515625" customWidth="1"/>
    <col min="6918" max="6918" width="2" customWidth="1"/>
    <col min="6919" max="6919" width="5.5703125" customWidth="1"/>
    <col min="6920" max="6920" width="1.7109375" customWidth="1"/>
    <col min="6921" max="6921" width="1.5703125" customWidth="1"/>
    <col min="6922" max="6922" width="8.5703125" customWidth="1"/>
    <col min="7159" max="7159" width="4.5703125" customWidth="1"/>
    <col min="7160" max="7160" width="6.42578125" customWidth="1"/>
    <col min="7161" max="7161" width="2.7109375" customWidth="1"/>
    <col min="7162" max="7162" width="6.28515625" customWidth="1"/>
    <col min="7163" max="7163" width="6.5703125" customWidth="1"/>
    <col min="7164" max="7164" width="28.5703125" customWidth="1"/>
    <col min="7165" max="7165" width="3.28515625" customWidth="1"/>
    <col min="7166" max="7166" width="1.5703125" customWidth="1"/>
    <col min="7167" max="7167" width="15.140625" customWidth="1"/>
    <col min="7168" max="7168" width="1.5703125" customWidth="1"/>
    <col min="7169" max="7169" width="13.5703125" customWidth="1"/>
    <col min="7170" max="7170" width="1.5703125" customWidth="1"/>
    <col min="7171" max="7171" width="4.7109375" customWidth="1"/>
    <col min="7172" max="7172" width="1.42578125" customWidth="1"/>
    <col min="7173" max="7173" width="3.28515625" customWidth="1"/>
    <col min="7174" max="7174" width="2" customWidth="1"/>
    <col min="7175" max="7175" width="5.5703125" customWidth="1"/>
    <col min="7176" max="7176" width="1.7109375" customWidth="1"/>
    <col min="7177" max="7177" width="1.5703125" customWidth="1"/>
    <col min="7178" max="7178" width="8.5703125" customWidth="1"/>
    <col min="7415" max="7415" width="4.5703125" customWidth="1"/>
    <col min="7416" max="7416" width="6.42578125" customWidth="1"/>
    <col min="7417" max="7417" width="2.7109375" customWidth="1"/>
    <col min="7418" max="7418" width="6.28515625" customWidth="1"/>
    <col min="7419" max="7419" width="6.5703125" customWidth="1"/>
    <col min="7420" max="7420" width="28.5703125" customWidth="1"/>
    <col min="7421" max="7421" width="3.28515625" customWidth="1"/>
    <col min="7422" max="7422" width="1.5703125" customWidth="1"/>
    <col min="7423" max="7423" width="15.140625" customWidth="1"/>
    <col min="7424" max="7424" width="1.5703125" customWidth="1"/>
    <col min="7425" max="7425" width="13.5703125" customWidth="1"/>
    <col min="7426" max="7426" width="1.5703125" customWidth="1"/>
    <col min="7427" max="7427" width="4.7109375" customWidth="1"/>
    <col min="7428" max="7428" width="1.42578125" customWidth="1"/>
    <col min="7429" max="7429" width="3.28515625" customWidth="1"/>
    <col min="7430" max="7430" width="2" customWidth="1"/>
    <col min="7431" max="7431" width="5.5703125" customWidth="1"/>
    <col min="7432" max="7432" width="1.7109375" customWidth="1"/>
    <col min="7433" max="7433" width="1.5703125" customWidth="1"/>
    <col min="7434" max="7434" width="8.5703125" customWidth="1"/>
    <col min="7671" max="7671" width="4.5703125" customWidth="1"/>
    <col min="7672" max="7672" width="6.42578125" customWidth="1"/>
    <col min="7673" max="7673" width="2.7109375" customWidth="1"/>
    <col min="7674" max="7674" width="6.28515625" customWidth="1"/>
    <col min="7675" max="7675" width="6.5703125" customWidth="1"/>
    <col min="7676" max="7676" width="28.5703125" customWidth="1"/>
    <col min="7677" max="7677" width="3.28515625" customWidth="1"/>
    <col min="7678" max="7678" width="1.5703125" customWidth="1"/>
    <col min="7679" max="7679" width="15.140625" customWidth="1"/>
    <col min="7680" max="7680" width="1.5703125" customWidth="1"/>
    <col min="7681" max="7681" width="13.5703125" customWidth="1"/>
    <col min="7682" max="7682" width="1.5703125" customWidth="1"/>
    <col min="7683" max="7683" width="4.7109375" customWidth="1"/>
    <col min="7684" max="7684" width="1.42578125" customWidth="1"/>
    <col min="7685" max="7685" width="3.28515625" customWidth="1"/>
    <col min="7686" max="7686" width="2" customWidth="1"/>
    <col min="7687" max="7687" width="5.5703125" customWidth="1"/>
    <col min="7688" max="7688" width="1.7109375" customWidth="1"/>
    <col min="7689" max="7689" width="1.5703125" customWidth="1"/>
    <col min="7690" max="7690" width="8.5703125" customWidth="1"/>
    <col min="7927" max="7927" width="4.5703125" customWidth="1"/>
    <col min="7928" max="7928" width="6.42578125" customWidth="1"/>
    <col min="7929" max="7929" width="2.7109375" customWidth="1"/>
    <col min="7930" max="7930" width="6.28515625" customWidth="1"/>
    <col min="7931" max="7931" width="6.5703125" customWidth="1"/>
    <col min="7932" max="7932" width="28.5703125" customWidth="1"/>
    <col min="7933" max="7933" width="3.28515625" customWidth="1"/>
    <col min="7934" max="7934" width="1.5703125" customWidth="1"/>
    <col min="7935" max="7935" width="15.140625" customWidth="1"/>
    <col min="7936" max="7936" width="1.5703125" customWidth="1"/>
    <col min="7937" max="7937" width="13.5703125" customWidth="1"/>
    <col min="7938" max="7938" width="1.5703125" customWidth="1"/>
    <col min="7939" max="7939" width="4.7109375" customWidth="1"/>
    <col min="7940" max="7940" width="1.42578125" customWidth="1"/>
    <col min="7941" max="7941" width="3.28515625" customWidth="1"/>
    <col min="7942" max="7942" width="2" customWidth="1"/>
    <col min="7943" max="7943" width="5.5703125" customWidth="1"/>
    <col min="7944" max="7944" width="1.7109375" customWidth="1"/>
    <col min="7945" max="7945" width="1.5703125" customWidth="1"/>
    <col min="7946" max="7946" width="8.5703125" customWidth="1"/>
    <col min="8183" max="8183" width="4.5703125" customWidth="1"/>
    <col min="8184" max="8184" width="6.42578125" customWidth="1"/>
    <col min="8185" max="8185" width="2.7109375" customWidth="1"/>
    <col min="8186" max="8186" width="6.28515625" customWidth="1"/>
    <col min="8187" max="8187" width="6.5703125" customWidth="1"/>
    <col min="8188" max="8188" width="28.5703125" customWidth="1"/>
    <col min="8189" max="8189" width="3.28515625" customWidth="1"/>
    <col min="8190" max="8190" width="1.5703125" customWidth="1"/>
    <col min="8191" max="8191" width="15.140625" customWidth="1"/>
    <col min="8192" max="8192" width="1.5703125" customWidth="1"/>
    <col min="8193" max="8193" width="13.5703125" customWidth="1"/>
    <col min="8194" max="8194" width="1.5703125" customWidth="1"/>
    <col min="8195" max="8195" width="4.7109375" customWidth="1"/>
    <col min="8196" max="8196" width="1.42578125" customWidth="1"/>
    <col min="8197" max="8197" width="3.28515625" customWidth="1"/>
    <col min="8198" max="8198" width="2" customWidth="1"/>
    <col min="8199" max="8199" width="5.5703125" customWidth="1"/>
    <col min="8200" max="8200" width="1.7109375" customWidth="1"/>
    <col min="8201" max="8201" width="1.5703125" customWidth="1"/>
    <col min="8202" max="8202" width="8.5703125" customWidth="1"/>
    <col min="8439" max="8439" width="4.5703125" customWidth="1"/>
    <col min="8440" max="8440" width="6.42578125" customWidth="1"/>
    <col min="8441" max="8441" width="2.7109375" customWidth="1"/>
    <col min="8442" max="8442" width="6.28515625" customWidth="1"/>
    <col min="8443" max="8443" width="6.5703125" customWidth="1"/>
    <col min="8444" max="8444" width="28.5703125" customWidth="1"/>
    <col min="8445" max="8445" width="3.28515625" customWidth="1"/>
    <col min="8446" max="8446" width="1.5703125" customWidth="1"/>
    <col min="8447" max="8447" width="15.140625" customWidth="1"/>
    <col min="8448" max="8448" width="1.5703125" customWidth="1"/>
    <col min="8449" max="8449" width="13.5703125" customWidth="1"/>
    <col min="8450" max="8450" width="1.5703125" customWidth="1"/>
    <col min="8451" max="8451" width="4.7109375" customWidth="1"/>
    <col min="8452" max="8452" width="1.42578125" customWidth="1"/>
    <col min="8453" max="8453" width="3.28515625" customWidth="1"/>
    <col min="8454" max="8454" width="2" customWidth="1"/>
    <col min="8455" max="8455" width="5.5703125" customWidth="1"/>
    <col min="8456" max="8456" width="1.7109375" customWidth="1"/>
    <col min="8457" max="8457" width="1.5703125" customWidth="1"/>
    <col min="8458" max="8458" width="8.5703125" customWidth="1"/>
    <col min="8695" max="8695" width="4.5703125" customWidth="1"/>
    <col min="8696" max="8696" width="6.42578125" customWidth="1"/>
    <col min="8697" max="8697" width="2.7109375" customWidth="1"/>
    <col min="8698" max="8698" width="6.28515625" customWidth="1"/>
    <col min="8699" max="8699" width="6.5703125" customWidth="1"/>
    <col min="8700" max="8700" width="28.5703125" customWidth="1"/>
    <col min="8701" max="8701" width="3.28515625" customWidth="1"/>
    <col min="8702" max="8702" width="1.5703125" customWidth="1"/>
    <col min="8703" max="8703" width="15.140625" customWidth="1"/>
    <col min="8704" max="8704" width="1.5703125" customWidth="1"/>
    <col min="8705" max="8705" width="13.5703125" customWidth="1"/>
    <col min="8706" max="8706" width="1.5703125" customWidth="1"/>
    <col min="8707" max="8707" width="4.7109375" customWidth="1"/>
    <col min="8708" max="8708" width="1.42578125" customWidth="1"/>
    <col min="8709" max="8709" width="3.28515625" customWidth="1"/>
    <col min="8710" max="8710" width="2" customWidth="1"/>
    <col min="8711" max="8711" width="5.5703125" customWidth="1"/>
    <col min="8712" max="8712" width="1.7109375" customWidth="1"/>
    <col min="8713" max="8713" width="1.5703125" customWidth="1"/>
    <col min="8714" max="8714" width="8.5703125" customWidth="1"/>
    <col min="8951" max="8951" width="4.5703125" customWidth="1"/>
    <col min="8952" max="8952" width="6.42578125" customWidth="1"/>
    <col min="8953" max="8953" width="2.7109375" customWidth="1"/>
    <col min="8954" max="8954" width="6.28515625" customWidth="1"/>
    <col min="8955" max="8955" width="6.5703125" customWidth="1"/>
    <col min="8956" max="8956" width="28.5703125" customWidth="1"/>
    <col min="8957" max="8957" width="3.28515625" customWidth="1"/>
    <col min="8958" max="8958" width="1.5703125" customWidth="1"/>
    <col min="8959" max="8959" width="15.140625" customWidth="1"/>
    <col min="8960" max="8960" width="1.5703125" customWidth="1"/>
    <col min="8961" max="8961" width="13.5703125" customWidth="1"/>
    <col min="8962" max="8962" width="1.5703125" customWidth="1"/>
    <col min="8963" max="8963" width="4.7109375" customWidth="1"/>
    <col min="8964" max="8964" width="1.42578125" customWidth="1"/>
    <col min="8965" max="8965" width="3.28515625" customWidth="1"/>
    <col min="8966" max="8966" width="2" customWidth="1"/>
    <col min="8967" max="8967" width="5.5703125" customWidth="1"/>
    <col min="8968" max="8968" width="1.7109375" customWidth="1"/>
    <col min="8969" max="8969" width="1.5703125" customWidth="1"/>
    <col min="8970" max="8970" width="8.5703125" customWidth="1"/>
    <col min="9207" max="9207" width="4.5703125" customWidth="1"/>
    <col min="9208" max="9208" width="6.42578125" customWidth="1"/>
    <col min="9209" max="9209" width="2.7109375" customWidth="1"/>
    <col min="9210" max="9210" width="6.28515625" customWidth="1"/>
    <col min="9211" max="9211" width="6.5703125" customWidth="1"/>
    <col min="9212" max="9212" width="28.5703125" customWidth="1"/>
    <col min="9213" max="9213" width="3.28515625" customWidth="1"/>
    <col min="9214" max="9214" width="1.5703125" customWidth="1"/>
    <col min="9215" max="9215" width="15.140625" customWidth="1"/>
    <col min="9216" max="9216" width="1.5703125" customWidth="1"/>
    <col min="9217" max="9217" width="13.5703125" customWidth="1"/>
    <col min="9218" max="9218" width="1.5703125" customWidth="1"/>
    <col min="9219" max="9219" width="4.7109375" customWidth="1"/>
    <col min="9220" max="9220" width="1.42578125" customWidth="1"/>
    <col min="9221" max="9221" width="3.28515625" customWidth="1"/>
    <col min="9222" max="9222" width="2" customWidth="1"/>
    <col min="9223" max="9223" width="5.5703125" customWidth="1"/>
    <col min="9224" max="9224" width="1.7109375" customWidth="1"/>
    <col min="9225" max="9225" width="1.5703125" customWidth="1"/>
    <col min="9226" max="9226" width="8.5703125" customWidth="1"/>
    <col min="9463" max="9463" width="4.5703125" customWidth="1"/>
    <col min="9464" max="9464" width="6.42578125" customWidth="1"/>
    <col min="9465" max="9465" width="2.7109375" customWidth="1"/>
    <col min="9466" max="9466" width="6.28515625" customWidth="1"/>
    <col min="9467" max="9467" width="6.5703125" customWidth="1"/>
    <col min="9468" max="9468" width="28.5703125" customWidth="1"/>
    <col min="9469" max="9469" width="3.28515625" customWidth="1"/>
    <col min="9470" max="9470" width="1.5703125" customWidth="1"/>
    <col min="9471" max="9471" width="15.140625" customWidth="1"/>
    <col min="9472" max="9472" width="1.5703125" customWidth="1"/>
    <col min="9473" max="9473" width="13.5703125" customWidth="1"/>
    <col min="9474" max="9474" width="1.5703125" customWidth="1"/>
    <col min="9475" max="9475" width="4.7109375" customWidth="1"/>
    <col min="9476" max="9476" width="1.42578125" customWidth="1"/>
    <col min="9477" max="9477" width="3.28515625" customWidth="1"/>
    <col min="9478" max="9478" width="2" customWidth="1"/>
    <col min="9479" max="9479" width="5.5703125" customWidth="1"/>
    <col min="9480" max="9480" width="1.7109375" customWidth="1"/>
    <col min="9481" max="9481" width="1.5703125" customWidth="1"/>
    <col min="9482" max="9482" width="8.5703125" customWidth="1"/>
    <col min="9719" max="9719" width="4.5703125" customWidth="1"/>
    <col min="9720" max="9720" width="6.42578125" customWidth="1"/>
    <col min="9721" max="9721" width="2.7109375" customWidth="1"/>
    <col min="9722" max="9722" width="6.28515625" customWidth="1"/>
    <col min="9723" max="9723" width="6.5703125" customWidth="1"/>
    <col min="9724" max="9724" width="28.5703125" customWidth="1"/>
    <col min="9725" max="9725" width="3.28515625" customWidth="1"/>
    <col min="9726" max="9726" width="1.5703125" customWidth="1"/>
    <col min="9727" max="9727" width="15.140625" customWidth="1"/>
    <col min="9728" max="9728" width="1.5703125" customWidth="1"/>
    <col min="9729" max="9729" width="13.5703125" customWidth="1"/>
    <col min="9730" max="9730" width="1.5703125" customWidth="1"/>
    <col min="9731" max="9731" width="4.7109375" customWidth="1"/>
    <col min="9732" max="9732" width="1.42578125" customWidth="1"/>
    <col min="9733" max="9733" width="3.28515625" customWidth="1"/>
    <col min="9734" max="9734" width="2" customWidth="1"/>
    <col min="9735" max="9735" width="5.5703125" customWidth="1"/>
    <col min="9736" max="9736" width="1.7109375" customWidth="1"/>
    <col min="9737" max="9737" width="1.5703125" customWidth="1"/>
    <col min="9738" max="9738" width="8.5703125" customWidth="1"/>
    <col min="9975" max="9975" width="4.5703125" customWidth="1"/>
    <col min="9976" max="9976" width="6.42578125" customWidth="1"/>
    <col min="9977" max="9977" width="2.7109375" customWidth="1"/>
    <col min="9978" max="9978" width="6.28515625" customWidth="1"/>
    <col min="9979" max="9979" width="6.5703125" customWidth="1"/>
    <col min="9980" max="9980" width="28.5703125" customWidth="1"/>
    <col min="9981" max="9981" width="3.28515625" customWidth="1"/>
    <col min="9982" max="9982" width="1.5703125" customWidth="1"/>
    <col min="9983" max="9983" width="15.140625" customWidth="1"/>
    <col min="9984" max="9984" width="1.5703125" customWidth="1"/>
    <col min="9985" max="9985" width="13.5703125" customWidth="1"/>
    <col min="9986" max="9986" width="1.5703125" customWidth="1"/>
    <col min="9987" max="9987" width="4.7109375" customWidth="1"/>
    <col min="9988" max="9988" width="1.42578125" customWidth="1"/>
    <col min="9989" max="9989" width="3.28515625" customWidth="1"/>
    <col min="9990" max="9990" width="2" customWidth="1"/>
    <col min="9991" max="9991" width="5.5703125" customWidth="1"/>
    <col min="9992" max="9992" width="1.7109375" customWidth="1"/>
    <col min="9993" max="9993" width="1.5703125" customWidth="1"/>
    <col min="9994" max="9994" width="8.5703125" customWidth="1"/>
    <col min="10231" max="10231" width="4.5703125" customWidth="1"/>
    <col min="10232" max="10232" width="6.42578125" customWidth="1"/>
    <col min="10233" max="10233" width="2.7109375" customWidth="1"/>
    <col min="10234" max="10234" width="6.28515625" customWidth="1"/>
    <col min="10235" max="10235" width="6.5703125" customWidth="1"/>
    <col min="10236" max="10236" width="28.5703125" customWidth="1"/>
    <col min="10237" max="10237" width="3.28515625" customWidth="1"/>
    <col min="10238" max="10238" width="1.5703125" customWidth="1"/>
    <col min="10239" max="10239" width="15.140625" customWidth="1"/>
    <col min="10240" max="10240" width="1.5703125" customWidth="1"/>
    <col min="10241" max="10241" width="13.5703125" customWidth="1"/>
    <col min="10242" max="10242" width="1.5703125" customWidth="1"/>
    <col min="10243" max="10243" width="4.7109375" customWidth="1"/>
    <col min="10244" max="10244" width="1.42578125" customWidth="1"/>
    <col min="10245" max="10245" width="3.28515625" customWidth="1"/>
    <col min="10246" max="10246" width="2" customWidth="1"/>
    <col min="10247" max="10247" width="5.5703125" customWidth="1"/>
    <col min="10248" max="10248" width="1.7109375" customWidth="1"/>
    <col min="10249" max="10249" width="1.5703125" customWidth="1"/>
    <col min="10250" max="10250" width="8.5703125" customWidth="1"/>
    <col min="10487" max="10487" width="4.5703125" customWidth="1"/>
    <col min="10488" max="10488" width="6.42578125" customWidth="1"/>
    <col min="10489" max="10489" width="2.7109375" customWidth="1"/>
    <col min="10490" max="10490" width="6.28515625" customWidth="1"/>
    <col min="10491" max="10491" width="6.5703125" customWidth="1"/>
    <col min="10492" max="10492" width="28.5703125" customWidth="1"/>
    <col min="10493" max="10493" width="3.28515625" customWidth="1"/>
    <col min="10494" max="10494" width="1.5703125" customWidth="1"/>
    <col min="10495" max="10495" width="15.140625" customWidth="1"/>
    <col min="10496" max="10496" width="1.5703125" customWidth="1"/>
    <col min="10497" max="10497" width="13.5703125" customWidth="1"/>
    <col min="10498" max="10498" width="1.5703125" customWidth="1"/>
    <col min="10499" max="10499" width="4.7109375" customWidth="1"/>
    <col min="10500" max="10500" width="1.42578125" customWidth="1"/>
    <col min="10501" max="10501" width="3.28515625" customWidth="1"/>
    <col min="10502" max="10502" width="2" customWidth="1"/>
    <col min="10503" max="10503" width="5.5703125" customWidth="1"/>
    <col min="10504" max="10504" width="1.7109375" customWidth="1"/>
    <col min="10505" max="10505" width="1.5703125" customWidth="1"/>
    <col min="10506" max="10506" width="8.5703125" customWidth="1"/>
    <col min="10743" max="10743" width="4.5703125" customWidth="1"/>
    <col min="10744" max="10744" width="6.42578125" customWidth="1"/>
    <col min="10745" max="10745" width="2.7109375" customWidth="1"/>
    <col min="10746" max="10746" width="6.28515625" customWidth="1"/>
    <col min="10747" max="10747" width="6.5703125" customWidth="1"/>
    <col min="10748" max="10748" width="28.5703125" customWidth="1"/>
    <col min="10749" max="10749" width="3.28515625" customWidth="1"/>
    <col min="10750" max="10750" width="1.5703125" customWidth="1"/>
    <col min="10751" max="10751" width="15.140625" customWidth="1"/>
    <col min="10752" max="10752" width="1.5703125" customWidth="1"/>
    <col min="10753" max="10753" width="13.5703125" customWidth="1"/>
    <col min="10754" max="10754" width="1.5703125" customWidth="1"/>
    <col min="10755" max="10755" width="4.7109375" customWidth="1"/>
    <col min="10756" max="10756" width="1.42578125" customWidth="1"/>
    <col min="10757" max="10757" width="3.28515625" customWidth="1"/>
    <col min="10758" max="10758" width="2" customWidth="1"/>
    <col min="10759" max="10759" width="5.5703125" customWidth="1"/>
    <col min="10760" max="10760" width="1.7109375" customWidth="1"/>
    <col min="10761" max="10761" width="1.5703125" customWidth="1"/>
    <col min="10762" max="10762" width="8.5703125" customWidth="1"/>
    <col min="10999" max="10999" width="4.5703125" customWidth="1"/>
    <col min="11000" max="11000" width="6.42578125" customWidth="1"/>
    <col min="11001" max="11001" width="2.7109375" customWidth="1"/>
    <col min="11002" max="11002" width="6.28515625" customWidth="1"/>
    <col min="11003" max="11003" width="6.5703125" customWidth="1"/>
    <col min="11004" max="11004" width="28.5703125" customWidth="1"/>
    <col min="11005" max="11005" width="3.28515625" customWidth="1"/>
    <col min="11006" max="11006" width="1.5703125" customWidth="1"/>
    <col min="11007" max="11007" width="15.140625" customWidth="1"/>
    <col min="11008" max="11008" width="1.5703125" customWidth="1"/>
    <col min="11009" max="11009" width="13.5703125" customWidth="1"/>
    <col min="11010" max="11010" width="1.5703125" customWidth="1"/>
    <col min="11011" max="11011" width="4.7109375" customWidth="1"/>
    <col min="11012" max="11012" width="1.42578125" customWidth="1"/>
    <col min="11013" max="11013" width="3.28515625" customWidth="1"/>
    <col min="11014" max="11014" width="2" customWidth="1"/>
    <col min="11015" max="11015" width="5.5703125" customWidth="1"/>
    <col min="11016" max="11016" width="1.7109375" customWidth="1"/>
    <col min="11017" max="11017" width="1.5703125" customWidth="1"/>
    <col min="11018" max="11018" width="8.5703125" customWidth="1"/>
    <col min="11255" max="11255" width="4.5703125" customWidth="1"/>
    <col min="11256" max="11256" width="6.42578125" customWidth="1"/>
    <col min="11257" max="11257" width="2.7109375" customWidth="1"/>
    <col min="11258" max="11258" width="6.28515625" customWidth="1"/>
    <col min="11259" max="11259" width="6.5703125" customWidth="1"/>
    <col min="11260" max="11260" width="28.5703125" customWidth="1"/>
    <col min="11261" max="11261" width="3.28515625" customWidth="1"/>
    <col min="11262" max="11262" width="1.5703125" customWidth="1"/>
    <col min="11263" max="11263" width="15.140625" customWidth="1"/>
    <col min="11264" max="11264" width="1.5703125" customWidth="1"/>
    <col min="11265" max="11265" width="13.5703125" customWidth="1"/>
    <col min="11266" max="11266" width="1.5703125" customWidth="1"/>
    <col min="11267" max="11267" width="4.7109375" customWidth="1"/>
    <col min="11268" max="11268" width="1.42578125" customWidth="1"/>
    <col min="11269" max="11269" width="3.28515625" customWidth="1"/>
    <col min="11270" max="11270" width="2" customWidth="1"/>
    <col min="11271" max="11271" width="5.5703125" customWidth="1"/>
    <col min="11272" max="11272" width="1.7109375" customWidth="1"/>
    <col min="11273" max="11273" width="1.5703125" customWidth="1"/>
    <col min="11274" max="11274" width="8.5703125" customWidth="1"/>
    <col min="11511" max="11511" width="4.5703125" customWidth="1"/>
    <col min="11512" max="11512" width="6.42578125" customWidth="1"/>
    <col min="11513" max="11513" width="2.7109375" customWidth="1"/>
    <col min="11514" max="11514" width="6.28515625" customWidth="1"/>
    <col min="11515" max="11515" width="6.5703125" customWidth="1"/>
    <col min="11516" max="11516" width="28.5703125" customWidth="1"/>
    <col min="11517" max="11517" width="3.28515625" customWidth="1"/>
    <col min="11518" max="11518" width="1.5703125" customWidth="1"/>
    <col min="11519" max="11519" width="15.140625" customWidth="1"/>
    <col min="11520" max="11520" width="1.5703125" customWidth="1"/>
    <col min="11521" max="11521" width="13.5703125" customWidth="1"/>
    <col min="11522" max="11522" width="1.5703125" customWidth="1"/>
    <col min="11523" max="11523" width="4.7109375" customWidth="1"/>
    <col min="11524" max="11524" width="1.42578125" customWidth="1"/>
    <col min="11525" max="11525" width="3.28515625" customWidth="1"/>
    <col min="11526" max="11526" width="2" customWidth="1"/>
    <col min="11527" max="11527" width="5.5703125" customWidth="1"/>
    <col min="11528" max="11528" width="1.7109375" customWidth="1"/>
    <col min="11529" max="11529" width="1.5703125" customWidth="1"/>
    <col min="11530" max="11530" width="8.5703125" customWidth="1"/>
    <col min="11767" max="11767" width="4.5703125" customWidth="1"/>
    <col min="11768" max="11768" width="6.42578125" customWidth="1"/>
    <col min="11769" max="11769" width="2.7109375" customWidth="1"/>
    <col min="11770" max="11770" width="6.28515625" customWidth="1"/>
    <col min="11771" max="11771" width="6.5703125" customWidth="1"/>
    <col min="11772" max="11772" width="28.5703125" customWidth="1"/>
    <col min="11773" max="11773" width="3.28515625" customWidth="1"/>
    <col min="11774" max="11774" width="1.5703125" customWidth="1"/>
    <col min="11775" max="11775" width="15.140625" customWidth="1"/>
    <col min="11776" max="11776" width="1.5703125" customWidth="1"/>
    <col min="11777" max="11777" width="13.5703125" customWidth="1"/>
    <col min="11778" max="11778" width="1.5703125" customWidth="1"/>
    <col min="11779" max="11779" width="4.7109375" customWidth="1"/>
    <col min="11780" max="11780" width="1.42578125" customWidth="1"/>
    <col min="11781" max="11781" width="3.28515625" customWidth="1"/>
    <col min="11782" max="11782" width="2" customWidth="1"/>
    <col min="11783" max="11783" width="5.5703125" customWidth="1"/>
    <col min="11784" max="11784" width="1.7109375" customWidth="1"/>
    <col min="11785" max="11785" width="1.5703125" customWidth="1"/>
    <col min="11786" max="11786" width="8.5703125" customWidth="1"/>
    <col min="12023" max="12023" width="4.5703125" customWidth="1"/>
    <col min="12024" max="12024" width="6.42578125" customWidth="1"/>
    <col min="12025" max="12025" width="2.7109375" customWidth="1"/>
    <col min="12026" max="12026" width="6.28515625" customWidth="1"/>
    <col min="12027" max="12027" width="6.5703125" customWidth="1"/>
    <col min="12028" max="12028" width="28.5703125" customWidth="1"/>
    <col min="12029" max="12029" width="3.28515625" customWidth="1"/>
    <col min="12030" max="12030" width="1.5703125" customWidth="1"/>
    <col min="12031" max="12031" width="15.140625" customWidth="1"/>
    <col min="12032" max="12032" width="1.5703125" customWidth="1"/>
    <col min="12033" max="12033" width="13.5703125" customWidth="1"/>
    <col min="12034" max="12034" width="1.5703125" customWidth="1"/>
    <col min="12035" max="12035" width="4.7109375" customWidth="1"/>
    <col min="12036" max="12036" width="1.42578125" customWidth="1"/>
    <col min="12037" max="12037" width="3.28515625" customWidth="1"/>
    <col min="12038" max="12038" width="2" customWidth="1"/>
    <col min="12039" max="12039" width="5.5703125" customWidth="1"/>
    <col min="12040" max="12040" width="1.7109375" customWidth="1"/>
    <col min="12041" max="12041" width="1.5703125" customWidth="1"/>
    <col min="12042" max="12042" width="8.5703125" customWidth="1"/>
    <col min="12279" max="12279" width="4.5703125" customWidth="1"/>
    <col min="12280" max="12280" width="6.42578125" customWidth="1"/>
    <col min="12281" max="12281" width="2.7109375" customWidth="1"/>
    <col min="12282" max="12282" width="6.28515625" customWidth="1"/>
    <col min="12283" max="12283" width="6.5703125" customWidth="1"/>
    <col min="12284" max="12284" width="28.5703125" customWidth="1"/>
    <col min="12285" max="12285" width="3.28515625" customWidth="1"/>
    <col min="12286" max="12286" width="1.5703125" customWidth="1"/>
    <col min="12287" max="12287" width="15.140625" customWidth="1"/>
    <col min="12288" max="12288" width="1.5703125" customWidth="1"/>
    <col min="12289" max="12289" width="13.5703125" customWidth="1"/>
    <col min="12290" max="12290" width="1.5703125" customWidth="1"/>
    <col min="12291" max="12291" width="4.7109375" customWidth="1"/>
    <col min="12292" max="12292" width="1.42578125" customWidth="1"/>
    <col min="12293" max="12293" width="3.28515625" customWidth="1"/>
    <col min="12294" max="12294" width="2" customWidth="1"/>
    <col min="12295" max="12295" width="5.5703125" customWidth="1"/>
    <col min="12296" max="12296" width="1.7109375" customWidth="1"/>
    <col min="12297" max="12297" width="1.5703125" customWidth="1"/>
    <col min="12298" max="12298" width="8.5703125" customWidth="1"/>
    <col min="12535" max="12535" width="4.5703125" customWidth="1"/>
    <col min="12536" max="12536" width="6.42578125" customWidth="1"/>
    <col min="12537" max="12537" width="2.7109375" customWidth="1"/>
    <col min="12538" max="12538" width="6.28515625" customWidth="1"/>
    <col min="12539" max="12539" width="6.5703125" customWidth="1"/>
    <col min="12540" max="12540" width="28.5703125" customWidth="1"/>
    <col min="12541" max="12541" width="3.28515625" customWidth="1"/>
    <col min="12542" max="12542" width="1.5703125" customWidth="1"/>
    <col min="12543" max="12543" width="15.140625" customWidth="1"/>
    <col min="12544" max="12544" width="1.5703125" customWidth="1"/>
    <col min="12545" max="12545" width="13.5703125" customWidth="1"/>
    <col min="12546" max="12546" width="1.5703125" customWidth="1"/>
    <col min="12547" max="12547" width="4.7109375" customWidth="1"/>
    <col min="12548" max="12548" width="1.42578125" customWidth="1"/>
    <col min="12549" max="12549" width="3.28515625" customWidth="1"/>
    <col min="12550" max="12550" width="2" customWidth="1"/>
    <col min="12551" max="12551" width="5.5703125" customWidth="1"/>
    <col min="12552" max="12552" width="1.7109375" customWidth="1"/>
    <col min="12553" max="12553" width="1.5703125" customWidth="1"/>
    <col min="12554" max="12554" width="8.5703125" customWidth="1"/>
    <col min="12791" max="12791" width="4.5703125" customWidth="1"/>
    <col min="12792" max="12792" width="6.42578125" customWidth="1"/>
    <col min="12793" max="12793" width="2.7109375" customWidth="1"/>
    <col min="12794" max="12794" width="6.28515625" customWidth="1"/>
    <col min="12795" max="12795" width="6.5703125" customWidth="1"/>
    <col min="12796" max="12796" width="28.5703125" customWidth="1"/>
    <col min="12797" max="12797" width="3.28515625" customWidth="1"/>
    <col min="12798" max="12798" width="1.5703125" customWidth="1"/>
    <col min="12799" max="12799" width="15.140625" customWidth="1"/>
    <col min="12800" max="12800" width="1.5703125" customWidth="1"/>
    <col min="12801" max="12801" width="13.5703125" customWidth="1"/>
    <col min="12802" max="12802" width="1.5703125" customWidth="1"/>
    <col min="12803" max="12803" width="4.7109375" customWidth="1"/>
    <col min="12804" max="12804" width="1.42578125" customWidth="1"/>
    <col min="12805" max="12805" width="3.28515625" customWidth="1"/>
    <col min="12806" max="12806" width="2" customWidth="1"/>
    <col min="12807" max="12807" width="5.5703125" customWidth="1"/>
    <col min="12808" max="12808" width="1.7109375" customWidth="1"/>
    <col min="12809" max="12809" width="1.5703125" customWidth="1"/>
    <col min="12810" max="12810" width="8.5703125" customWidth="1"/>
    <col min="13047" max="13047" width="4.5703125" customWidth="1"/>
    <col min="13048" max="13048" width="6.42578125" customWidth="1"/>
    <col min="13049" max="13049" width="2.7109375" customWidth="1"/>
    <col min="13050" max="13050" width="6.28515625" customWidth="1"/>
    <col min="13051" max="13051" width="6.5703125" customWidth="1"/>
    <col min="13052" max="13052" width="28.5703125" customWidth="1"/>
    <col min="13053" max="13053" width="3.28515625" customWidth="1"/>
    <col min="13054" max="13054" width="1.5703125" customWidth="1"/>
    <col min="13055" max="13055" width="15.140625" customWidth="1"/>
    <col min="13056" max="13056" width="1.5703125" customWidth="1"/>
    <col min="13057" max="13057" width="13.5703125" customWidth="1"/>
    <col min="13058" max="13058" width="1.5703125" customWidth="1"/>
    <col min="13059" max="13059" width="4.7109375" customWidth="1"/>
    <col min="13060" max="13060" width="1.42578125" customWidth="1"/>
    <col min="13061" max="13061" width="3.28515625" customWidth="1"/>
    <col min="13062" max="13062" width="2" customWidth="1"/>
    <col min="13063" max="13063" width="5.5703125" customWidth="1"/>
    <col min="13064" max="13064" width="1.7109375" customWidth="1"/>
    <col min="13065" max="13065" width="1.5703125" customWidth="1"/>
    <col min="13066" max="13066" width="8.5703125" customWidth="1"/>
    <col min="13303" max="13303" width="4.5703125" customWidth="1"/>
    <col min="13304" max="13304" width="6.42578125" customWidth="1"/>
    <col min="13305" max="13305" width="2.7109375" customWidth="1"/>
    <col min="13306" max="13306" width="6.28515625" customWidth="1"/>
    <col min="13307" max="13307" width="6.5703125" customWidth="1"/>
    <col min="13308" max="13308" width="28.5703125" customWidth="1"/>
    <col min="13309" max="13309" width="3.28515625" customWidth="1"/>
    <col min="13310" max="13310" width="1.5703125" customWidth="1"/>
    <col min="13311" max="13311" width="15.140625" customWidth="1"/>
    <col min="13312" max="13312" width="1.5703125" customWidth="1"/>
    <col min="13313" max="13313" width="13.5703125" customWidth="1"/>
    <col min="13314" max="13314" width="1.5703125" customWidth="1"/>
    <col min="13315" max="13315" width="4.7109375" customWidth="1"/>
    <col min="13316" max="13316" width="1.42578125" customWidth="1"/>
    <col min="13317" max="13317" width="3.28515625" customWidth="1"/>
    <col min="13318" max="13318" width="2" customWidth="1"/>
    <col min="13319" max="13319" width="5.5703125" customWidth="1"/>
    <col min="13320" max="13320" width="1.7109375" customWidth="1"/>
    <col min="13321" max="13321" width="1.5703125" customWidth="1"/>
    <col min="13322" max="13322" width="8.5703125" customWidth="1"/>
    <col min="13559" max="13559" width="4.5703125" customWidth="1"/>
    <col min="13560" max="13560" width="6.42578125" customWidth="1"/>
    <col min="13561" max="13561" width="2.7109375" customWidth="1"/>
    <col min="13562" max="13562" width="6.28515625" customWidth="1"/>
    <col min="13563" max="13563" width="6.5703125" customWidth="1"/>
    <col min="13564" max="13564" width="28.5703125" customWidth="1"/>
    <col min="13565" max="13565" width="3.28515625" customWidth="1"/>
    <col min="13566" max="13566" width="1.5703125" customWidth="1"/>
    <col min="13567" max="13567" width="15.140625" customWidth="1"/>
    <col min="13568" max="13568" width="1.5703125" customWidth="1"/>
    <col min="13569" max="13569" width="13.5703125" customWidth="1"/>
    <col min="13570" max="13570" width="1.5703125" customWidth="1"/>
    <col min="13571" max="13571" width="4.7109375" customWidth="1"/>
    <col min="13572" max="13572" width="1.42578125" customWidth="1"/>
    <col min="13573" max="13573" width="3.28515625" customWidth="1"/>
    <col min="13574" max="13574" width="2" customWidth="1"/>
    <col min="13575" max="13575" width="5.5703125" customWidth="1"/>
    <col min="13576" max="13576" width="1.7109375" customWidth="1"/>
    <col min="13577" max="13577" width="1.5703125" customWidth="1"/>
    <col min="13578" max="13578" width="8.5703125" customWidth="1"/>
    <col min="13815" max="13815" width="4.5703125" customWidth="1"/>
    <col min="13816" max="13816" width="6.42578125" customWidth="1"/>
    <col min="13817" max="13817" width="2.7109375" customWidth="1"/>
    <col min="13818" max="13818" width="6.28515625" customWidth="1"/>
    <col min="13819" max="13819" width="6.5703125" customWidth="1"/>
    <col min="13820" max="13820" width="28.5703125" customWidth="1"/>
    <col min="13821" max="13821" width="3.28515625" customWidth="1"/>
    <col min="13822" max="13822" width="1.5703125" customWidth="1"/>
    <col min="13823" max="13823" width="15.140625" customWidth="1"/>
    <col min="13824" max="13824" width="1.5703125" customWidth="1"/>
    <col min="13825" max="13825" width="13.5703125" customWidth="1"/>
    <col min="13826" max="13826" width="1.5703125" customWidth="1"/>
    <col min="13827" max="13827" width="4.7109375" customWidth="1"/>
    <col min="13828" max="13828" width="1.42578125" customWidth="1"/>
    <col min="13829" max="13829" width="3.28515625" customWidth="1"/>
    <col min="13830" max="13830" width="2" customWidth="1"/>
    <col min="13831" max="13831" width="5.5703125" customWidth="1"/>
    <col min="13832" max="13832" width="1.7109375" customWidth="1"/>
    <col min="13833" max="13833" width="1.5703125" customWidth="1"/>
    <col min="13834" max="13834" width="8.5703125" customWidth="1"/>
    <col min="14071" max="14071" width="4.5703125" customWidth="1"/>
    <col min="14072" max="14072" width="6.42578125" customWidth="1"/>
    <col min="14073" max="14073" width="2.7109375" customWidth="1"/>
    <col min="14074" max="14074" width="6.28515625" customWidth="1"/>
    <col min="14075" max="14075" width="6.5703125" customWidth="1"/>
    <col min="14076" max="14076" width="28.5703125" customWidth="1"/>
    <col min="14077" max="14077" width="3.28515625" customWidth="1"/>
    <col min="14078" max="14078" width="1.5703125" customWidth="1"/>
    <col min="14079" max="14079" width="15.140625" customWidth="1"/>
    <col min="14080" max="14080" width="1.5703125" customWidth="1"/>
    <col min="14081" max="14081" width="13.5703125" customWidth="1"/>
    <col min="14082" max="14082" width="1.5703125" customWidth="1"/>
    <col min="14083" max="14083" width="4.7109375" customWidth="1"/>
    <col min="14084" max="14084" width="1.42578125" customWidth="1"/>
    <col min="14085" max="14085" width="3.28515625" customWidth="1"/>
    <col min="14086" max="14086" width="2" customWidth="1"/>
    <col min="14087" max="14087" width="5.5703125" customWidth="1"/>
    <col min="14088" max="14088" width="1.7109375" customWidth="1"/>
    <col min="14089" max="14089" width="1.5703125" customWidth="1"/>
    <col min="14090" max="14090" width="8.5703125" customWidth="1"/>
    <col min="14327" max="14327" width="4.5703125" customWidth="1"/>
    <col min="14328" max="14328" width="6.42578125" customWidth="1"/>
    <col min="14329" max="14329" width="2.7109375" customWidth="1"/>
    <col min="14330" max="14330" width="6.28515625" customWidth="1"/>
    <col min="14331" max="14331" width="6.5703125" customWidth="1"/>
    <col min="14332" max="14332" width="28.5703125" customWidth="1"/>
    <col min="14333" max="14333" width="3.28515625" customWidth="1"/>
    <col min="14334" max="14334" width="1.5703125" customWidth="1"/>
    <col min="14335" max="14335" width="15.140625" customWidth="1"/>
    <col min="14336" max="14336" width="1.5703125" customWidth="1"/>
    <col min="14337" max="14337" width="13.5703125" customWidth="1"/>
    <col min="14338" max="14338" width="1.5703125" customWidth="1"/>
    <col min="14339" max="14339" width="4.7109375" customWidth="1"/>
    <col min="14340" max="14340" width="1.42578125" customWidth="1"/>
    <col min="14341" max="14341" width="3.28515625" customWidth="1"/>
    <col min="14342" max="14342" width="2" customWidth="1"/>
    <col min="14343" max="14343" width="5.5703125" customWidth="1"/>
    <col min="14344" max="14344" width="1.7109375" customWidth="1"/>
    <col min="14345" max="14345" width="1.5703125" customWidth="1"/>
    <col min="14346" max="14346" width="8.5703125" customWidth="1"/>
    <col min="14583" max="14583" width="4.5703125" customWidth="1"/>
    <col min="14584" max="14584" width="6.42578125" customWidth="1"/>
    <col min="14585" max="14585" width="2.7109375" customWidth="1"/>
    <col min="14586" max="14586" width="6.28515625" customWidth="1"/>
    <col min="14587" max="14587" width="6.5703125" customWidth="1"/>
    <col min="14588" max="14588" width="28.5703125" customWidth="1"/>
    <col min="14589" max="14589" width="3.28515625" customWidth="1"/>
    <col min="14590" max="14590" width="1.5703125" customWidth="1"/>
    <col min="14591" max="14591" width="15.140625" customWidth="1"/>
    <col min="14592" max="14592" width="1.5703125" customWidth="1"/>
    <col min="14593" max="14593" width="13.5703125" customWidth="1"/>
    <col min="14594" max="14594" width="1.5703125" customWidth="1"/>
    <col min="14595" max="14595" width="4.7109375" customWidth="1"/>
    <col min="14596" max="14596" width="1.42578125" customWidth="1"/>
    <col min="14597" max="14597" width="3.28515625" customWidth="1"/>
    <col min="14598" max="14598" width="2" customWidth="1"/>
    <col min="14599" max="14599" width="5.5703125" customWidth="1"/>
    <col min="14600" max="14600" width="1.7109375" customWidth="1"/>
    <col min="14601" max="14601" width="1.5703125" customWidth="1"/>
    <col min="14602" max="14602" width="8.5703125" customWidth="1"/>
    <col min="14839" max="14839" width="4.5703125" customWidth="1"/>
    <col min="14840" max="14840" width="6.42578125" customWidth="1"/>
    <col min="14841" max="14841" width="2.7109375" customWidth="1"/>
    <col min="14842" max="14842" width="6.28515625" customWidth="1"/>
    <col min="14843" max="14843" width="6.5703125" customWidth="1"/>
    <col min="14844" max="14844" width="28.5703125" customWidth="1"/>
    <col min="14845" max="14845" width="3.28515625" customWidth="1"/>
    <col min="14846" max="14846" width="1.5703125" customWidth="1"/>
    <col min="14847" max="14847" width="15.140625" customWidth="1"/>
    <col min="14848" max="14848" width="1.5703125" customWidth="1"/>
    <col min="14849" max="14849" width="13.5703125" customWidth="1"/>
    <col min="14850" max="14850" width="1.5703125" customWidth="1"/>
    <col min="14851" max="14851" width="4.7109375" customWidth="1"/>
    <col min="14852" max="14852" width="1.42578125" customWidth="1"/>
    <col min="14853" max="14853" width="3.28515625" customWidth="1"/>
    <col min="14854" max="14854" width="2" customWidth="1"/>
    <col min="14855" max="14855" width="5.5703125" customWidth="1"/>
    <col min="14856" max="14856" width="1.7109375" customWidth="1"/>
    <col min="14857" max="14857" width="1.5703125" customWidth="1"/>
    <col min="14858" max="14858" width="8.5703125" customWidth="1"/>
    <col min="15095" max="15095" width="4.5703125" customWidth="1"/>
    <col min="15096" max="15096" width="6.42578125" customWidth="1"/>
    <col min="15097" max="15097" width="2.7109375" customWidth="1"/>
    <col min="15098" max="15098" width="6.28515625" customWidth="1"/>
    <col min="15099" max="15099" width="6.5703125" customWidth="1"/>
    <col min="15100" max="15100" width="28.5703125" customWidth="1"/>
    <col min="15101" max="15101" width="3.28515625" customWidth="1"/>
    <col min="15102" max="15102" width="1.5703125" customWidth="1"/>
    <col min="15103" max="15103" width="15.140625" customWidth="1"/>
    <col min="15104" max="15104" width="1.5703125" customWidth="1"/>
    <col min="15105" max="15105" width="13.5703125" customWidth="1"/>
    <col min="15106" max="15106" width="1.5703125" customWidth="1"/>
    <col min="15107" max="15107" width="4.7109375" customWidth="1"/>
    <col min="15108" max="15108" width="1.42578125" customWidth="1"/>
    <col min="15109" max="15109" width="3.28515625" customWidth="1"/>
    <col min="15110" max="15110" width="2" customWidth="1"/>
    <col min="15111" max="15111" width="5.5703125" customWidth="1"/>
    <col min="15112" max="15112" width="1.7109375" customWidth="1"/>
    <col min="15113" max="15113" width="1.5703125" customWidth="1"/>
    <col min="15114" max="15114" width="8.5703125" customWidth="1"/>
    <col min="15351" max="15351" width="4.5703125" customWidth="1"/>
    <col min="15352" max="15352" width="6.42578125" customWidth="1"/>
    <col min="15353" max="15353" width="2.7109375" customWidth="1"/>
    <col min="15354" max="15354" width="6.28515625" customWidth="1"/>
    <col min="15355" max="15355" width="6.5703125" customWidth="1"/>
    <col min="15356" max="15356" width="28.5703125" customWidth="1"/>
    <col min="15357" max="15357" width="3.28515625" customWidth="1"/>
    <col min="15358" max="15358" width="1.5703125" customWidth="1"/>
    <col min="15359" max="15359" width="15.140625" customWidth="1"/>
    <col min="15360" max="15360" width="1.5703125" customWidth="1"/>
    <col min="15361" max="15361" width="13.5703125" customWidth="1"/>
    <col min="15362" max="15362" width="1.5703125" customWidth="1"/>
    <col min="15363" max="15363" width="4.7109375" customWidth="1"/>
    <col min="15364" max="15364" width="1.42578125" customWidth="1"/>
    <col min="15365" max="15365" width="3.28515625" customWidth="1"/>
    <col min="15366" max="15366" width="2" customWidth="1"/>
    <col min="15367" max="15367" width="5.5703125" customWidth="1"/>
    <col min="15368" max="15368" width="1.7109375" customWidth="1"/>
    <col min="15369" max="15369" width="1.5703125" customWidth="1"/>
    <col min="15370" max="15370" width="8.5703125" customWidth="1"/>
    <col min="15607" max="15607" width="4.5703125" customWidth="1"/>
    <col min="15608" max="15608" width="6.42578125" customWidth="1"/>
    <col min="15609" max="15609" width="2.7109375" customWidth="1"/>
    <col min="15610" max="15610" width="6.28515625" customWidth="1"/>
    <col min="15611" max="15611" width="6.5703125" customWidth="1"/>
    <col min="15612" max="15612" width="28.5703125" customWidth="1"/>
    <col min="15613" max="15613" width="3.28515625" customWidth="1"/>
    <col min="15614" max="15614" width="1.5703125" customWidth="1"/>
    <col min="15615" max="15615" width="15.140625" customWidth="1"/>
    <col min="15616" max="15616" width="1.5703125" customWidth="1"/>
    <col min="15617" max="15617" width="13.5703125" customWidth="1"/>
    <col min="15618" max="15618" width="1.5703125" customWidth="1"/>
    <col min="15619" max="15619" width="4.7109375" customWidth="1"/>
    <col min="15620" max="15620" width="1.42578125" customWidth="1"/>
    <col min="15621" max="15621" width="3.28515625" customWidth="1"/>
    <col min="15622" max="15622" width="2" customWidth="1"/>
    <col min="15623" max="15623" width="5.5703125" customWidth="1"/>
    <col min="15624" max="15624" width="1.7109375" customWidth="1"/>
    <col min="15625" max="15625" width="1.5703125" customWidth="1"/>
    <col min="15626" max="15626" width="8.5703125" customWidth="1"/>
    <col min="15863" max="15863" width="4.5703125" customWidth="1"/>
    <col min="15864" max="15864" width="6.42578125" customWidth="1"/>
    <col min="15865" max="15865" width="2.7109375" customWidth="1"/>
    <col min="15866" max="15866" width="6.28515625" customWidth="1"/>
    <col min="15867" max="15867" width="6.5703125" customWidth="1"/>
    <col min="15868" max="15868" width="28.5703125" customWidth="1"/>
    <col min="15869" max="15869" width="3.28515625" customWidth="1"/>
    <col min="15870" max="15870" width="1.5703125" customWidth="1"/>
    <col min="15871" max="15871" width="15.140625" customWidth="1"/>
    <col min="15872" max="15872" width="1.5703125" customWidth="1"/>
    <col min="15873" max="15873" width="13.5703125" customWidth="1"/>
    <col min="15874" max="15874" width="1.5703125" customWidth="1"/>
    <col min="15875" max="15875" width="4.7109375" customWidth="1"/>
    <col min="15876" max="15876" width="1.42578125" customWidth="1"/>
    <col min="15877" max="15877" width="3.28515625" customWidth="1"/>
    <col min="15878" max="15878" width="2" customWidth="1"/>
    <col min="15879" max="15879" width="5.5703125" customWidth="1"/>
    <col min="15880" max="15880" width="1.7109375" customWidth="1"/>
    <col min="15881" max="15881" width="1.5703125" customWidth="1"/>
    <col min="15882" max="15882" width="8.5703125" customWidth="1"/>
    <col min="16119" max="16119" width="4.5703125" customWidth="1"/>
    <col min="16120" max="16120" width="6.42578125" customWidth="1"/>
    <col min="16121" max="16121" width="2.7109375" customWidth="1"/>
    <col min="16122" max="16122" width="6.28515625" customWidth="1"/>
    <col min="16123" max="16123" width="6.5703125" customWidth="1"/>
    <col min="16124" max="16124" width="28.5703125" customWidth="1"/>
    <col min="16125" max="16125" width="3.28515625" customWidth="1"/>
    <col min="16126" max="16126" width="1.5703125" customWidth="1"/>
    <col min="16127" max="16127" width="15.140625" customWidth="1"/>
    <col min="16128" max="16128" width="1.5703125" customWidth="1"/>
    <col min="16129" max="16129" width="13.5703125" customWidth="1"/>
    <col min="16130" max="16130" width="1.5703125" customWidth="1"/>
    <col min="16131" max="16131" width="4.7109375" customWidth="1"/>
    <col min="16132" max="16132" width="1.42578125" customWidth="1"/>
    <col min="16133" max="16133" width="3.28515625" customWidth="1"/>
    <col min="16134" max="16134" width="2" customWidth="1"/>
    <col min="16135" max="16135" width="5.5703125" customWidth="1"/>
    <col min="16136" max="16136" width="1.7109375" customWidth="1"/>
    <col min="16137" max="16137" width="1.5703125" customWidth="1"/>
    <col min="16138" max="16138" width="8.5703125" customWidth="1"/>
  </cols>
  <sheetData>
    <row r="1" spans="1:10" ht="12.6" customHeight="1" x14ac:dyDescent="0.25">
      <c r="A1" s="18" t="s">
        <v>54</v>
      </c>
      <c r="F1" s="18"/>
      <c r="G1" s="18"/>
      <c r="H1" s="23"/>
      <c r="I1" s="23"/>
      <c r="J1" s="23"/>
    </row>
    <row r="2" spans="1:10" ht="13.35" customHeight="1" x14ac:dyDescent="0.25">
      <c r="A2" s="22">
        <v>46174</v>
      </c>
    </row>
    <row r="3" spans="1:10" ht="11.85" customHeight="1" x14ac:dyDescent="0.25">
      <c r="A3" s="15" t="s">
        <v>104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1.85" customHeight="1" x14ac:dyDescent="0.25">
      <c r="A4" s="15" t="s">
        <v>56</v>
      </c>
      <c r="B4" s="10" t="s">
        <v>57</v>
      </c>
      <c r="C4" s="10" t="s">
        <v>58</v>
      </c>
      <c r="D4" s="15" t="s">
        <v>59</v>
      </c>
      <c r="E4" s="10" t="s">
        <v>60</v>
      </c>
      <c r="F4" s="15"/>
      <c r="G4" s="15"/>
      <c r="H4" s="15"/>
    </row>
    <row r="5" spans="1:10" ht="11.85" customHeight="1" x14ac:dyDescent="0.25">
      <c r="A5" s="15" t="s">
        <v>137</v>
      </c>
      <c r="B5" s="18"/>
      <c r="C5" s="18"/>
      <c r="D5" s="18"/>
      <c r="E5" s="18"/>
      <c r="F5" s="18"/>
      <c r="G5" s="18"/>
      <c r="H5" s="18"/>
      <c r="I5" s="18"/>
    </row>
    <row r="6" spans="1:10" ht="11.85" customHeight="1" x14ac:dyDescent="0.25">
      <c r="A6" s="18" t="s">
        <v>61</v>
      </c>
      <c r="B6" s="11">
        <v>5207029.91</v>
      </c>
      <c r="C6" s="12">
        <v>0.08</v>
      </c>
      <c r="D6" s="17">
        <v>416562.39</v>
      </c>
      <c r="E6" s="12">
        <v>0.15</v>
      </c>
      <c r="F6" s="17"/>
      <c r="G6" s="17"/>
      <c r="H6" s="17"/>
    </row>
    <row r="7" spans="1:10" ht="11.85" customHeight="1" x14ac:dyDescent="0.25">
      <c r="A7" s="18" t="s">
        <v>62</v>
      </c>
      <c r="B7" s="11">
        <v>-10656.78</v>
      </c>
      <c r="D7" s="17">
        <v>-852.54</v>
      </c>
      <c r="F7" s="17"/>
      <c r="G7" s="17"/>
      <c r="H7" s="17"/>
    </row>
    <row r="8" spans="1:10" ht="11.85" customHeight="1" x14ac:dyDescent="0.25">
      <c r="A8" s="15" t="s">
        <v>63</v>
      </c>
      <c r="B8" s="11">
        <v>5196373.13</v>
      </c>
      <c r="D8" s="17">
        <v>415709.85</v>
      </c>
      <c r="F8" s="17"/>
      <c r="G8" s="17"/>
      <c r="H8" s="17"/>
    </row>
    <row r="9" spans="1:10" ht="11.85" customHeight="1" x14ac:dyDescent="0.25">
      <c r="A9" s="18" t="s">
        <v>105</v>
      </c>
      <c r="B9" s="11">
        <v>-181716.84</v>
      </c>
      <c r="C9" s="12">
        <v>0.08</v>
      </c>
      <c r="D9" s="17">
        <v>-14537.35</v>
      </c>
      <c r="E9" s="12">
        <v>0.15</v>
      </c>
      <c r="F9" s="17"/>
      <c r="G9" s="17"/>
      <c r="H9" s="17"/>
    </row>
    <row r="10" spans="1:10" ht="11.85" customHeight="1" x14ac:dyDescent="0.25">
      <c r="A10" s="18" t="s">
        <v>62</v>
      </c>
      <c r="B10" s="11">
        <v>0.71</v>
      </c>
      <c r="D10" s="17">
        <v>0.06</v>
      </c>
      <c r="E10" s="17"/>
      <c r="F10" s="17"/>
      <c r="G10" s="17"/>
      <c r="H10" s="17"/>
    </row>
    <row r="11" spans="1:10" ht="11.85" customHeight="1" x14ac:dyDescent="0.25">
      <c r="A11" s="15" t="s">
        <v>63</v>
      </c>
      <c r="B11" s="11">
        <v>-181716.13</v>
      </c>
      <c r="D11" s="17">
        <v>-14537.29</v>
      </c>
      <c r="E11" s="17"/>
      <c r="F11" s="17"/>
      <c r="G11" s="17"/>
      <c r="H11" s="17"/>
    </row>
    <row r="12" spans="1:10" ht="11.85" customHeight="1" x14ac:dyDescent="0.25">
      <c r="A12" s="15" t="s">
        <v>106</v>
      </c>
      <c r="B12" s="11">
        <v>5014657</v>
      </c>
      <c r="D12" s="17">
        <v>401172.56</v>
      </c>
      <c r="E12" s="17"/>
      <c r="F12" s="17"/>
      <c r="G12" s="17"/>
      <c r="H12" s="17"/>
    </row>
    <row r="13" spans="1:10" ht="11.85" customHeight="1" x14ac:dyDescent="0.25">
      <c r="A13" s="15" t="s">
        <v>107</v>
      </c>
      <c r="B13" s="11">
        <v>5014657</v>
      </c>
      <c r="D13" s="17">
        <v>401172.56</v>
      </c>
      <c r="E13" s="17"/>
      <c r="F13" s="17"/>
      <c r="G13" s="17"/>
      <c r="H13" s="17"/>
    </row>
    <row r="14" spans="1:10" ht="11.85" customHeight="1" x14ac:dyDescent="0.25">
      <c r="A14" s="15" t="s">
        <v>66</v>
      </c>
      <c r="B14" s="17">
        <v>5014657</v>
      </c>
      <c r="C14" s="20"/>
      <c r="D14" s="17">
        <v>401172.56</v>
      </c>
      <c r="E14" s="17"/>
      <c r="F14" s="17"/>
      <c r="G14" s="17"/>
      <c r="H14" s="17"/>
      <c r="I14" s="20"/>
      <c r="J14" s="20"/>
    </row>
    <row r="15" spans="1:10" ht="11.85" customHeight="1" x14ac:dyDescent="0.25">
      <c r="A15" s="15" t="s">
        <v>67</v>
      </c>
      <c r="B15" s="15"/>
      <c r="C15" s="15"/>
      <c r="D15" s="15"/>
      <c r="E15" s="15" t="s">
        <v>59</v>
      </c>
      <c r="F15" s="15"/>
      <c r="G15" s="15"/>
      <c r="H15" s="15"/>
      <c r="I15" s="15"/>
      <c r="J15" s="15"/>
    </row>
    <row r="16" spans="1:10" ht="11.85" customHeight="1" x14ac:dyDescent="0.25">
      <c r="A16" s="15" t="s">
        <v>68</v>
      </c>
      <c r="B16" s="10" t="s">
        <v>57</v>
      </c>
      <c r="C16" s="10" t="s">
        <v>58</v>
      </c>
      <c r="E16" s="17">
        <v>100000</v>
      </c>
      <c r="H16" s="15"/>
      <c r="I16" s="15"/>
      <c r="J16" s="15"/>
    </row>
    <row r="17" spans="1:10" ht="11.85" customHeight="1" x14ac:dyDescent="0.25">
      <c r="A17" s="18" t="s">
        <v>108</v>
      </c>
      <c r="B17" s="11">
        <v>1250000</v>
      </c>
      <c r="C17" s="12">
        <v>0.08</v>
      </c>
      <c r="E17" s="17">
        <v>331289.82</v>
      </c>
      <c r="H17" s="17"/>
      <c r="I17" s="17"/>
      <c r="J17" s="17"/>
    </row>
    <row r="18" spans="1:10" ht="11.85" customHeight="1" x14ac:dyDescent="0.25">
      <c r="A18" s="18" t="s">
        <v>109</v>
      </c>
      <c r="B18" s="11">
        <v>3764657</v>
      </c>
      <c r="C18" s="12">
        <v>8.7999999999999995E-2</v>
      </c>
      <c r="E18" s="17">
        <v>431289.82</v>
      </c>
      <c r="H18" s="17"/>
      <c r="I18" s="17"/>
      <c r="J18" s="17"/>
    </row>
    <row r="19" spans="1:10" ht="11.85" customHeight="1" x14ac:dyDescent="0.25">
      <c r="A19" s="15" t="s">
        <v>110</v>
      </c>
      <c r="B19" s="17">
        <v>5014657</v>
      </c>
      <c r="C19" s="20"/>
      <c r="D19" s="20"/>
      <c r="E19" s="20"/>
      <c r="F19" s="20"/>
      <c r="H19" s="17"/>
      <c r="I19" s="17"/>
      <c r="J19" s="17"/>
    </row>
    <row r="20" spans="1:10" ht="11.85" customHeight="1" x14ac:dyDescent="0.25">
      <c r="A20" s="15" t="s">
        <v>111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1.85" customHeight="1" x14ac:dyDescent="0.25">
      <c r="A21" s="15" t="s">
        <v>68</v>
      </c>
      <c r="B21" s="15"/>
      <c r="C21" s="15"/>
      <c r="D21" s="15"/>
      <c r="E21" s="15" t="s">
        <v>73</v>
      </c>
      <c r="F21" s="15"/>
      <c r="G21" s="15"/>
      <c r="H21" s="15"/>
      <c r="I21" s="15"/>
      <c r="J21" s="15"/>
    </row>
    <row r="22" spans="1:10" ht="11.85" customHeight="1" x14ac:dyDescent="0.25">
      <c r="A22" s="18" t="s">
        <v>112</v>
      </c>
      <c r="B22" s="18"/>
      <c r="C22" s="16" t="s">
        <v>75</v>
      </c>
      <c r="D22" s="16"/>
      <c r="E22" s="17">
        <v>431289.82</v>
      </c>
      <c r="F22" s="17"/>
      <c r="G22" s="17"/>
      <c r="H22" s="17"/>
      <c r="I22" s="17"/>
      <c r="J22" s="17"/>
    </row>
    <row r="23" spans="1:10" ht="11.85" customHeight="1" x14ac:dyDescent="0.25">
      <c r="A23" s="18" t="s">
        <v>113</v>
      </c>
      <c r="B23" s="18"/>
      <c r="C23" s="16" t="s">
        <v>75</v>
      </c>
      <c r="D23" s="16"/>
      <c r="E23" s="17">
        <v>60000</v>
      </c>
      <c r="F23" s="17"/>
      <c r="G23" s="17"/>
      <c r="H23" s="17"/>
      <c r="I23" s="17"/>
      <c r="J23" s="17"/>
    </row>
    <row r="24" spans="1:10" ht="11.85" customHeight="1" x14ac:dyDescent="0.25">
      <c r="A24" s="18" t="s">
        <v>114</v>
      </c>
      <c r="B24" s="18"/>
      <c r="C24" s="16" t="s">
        <v>75</v>
      </c>
      <c r="D24" s="16"/>
      <c r="E24" s="17">
        <v>371289.82</v>
      </c>
      <c r="F24" s="17"/>
      <c r="G24" s="17"/>
      <c r="H24" s="17"/>
      <c r="I24" s="17"/>
      <c r="J24" s="17"/>
    </row>
    <row r="25" spans="1:10" ht="11.85" customHeight="1" x14ac:dyDescent="0.25">
      <c r="A25" s="18" t="s">
        <v>115</v>
      </c>
      <c r="B25" s="18"/>
      <c r="C25" s="20"/>
      <c r="D25" s="20"/>
      <c r="E25" s="21">
        <v>0.1</v>
      </c>
      <c r="F25" s="20"/>
      <c r="G25" s="20"/>
      <c r="H25" s="20"/>
      <c r="I25" s="20"/>
    </row>
    <row r="26" spans="1:10" ht="11.85" customHeight="1" x14ac:dyDescent="0.25">
      <c r="A26" s="15" t="s">
        <v>116</v>
      </c>
      <c r="B26" s="15"/>
      <c r="C26" s="15"/>
      <c r="D26" s="15"/>
      <c r="E26" s="19">
        <v>37128.980000000003</v>
      </c>
      <c r="F26" s="19"/>
      <c r="G26" s="19"/>
      <c r="H26" s="19"/>
      <c r="I26" s="19"/>
      <c r="J26" s="19"/>
    </row>
    <row r="27" spans="1:10" ht="11.85" customHeight="1" x14ac:dyDescent="0.25">
      <c r="A27" s="15" t="s">
        <v>72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ht="11.85" customHeight="1" x14ac:dyDescent="0.25">
      <c r="A28" s="15" t="s">
        <v>68</v>
      </c>
      <c r="B28" s="15"/>
      <c r="C28" s="15"/>
      <c r="D28" s="15"/>
      <c r="E28" s="15" t="s">
        <v>73</v>
      </c>
      <c r="F28" s="15"/>
      <c r="G28" s="15"/>
      <c r="H28" s="15"/>
      <c r="I28" s="15"/>
      <c r="J28" s="15"/>
    </row>
    <row r="29" spans="1:10" ht="11.85" customHeight="1" x14ac:dyDescent="0.25">
      <c r="A29" s="18" t="s">
        <v>74</v>
      </c>
      <c r="B29" s="18"/>
      <c r="C29" s="16" t="s">
        <v>75</v>
      </c>
      <c r="D29" s="16"/>
      <c r="E29" s="17">
        <v>0</v>
      </c>
      <c r="F29" s="17"/>
      <c r="G29" s="17"/>
      <c r="H29" s="17"/>
      <c r="I29" s="17"/>
      <c r="J29" s="17"/>
    </row>
    <row r="30" spans="1:10" ht="11.85" customHeight="1" x14ac:dyDescent="0.25">
      <c r="A30" s="18" t="s">
        <v>117</v>
      </c>
      <c r="B30" s="18"/>
      <c r="C30" s="16" t="s">
        <v>75</v>
      </c>
      <c r="D30" s="16"/>
      <c r="E30" s="17">
        <v>0</v>
      </c>
      <c r="F30" s="17"/>
      <c r="G30" s="17"/>
      <c r="H30" s="17"/>
      <c r="I30" s="17"/>
      <c r="J30" s="17"/>
    </row>
    <row r="31" spans="1:10" ht="11.85" customHeight="1" x14ac:dyDescent="0.25">
      <c r="A31" s="18" t="s">
        <v>76</v>
      </c>
      <c r="B31" s="18"/>
      <c r="C31" s="16" t="s">
        <v>75</v>
      </c>
      <c r="D31" s="16"/>
      <c r="E31" s="17">
        <v>64693.47</v>
      </c>
      <c r="F31" s="17"/>
      <c r="G31" s="17"/>
      <c r="H31" s="17"/>
      <c r="I31" s="17"/>
      <c r="J31" s="17"/>
    </row>
    <row r="32" spans="1:10" ht="11.85" customHeight="1" x14ac:dyDescent="0.25">
      <c r="A32" s="18" t="s">
        <v>118</v>
      </c>
      <c r="B32" s="18"/>
      <c r="C32" s="16" t="s">
        <v>75</v>
      </c>
      <c r="D32" s="16"/>
      <c r="E32" s="17">
        <v>0</v>
      </c>
      <c r="F32" s="17"/>
      <c r="G32" s="17"/>
      <c r="H32" s="17"/>
      <c r="I32" s="17"/>
      <c r="J32" s="17"/>
    </row>
    <row r="33" spans="1:10" ht="11.85" customHeight="1" x14ac:dyDescent="0.25">
      <c r="A33" s="18" t="s">
        <v>119</v>
      </c>
      <c r="B33" s="18"/>
      <c r="C33" s="16" t="s">
        <v>75</v>
      </c>
      <c r="D33" s="16"/>
      <c r="E33" s="17">
        <v>0</v>
      </c>
      <c r="F33" s="17"/>
      <c r="G33" s="17"/>
      <c r="H33" s="17"/>
      <c r="I33" s="17"/>
      <c r="J33" s="17"/>
    </row>
    <row r="34" spans="1:10" ht="11.85" customHeight="1" x14ac:dyDescent="0.25">
      <c r="A34" s="18" t="s">
        <v>77</v>
      </c>
      <c r="B34" s="18"/>
      <c r="C34" s="16" t="s">
        <v>75</v>
      </c>
      <c r="D34" s="16"/>
      <c r="E34" s="17">
        <v>0</v>
      </c>
      <c r="F34" s="17"/>
      <c r="G34" s="17"/>
      <c r="H34" s="17"/>
      <c r="I34" s="17"/>
      <c r="J34" s="17"/>
    </row>
    <row r="35" spans="1:10" ht="11.85" customHeight="1" x14ac:dyDescent="0.25">
      <c r="A35" s="18" t="s">
        <v>85</v>
      </c>
      <c r="B35" s="18"/>
      <c r="C35" s="16" t="s">
        <v>75</v>
      </c>
      <c r="D35" s="16"/>
      <c r="E35" s="17">
        <v>0</v>
      </c>
      <c r="F35" s="17"/>
      <c r="G35" s="17"/>
      <c r="H35" s="17"/>
      <c r="I35" s="17"/>
      <c r="J35" s="17"/>
    </row>
    <row r="36" spans="1:10" ht="11.85" customHeight="1" x14ac:dyDescent="0.25">
      <c r="A36" s="18" t="s">
        <v>120</v>
      </c>
      <c r="B36" s="18"/>
      <c r="C36" s="16" t="s">
        <v>75</v>
      </c>
      <c r="D36" s="16"/>
      <c r="E36" s="17">
        <v>0</v>
      </c>
      <c r="F36" s="17"/>
      <c r="G36" s="17"/>
      <c r="H36" s="17"/>
      <c r="I36" s="17"/>
      <c r="J36" s="17"/>
    </row>
    <row r="37" spans="1:10" ht="11.85" customHeight="1" x14ac:dyDescent="0.25">
      <c r="A37" s="18" t="s">
        <v>121</v>
      </c>
      <c r="B37" s="18"/>
      <c r="C37" s="16" t="s">
        <v>75</v>
      </c>
      <c r="D37" s="16"/>
      <c r="E37" s="17">
        <v>0</v>
      </c>
      <c r="F37" s="17"/>
      <c r="G37" s="17"/>
      <c r="H37" s="17"/>
      <c r="I37" s="17"/>
      <c r="J37" s="17"/>
    </row>
    <row r="38" spans="1:10" ht="11.85" customHeight="1" x14ac:dyDescent="0.25">
      <c r="A38" s="18" t="s">
        <v>122</v>
      </c>
      <c r="B38" s="18"/>
      <c r="C38" s="16" t="s">
        <v>75</v>
      </c>
      <c r="D38" s="16"/>
      <c r="E38" s="17">
        <v>0</v>
      </c>
      <c r="F38" s="17"/>
      <c r="G38" s="17"/>
      <c r="H38" s="17"/>
      <c r="I38" s="17"/>
      <c r="J38" s="17"/>
    </row>
    <row r="39" spans="1:10" ht="11.85" customHeight="1" x14ac:dyDescent="0.25">
      <c r="A39" s="18" t="s">
        <v>123</v>
      </c>
      <c r="B39" s="18"/>
      <c r="C39" s="16" t="s">
        <v>75</v>
      </c>
      <c r="D39" s="16"/>
      <c r="E39" s="17">
        <v>0</v>
      </c>
      <c r="F39" s="17"/>
      <c r="G39" s="17"/>
      <c r="H39" s="17"/>
      <c r="I39" s="17"/>
      <c r="J39" s="17"/>
    </row>
    <row r="40" spans="1:10" ht="11.85" customHeight="1" x14ac:dyDescent="0.25">
      <c r="A40" s="18" t="s">
        <v>124</v>
      </c>
      <c r="B40" s="18"/>
      <c r="C40" s="16" t="s">
        <v>75</v>
      </c>
      <c r="D40" s="16"/>
      <c r="E40" s="17">
        <v>0</v>
      </c>
      <c r="F40" s="17"/>
      <c r="G40" s="17"/>
      <c r="H40" s="17"/>
      <c r="I40" s="17"/>
      <c r="J40" s="17"/>
    </row>
    <row r="41" spans="1:10" ht="11.85" customHeight="1" x14ac:dyDescent="0.25">
      <c r="A41" s="18" t="s">
        <v>125</v>
      </c>
      <c r="B41" s="18"/>
      <c r="C41" s="16" t="s">
        <v>75</v>
      </c>
      <c r="D41" s="16"/>
      <c r="E41" s="17">
        <v>0</v>
      </c>
      <c r="F41" s="17"/>
      <c r="G41" s="17"/>
      <c r="H41" s="17"/>
      <c r="I41" s="17"/>
      <c r="J41" s="17"/>
    </row>
    <row r="42" spans="1:10" ht="11.85" customHeight="1" x14ac:dyDescent="0.25">
      <c r="A42" s="18" t="s">
        <v>91</v>
      </c>
      <c r="B42" s="18"/>
      <c r="C42" s="16" t="s">
        <v>75</v>
      </c>
      <c r="D42" s="16"/>
      <c r="E42" s="17">
        <v>0</v>
      </c>
      <c r="F42" s="17"/>
      <c r="G42" s="17"/>
      <c r="H42" s="17"/>
      <c r="I42" s="17"/>
      <c r="J42" s="17"/>
    </row>
    <row r="43" spans="1:10" ht="11.85" customHeight="1" x14ac:dyDescent="0.25">
      <c r="A43" s="18" t="s">
        <v>92</v>
      </c>
      <c r="B43" s="18"/>
      <c r="C43" s="16" t="s">
        <v>75</v>
      </c>
      <c r="D43" s="16"/>
      <c r="E43" s="17">
        <v>0</v>
      </c>
      <c r="F43" s="17"/>
      <c r="G43" s="17"/>
      <c r="H43" s="17"/>
      <c r="I43" s="17"/>
      <c r="J43" s="17"/>
    </row>
    <row r="44" spans="1:10" ht="11.85" customHeight="1" x14ac:dyDescent="0.25">
      <c r="A44" s="18" t="s">
        <v>126</v>
      </c>
      <c r="B44" s="18"/>
      <c r="C44" s="16" t="s">
        <v>75</v>
      </c>
      <c r="D44" s="16"/>
      <c r="E44" s="17">
        <v>0</v>
      </c>
      <c r="F44" s="17"/>
      <c r="G44" s="17"/>
      <c r="H44" s="17"/>
      <c r="I44" s="17"/>
      <c r="J44" s="17"/>
    </row>
    <row r="45" spans="1:10" ht="11.85" customHeight="1" x14ac:dyDescent="0.25">
      <c r="A45" s="18" t="s">
        <v>127</v>
      </c>
      <c r="B45" s="18"/>
      <c r="C45" s="16" t="s">
        <v>75</v>
      </c>
      <c r="D45" s="16"/>
      <c r="E45" s="17">
        <v>0</v>
      </c>
      <c r="F45" s="17"/>
      <c r="G45" s="17"/>
      <c r="H45" s="17"/>
      <c r="I45" s="17"/>
      <c r="J45" s="17"/>
    </row>
    <row r="46" spans="1:10" ht="11.85" customHeight="1" x14ac:dyDescent="0.25">
      <c r="A46" s="18" t="s">
        <v>128</v>
      </c>
      <c r="B46" s="18"/>
      <c r="C46" s="16" t="s">
        <v>75</v>
      </c>
      <c r="D46" s="16"/>
      <c r="E46" s="17">
        <v>0</v>
      </c>
      <c r="F46" s="17"/>
      <c r="G46" s="17"/>
      <c r="H46" s="17"/>
      <c r="I46" s="17"/>
      <c r="J46" s="17"/>
    </row>
    <row r="47" spans="1:10" ht="11.85" customHeight="1" x14ac:dyDescent="0.25">
      <c r="A47" s="18" t="s">
        <v>129</v>
      </c>
      <c r="B47" s="18"/>
      <c r="C47" s="16" t="s">
        <v>75</v>
      </c>
      <c r="D47" s="16"/>
      <c r="E47" s="17">
        <v>0</v>
      </c>
      <c r="F47" s="17"/>
      <c r="G47" s="17"/>
      <c r="H47" s="17"/>
      <c r="I47" s="17"/>
      <c r="J47" s="17"/>
    </row>
    <row r="48" spans="1:10" ht="11.85" customHeight="1" x14ac:dyDescent="0.25">
      <c r="A48" s="18" t="s">
        <v>130</v>
      </c>
      <c r="B48" s="18"/>
      <c r="C48" s="16" t="s">
        <v>75</v>
      </c>
      <c r="D48" s="16"/>
      <c r="E48" s="17">
        <v>0</v>
      </c>
      <c r="F48" s="17"/>
      <c r="G48" s="17"/>
      <c r="H48" s="17"/>
      <c r="I48" s="17"/>
      <c r="J48" s="17"/>
    </row>
    <row r="49" spans="1:10" ht="11.85" customHeight="1" x14ac:dyDescent="0.25">
      <c r="A49" s="18" t="s">
        <v>92</v>
      </c>
      <c r="B49" s="18"/>
      <c r="C49" s="16" t="s">
        <v>75</v>
      </c>
      <c r="D49" s="16"/>
      <c r="E49" s="17">
        <v>0</v>
      </c>
      <c r="F49" s="17"/>
      <c r="G49" s="17"/>
      <c r="H49" s="17"/>
      <c r="I49" s="17"/>
      <c r="J49" s="17"/>
    </row>
    <row r="50" spans="1:10" ht="11.85" customHeight="1" x14ac:dyDescent="0.25">
      <c r="A50" s="15" t="s">
        <v>131</v>
      </c>
      <c r="B50" s="15"/>
      <c r="C50" s="15"/>
      <c r="D50" s="15"/>
      <c r="E50" s="16">
        <v>37128.980000000003</v>
      </c>
      <c r="F50" s="16"/>
      <c r="G50" s="16"/>
      <c r="H50" s="16"/>
      <c r="I50" s="16"/>
      <c r="J50" s="16"/>
    </row>
    <row r="51" spans="1:10" ht="11.85" customHeight="1" x14ac:dyDescent="0.25">
      <c r="A51" s="15" t="s">
        <v>132</v>
      </c>
      <c r="B51" s="15"/>
      <c r="C51" s="15"/>
      <c r="D51" s="15"/>
      <c r="E51" s="16">
        <v>0</v>
      </c>
      <c r="F51" s="16"/>
      <c r="G51" s="16"/>
      <c r="H51" s="16"/>
      <c r="I51" s="16"/>
      <c r="J51" s="16"/>
    </row>
    <row r="52" spans="1:10" ht="11.85" customHeight="1" x14ac:dyDescent="0.25">
      <c r="A52" s="15" t="s">
        <v>133</v>
      </c>
      <c r="B52" s="15"/>
      <c r="C52" s="15"/>
      <c r="D52" s="15"/>
      <c r="E52" s="16">
        <v>0</v>
      </c>
      <c r="F52" s="16"/>
      <c r="G52" s="16"/>
      <c r="H52" s="16"/>
      <c r="I52" s="16"/>
      <c r="J52" s="16"/>
    </row>
    <row r="53" spans="1:10" ht="11.85" customHeight="1" x14ac:dyDescent="0.25">
      <c r="A53" s="15" t="s">
        <v>134</v>
      </c>
      <c r="B53" s="15"/>
      <c r="C53" s="15"/>
      <c r="D53" s="15"/>
      <c r="E53" s="16">
        <v>0</v>
      </c>
      <c r="F53" s="16"/>
      <c r="G53" s="16"/>
      <c r="H53" s="16"/>
      <c r="I53" s="16"/>
      <c r="J53" s="16"/>
    </row>
    <row r="54" spans="1:10" ht="11.85" customHeight="1" x14ac:dyDescent="0.25">
      <c r="A54" s="15" t="s">
        <v>135</v>
      </c>
      <c r="B54" s="15"/>
      <c r="C54" s="15"/>
      <c r="D54" s="15"/>
      <c r="E54" s="16">
        <v>101822.45</v>
      </c>
      <c r="F54" s="16"/>
      <c r="G54" s="16"/>
      <c r="H54" s="16"/>
      <c r="I54" s="16"/>
      <c r="J54" s="16"/>
    </row>
    <row r="55" spans="1:10" ht="11.85" customHeight="1" x14ac:dyDescent="0.25">
      <c r="A55" s="15" t="s">
        <v>136</v>
      </c>
      <c r="B55" s="15"/>
      <c r="C55" s="15"/>
      <c r="D55" s="15"/>
      <c r="E55" s="16">
        <v>0</v>
      </c>
      <c r="F55" s="16"/>
      <c r="G55" s="16"/>
      <c r="H55" s="16"/>
      <c r="I55" s="16"/>
      <c r="J55" s="16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B1D-2D51-45E1-A4FC-6E15311F0061}">
  <dimension ref="A1:J48"/>
  <sheetViews>
    <sheetView topLeftCell="A20" workbookViewId="0">
      <selection activeCell="B18" sqref="B18:B46"/>
    </sheetView>
  </sheetViews>
  <sheetFormatPr defaultRowHeight="15" x14ac:dyDescent="0.25"/>
  <cols>
    <col min="1" max="1" width="67.5703125" customWidth="1"/>
    <col min="2" max="2" width="15.140625" customWidth="1"/>
    <col min="3" max="3" width="13.5703125" customWidth="1"/>
    <col min="4" max="4" width="15.85546875" customWidth="1"/>
    <col min="5" max="5" width="26.85546875" customWidth="1"/>
    <col min="6" max="6" width="12.42578125" customWidth="1"/>
    <col min="7" max="7" width="10" customWidth="1"/>
    <col min="8" max="8" width="22.5703125" customWidth="1"/>
    <col min="9" max="9" width="7.42578125" customWidth="1"/>
    <col min="10" max="10" width="8.5703125" customWidth="1"/>
    <col min="247" max="247" width="4.5703125" customWidth="1"/>
    <col min="248" max="248" width="6.42578125" customWidth="1"/>
    <col min="249" max="249" width="2.7109375" customWidth="1"/>
    <col min="250" max="250" width="6.28515625" customWidth="1"/>
    <col min="251" max="251" width="6.5703125" customWidth="1"/>
    <col min="252" max="252" width="28.5703125" customWidth="1"/>
    <col min="253" max="253" width="3.28515625" customWidth="1"/>
    <col min="254" max="254" width="1.5703125" customWidth="1"/>
    <col min="255" max="255" width="15.140625" customWidth="1"/>
    <col min="256" max="256" width="1.5703125" customWidth="1"/>
    <col min="257" max="257" width="13.5703125" customWidth="1"/>
    <col min="258" max="258" width="1.5703125" customWidth="1"/>
    <col min="259" max="259" width="4.7109375" customWidth="1"/>
    <col min="260" max="260" width="1.42578125" customWidth="1"/>
    <col min="261" max="261" width="3.28515625" customWidth="1"/>
    <col min="262" max="262" width="2" customWidth="1"/>
    <col min="263" max="263" width="5.5703125" customWidth="1"/>
    <col min="264" max="264" width="1.7109375" customWidth="1"/>
    <col min="265" max="265" width="1.5703125" customWidth="1"/>
    <col min="266" max="266" width="8.5703125" customWidth="1"/>
    <col min="503" max="503" width="4.5703125" customWidth="1"/>
    <col min="504" max="504" width="6.42578125" customWidth="1"/>
    <col min="505" max="505" width="2.7109375" customWidth="1"/>
    <col min="506" max="506" width="6.28515625" customWidth="1"/>
    <col min="507" max="507" width="6.5703125" customWidth="1"/>
    <col min="508" max="508" width="28.5703125" customWidth="1"/>
    <col min="509" max="509" width="3.28515625" customWidth="1"/>
    <col min="510" max="510" width="1.5703125" customWidth="1"/>
    <col min="511" max="511" width="15.140625" customWidth="1"/>
    <col min="512" max="512" width="1.5703125" customWidth="1"/>
    <col min="513" max="513" width="13.5703125" customWidth="1"/>
    <col min="514" max="514" width="1.5703125" customWidth="1"/>
    <col min="515" max="515" width="4.7109375" customWidth="1"/>
    <col min="516" max="516" width="1.42578125" customWidth="1"/>
    <col min="517" max="517" width="3.28515625" customWidth="1"/>
    <col min="518" max="518" width="2" customWidth="1"/>
    <col min="519" max="519" width="5.5703125" customWidth="1"/>
    <col min="520" max="520" width="1.7109375" customWidth="1"/>
    <col min="521" max="521" width="1.5703125" customWidth="1"/>
    <col min="522" max="522" width="8.5703125" customWidth="1"/>
    <col min="759" max="759" width="4.5703125" customWidth="1"/>
    <col min="760" max="760" width="6.42578125" customWidth="1"/>
    <col min="761" max="761" width="2.7109375" customWidth="1"/>
    <col min="762" max="762" width="6.28515625" customWidth="1"/>
    <col min="763" max="763" width="6.5703125" customWidth="1"/>
    <col min="764" max="764" width="28.5703125" customWidth="1"/>
    <col min="765" max="765" width="3.28515625" customWidth="1"/>
    <col min="766" max="766" width="1.5703125" customWidth="1"/>
    <col min="767" max="767" width="15.140625" customWidth="1"/>
    <col min="768" max="768" width="1.5703125" customWidth="1"/>
    <col min="769" max="769" width="13.5703125" customWidth="1"/>
    <col min="770" max="770" width="1.5703125" customWidth="1"/>
    <col min="771" max="771" width="4.7109375" customWidth="1"/>
    <col min="772" max="772" width="1.42578125" customWidth="1"/>
    <col min="773" max="773" width="3.28515625" customWidth="1"/>
    <col min="774" max="774" width="2" customWidth="1"/>
    <col min="775" max="775" width="5.5703125" customWidth="1"/>
    <col min="776" max="776" width="1.7109375" customWidth="1"/>
    <col min="777" max="777" width="1.5703125" customWidth="1"/>
    <col min="778" max="778" width="8.5703125" customWidth="1"/>
    <col min="1015" max="1015" width="4.5703125" customWidth="1"/>
    <col min="1016" max="1016" width="6.42578125" customWidth="1"/>
    <col min="1017" max="1017" width="2.7109375" customWidth="1"/>
    <col min="1018" max="1018" width="6.28515625" customWidth="1"/>
    <col min="1019" max="1019" width="6.5703125" customWidth="1"/>
    <col min="1020" max="1020" width="28.5703125" customWidth="1"/>
    <col min="1021" max="1021" width="3.28515625" customWidth="1"/>
    <col min="1022" max="1022" width="1.5703125" customWidth="1"/>
    <col min="1023" max="1023" width="15.140625" customWidth="1"/>
    <col min="1024" max="1024" width="1.5703125" customWidth="1"/>
    <col min="1025" max="1025" width="13.5703125" customWidth="1"/>
    <col min="1026" max="1026" width="1.5703125" customWidth="1"/>
    <col min="1027" max="1027" width="4.7109375" customWidth="1"/>
    <col min="1028" max="1028" width="1.42578125" customWidth="1"/>
    <col min="1029" max="1029" width="3.28515625" customWidth="1"/>
    <col min="1030" max="1030" width="2" customWidth="1"/>
    <col min="1031" max="1031" width="5.5703125" customWidth="1"/>
    <col min="1032" max="1032" width="1.7109375" customWidth="1"/>
    <col min="1033" max="1033" width="1.5703125" customWidth="1"/>
    <col min="1034" max="1034" width="8.5703125" customWidth="1"/>
    <col min="1271" max="1271" width="4.5703125" customWidth="1"/>
    <col min="1272" max="1272" width="6.42578125" customWidth="1"/>
    <col min="1273" max="1273" width="2.7109375" customWidth="1"/>
    <col min="1274" max="1274" width="6.28515625" customWidth="1"/>
    <col min="1275" max="1275" width="6.5703125" customWidth="1"/>
    <col min="1276" max="1276" width="28.5703125" customWidth="1"/>
    <col min="1277" max="1277" width="3.28515625" customWidth="1"/>
    <col min="1278" max="1278" width="1.5703125" customWidth="1"/>
    <col min="1279" max="1279" width="15.140625" customWidth="1"/>
    <col min="1280" max="1280" width="1.5703125" customWidth="1"/>
    <col min="1281" max="1281" width="13.5703125" customWidth="1"/>
    <col min="1282" max="1282" width="1.5703125" customWidth="1"/>
    <col min="1283" max="1283" width="4.7109375" customWidth="1"/>
    <col min="1284" max="1284" width="1.42578125" customWidth="1"/>
    <col min="1285" max="1285" width="3.28515625" customWidth="1"/>
    <col min="1286" max="1286" width="2" customWidth="1"/>
    <col min="1287" max="1287" width="5.5703125" customWidth="1"/>
    <col min="1288" max="1288" width="1.7109375" customWidth="1"/>
    <col min="1289" max="1289" width="1.5703125" customWidth="1"/>
    <col min="1290" max="1290" width="8.5703125" customWidth="1"/>
    <col min="1527" max="1527" width="4.5703125" customWidth="1"/>
    <col min="1528" max="1528" width="6.42578125" customWidth="1"/>
    <col min="1529" max="1529" width="2.7109375" customWidth="1"/>
    <col min="1530" max="1530" width="6.28515625" customWidth="1"/>
    <col min="1531" max="1531" width="6.5703125" customWidth="1"/>
    <col min="1532" max="1532" width="28.5703125" customWidth="1"/>
    <col min="1533" max="1533" width="3.28515625" customWidth="1"/>
    <col min="1534" max="1534" width="1.5703125" customWidth="1"/>
    <col min="1535" max="1535" width="15.140625" customWidth="1"/>
    <col min="1536" max="1536" width="1.5703125" customWidth="1"/>
    <col min="1537" max="1537" width="13.5703125" customWidth="1"/>
    <col min="1538" max="1538" width="1.5703125" customWidth="1"/>
    <col min="1539" max="1539" width="4.7109375" customWidth="1"/>
    <col min="1540" max="1540" width="1.42578125" customWidth="1"/>
    <col min="1541" max="1541" width="3.28515625" customWidth="1"/>
    <col min="1542" max="1542" width="2" customWidth="1"/>
    <col min="1543" max="1543" width="5.5703125" customWidth="1"/>
    <col min="1544" max="1544" width="1.7109375" customWidth="1"/>
    <col min="1545" max="1545" width="1.5703125" customWidth="1"/>
    <col min="1546" max="1546" width="8.5703125" customWidth="1"/>
    <col min="1783" max="1783" width="4.5703125" customWidth="1"/>
    <col min="1784" max="1784" width="6.42578125" customWidth="1"/>
    <col min="1785" max="1785" width="2.7109375" customWidth="1"/>
    <col min="1786" max="1786" width="6.28515625" customWidth="1"/>
    <col min="1787" max="1787" width="6.5703125" customWidth="1"/>
    <col min="1788" max="1788" width="28.5703125" customWidth="1"/>
    <col min="1789" max="1789" width="3.28515625" customWidth="1"/>
    <col min="1790" max="1790" width="1.5703125" customWidth="1"/>
    <col min="1791" max="1791" width="15.140625" customWidth="1"/>
    <col min="1792" max="1792" width="1.5703125" customWidth="1"/>
    <col min="1793" max="1793" width="13.5703125" customWidth="1"/>
    <col min="1794" max="1794" width="1.5703125" customWidth="1"/>
    <col min="1795" max="1795" width="4.7109375" customWidth="1"/>
    <col min="1796" max="1796" width="1.42578125" customWidth="1"/>
    <col min="1797" max="1797" width="3.28515625" customWidth="1"/>
    <col min="1798" max="1798" width="2" customWidth="1"/>
    <col min="1799" max="1799" width="5.5703125" customWidth="1"/>
    <col min="1800" max="1800" width="1.7109375" customWidth="1"/>
    <col min="1801" max="1801" width="1.5703125" customWidth="1"/>
    <col min="1802" max="1802" width="8.5703125" customWidth="1"/>
    <col min="2039" max="2039" width="4.5703125" customWidth="1"/>
    <col min="2040" max="2040" width="6.42578125" customWidth="1"/>
    <col min="2041" max="2041" width="2.7109375" customWidth="1"/>
    <col min="2042" max="2042" width="6.28515625" customWidth="1"/>
    <col min="2043" max="2043" width="6.5703125" customWidth="1"/>
    <col min="2044" max="2044" width="28.5703125" customWidth="1"/>
    <col min="2045" max="2045" width="3.28515625" customWidth="1"/>
    <col min="2046" max="2046" width="1.5703125" customWidth="1"/>
    <col min="2047" max="2047" width="15.140625" customWidth="1"/>
    <col min="2048" max="2048" width="1.5703125" customWidth="1"/>
    <col min="2049" max="2049" width="13.5703125" customWidth="1"/>
    <col min="2050" max="2050" width="1.5703125" customWidth="1"/>
    <col min="2051" max="2051" width="4.7109375" customWidth="1"/>
    <col min="2052" max="2052" width="1.42578125" customWidth="1"/>
    <col min="2053" max="2053" width="3.28515625" customWidth="1"/>
    <col min="2054" max="2054" width="2" customWidth="1"/>
    <col min="2055" max="2055" width="5.5703125" customWidth="1"/>
    <col min="2056" max="2056" width="1.7109375" customWidth="1"/>
    <col min="2057" max="2057" width="1.5703125" customWidth="1"/>
    <col min="2058" max="2058" width="8.5703125" customWidth="1"/>
    <col min="2295" max="2295" width="4.5703125" customWidth="1"/>
    <col min="2296" max="2296" width="6.42578125" customWidth="1"/>
    <col min="2297" max="2297" width="2.7109375" customWidth="1"/>
    <col min="2298" max="2298" width="6.28515625" customWidth="1"/>
    <col min="2299" max="2299" width="6.5703125" customWidth="1"/>
    <col min="2300" max="2300" width="28.5703125" customWidth="1"/>
    <col min="2301" max="2301" width="3.28515625" customWidth="1"/>
    <col min="2302" max="2302" width="1.5703125" customWidth="1"/>
    <col min="2303" max="2303" width="15.140625" customWidth="1"/>
    <col min="2304" max="2304" width="1.5703125" customWidth="1"/>
    <col min="2305" max="2305" width="13.5703125" customWidth="1"/>
    <col min="2306" max="2306" width="1.5703125" customWidth="1"/>
    <col min="2307" max="2307" width="4.7109375" customWidth="1"/>
    <col min="2308" max="2308" width="1.42578125" customWidth="1"/>
    <col min="2309" max="2309" width="3.28515625" customWidth="1"/>
    <col min="2310" max="2310" width="2" customWidth="1"/>
    <col min="2311" max="2311" width="5.5703125" customWidth="1"/>
    <col min="2312" max="2312" width="1.7109375" customWidth="1"/>
    <col min="2313" max="2313" width="1.5703125" customWidth="1"/>
    <col min="2314" max="2314" width="8.5703125" customWidth="1"/>
    <col min="2551" max="2551" width="4.5703125" customWidth="1"/>
    <col min="2552" max="2552" width="6.42578125" customWidth="1"/>
    <col min="2553" max="2553" width="2.7109375" customWidth="1"/>
    <col min="2554" max="2554" width="6.28515625" customWidth="1"/>
    <col min="2555" max="2555" width="6.5703125" customWidth="1"/>
    <col min="2556" max="2556" width="28.5703125" customWidth="1"/>
    <col min="2557" max="2557" width="3.28515625" customWidth="1"/>
    <col min="2558" max="2558" width="1.5703125" customWidth="1"/>
    <col min="2559" max="2559" width="15.140625" customWidth="1"/>
    <col min="2560" max="2560" width="1.5703125" customWidth="1"/>
    <col min="2561" max="2561" width="13.5703125" customWidth="1"/>
    <col min="2562" max="2562" width="1.5703125" customWidth="1"/>
    <col min="2563" max="2563" width="4.7109375" customWidth="1"/>
    <col min="2564" max="2564" width="1.42578125" customWidth="1"/>
    <col min="2565" max="2565" width="3.28515625" customWidth="1"/>
    <col min="2566" max="2566" width="2" customWidth="1"/>
    <col min="2567" max="2567" width="5.5703125" customWidth="1"/>
    <col min="2568" max="2568" width="1.7109375" customWidth="1"/>
    <col min="2569" max="2569" width="1.5703125" customWidth="1"/>
    <col min="2570" max="2570" width="8.5703125" customWidth="1"/>
    <col min="2807" max="2807" width="4.5703125" customWidth="1"/>
    <col min="2808" max="2808" width="6.42578125" customWidth="1"/>
    <col min="2809" max="2809" width="2.7109375" customWidth="1"/>
    <col min="2810" max="2810" width="6.28515625" customWidth="1"/>
    <col min="2811" max="2811" width="6.5703125" customWidth="1"/>
    <col min="2812" max="2812" width="28.5703125" customWidth="1"/>
    <col min="2813" max="2813" width="3.28515625" customWidth="1"/>
    <col min="2814" max="2814" width="1.5703125" customWidth="1"/>
    <col min="2815" max="2815" width="15.140625" customWidth="1"/>
    <col min="2816" max="2816" width="1.5703125" customWidth="1"/>
    <col min="2817" max="2817" width="13.5703125" customWidth="1"/>
    <col min="2818" max="2818" width="1.5703125" customWidth="1"/>
    <col min="2819" max="2819" width="4.7109375" customWidth="1"/>
    <col min="2820" max="2820" width="1.42578125" customWidth="1"/>
    <col min="2821" max="2821" width="3.28515625" customWidth="1"/>
    <col min="2822" max="2822" width="2" customWidth="1"/>
    <col min="2823" max="2823" width="5.5703125" customWidth="1"/>
    <col min="2824" max="2824" width="1.7109375" customWidth="1"/>
    <col min="2825" max="2825" width="1.5703125" customWidth="1"/>
    <col min="2826" max="2826" width="8.5703125" customWidth="1"/>
    <col min="3063" max="3063" width="4.5703125" customWidth="1"/>
    <col min="3064" max="3064" width="6.42578125" customWidth="1"/>
    <col min="3065" max="3065" width="2.7109375" customWidth="1"/>
    <col min="3066" max="3066" width="6.28515625" customWidth="1"/>
    <col min="3067" max="3067" width="6.5703125" customWidth="1"/>
    <col min="3068" max="3068" width="28.5703125" customWidth="1"/>
    <col min="3069" max="3069" width="3.28515625" customWidth="1"/>
    <col min="3070" max="3070" width="1.5703125" customWidth="1"/>
    <col min="3071" max="3071" width="15.140625" customWidth="1"/>
    <col min="3072" max="3072" width="1.5703125" customWidth="1"/>
    <col min="3073" max="3073" width="13.5703125" customWidth="1"/>
    <col min="3074" max="3074" width="1.5703125" customWidth="1"/>
    <col min="3075" max="3075" width="4.7109375" customWidth="1"/>
    <col min="3076" max="3076" width="1.42578125" customWidth="1"/>
    <col min="3077" max="3077" width="3.28515625" customWidth="1"/>
    <col min="3078" max="3078" width="2" customWidth="1"/>
    <col min="3079" max="3079" width="5.5703125" customWidth="1"/>
    <col min="3080" max="3080" width="1.7109375" customWidth="1"/>
    <col min="3081" max="3081" width="1.5703125" customWidth="1"/>
    <col min="3082" max="3082" width="8.5703125" customWidth="1"/>
    <col min="3319" max="3319" width="4.5703125" customWidth="1"/>
    <col min="3320" max="3320" width="6.42578125" customWidth="1"/>
    <col min="3321" max="3321" width="2.7109375" customWidth="1"/>
    <col min="3322" max="3322" width="6.28515625" customWidth="1"/>
    <col min="3323" max="3323" width="6.5703125" customWidth="1"/>
    <col min="3324" max="3324" width="28.5703125" customWidth="1"/>
    <col min="3325" max="3325" width="3.28515625" customWidth="1"/>
    <col min="3326" max="3326" width="1.5703125" customWidth="1"/>
    <col min="3327" max="3327" width="15.140625" customWidth="1"/>
    <col min="3328" max="3328" width="1.5703125" customWidth="1"/>
    <col min="3329" max="3329" width="13.5703125" customWidth="1"/>
    <col min="3330" max="3330" width="1.5703125" customWidth="1"/>
    <col min="3331" max="3331" width="4.7109375" customWidth="1"/>
    <col min="3332" max="3332" width="1.42578125" customWidth="1"/>
    <col min="3333" max="3333" width="3.28515625" customWidth="1"/>
    <col min="3334" max="3334" width="2" customWidth="1"/>
    <col min="3335" max="3335" width="5.5703125" customWidth="1"/>
    <col min="3336" max="3336" width="1.7109375" customWidth="1"/>
    <col min="3337" max="3337" width="1.5703125" customWidth="1"/>
    <col min="3338" max="3338" width="8.5703125" customWidth="1"/>
    <col min="3575" max="3575" width="4.5703125" customWidth="1"/>
    <col min="3576" max="3576" width="6.42578125" customWidth="1"/>
    <col min="3577" max="3577" width="2.7109375" customWidth="1"/>
    <col min="3578" max="3578" width="6.28515625" customWidth="1"/>
    <col min="3579" max="3579" width="6.5703125" customWidth="1"/>
    <col min="3580" max="3580" width="28.5703125" customWidth="1"/>
    <col min="3581" max="3581" width="3.28515625" customWidth="1"/>
    <col min="3582" max="3582" width="1.5703125" customWidth="1"/>
    <col min="3583" max="3583" width="15.140625" customWidth="1"/>
    <col min="3584" max="3584" width="1.5703125" customWidth="1"/>
    <col min="3585" max="3585" width="13.5703125" customWidth="1"/>
    <col min="3586" max="3586" width="1.5703125" customWidth="1"/>
    <col min="3587" max="3587" width="4.7109375" customWidth="1"/>
    <col min="3588" max="3588" width="1.42578125" customWidth="1"/>
    <col min="3589" max="3589" width="3.28515625" customWidth="1"/>
    <col min="3590" max="3590" width="2" customWidth="1"/>
    <col min="3591" max="3591" width="5.5703125" customWidth="1"/>
    <col min="3592" max="3592" width="1.7109375" customWidth="1"/>
    <col min="3593" max="3593" width="1.5703125" customWidth="1"/>
    <col min="3594" max="3594" width="8.5703125" customWidth="1"/>
    <col min="3831" max="3831" width="4.5703125" customWidth="1"/>
    <col min="3832" max="3832" width="6.42578125" customWidth="1"/>
    <col min="3833" max="3833" width="2.7109375" customWidth="1"/>
    <col min="3834" max="3834" width="6.28515625" customWidth="1"/>
    <col min="3835" max="3835" width="6.5703125" customWidth="1"/>
    <col min="3836" max="3836" width="28.5703125" customWidth="1"/>
    <col min="3837" max="3837" width="3.28515625" customWidth="1"/>
    <col min="3838" max="3838" width="1.5703125" customWidth="1"/>
    <col min="3839" max="3839" width="15.140625" customWidth="1"/>
    <col min="3840" max="3840" width="1.5703125" customWidth="1"/>
    <col min="3841" max="3841" width="13.5703125" customWidth="1"/>
    <col min="3842" max="3842" width="1.5703125" customWidth="1"/>
    <col min="3843" max="3843" width="4.7109375" customWidth="1"/>
    <col min="3844" max="3844" width="1.42578125" customWidth="1"/>
    <col min="3845" max="3845" width="3.28515625" customWidth="1"/>
    <col min="3846" max="3846" width="2" customWidth="1"/>
    <col min="3847" max="3847" width="5.5703125" customWidth="1"/>
    <col min="3848" max="3848" width="1.7109375" customWidth="1"/>
    <col min="3849" max="3849" width="1.5703125" customWidth="1"/>
    <col min="3850" max="3850" width="8.5703125" customWidth="1"/>
    <col min="4087" max="4087" width="4.5703125" customWidth="1"/>
    <col min="4088" max="4088" width="6.42578125" customWidth="1"/>
    <col min="4089" max="4089" width="2.7109375" customWidth="1"/>
    <col min="4090" max="4090" width="6.28515625" customWidth="1"/>
    <col min="4091" max="4091" width="6.5703125" customWidth="1"/>
    <col min="4092" max="4092" width="28.5703125" customWidth="1"/>
    <col min="4093" max="4093" width="3.28515625" customWidth="1"/>
    <col min="4094" max="4094" width="1.5703125" customWidth="1"/>
    <col min="4095" max="4095" width="15.140625" customWidth="1"/>
    <col min="4096" max="4096" width="1.5703125" customWidth="1"/>
    <col min="4097" max="4097" width="13.5703125" customWidth="1"/>
    <col min="4098" max="4098" width="1.5703125" customWidth="1"/>
    <col min="4099" max="4099" width="4.7109375" customWidth="1"/>
    <col min="4100" max="4100" width="1.42578125" customWidth="1"/>
    <col min="4101" max="4101" width="3.28515625" customWidth="1"/>
    <col min="4102" max="4102" width="2" customWidth="1"/>
    <col min="4103" max="4103" width="5.5703125" customWidth="1"/>
    <col min="4104" max="4104" width="1.7109375" customWidth="1"/>
    <col min="4105" max="4105" width="1.5703125" customWidth="1"/>
    <col min="4106" max="4106" width="8.5703125" customWidth="1"/>
    <col min="4343" max="4343" width="4.5703125" customWidth="1"/>
    <col min="4344" max="4344" width="6.42578125" customWidth="1"/>
    <col min="4345" max="4345" width="2.7109375" customWidth="1"/>
    <col min="4346" max="4346" width="6.28515625" customWidth="1"/>
    <col min="4347" max="4347" width="6.5703125" customWidth="1"/>
    <col min="4348" max="4348" width="28.5703125" customWidth="1"/>
    <col min="4349" max="4349" width="3.28515625" customWidth="1"/>
    <col min="4350" max="4350" width="1.5703125" customWidth="1"/>
    <col min="4351" max="4351" width="15.140625" customWidth="1"/>
    <col min="4352" max="4352" width="1.5703125" customWidth="1"/>
    <col min="4353" max="4353" width="13.5703125" customWidth="1"/>
    <col min="4354" max="4354" width="1.5703125" customWidth="1"/>
    <col min="4355" max="4355" width="4.7109375" customWidth="1"/>
    <col min="4356" max="4356" width="1.42578125" customWidth="1"/>
    <col min="4357" max="4357" width="3.28515625" customWidth="1"/>
    <col min="4358" max="4358" width="2" customWidth="1"/>
    <col min="4359" max="4359" width="5.5703125" customWidth="1"/>
    <col min="4360" max="4360" width="1.7109375" customWidth="1"/>
    <col min="4361" max="4361" width="1.5703125" customWidth="1"/>
    <col min="4362" max="4362" width="8.5703125" customWidth="1"/>
    <col min="4599" max="4599" width="4.5703125" customWidth="1"/>
    <col min="4600" max="4600" width="6.42578125" customWidth="1"/>
    <col min="4601" max="4601" width="2.7109375" customWidth="1"/>
    <col min="4602" max="4602" width="6.28515625" customWidth="1"/>
    <col min="4603" max="4603" width="6.5703125" customWidth="1"/>
    <col min="4604" max="4604" width="28.5703125" customWidth="1"/>
    <col min="4605" max="4605" width="3.28515625" customWidth="1"/>
    <col min="4606" max="4606" width="1.5703125" customWidth="1"/>
    <col min="4607" max="4607" width="15.140625" customWidth="1"/>
    <col min="4608" max="4608" width="1.5703125" customWidth="1"/>
    <col min="4609" max="4609" width="13.5703125" customWidth="1"/>
    <col min="4610" max="4610" width="1.5703125" customWidth="1"/>
    <col min="4611" max="4611" width="4.7109375" customWidth="1"/>
    <col min="4612" max="4612" width="1.42578125" customWidth="1"/>
    <col min="4613" max="4613" width="3.28515625" customWidth="1"/>
    <col min="4614" max="4614" width="2" customWidth="1"/>
    <col min="4615" max="4615" width="5.5703125" customWidth="1"/>
    <col min="4616" max="4616" width="1.7109375" customWidth="1"/>
    <col min="4617" max="4617" width="1.5703125" customWidth="1"/>
    <col min="4618" max="4618" width="8.5703125" customWidth="1"/>
    <col min="4855" max="4855" width="4.5703125" customWidth="1"/>
    <col min="4856" max="4856" width="6.42578125" customWidth="1"/>
    <col min="4857" max="4857" width="2.7109375" customWidth="1"/>
    <col min="4858" max="4858" width="6.28515625" customWidth="1"/>
    <col min="4859" max="4859" width="6.5703125" customWidth="1"/>
    <col min="4860" max="4860" width="28.5703125" customWidth="1"/>
    <col min="4861" max="4861" width="3.28515625" customWidth="1"/>
    <col min="4862" max="4862" width="1.5703125" customWidth="1"/>
    <col min="4863" max="4863" width="15.140625" customWidth="1"/>
    <col min="4864" max="4864" width="1.5703125" customWidth="1"/>
    <col min="4865" max="4865" width="13.5703125" customWidth="1"/>
    <col min="4866" max="4866" width="1.5703125" customWidth="1"/>
    <col min="4867" max="4867" width="4.7109375" customWidth="1"/>
    <col min="4868" max="4868" width="1.42578125" customWidth="1"/>
    <col min="4869" max="4869" width="3.28515625" customWidth="1"/>
    <col min="4870" max="4870" width="2" customWidth="1"/>
    <col min="4871" max="4871" width="5.5703125" customWidth="1"/>
    <col min="4872" max="4872" width="1.7109375" customWidth="1"/>
    <col min="4873" max="4873" width="1.5703125" customWidth="1"/>
    <col min="4874" max="4874" width="8.5703125" customWidth="1"/>
    <col min="5111" max="5111" width="4.5703125" customWidth="1"/>
    <col min="5112" max="5112" width="6.42578125" customWidth="1"/>
    <col min="5113" max="5113" width="2.7109375" customWidth="1"/>
    <col min="5114" max="5114" width="6.28515625" customWidth="1"/>
    <col min="5115" max="5115" width="6.5703125" customWidth="1"/>
    <col min="5116" max="5116" width="28.5703125" customWidth="1"/>
    <col min="5117" max="5117" width="3.28515625" customWidth="1"/>
    <col min="5118" max="5118" width="1.5703125" customWidth="1"/>
    <col min="5119" max="5119" width="15.140625" customWidth="1"/>
    <col min="5120" max="5120" width="1.5703125" customWidth="1"/>
    <col min="5121" max="5121" width="13.5703125" customWidth="1"/>
    <col min="5122" max="5122" width="1.5703125" customWidth="1"/>
    <col min="5123" max="5123" width="4.7109375" customWidth="1"/>
    <col min="5124" max="5124" width="1.42578125" customWidth="1"/>
    <col min="5125" max="5125" width="3.28515625" customWidth="1"/>
    <col min="5126" max="5126" width="2" customWidth="1"/>
    <col min="5127" max="5127" width="5.5703125" customWidth="1"/>
    <col min="5128" max="5128" width="1.7109375" customWidth="1"/>
    <col min="5129" max="5129" width="1.5703125" customWidth="1"/>
    <col min="5130" max="5130" width="8.5703125" customWidth="1"/>
    <col min="5367" max="5367" width="4.5703125" customWidth="1"/>
    <col min="5368" max="5368" width="6.42578125" customWidth="1"/>
    <col min="5369" max="5369" width="2.7109375" customWidth="1"/>
    <col min="5370" max="5370" width="6.28515625" customWidth="1"/>
    <col min="5371" max="5371" width="6.5703125" customWidth="1"/>
    <col min="5372" max="5372" width="28.5703125" customWidth="1"/>
    <col min="5373" max="5373" width="3.28515625" customWidth="1"/>
    <col min="5374" max="5374" width="1.5703125" customWidth="1"/>
    <col min="5375" max="5375" width="15.140625" customWidth="1"/>
    <col min="5376" max="5376" width="1.5703125" customWidth="1"/>
    <col min="5377" max="5377" width="13.5703125" customWidth="1"/>
    <col min="5378" max="5378" width="1.5703125" customWidth="1"/>
    <col min="5379" max="5379" width="4.7109375" customWidth="1"/>
    <col min="5380" max="5380" width="1.42578125" customWidth="1"/>
    <col min="5381" max="5381" width="3.28515625" customWidth="1"/>
    <col min="5382" max="5382" width="2" customWidth="1"/>
    <col min="5383" max="5383" width="5.5703125" customWidth="1"/>
    <col min="5384" max="5384" width="1.7109375" customWidth="1"/>
    <col min="5385" max="5385" width="1.5703125" customWidth="1"/>
    <col min="5386" max="5386" width="8.5703125" customWidth="1"/>
    <col min="5623" max="5623" width="4.5703125" customWidth="1"/>
    <col min="5624" max="5624" width="6.42578125" customWidth="1"/>
    <col min="5625" max="5625" width="2.7109375" customWidth="1"/>
    <col min="5626" max="5626" width="6.28515625" customWidth="1"/>
    <col min="5627" max="5627" width="6.5703125" customWidth="1"/>
    <col min="5628" max="5628" width="28.5703125" customWidth="1"/>
    <col min="5629" max="5629" width="3.28515625" customWidth="1"/>
    <col min="5630" max="5630" width="1.5703125" customWidth="1"/>
    <col min="5631" max="5631" width="15.140625" customWidth="1"/>
    <col min="5632" max="5632" width="1.5703125" customWidth="1"/>
    <col min="5633" max="5633" width="13.5703125" customWidth="1"/>
    <col min="5634" max="5634" width="1.5703125" customWidth="1"/>
    <col min="5635" max="5635" width="4.7109375" customWidth="1"/>
    <col min="5636" max="5636" width="1.42578125" customWidth="1"/>
    <col min="5637" max="5637" width="3.28515625" customWidth="1"/>
    <col min="5638" max="5638" width="2" customWidth="1"/>
    <col min="5639" max="5639" width="5.5703125" customWidth="1"/>
    <col min="5640" max="5640" width="1.7109375" customWidth="1"/>
    <col min="5641" max="5641" width="1.5703125" customWidth="1"/>
    <col min="5642" max="5642" width="8.5703125" customWidth="1"/>
    <col min="5879" max="5879" width="4.5703125" customWidth="1"/>
    <col min="5880" max="5880" width="6.42578125" customWidth="1"/>
    <col min="5881" max="5881" width="2.7109375" customWidth="1"/>
    <col min="5882" max="5882" width="6.28515625" customWidth="1"/>
    <col min="5883" max="5883" width="6.5703125" customWidth="1"/>
    <col min="5884" max="5884" width="28.5703125" customWidth="1"/>
    <col min="5885" max="5885" width="3.28515625" customWidth="1"/>
    <col min="5886" max="5886" width="1.5703125" customWidth="1"/>
    <col min="5887" max="5887" width="15.140625" customWidth="1"/>
    <col min="5888" max="5888" width="1.5703125" customWidth="1"/>
    <col min="5889" max="5889" width="13.5703125" customWidth="1"/>
    <col min="5890" max="5890" width="1.5703125" customWidth="1"/>
    <col min="5891" max="5891" width="4.7109375" customWidth="1"/>
    <col min="5892" max="5892" width="1.42578125" customWidth="1"/>
    <col min="5893" max="5893" width="3.28515625" customWidth="1"/>
    <col min="5894" max="5894" width="2" customWidth="1"/>
    <col min="5895" max="5895" width="5.5703125" customWidth="1"/>
    <col min="5896" max="5896" width="1.7109375" customWidth="1"/>
    <col min="5897" max="5897" width="1.5703125" customWidth="1"/>
    <col min="5898" max="5898" width="8.5703125" customWidth="1"/>
    <col min="6135" max="6135" width="4.5703125" customWidth="1"/>
    <col min="6136" max="6136" width="6.42578125" customWidth="1"/>
    <col min="6137" max="6137" width="2.7109375" customWidth="1"/>
    <col min="6138" max="6138" width="6.28515625" customWidth="1"/>
    <col min="6139" max="6139" width="6.5703125" customWidth="1"/>
    <col min="6140" max="6140" width="28.5703125" customWidth="1"/>
    <col min="6141" max="6141" width="3.28515625" customWidth="1"/>
    <col min="6142" max="6142" width="1.5703125" customWidth="1"/>
    <col min="6143" max="6143" width="15.140625" customWidth="1"/>
    <col min="6144" max="6144" width="1.5703125" customWidth="1"/>
    <col min="6145" max="6145" width="13.5703125" customWidth="1"/>
    <col min="6146" max="6146" width="1.5703125" customWidth="1"/>
    <col min="6147" max="6147" width="4.7109375" customWidth="1"/>
    <col min="6148" max="6148" width="1.42578125" customWidth="1"/>
    <col min="6149" max="6149" width="3.28515625" customWidth="1"/>
    <col min="6150" max="6150" width="2" customWidth="1"/>
    <col min="6151" max="6151" width="5.5703125" customWidth="1"/>
    <col min="6152" max="6152" width="1.7109375" customWidth="1"/>
    <col min="6153" max="6153" width="1.5703125" customWidth="1"/>
    <col min="6154" max="6154" width="8.5703125" customWidth="1"/>
    <col min="6391" max="6391" width="4.5703125" customWidth="1"/>
    <col min="6392" max="6392" width="6.42578125" customWidth="1"/>
    <col min="6393" max="6393" width="2.7109375" customWidth="1"/>
    <col min="6394" max="6394" width="6.28515625" customWidth="1"/>
    <col min="6395" max="6395" width="6.5703125" customWidth="1"/>
    <col min="6396" max="6396" width="28.5703125" customWidth="1"/>
    <col min="6397" max="6397" width="3.28515625" customWidth="1"/>
    <col min="6398" max="6398" width="1.5703125" customWidth="1"/>
    <col min="6399" max="6399" width="15.140625" customWidth="1"/>
    <col min="6400" max="6400" width="1.5703125" customWidth="1"/>
    <col min="6401" max="6401" width="13.5703125" customWidth="1"/>
    <col min="6402" max="6402" width="1.5703125" customWidth="1"/>
    <col min="6403" max="6403" width="4.7109375" customWidth="1"/>
    <col min="6404" max="6404" width="1.42578125" customWidth="1"/>
    <col min="6405" max="6405" width="3.28515625" customWidth="1"/>
    <col min="6406" max="6406" width="2" customWidth="1"/>
    <col min="6407" max="6407" width="5.5703125" customWidth="1"/>
    <col min="6408" max="6408" width="1.7109375" customWidth="1"/>
    <col min="6409" max="6409" width="1.5703125" customWidth="1"/>
    <col min="6410" max="6410" width="8.5703125" customWidth="1"/>
    <col min="6647" max="6647" width="4.5703125" customWidth="1"/>
    <col min="6648" max="6648" width="6.42578125" customWidth="1"/>
    <col min="6649" max="6649" width="2.7109375" customWidth="1"/>
    <col min="6650" max="6650" width="6.28515625" customWidth="1"/>
    <col min="6651" max="6651" width="6.5703125" customWidth="1"/>
    <col min="6652" max="6652" width="28.5703125" customWidth="1"/>
    <col min="6653" max="6653" width="3.28515625" customWidth="1"/>
    <col min="6654" max="6654" width="1.5703125" customWidth="1"/>
    <col min="6655" max="6655" width="15.140625" customWidth="1"/>
    <col min="6656" max="6656" width="1.5703125" customWidth="1"/>
    <col min="6657" max="6657" width="13.5703125" customWidth="1"/>
    <col min="6658" max="6658" width="1.5703125" customWidth="1"/>
    <col min="6659" max="6659" width="4.7109375" customWidth="1"/>
    <col min="6660" max="6660" width="1.42578125" customWidth="1"/>
    <col min="6661" max="6661" width="3.28515625" customWidth="1"/>
    <col min="6662" max="6662" width="2" customWidth="1"/>
    <col min="6663" max="6663" width="5.5703125" customWidth="1"/>
    <col min="6664" max="6664" width="1.7109375" customWidth="1"/>
    <col min="6665" max="6665" width="1.5703125" customWidth="1"/>
    <col min="6666" max="6666" width="8.5703125" customWidth="1"/>
    <col min="6903" max="6903" width="4.5703125" customWidth="1"/>
    <col min="6904" max="6904" width="6.42578125" customWidth="1"/>
    <col min="6905" max="6905" width="2.7109375" customWidth="1"/>
    <col min="6906" max="6906" width="6.28515625" customWidth="1"/>
    <col min="6907" max="6907" width="6.5703125" customWidth="1"/>
    <col min="6908" max="6908" width="28.5703125" customWidth="1"/>
    <col min="6909" max="6909" width="3.28515625" customWidth="1"/>
    <col min="6910" max="6910" width="1.5703125" customWidth="1"/>
    <col min="6911" max="6911" width="15.140625" customWidth="1"/>
    <col min="6912" max="6912" width="1.5703125" customWidth="1"/>
    <col min="6913" max="6913" width="13.5703125" customWidth="1"/>
    <col min="6914" max="6914" width="1.5703125" customWidth="1"/>
    <col min="6915" max="6915" width="4.7109375" customWidth="1"/>
    <col min="6916" max="6916" width="1.42578125" customWidth="1"/>
    <col min="6917" max="6917" width="3.28515625" customWidth="1"/>
    <col min="6918" max="6918" width="2" customWidth="1"/>
    <col min="6919" max="6919" width="5.5703125" customWidth="1"/>
    <col min="6920" max="6920" width="1.7109375" customWidth="1"/>
    <col min="6921" max="6921" width="1.5703125" customWidth="1"/>
    <col min="6922" max="6922" width="8.5703125" customWidth="1"/>
    <col min="7159" max="7159" width="4.5703125" customWidth="1"/>
    <col min="7160" max="7160" width="6.42578125" customWidth="1"/>
    <col min="7161" max="7161" width="2.7109375" customWidth="1"/>
    <col min="7162" max="7162" width="6.28515625" customWidth="1"/>
    <col min="7163" max="7163" width="6.5703125" customWidth="1"/>
    <col min="7164" max="7164" width="28.5703125" customWidth="1"/>
    <col min="7165" max="7165" width="3.28515625" customWidth="1"/>
    <col min="7166" max="7166" width="1.5703125" customWidth="1"/>
    <col min="7167" max="7167" width="15.140625" customWidth="1"/>
    <col min="7168" max="7168" width="1.5703125" customWidth="1"/>
    <col min="7169" max="7169" width="13.5703125" customWidth="1"/>
    <col min="7170" max="7170" width="1.5703125" customWidth="1"/>
    <col min="7171" max="7171" width="4.7109375" customWidth="1"/>
    <col min="7172" max="7172" width="1.42578125" customWidth="1"/>
    <col min="7173" max="7173" width="3.28515625" customWidth="1"/>
    <col min="7174" max="7174" width="2" customWidth="1"/>
    <col min="7175" max="7175" width="5.5703125" customWidth="1"/>
    <col min="7176" max="7176" width="1.7109375" customWidth="1"/>
    <col min="7177" max="7177" width="1.5703125" customWidth="1"/>
    <col min="7178" max="7178" width="8.5703125" customWidth="1"/>
    <col min="7415" max="7415" width="4.5703125" customWidth="1"/>
    <col min="7416" max="7416" width="6.42578125" customWidth="1"/>
    <col min="7417" max="7417" width="2.7109375" customWidth="1"/>
    <col min="7418" max="7418" width="6.28515625" customWidth="1"/>
    <col min="7419" max="7419" width="6.5703125" customWidth="1"/>
    <col min="7420" max="7420" width="28.5703125" customWidth="1"/>
    <col min="7421" max="7421" width="3.28515625" customWidth="1"/>
    <col min="7422" max="7422" width="1.5703125" customWidth="1"/>
    <col min="7423" max="7423" width="15.140625" customWidth="1"/>
    <col min="7424" max="7424" width="1.5703125" customWidth="1"/>
    <col min="7425" max="7425" width="13.5703125" customWidth="1"/>
    <col min="7426" max="7426" width="1.5703125" customWidth="1"/>
    <col min="7427" max="7427" width="4.7109375" customWidth="1"/>
    <col min="7428" max="7428" width="1.42578125" customWidth="1"/>
    <col min="7429" max="7429" width="3.28515625" customWidth="1"/>
    <col min="7430" max="7430" width="2" customWidth="1"/>
    <col min="7431" max="7431" width="5.5703125" customWidth="1"/>
    <col min="7432" max="7432" width="1.7109375" customWidth="1"/>
    <col min="7433" max="7433" width="1.5703125" customWidth="1"/>
    <col min="7434" max="7434" width="8.5703125" customWidth="1"/>
    <col min="7671" max="7671" width="4.5703125" customWidth="1"/>
    <col min="7672" max="7672" width="6.42578125" customWidth="1"/>
    <col min="7673" max="7673" width="2.7109375" customWidth="1"/>
    <col min="7674" max="7674" width="6.28515625" customWidth="1"/>
    <col min="7675" max="7675" width="6.5703125" customWidth="1"/>
    <col min="7676" max="7676" width="28.5703125" customWidth="1"/>
    <col min="7677" max="7677" width="3.28515625" customWidth="1"/>
    <col min="7678" max="7678" width="1.5703125" customWidth="1"/>
    <col min="7679" max="7679" width="15.140625" customWidth="1"/>
    <col min="7680" max="7680" width="1.5703125" customWidth="1"/>
    <col min="7681" max="7681" width="13.5703125" customWidth="1"/>
    <col min="7682" max="7682" width="1.5703125" customWidth="1"/>
    <col min="7683" max="7683" width="4.7109375" customWidth="1"/>
    <col min="7684" max="7684" width="1.42578125" customWidth="1"/>
    <col min="7685" max="7685" width="3.28515625" customWidth="1"/>
    <col min="7686" max="7686" width="2" customWidth="1"/>
    <col min="7687" max="7687" width="5.5703125" customWidth="1"/>
    <col min="7688" max="7688" width="1.7109375" customWidth="1"/>
    <col min="7689" max="7689" width="1.5703125" customWidth="1"/>
    <col min="7690" max="7690" width="8.5703125" customWidth="1"/>
    <col min="7927" max="7927" width="4.5703125" customWidth="1"/>
    <col min="7928" max="7928" width="6.42578125" customWidth="1"/>
    <col min="7929" max="7929" width="2.7109375" customWidth="1"/>
    <col min="7930" max="7930" width="6.28515625" customWidth="1"/>
    <col min="7931" max="7931" width="6.5703125" customWidth="1"/>
    <col min="7932" max="7932" width="28.5703125" customWidth="1"/>
    <col min="7933" max="7933" width="3.28515625" customWidth="1"/>
    <col min="7934" max="7934" width="1.5703125" customWidth="1"/>
    <col min="7935" max="7935" width="15.140625" customWidth="1"/>
    <col min="7936" max="7936" width="1.5703125" customWidth="1"/>
    <col min="7937" max="7937" width="13.5703125" customWidth="1"/>
    <col min="7938" max="7938" width="1.5703125" customWidth="1"/>
    <col min="7939" max="7939" width="4.7109375" customWidth="1"/>
    <col min="7940" max="7940" width="1.42578125" customWidth="1"/>
    <col min="7941" max="7941" width="3.28515625" customWidth="1"/>
    <col min="7942" max="7942" width="2" customWidth="1"/>
    <col min="7943" max="7943" width="5.5703125" customWidth="1"/>
    <col min="7944" max="7944" width="1.7109375" customWidth="1"/>
    <col min="7945" max="7945" width="1.5703125" customWidth="1"/>
    <col min="7946" max="7946" width="8.5703125" customWidth="1"/>
    <col min="8183" max="8183" width="4.5703125" customWidth="1"/>
    <col min="8184" max="8184" width="6.42578125" customWidth="1"/>
    <col min="8185" max="8185" width="2.7109375" customWidth="1"/>
    <col min="8186" max="8186" width="6.28515625" customWidth="1"/>
    <col min="8187" max="8187" width="6.5703125" customWidth="1"/>
    <col min="8188" max="8188" width="28.5703125" customWidth="1"/>
    <col min="8189" max="8189" width="3.28515625" customWidth="1"/>
    <col min="8190" max="8190" width="1.5703125" customWidth="1"/>
    <col min="8191" max="8191" width="15.140625" customWidth="1"/>
    <col min="8192" max="8192" width="1.5703125" customWidth="1"/>
    <col min="8193" max="8193" width="13.5703125" customWidth="1"/>
    <col min="8194" max="8194" width="1.5703125" customWidth="1"/>
    <col min="8195" max="8195" width="4.7109375" customWidth="1"/>
    <col min="8196" max="8196" width="1.42578125" customWidth="1"/>
    <col min="8197" max="8197" width="3.28515625" customWidth="1"/>
    <col min="8198" max="8198" width="2" customWidth="1"/>
    <col min="8199" max="8199" width="5.5703125" customWidth="1"/>
    <col min="8200" max="8200" width="1.7109375" customWidth="1"/>
    <col min="8201" max="8201" width="1.5703125" customWidth="1"/>
    <col min="8202" max="8202" width="8.5703125" customWidth="1"/>
    <col min="8439" max="8439" width="4.5703125" customWidth="1"/>
    <col min="8440" max="8440" width="6.42578125" customWidth="1"/>
    <col min="8441" max="8441" width="2.7109375" customWidth="1"/>
    <col min="8442" max="8442" width="6.28515625" customWidth="1"/>
    <col min="8443" max="8443" width="6.5703125" customWidth="1"/>
    <col min="8444" max="8444" width="28.5703125" customWidth="1"/>
    <col min="8445" max="8445" width="3.28515625" customWidth="1"/>
    <col min="8446" max="8446" width="1.5703125" customWidth="1"/>
    <col min="8447" max="8447" width="15.140625" customWidth="1"/>
    <col min="8448" max="8448" width="1.5703125" customWidth="1"/>
    <col min="8449" max="8449" width="13.5703125" customWidth="1"/>
    <col min="8450" max="8450" width="1.5703125" customWidth="1"/>
    <col min="8451" max="8451" width="4.7109375" customWidth="1"/>
    <col min="8452" max="8452" width="1.42578125" customWidth="1"/>
    <col min="8453" max="8453" width="3.28515625" customWidth="1"/>
    <col min="8454" max="8454" width="2" customWidth="1"/>
    <col min="8455" max="8455" width="5.5703125" customWidth="1"/>
    <col min="8456" max="8456" width="1.7109375" customWidth="1"/>
    <col min="8457" max="8457" width="1.5703125" customWidth="1"/>
    <col min="8458" max="8458" width="8.5703125" customWidth="1"/>
    <col min="8695" max="8695" width="4.5703125" customWidth="1"/>
    <col min="8696" max="8696" width="6.42578125" customWidth="1"/>
    <col min="8697" max="8697" width="2.7109375" customWidth="1"/>
    <col min="8698" max="8698" width="6.28515625" customWidth="1"/>
    <col min="8699" max="8699" width="6.5703125" customWidth="1"/>
    <col min="8700" max="8700" width="28.5703125" customWidth="1"/>
    <col min="8701" max="8701" width="3.28515625" customWidth="1"/>
    <col min="8702" max="8702" width="1.5703125" customWidth="1"/>
    <col min="8703" max="8703" width="15.140625" customWidth="1"/>
    <col min="8704" max="8704" width="1.5703125" customWidth="1"/>
    <col min="8705" max="8705" width="13.5703125" customWidth="1"/>
    <col min="8706" max="8706" width="1.5703125" customWidth="1"/>
    <col min="8707" max="8707" width="4.7109375" customWidth="1"/>
    <col min="8708" max="8708" width="1.42578125" customWidth="1"/>
    <col min="8709" max="8709" width="3.28515625" customWidth="1"/>
    <col min="8710" max="8710" width="2" customWidth="1"/>
    <col min="8711" max="8711" width="5.5703125" customWidth="1"/>
    <col min="8712" max="8712" width="1.7109375" customWidth="1"/>
    <col min="8713" max="8713" width="1.5703125" customWidth="1"/>
    <col min="8714" max="8714" width="8.5703125" customWidth="1"/>
    <col min="8951" max="8951" width="4.5703125" customWidth="1"/>
    <col min="8952" max="8952" width="6.42578125" customWidth="1"/>
    <col min="8953" max="8953" width="2.7109375" customWidth="1"/>
    <col min="8954" max="8954" width="6.28515625" customWidth="1"/>
    <col min="8955" max="8955" width="6.5703125" customWidth="1"/>
    <col min="8956" max="8956" width="28.5703125" customWidth="1"/>
    <col min="8957" max="8957" width="3.28515625" customWidth="1"/>
    <col min="8958" max="8958" width="1.5703125" customWidth="1"/>
    <col min="8959" max="8959" width="15.140625" customWidth="1"/>
    <col min="8960" max="8960" width="1.5703125" customWidth="1"/>
    <col min="8961" max="8961" width="13.5703125" customWidth="1"/>
    <col min="8962" max="8962" width="1.5703125" customWidth="1"/>
    <col min="8963" max="8963" width="4.7109375" customWidth="1"/>
    <col min="8964" max="8964" width="1.42578125" customWidth="1"/>
    <col min="8965" max="8965" width="3.28515625" customWidth="1"/>
    <col min="8966" max="8966" width="2" customWidth="1"/>
    <col min="8967" max="8967" width="5.5703125" customWidth="1"/>
    <col min="8968" max="8968" width="1.7109375" customWidth="1"/>
    <col min="8969" max="8969" width="1.5703125" customWidth="1"/>
    <col min="8970" max="8970" width="8.5703125" customWidth="1"/>
    <col min="9207" max="9207" width="4.5703125" customWidth="1"/>
    <col min="9208" max="9208" width="6.42578125" customWidth="1"/>
    <col min="9209" max="9209" width="2.7109375" customWidth="1"/>
    <col min="9210" max="9210" width="6.28515625" customWidth="1"/>
    <col min="9211" max="9211" width="6.5703125" customWidth="1"/>
    <col min="9212" max="9212" width="28.5703125" customWidth="1"/>
    <col min="9213" max="9213" width="3.28515625" customWidth="1"/>
    <col min="9214" max="9214" width="1.5703125" customWidth="1"/>
    <col min="9215" max="9215" width="15.140625" customWidth="1"/>
    <col min="9216" max="9216" width="1.5703125" customWidth="1"/>
    <col min="9217" max="9217" width="13.5703125" customWidth="1"/>
    <col min="9218" max="9218" width="1.5703125" customWidth="1"/>
    <col min="9219" max="9219" width="4.7109375" customWidth="1"/>
    <col min="9220" max="9220" width="1.42578125" customWidth="1"/>
    <col min="9221" max="9221" width="3.28515625" customWidth="1"/>
    <col min="9222" max="9222" width="2" customWidth="1"/>
    <col min="9223" max="9223" width="5.5703125" customWidth="1"/>
    <col min="9224" max="9224" width="1.7109375" customWidth="1"/>
    <col min="9225" max="9225" width="1.5703125" customWidth="1"/>
    <col min="9226" max="9226" width="8.5703125" customWidth="1"/>
    <col min="9463" max="9463" width="4.5703125" customWidth="1"/>
    <col min="9464" max="9464" width="6.42578125" customWidth="1"/>
    <col min="9465" max="9465" width="2.7109375" customWidth="1"/>
    <col min="9466" max="9466" width="6.28515625" customWidth="1"/>
    <col min="9467" max="9467" width="6.5703125" customWidth="1"/>
    <col min="9468" max="9468" width="28.5703125" customWidth="1"/>
    <col min="9469" max="9469" width="3.28515625" customWidth="1"/>
    <col min="9470" max="9470" width="1.5703125" customWidth="1"/>
    <col min="9471" max="9471" width="15.140625" customWidth="1"/>
    <col min="9472" max="9472" width="1.5703125" customWidth="1"/>
    <col min="9473" max="9473" width="13.5703125" customWidth="1"/>
    <col min="9474" max="9474" width="1.5703125" customWidth="1"/>
    <col min="9475" max="9475" width="4.7109375" customWidth="1"/>
    <col min="9476" max="9476" width="1.42578125" customWidth="1"/>
    <col min="9477" max="9477" width="3.28515625" customWidth="1"/>
    <col min="9478" max="9478" width="2" customWidth="1"/>
    <col min="9479" max="9479" width="5.5703125" customWidth="1"/>
    <col min="9480" max="9480" width="1.7109375" customWidth="1"/>
    <col min="9481" max="9481" width="1.5703125" customWidth="1"/>
    <col min="9482" max="9482" width="8.5703125" customWidth="1"/>
    <col min="9719" max="9719" width="4.5703125" customWidth="1"/>
    <col min="9720" max="9720" width="6.42578125" customWidth="1"/>
    <col min="9721" max="9721" width="2.7109375" customWidth="1"/>
    <col min="9722" max="9722" width="6.28515625" customWidth="1"/>
    <col min="9723" max="9723" width="6.5703125" customWidth="1"/>
    <col min="9724" max="9724" width="28.5703125" customWidth="1"/>
    <col min="9725" max="9725" width="3.28515625" customWidth="1"/>
    <col min="9726" max="9726" width="1.5703125" customWidth="1"/>
    <col min="9727" max="9727" width="15.140625" customWidth="1"/>
    <col min="9728" max="9728" width="1.5703125" customWidth="1"/>
    <col min="9729" max="9729" width="13.5703125" customWidth="1"/>
    <col min="9730" max="9730" width="1.5703125" customWidth="1"/>
    <col min="9731" max="9731" width="4.7109375" customWidth="1"/>
    <col min="9732" max="9732" width="1.42578125" customWidth="1"/>
    <col min="9733" max="9733" width="3.28515625" customWidth="1"/>
    <col min="9734" max="9734" width="2" customWidth="1"/>
    <col min="9735" max="9735" width="5.5703125" customWidth="1"/>
    <col min="9736" max="9736" width="1.7109375" customWidth="1"/>
    <col min="9737" max="9737" width="1.5703125" customWidth="1"/>
    <col min="9738" max="9738" width="8.5703125" customWidth="1"/>
    <col min="9975" max="9975" width="4.5703125" customWidth="1"/>
    <col min="9976" max="9976" width="6.42578125" customWidth="1"/>
    <col min="9977" max="9977" width="2.7109375" customWidth="1"/>
    <col min="9978" max="9978" width="6.28515625" customWidth="1"/>
    <col min="9979" max="9979" width="6.5703125" customWidth="1"/>
    <col min="9980" max="9980" width="28.5703125" customWidth="1"/>
    <col min="9981" max="9981" width="3.28515625" customWidth="1"/>
    <col min="9982" max="9982" width="1.5703125" customWidth="1"/>
    <col min="9983" max="9983" width="15.140625" customWidth="1"/>
    <col min="9984" max="9984" width="1.5703125" customWidth="1"/>
    <col min="9985" max="9985" width="13.5703125" customWidth="1"/>
    <col min="9986" max="9986" width="1.5703125" customWidth="1"/>
    <col min="9987" max="9987" width="4.7109375" customWidth="1"/>
    <col min="9988" max="9988" width="1.42578125" customWidth="1"/>
    <col min="9989" max="9989" width="3.28515625" customWidth="1"/>
    <col min="9990" max="9990" width="2" customWidth="1"/>
    <col min="9991" max="9991" width="5.5703125" customWidth="1"/>
    <col min="9992" max="9992" width="1.7109375" customWidth="1"/>
    <col min="9993" max="9993" width="1.5703125" customWidth="1"/>
    <col min="9994" max="9994" width="8.5703125" customWidth="1"/>
    <col min="10231" max="10231" width="4.5703125" customWidth="1"/>
    <col min="10232" max="10232" width="6.42578125" customWidth="1"/>
    <col min="10233" max="10233" width="2.7109375" customWidth="1"/>
    <col min="10234" max="10234" width="6.28515625" customWidth="1"/>
    <col min="10235" max="10235" width="6.5703125" customWidth="1"/>
    <col min="10236" max="10236" width="28.5703125" customWidth="1"/>
    <col min="10237" max="10237" width="3.28515625" customWidth="1"/>
    <col min="10238" max="10238" width="1.5703125" customWidth="1"/>
    <col min="10239" max="10239" width="15.140625" customWidth="1"/>
    <col min="10240" max="10240" width="1.5703125" customWidth="1"/>
    <col min="10241" max="10241" width="13.5703125" customWidth="1"/>
    <col min="10242" max="10242" width="1.5703125" customWidth="1"/>
    <col min="10243" max="10243" width="4.7109375" customWidth="1"/>
    <col min="10244" max="10244" width="1.42578125" customWidth="1"/>
    <col min="10245" max="10245" width="3.28515625" customWidth="1"/>
    <col min="10246" max="10246" width="2" customWidth="1"/>
    <col min="10247" max="10247" width="5.5703125" customWidth="1"/>
    <col min="10248" max="10248" width="1.7109375" customWidth="1"/>
    <col min="10249" max="10249" width="1.5703125" customWidth="1"/>
    <col min="10250" max="10250" width="8.5703125" customWidth="1"/>
    <col min="10487" max="10487" width="4.5703125" customWidth="1"/>
    <col min="10488" max="10488" width="6.42578125" customWidth="1"/>
    <col min="10489" max="10489" width="2.7109375" customWidth="1"/>
    <col min="10490" max="10490" width="6.28515625" customWidth="1"/>
    <col min="10491" max="10491" width="6.5703125" customWidth="1"/>
    <col min="10492" max="10492" width="28.5703125" customWidth="1"/>
    <col min="10493" max="10493" width="3.28515625" customWidth="1"/>
    <col min="10494" max="10494" width="1.5703125" customWidth="1"/>
    <col min="10495" max="10495" width="15.140625" customWidth="1"/>
    <col min="10496" max="10496" width="1.5703125" customWidth="1"/>
    <col min="10497" max="10497" width="13.5703125" customWidth="1"/>
    <col min="10498" max="10498" width="1.5703125" customWidth="1"/>
    <col min="10499" max="10499" width="4.7109375" customWidth="1"/>
    <col min="10500" max="10500" width="1.42578125" customWidth="1"/>
    <col min="10501" max="10501" width="3.28515625" customWidth="1"/>
    <col min="10502" max="10502" width="2" customWidth="1"/>
    <col min="10503" max="10503" width="5.5703125" customWidth="1"/>
    <col min="10504" max="10504" width="1.7109375" customWidth="1"/>
    <col min="10505" max="10505" width="1.5703125" customWidth="1"/>
    <col min="10506" max="10506" width="8.5703125" customWidth="1"/>
    <col min="10743" max="10743" width="4.5703125" customWidth="1"/>
    <col min="10744" max="10744" width="6.42578125" customWidth="1"/>
    <col min="10745" max="10745" width="2.7109375" customWidth="1"/>
    <col min="10746" max="10746" width="6.28515625" customWidth="1"/>
    <col min="10747" max="10747" width="6.5703125" customWidth="1"/>
    <col min="10748" max="10748" width="28.5703125" customWidth="1"/>
    <col min="10749" max="10749" width="3.28515625" customWidth="1"/>
    <col min="10750" max="10750" width="1.5703125" customWidth="1"/>
    <col min="10751" max="10751" width="15.140625" customWidth="1"/>
    <col min="10752" max="10752" width="1.5703125" customWidth="1"/>
    <col min="10753" max="10753" width="13.5703125" customWidth="1"/>
    <col min="10754" max="10754" width="1.5703125" customWidth="1"/>
    <col min="10755" max="10755" width="4.7109375" customWidth="1"/>
    <col min="10756" max="10756" width="1.42578125" customWidth="1"/>
    <col min="10757" max="10757" width="3.28515625" customWidth="1"/>
    <col min="10758" max="10758" width="2" customWidth="1"/>
    <col min="10759" max="10759" width="5.5703125" customWidth="1"/>
    <col min="10760" max="10760" width="1.7109375" customWidth="1"/>
    <col min="10761" max="10761" width="1.5703125" customWidth="1"/>
    <col min="10762" max="10762" width="8.5703125" customWidth="1"/>
    <col min="10999" max="10999" width="4.5703125" customWidth="1"/>
    <col min="11000" max="11000" width="6.42578125" customWidth="1"/>
    <col min="11001" max="11001" width="2.7109375" customWidth="1"/>
    <col min="11002" max="11002" width="6.28515625" customWidth="1"/>
    <col min="11003" max="11003" width="6.5703125" customWidth="1"/>
    <col min="11004" max="11004" width="28.5703125" customWidth="1"/>
    <col min="11005" max="11005" width="3.28515625" customWidth="1"/>
    <col min="11006" max="11006" width="1.5703125" customWidth="1"/>
    <col min="11007" max="11007" width="15.140625" customWidth="1"/>
    <col min="11008" max="11008" width="1.5703125" customWidth="1"/>
    <col min="11009" max="11009" width="13.5703125" customWidth="1"/>
    <col min="11010" max="11010" width="1.5703125" customWidth="1"/>
    <col min="11011" max="11011" width="4.7109375" customWidth="1"/>
    <col min="11012" max="11012" width="1.42578125" customWidth="1"/>
    <col min="11013" max="11013" width="3.28515625" customWidth="1"/>
    <col min="11014" max="11014" width="2" customWidth="1"/>
    <col min="11015" max="11015" width="5.5703125" customWidth="1"/>
    <col min="11016" max="11016" width="1.7109375" customWidth="1"/>
    <col min="11017" max="11017" width="1.5703125" customWidth="1"/>
    <col min="11018" max="11018" width="8.5703125" customWidth="1"/>
    <col min="11255" max="11255" width="4.5703125" customWidth="1"/>
    <col min="11256" max="11256" width="6.42578125" customWidth="1"/>
    <col min="11257" max="11257" width="2.7109375" customWidth="1"/>
    <col min="11258" max="11258" width="6.28515625" customWidth="1"/>
    <col min="11259" max="11259" width="6.5703125" customWidth="1"/>
    <col min="11260" max="11260" width="28.5703125" customWidth="1"/>
    <col min="11261" max="11261" width="3.28515625" customWidth="1"/>
    <col min="11262" max="11262" width="1.5703125" customWidth="1"/>
    <col min="11263" max="11263" width="15.140625" customWidth="1"/>
    <col min="11264" max="11264" width="1.5703125" customWidth="1"/>
    <col min="11265" max="11265" width="13.5703125" customWidth="1"/>
    <col min="11266" max="11266" width="1.5703125" customWidth="1"/>
    <col min="11267" max="11267" width="4.7109375" customWidth="1"/>
    <col min="11268" max="11268" width="1.42578125" customWidth="1"/>
    <col min="11269" max="11269" width="3.28515625" customWidth="1"/>
    <col min="11270" max="11270" width="2" customWidth="1"/>
    <col min="11271" max="11271" width="5.5703125" customWidth="1"/>
    <col min="11272" max="11272" width="1.7109375" customWidth="1"/>
    <col min="11273" max="11273" width="1.5703125" customWidth="1"/>
    <col min="11274" max="11274" width="8.5703125" customWidth="1"/>
    <col min="11511" max="11511" width="4.5703125" customWidth="1"/>
    <col min="11512" max="11512" width="6.42578125" customWidth="1"/>
    <col min="11513" max="11513" width="2.7109375" customWidth="1"/>
    <col min="11514" max="11514" width="6.28515625" customWidth="1"/>
    <col min="11515" max="11515" width="6.5703125" customWidth="1"/>
    <col min="11516" max="11516" width="28.5703125" customWidth="1"/>
    <col min="11517" max="11517" width="3.28515625" customWidth="1"/>
    <col min="11518" max="11518" width="1.5703125" customWidth="1"/>
    <col min="11519" max="11519" width="15.140625" customWidth="1"/>
    <col min="11520" max="11520" width="1.5703125" customWidth="1"/>
    <col min="11521" max="11521" width="13.5703125" customWidth="1"/>
    <col min="11522" max="11522" width="1.5703125" customWidth="1"/>
    <col min="11523" max="11523" width="4.7109375" customWidth="1"/>
    <col min="11524" max="11524" width="1.42578125" customWidth="1"/>
    <col min="11525" max="11525" width="3.28515625" customWidth="1"/>
    <col min="11526" max="11526" width="2" customWidth="1"/>
    <col min="11527" max="11527" width="5.5703125" customWidth="1"/>
    <col min="11528" max="11528" width="1.7109375" customWidth="1"/>
    <col min="11529" max="11529" width="1.5703125" customWidth="1"/>
    <col min="11530" max="11530" width="8.5703125" customWidth="1"/>
    <col min="11767" max="11767" width="4.5703125" customWidth="1"/>
    <col min="11768" max="11768" width="6.42578125" customWidth="1"/>
    <col min="11769" max="11769" width="2.7109375" customWidth="1"/>
    <col min="11770" max="11770" width="6.28515625" customWidth="1"/>
    <col min="11771" max="11771" width="6.5703125" customWidth="1"/>
    <col min="11772" max="11772" width="28.5703125" customWidth="1"/>
    <col min="11773" max="11773" width="3.28515625" customWidth="1"/>
    <col min="11774" max="11774" width="1.5703125" customWidth="1"/>
    <col min="11775" max="11775" width="15.140625" customWidth="1"/>
    <col min="11776" max="11776" width="1.5703125" customWidth="1"/>
    <col min="11777" max="11777" width="13.5703125" customWidth="1"/>
    <col min="11778" max="11778" width="1.5703125" customWidth="1"/>
    <col min="11779" max="11779" width="4.7109375" customWidth="1"/>
    <col min="11780" max="11780" width="1.42578125" customWidth="1"/>
    <col min="11781" max="11781" width="3.28515625" customWidth="1"/>
    <col min="11782" max="11782" width="2" customWidth="1"/>
    <col min="11783" max="11783" width="5.5703125" customWidth="1"/>
    <col min="11784" max="11784" width="1.7109375" customWidth="1"/>
    <col min="11785" max="11785" width="1.5703125" customWidth="1"/>
    <col min="11786" max="11786" width="8.5703125" customWidth="1"/>
    <col min="12023" max="12023" width="4.5703125" customWidth="1"/>
    <col min="12024" max="12024" width="6.42578125" customWidth="1"/>
    <col min="12025" max="12025" width="2.7109375" customWidth="1"/>
    <col min="12026" max="12026" width="6.28515625" customWidth="1"/>
    <col min="12027" max="12027" width="6.5703125" customWidth="1"/>
    <col min="12028" max="12028" width="28.5703125" customWidth="1"/>
    <col min="12029" max="12029" width="3.28515625" customWidth="1"/>
    <col min="12030" max="12030" width="1.5703125" customWidth="1"/>
    <col min="12031" max="12031" width="15.140625" customWidth="1"/>
    <col min="12032" max="12032" width="1.5703125" customWidth="1"/>
    <col min="12033" max="12033" width="13.5703125" customWidth="1"/>
    <col min="12034" max="12034" width="1.5703125" customWidth="1"/>
    <col min="12035" max="12035" width="4.7109375" customWidth="1"/>
    <col min="12036" max="12036" width="1.42578125" customWidth="1"/>
    <col min="12037" max="12037" width="3.28515625" customWidth="1"/>
    <col min="12038" max="12038" width="2" customWidth="1"/>
    <col min="12039" max="12039" width="5.5703125" customWidth="1"/>
    <col min="12040" max="12040" width="1.7109375" customWidth="1"/>
    <col min="12041" max="12041" width="1.5703125" customWidth="1"/>
    <col min="12042" max="12042" width="8.5703125" customWidth="1"/>
    <col min="12279" max="12279" width="4.5703125" customWidth="1"/>
    <col min="12280" max="12280" width="6.42578125" customWidth="1"/>
    <col min="12281" max="12281" width="2.7109375" customWidth="1"/>
    <col min="12282" max="12282" width="6.28515625" customWidth="1"/>
    <col min="12283" max="12283" width="6.5703125" customWidth="1"/>
    <col min="12284" max="12284" width="28.5703125" customWidth="1"/>
    <col min="12285" max="12285" width="3.28515625" customWidth="1"/>
    <col min="12286" max="12286" width="1.5703125" customWidth="1"/>
    <col min="12287" max="12287" width="15.140625" customWidth="1"/>
    <col min="12288" max="12288" width="1.5703125" customWidth="1"/>
    <col min="12289" max="12289" width="13.5703125" customWidth="1"/>
    <col min="12290" max="12290" width="1.5703125" customWidth="1"/>
    <col min="12291" max="12291" width="4.7109375" customWidth="1"/>
    <col min="12292" max="12292" width="1.42578125" customWidth="1"/>
    <col min="12293" max="12293" width="3.28515625" customWidth="1"/>
    <col min="12294" max="12294" width="2" customWidth="1"/>
    <col min="12295" max="12295" width="5.5703125" customWidth="1"/>
    <col min="12296" max="12296" width="1.7109375" customWidth="1"/>
    <col min="12297" max="12297" width="1.5703125" customWidth="1"/>
    <col min="12298" max="12298" width="8.5703125" customWidth="1"/>
    <col min="12535" max="12535" width="4.5703125" customWidth="1"/>
    <col min="12536" max="12536" width="6.42578125" customWidth="1"/>
    <col min="12537" max="12537" width="2.7109375" customWidth="1"/>
    <col min="12538" max="12538" width="6.28515625" customWidth="1"/>
    <col min="12539" max="12539" width="6.5703125" customWidth="1"/>
    <col min="12540" max="12540" width="28.5703125" customWidth="1"/>
    <col min="12541" max="12541" width="3.28515625" customWidth="1"/>
    <col min="12542" max="12542" width="1.5703125" customWidth="1"/>
    <col min="12543" max="12543" width="15.140625" customWidth="1"/>
    <col min="12544" max="12544" width="1.5703125" customWidth="1"/>
    <col min="12545" max="12545" width="13.5703125" customWidth="1"/>
    <col min="12546" max="12546" width="1.5703125" customWidth="1"/>
    <col min="12547" max="12547" width="4.7109375" customWidth="1"/>
    <col min="12548" max="12548" width="1.42578125" customWidth="1"/>
    <col min="12549" max="12549" width="3.28515625" customWidth="1"/>
    <col min="12550" max="12550" width="2" customWidth="1"/>
    <col min="12551" max="12551" width="5.5703125" customWidth="1"/>
    <col min="12552" max="12552" width="1.7109375" customWidth="1"/>
    <col min="12553" max="12553" width="1.5703125" customWidth="1"/>
    <col min="12554" max="12554" width="8.5703125" customWidth="1"/>
    <col min="12791" max="12791" width="4.5703125" customWidth="1"/>
    <col min="12792" max="12792" width="6.42578125" customWidth="1"/>
    <col min="12793" max="12793" width="2.7109375" customWidth="1"/>
    <col min="12794" max="12794" width="6.28515625" customWidth="1"/>
    <col min="12795" max="12795" width="6.5703125" customWidth="1"/>
    <col min="12796" max="12796" width="28.5703125" customWidth="1"/>
    <col min="12797" max="12797" width="3.28515625" customWidth="1"/>
    <col min="12798" max="12798" width="1.5703125" customWidth="1"/>
    <col min="12799" max="12799" width="15.140625" customWidth="1"/>
    <col min="12800" max="12800" width="1.5703125" customWidth="1"/>
    <col min="12801" max="12801" width="13.5703125" customWidth="1"/>
    <col min="12802" max="12802" width="1.5703125" customWidth="1"/>
    <col min="12803" max="12803" width="4.7109375" customWidth="1"/>
    <col min="12804" max="12804" width="1.42578125" customWidth="1"/>
    <col min="12805" max="12805" width="3.28515625" customWidth="1"/>
    <col min="12806" max="12806" width="2" customWidth="1"/>
    <col min="12807" max="12807" width="5.5703125" customWidth="1"/>
    <col min="12808" max="12808" width="1.7109375" customWidth="1"/>
    <col min="12809" max="12809" width="1.5703125" customWidth="1"/>
    <col min="12810" max="12810" width="8.5703125" customWidth="1"/>
    <col min="13047" max="13047" width="4.5703125" customWidth="1"/>
    <col min="13048" max="13048" width="6.42578125" customWidth="1"/>
    <col min="13049" max="13049" width="2.7109375" customWidth="1"/>
    <col min="13050" max="13050" width="6.28515625" customWidth="1"/>
    <col min="13051" max="13051" width="6.5703125" customWidth="1"/>
    <col min="13052" max="13052" width="28.5703125" customWidth="1"/>
    <col min="13053" max="13053" width="3.28515625" customWidth="1"/>
    <col min="13054" max="13054" width="1.5703125" customWidth="1"/>
    <col min="13055" max="13055" width="15.140625" customWidth="1"/>
    <col min="13056" max="13056" width="1.5703125" customWidth="1"/>
    <col min="13057" max="13057" width="13.5703125" customWidth="1"/>
    <col min="13058" max="13058" width="1.5703125" customWidth="1"/>
    <col min="13059" max="13059" width="4.7109375" customWidth="1"/>
    <col min="13060" max="13060" width="1.42578125" customWidth="1"/>
    <col min="13061" max="13061" width="3.28515625" customWidth="1"/>
    <col min="13062" max="13062" width="2" customWidth="1"/>
    <col min="13063" max="13063" width="5.5703125" customWidth="1"/>
    <col min="13064" max="13064" width="1.7109375" customWidth="1"/>
    <col min="13065" max="13065" width="1.5703125" customWidth="1"/>
    <col min="13066" max="13066" width="8.5703125" customWidth="1"/>
    <col min="13303" max="13303" width="4.5703125" customWidth="1"/>
    <col min="13304" max="13304" width="6.42578125" customWidth="1"/>
    <col min="13305" max="13305" width="2.7109375" customWidth="1"/>
    <col min="13306" max="13306" width="6.28515625" customWidth="1"/>
    <col min="13307" max="13307" width="6.5703125" customWidth="1"/>
    <col min="13308" max="13308" width="28.5703125" customWidth="1"/>
    <col min="13309" max="13309" width="3.28515625" customWidth="1"/>
    <col min="13310" max="13310" width="1.5703125" customWidth="1"/>
    <col min="13311" max="13311" width="15.140625" customWidth="1"/>
    <col min="13312" max="13312" width="1.5703125" customWidth="1"/>
    <col min="13313" max="13313" width="13.5703125" customWidth="1"/>
    <col min="13314" max="13314" width="1.5703125" customWidth="1"/>
    <col min="13315" max="13315" width="4.7109375" customWidth="1"/>
    <col min="13316" max="13316" width="1.42578125" customWidth="1"/>
    <col min="13317" max="13317" width="3.28515625" customWidth="1"/>
    <col min="13318" max="13318" width="2" customWidth="1"/>
    <col min="13319" max="13319" width="5.5703125" customWidth="1"/>
    <col min="13320" max="13320" width="1.7109375" customWidth="1"/>
    <col min="13321" max="13321" width="1.5703125" customWidth="1"/>
    <col min="13322" max="13322" width="8.5703125" customWidth="1"/>
    <col min="13559" max="13559" width="4.5703125" customWidth="1"/>
    <col min="13560" max="13560" width="6.42578125" customWidth="1"/>
    <col min="13561" max="13561" width="2.7109375" customWidth="1"/>
    <col min="13562" max="13562" width="6.28515625" customWidth="1"/>
    <col min="13563" max="13563" width="6.5703125" customWidth="1"/>
    <col min="13564" max="13564" width="28.5703125" customWidth="1"/>
    <col min="13565" max="13565" width="3.28515625" customWidth="1"/>
    <col min="13566" max="13566" width="1.5703125" customWidth="1"/>
    <col min="13567" max="13567" width="15.140625" customWidth="1"/>
    <col min="13568" max="13568" width="1.5703125" customWidth="1"/>
    <col min="13569" max="13569" width="13.5703125" customWidth="1"/>
    <col min="13570" max="13570" width="1.5703125" customWidth="1"/>
    <col min="13571" max="13571" width="4.7109375" customWidth="1"/>
    <col min="13572" max="13572" width="1.42578125" customWidth="1"/>
    <col min="13573" max="13573" width="3.28515625" customWidth="1"/>
    <col min="13574" max="13574" width="2" customWidth="1"/>
    <col min="13575" max="13575" width="5.5703125" customWidth="1"/>
    <col min="13576" max="13576" width="1.7109375" customWidth="1"/>
    <col min="13577" max="13577" width="1.5703125" customWidth="1"/>
    <col min="13578" max="13578" width="8.5703125" customWidth="1"/>
    <col min="13815" max="13815" width="4.5703125" customWidth="1"/>
    <col min="13816" max="13816" width="6.42578125" customWidth="1"/>
    <col min="13817" max="13817" width="2.7109375" customWidth="1"/>
    <col min="13818" max="13818" width="6.28515625" customWidth="1"/>
    <col min="13819" max="13819" width="6.5703125" customWidth="1"/>
    <col min="13820" max="13820" width="28.5703125" customWidth="1"/>
    <col min="13821" max="13821" width="3.28515625" customWidth="1"/>
    <col min="13822" max="13822" width="1.5703125" customWidth="1"/>
    <col min="13823" max="13823" width="15.140625" customWidth="1"/>
    <col min="13824" max="13824" width="1.5703125" customWidth="1"/>
    <col min="13825" max="13825" width="13.5703125" customWidth="1"/>
    <col min="13826" max="13826" width="1.5703125" customWidth="1"/>
    <col min="13827" max="13827" width="4.7109375" customWidth="1"/>
    <col min="13828" max="13828" width="1.42578125" customWidth="1"/>
    <col min="13829" max="13829" width="3.28515625" customWidth="1"/>
    <col min="13830" max="13830" width="2" customWidth="1"/>
    <col min="13831" max="13831" width="5.5703125" customWidth="1"/>
    <col min="13832" max="13832" width="1.7109375" customWidth="1"/>
    <col min="13833" max="13833" width="1.5703125" customWidth="1"/>
    <col min="13834" max="13834" width="8.5703125" customWidth="1"/>
    <col min="14071" max="14071" width="4.5703125" customWidth="1"/>
    <col min="14072" max="14072" width="6.42578125" customWidth="1"/>
    <col min="14073" max="14073" width="2.7109375" customWidth="1"/>
    <col min="14074" max="14074" width="6.28515625" customWidth="1"/>
    <col min="14075" max="14075" width="6.5703125" customWidth="1"/>
    <col min="14076" max="14076" width="28.5703125" customWidth="1"/>
    <col min="14077" max="14077" width="3.28515625" customWidth="1"/>
    <col min="14078" max="14078" width="1.5703125" customWidth="1"/>
    <col min="14079" max="14079" width="15.140625" customWidth="1"/>
    <col min="14080" max="14080" width="1.5703125" customWidth="1"/>
    <col min="14081" max="14081" width="13.5703125" customWidth="1"/>
    <col min="14082" max="14082" width="1.5703125" customWidth="1"/>
    <col min="14083" max="14083" width="4.7109375" customWidth="1"/>
    <col min="14084" max="14084" width="1.42578125" customWidth="1"/>
    <col min="14085" max="14085" width="3.28515625" customWidth="1"/>
    <col min="14086" max="14086" width="2" customWidth="1"/>
    <col min="14087" max="14087" width="5.5703125" customWidth="1"/>
    <col min="14088" max="14088" width="1.7109375" customWidth="1"/>
    <col min="14089" max="14089" width="1.5703125" customWidth="1"/>
    <col min="14090" max="14090" width="8.5703125" customWidth="1"/>
    <col min="14327" max="14327" width="4.5703125" customWidth="1"/>
    <col min="14328" max="14328" width="6.42578125" customWidth="1"/>
    <col min="14329" max="14329" width="2.7109375" customWidth="1"/>
    <col min="14330" max="14330" width="6.28515625" customWidth="1"/>
    <col min="14331" max="14331" width="6.5703125" customWidth="1"/>
    <col min="14332" max="14332" width="28.5703125" customWidth="1"/>
    <col min="14333" max="14333" width="3.28515625" customWidth="1"/>
    <col min="14334" max="14334" width="1.5703125" customWidth="1"/>
    <col min="14335" max="14335" width="15.140625" customWidth="1"/>
    <col min="14336" max="14336" width="1.5703125" customWidth="1"/>
    <col min="14337" max="14337" width="13.5703125" customWidth="1"/>
    <col min="14338" max="14338" width="1.5703125" customWidth="1"/>
    <col min="14339" max="14339" width="4.7109375" customWidth="1"/>
    <col min="14340" max="14340" width="1.42578125" customWidth="1"/>
    <col min="14341" max="14341" width="3.28515625" customWidth="1"/>
    <col min="14342" max="14342" width="2" customWidth="1"/>
    <col min="14343" max="14343" width="5.5703125" customWidth="1"/>
    <col min="14344" max="14344" width="1.7109375" customWidth="1"/>
    <col min="14345" max="14345" width="1.5703125" customWidth="1"/>
    <col min="14346" max="14346" width="8.5703125" customWidth="1"/>
    <col min="14583" max="14583" width="4.5703125" customWidth="1"/>
    <col min="14584" max="14584" width="6.42578125" customWidth="1"/>
    <col min="14585" max="14585" width="2.7109375" customWidth="1"/>
    <col min="14586" max="14586" width="6.28515625" customWidth="1"/>
    <col min="14587" max="14587" width="6.5703125" customWidth="1"/>
    <col min="14588" max="14588" width="28.5703125" customWidth="1"/>
    <col min="14589" max="14589" width="3.28515625" customWidth="1"/>
    <col min="14590" max="14590" width="1.5703125" customWidth="1"/>
    <col min="14591" max="14591" width="15.140625" customWidth="1"/>
    <col min="14592" max="14592" width="1.5703125" customWidth="1"/>
    <col min="14593" max="14593" width="13.5703125" customWidth="1"/>
    <col min="14594" max="14594" width="1.5703125" customWidth="1"/>
    <col min="14595" max="14595" width="4.7109375" customWidth="1"/>
    <col min="14596" max="14596" width="1.42578125" customWidth="1"/>
    <col min="14597" max="14597" width="3.28515625" customWidth="1"/>
    <col min="14598" max="14598" width="2" customWidth="1"/>
    <col min="14599" max="14599" width="5.5703125" customWidth="1"/>
    <col min="14600" max="14600" width="1.7109375" customWidth="1"/>
    <col min="14601" max="14601" width="1.5703125" customWidth="1"/>
    <col min="14602" max="14602" width="8.5703125" customWidth="1"/>
    <col min="14839" max="14839" width="4.5703125" customWidth="1"/>
    <col min="14840" max="14840" width="6.42578125" customWidth="1"/>
    <col min="14841" max="14841" width="2.7109375" customWidth="1"/>
    <col min="14842" max="14842" width="6.28515625" customWidth="1"/>
    <col min="14843" max="14843" width="6.5703125" customWidth="1"/>
    <col min="14844" max="14844" width="28.5703125" customWidth="1"/>
    <col min="14845" max="14845" width="3.28515625" customWidth="1"/>
    <col min="14846" max="14846" width="1.5703125" customWidth="1"/>
    <col min="14847" max="14847" width="15.140625" customWidth="1"/>
    <col min="14848" max="14848" width="1.5703125" customWidth="1"/>
    <col min="14849" max="14849" width="13.5703125" customWidth="1"/>
    <col min="14850" max="14850" width="1.5703125" customWidth="1"/>
    <col min="14851" max="14851" width="4.7109375" customWidth="1"/>
    <col min="14852" max="14852" width="1.42578125" customWidth="1"/>
    <col min="14853" max="14853" width="3.28515625" customWidth="1"/>
    <col min="14854" max="14854" width="2" customWidth="1"/>
    <col min="14855" max="14855" width="5.5703125" customWidth="1"/>
    <col min="14856" max="14856" width="1.7109375" customWidth="1"/>
    <col min="14857" max="14857" width="1.5703125" customWidth="1"/>
    <col min="14858" max="14858" width="8.5703125" customWidth="1"/>
    <col min="15095" max="15095" width="4.5703125" customWidth="1"/>
    <col min="15096" max="15096" width="6.42578125" customWidth="1"/>
    <col min="15097" max="15097" width="2.7109375" customWidth="1"/>
    <col min="15098" max="15098" width="6.28515625" customWidth="1"/>
    <col min="15099" max="15099" width="6.5703125" customWidth="1"/>
    <col min="15100" max="15100" width="28.5703125" customWidth="1"/>
    <col min="15101" max="15101" width="3.28515625" customWidth="1"/>
    <col min="15102" max="15102" width="1.5703125" customWidth="1"/>
    <col min="15103" max="15103" width="15.140625" customWidth="1"/>
    <col min="15104" max="15104" width="1.5703125" customWidth="1"/>
    <col min="15105" max="15105" width="13.5703125" customWidth="1"/>
    <col min="15106" max="15106" width="1.5703125" customWidth="1"/>
    <col min="15107" max="15107" width="4.7109375" customWidth="1"/>
    <col min="15108" max="15108" width="1.42578125" customWidth="1"/>
    <col min="15109" max="15109" width="3.28515625" customWidth="1"/>
    <col min="15110" max="15110" width="2" customWidth="1"/>
    <col min="15111" max="15111" width="5.5703125" customWidth="1"/>
    <col min="15112" max="15112" width="1.7109375" customWidth="1"/>
    <col min="15113" max="15113" width="1.5703125" customWidth="1"/>
    <col min="15114" max="15114" width="8.5703125" customWidth="1"/>
    <col min="15351" max="15351" width="4.5703125" customWidth="1"/>
    <col min="15352" max="15352" width="6.42578125" customWidth="1"/>
    <col min="15353" max="15353" width="2.7109375" customWidth="1"/>
    <col min="15354" max="15354" width="6.28515625" customWidth="1"/>
    <col min="15355" max="15355" width="6.5703125" customWidth="1"/>
    <col min="15356" max="15356" width="28.5703125" customWidth="1"/>
    <col min="15357" max="15357" width="3.28515625" customWidth="1"/>
    <col min="15358" max="15358" width="1.5703125" customWidth="1"/>
    <col min="15359" max="15359" width="15.140625" customWidth="1"/>
    <col min="15360" max="15360" width="1.5703125" customWidth="1"/>
    <col min="15361" max="15361" width="13.5703125" customWidth="1"/>
    <col min="15362" max="15362" width="1.5703125" customWidth="1"/>
    <col min="15363" max="15363" width="4.7109375" customWidth="1"/>
    <col min="15364" max="15364" width="1.42578125" customWidth="1"/>
    <col min="15365" max="15365" width="3.28515625" customWidth="1"/>
    <col min="15366" max="15366" width="2" customWidth="1"/>
    <col min="15367" max="15367" width="5.5703125" customWidth="1"/>
    <col min="15368" max="15368" width="1.7109375" customWidth="1"/>
    <col min="15369" max="15369" width="1.5703125" customWidth="1"/>
    <col min="15370" max="15370" width="8.5703125" customWidth="1"/>
    <col min="15607" max="15607" width="4.5703125" customWidth="1"/>
    <col min="15608" max="15608" width="6.42578125" customWidth="1"/>
    <col min="15609" max="15609" width="2.7109375" customWidth="1"/>
    <col min="15610" max="15610" width="6.28515625" customWidth="1"/>
    <col min="15611" max="15611" width="6.5703125" customWidth="1"/>
    <col min="15612" max="15612" width="28.5703125" customWidth="1"/>
    <col min="15613" max="15613" width="3.28515625" customWidth="1"/>
    <col min="15614" max="15614" width="1.5703125" customWidth="1"/>
    <col min="15615" max="15615" width="15.140625" customWidth="1"/>
    <col min="15616" max="15616" width="1.5703125" customWidth="1"/>
    <col min="15617" max="15617" width="13.5703125" customWidth="1"/>
    <col min="15618" max="15618" width="1.5703125" customWidth="1"/>
    <col min="15619" max="15619" width="4.7109375" customWidth="1"/>
    <col min="15620" max="15620" width="1.42578125" customWidth="1"/>
    <col min="15621" max="15621" width="3.28515625" customWidth="1"/>
    <col min="15622" max="15622" width="2" customWidth="1"/>
    <col min="15623" max="15623" width="5.5703125" customWidth="1"/>
    <col min="15624" max="15624" width="1.7109375" customWidth="1"/>
    <col min="15625" max="15625" width="1.5703125" customWidth="1"/>
    <col min="15626" max="15626" width="8.5703125" customWidth="1"/>
    <col min="15863" max="15863" width="4.5703125" customWidth="1"/>
    <col min="15864" max="15864" width="6.42578125" customWidth="1"/>
    <col min="15865" max="15865" width="2.7109375" customWidth="1"/>
    <col min="15866" max="15866" width="6.28515625" customWidth="1"/>
    <col min="15867" max="15867" width="6.5703125" customWidth="1"/>
    <col min="15868" max="15868" width="28.5703125" customWidth="1"/>
    <col min="15869" max="15869" width="3.28515625" customWidth="1"/>
    <col min="15870" max="15870" width="1.5703125" customWidth="1"/>
    <col min="15871" max="15871" width="15.140625" customWidth="1"/>
    <col min="15872" max="15872" width="1.5703125" customWidth="1"/>
    <col min="15873" max="15873" width="13.5703125" customWidth="1"/>
    <col min="15874" max="15874" width="1.5703125" customWidth="1"/>
    <col min="15875" max="15875" width="4.7109375" customWidth="1"/>
    <col min="15876" max="15876" width="1.42578125" customWidth="1"/>
    <col min="15877" max="15877" width="3.28515625" customWidth="1"/>
    <col min="15878" max="15878" width="2" customWidth="1"/>
    <col min="15879" max="15879" width="5.5703125" customWidth="1"/>
    <col min="15880" max="15880" width="1.7109375" customWidth="1"/>
    <col min="15881" max="15881" width="1.5703125" customWidth="1"/>
    <col min="15882" max="15882" width="8.5703125" customWidth="1"/>
    <col min="16119" max="16119" width="4.5703125" customWidth="1"/>
    <col min="16120" max="16120" width="6.42578125" customWidth="1"/>
    <col min="16121" max="16121" width="2.7109375" customWidth="1"/>
    <col min="16122" max="16122" width="6.28515625" customWidth="1"/>
    <col min="16123" max="16123" width="6.5703125" customWidth="1"/>
    <col min="16124" max="16124" width="28.5703125" customWidth="1"/>
    <col min="16125" max="16125" width="3.28515625" customWidth="1"/>
    <col min="16126" max="16126" width="1.5703125" customWidth="1"/>
    <col min="16127" max="16127" width="15.140625" customWidth="1"/>
    <col min="16128" max="16128" width="1.5703125" customWidth="1"/>
    <col min="16129" max="16129" width="13.5703125" customWidth="1"/>
    <col min="16130" max="16130" width="1.5703125" customWidth="1"/>
    <col min="16131" max="16131" width="4.7109375" customWidth="1"/>
    <col min="16132" max="16132" width="1.42578125" customWidth="1"/>
    <col min="16133" max="16133" width="3.28515625" customWidth="1"/>
    <col min="16134" max="16134" width="2" customWidth="1"/>
    <col min="16135" max="16135" width="5.5703125" customWidth="1"/>
    <col min="16136" max="16136" width="1.7109375" customWidth="1"/>
    <col min="16137" max="16137" width="1.5703125" customWidth="1"/>
    <col min="16138" max="16138" width="8.5703125" customWidth="1"/>
  </cols>
  <sheetData>
    <row r="1" spans="1:10" x14ac:dyDescent="0.25">
      <c r="A1" s="15" t="s">
        <v>55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 t="s">
        <v>56</v>
      </c>
      <c r="B2" s="10" t="s">
        <v>57</v>
      </c>
      <c r="C2" s="10" t="s">
        <v>58</v>
      </c>
      <c r="D2" s="15" t="s">
        <v>59</v>
      </c>
      <c r="E2" s="10" t="s">
        <v>60</v>
      </c>
      <c r="F2" s="15"/>
      <c r="G2" s="15"/>
      <c r="H2" s="15"/>
    </row>
    <row r="3" spans="1:10" ht="21" x14ac:dyDescent="0.25">
      <c r="A3" s="15" t="s">
        <v>137</v>
      </c>
      <c r="B3" s="18"/>
      <c r="C3" s="18"/>
      <c r="D3" s="18"/>
      <c r="E3" s="18"/>
      <c r="F3" s="18"/>
      <c r="G3" s="18"/>
      <c r="H3" s="18"/>
      <c r="I3" s="18"/>
    </row>
    <row r="4" spans="1:10" x14ac:dyDescent="0.25">
      <c r="A4" s="18" t="s">
        <v>61</v>
      </c>
      <c r="B4" s="11">
        <v>5207029.91</v>
      </c>
      <c r="C4" s="12">
        <v>0.12</v>
      </c>
      <c r="D4" s="17">
        <v>624843.59</v>
      </c>
      <c r="E4" s="12">
        <v>0.09</v>
      </c>
      <c r="F4" s="17"/>
      <c r="G4" s="17"/>
      <c r="H4" s="17"/>
    </row>
    <row r="5" spans="1:10" x14ac:dyDescent="0.25">
      <c r="A5" s="18" t="s">
        <v>62</v>
      </c>
      <c r="B5" s="11">
        <v>-10656.78</v>
      </c>
      <c r="D5" s="17">
        <v>-1278.81</v>
      </c>
      <c r="F5" s="17"/>
      <c r="G5" s="17"/>
      <c r="H5" s="17"/>
    </row>
    <row r="6" spans="1:10" x14ac:dyDescent="0.25">
      <c r="A6" s="15" t="s">
        <v>63</v>
      </c>
      <c r="B6" s="11">
        <v>5196373.13</v>
      </c>
      <c r="D6" s="17">
        <v>623564.78</v>
      </c>
      <c r="F6" s="17"/>
      <c r="G6" s="17"/>
      <c r="H6" s="17"/>
    </row>
    <row r="7" spans="1:10" x14ac:dyDescent="0.25">
      <c r="A7" s="18" t="s">
        <v>64</v>
      </c>
      <c r="B7" s="11">
        <v>-181716.84</v>
      </c>
      <c r="C7" s="12">
        <v>0.12</v>
      </c>
      <c r="D7" s="17">
        <v>-21806.02</v>
      </c>
      <c r="E7" s="12">
        <v>0.09</v>
      </c>
      <c r="F7" s="17"/>
      <c r="G7" s="17"/>
      <c r="H7" s="17"/>
    </row>
    <row r="8" spans="1:10" x14ac:dyDescent="0.25">
      <c r="A8" s="18" t="s">
        <v>62</v>
      </c>
      <c r="B8" s="11">
        <v>0.71</v>
      </c>
      <c r="D8" s="17">
        <v>0.09</v>
      </c>
      <c r="E8" s="17"/>
      <c r="F8" s="17"/>
      <c r="G8" s="17"/>
      <c r="H8" s="17"/>
    </row>
    <row r="9" spans="1:10" x14ac:dyDescent="0.25">
      <c r="A9" s="15" t="s">
        <v>63</v>
      </c>
      <c r="B9" s="11">
        <v>-181716.13</v>
      </c>
      <c r="D9" s="17">
        <v>-21805.94</v>
      </c>
      <c r="E9" s="17"/>
      <c r="F9" s="17"/>
      <c r="G9" s="17"/>
      <c r="H9" s="17"/>
    </row>
    <row r="10" spans="1:10" x14ac:dyDescent="0.25">
      <c r="A10" s="15" t="s">
        <v>65</v>
      </c>
      <c r="B10" s="11">
        <v>5014657</v>
      </c>
      <c r="D10" s="17">
        <v>601758.84</v>
      </c>
      <c r="E10" s="17"/>
      <c r="F10" s="17"/>
      <c r="G10" s="17"/>
      <c r="H10" s="17"/>
    </row>
    <row r="11" spans="1:10" x14ac:dyDescent="0.25">
      <c r="A11" s="15" t="s">
        <v>66</v>
      </c>
      <c r="B11" s="11">
        <v>5014657</v>
      </c>
      <c r="D11" s="17">
        <v>601758.84</v>
      </c>
      <c r="E11" s="17"/>
      <c r="F11" s="17"/>
      <c r="G11" s="17"/>
      <c r="H11" s="17"/>
    </row>
    <row r="12" spans="1:10" x14ac:dyDescent="0.25">
      <c r="A12" s="15" t="s">
        <v>67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0" x14ac:dyDescent="0.25">
      <c r="A13" s="15" t="s">
        <v>68</v>
      </c>
      <c r="B13" s="10" t="s">
        <v>57</v>
      </c>
      <c r="C13" s="10" t="s">
        <v>58</v>
      </c>
      <c r="D13" s="15" t="s">
        <v>59</v>
      </c>
      <c r="H13" s="15"/>
      <c r="I13" s="15"/>
      <c r="J13" s="15"/>
    </row>
    <row r="14" spans="1:10" x14ac:dyDescent="0.25">
      <c r="A14" s="18" t="s">
        <v>69</v>
      </c>
      <c r="B14" s="11">
        <v>1250000</v>
      </c>
      <c r="C14" s="12">
        <v>0.12</v>
      </c>
      <c r="D14" s="17">
        <v>150000</v>
      </c>
      <c r="H14" s="17"/>
      <c r="I14" s="17"/>
      <c r="J14" s="17"/>
    </row>
    <row r="15" spans="1:10" x14ac:dyDescent="0.25">
      <c r="A15" s="18" t="s">
        <v>70</v>
      </c>
      <c r="B15" s="11">
        <v>3764657</v>
      </c>
      <c r="C15" s="12">
        <v>0.13200000000000001</v>
      </c>
      <c r="D15" s="17">
        <v>496934.72</v>
      </c>
      <c r="H15" s="17"/>
      <c r="I15" s="17"/>
      <c r="J15" s="17"/>
    </row>
    <row r="16" spans="1:10" x14ac:dyDescent="0.25">
      <c r="A16" s="15" t="s">
        <v>71</v>
      </c>
      <c r="B16" s="11">
        <v>5014657</v>
      </c>
      <c r="D16" s="17">
        <v>646934.72</v>
      </c>
      <c r="H16" s="17"/>
      <c r="I16" s="17"/>
      <c r="J16" s="17"/>
    </row>
    <row r="17" spans="1:10" x14ac:dyDescent="0.25">
      <c r="A17" s="15" t="s">
        <v>72</v>
      </c>
      <c r="B17" s="15"/>
      <c r="C17" s="15"/>
      <c r="D17" s="15"/>
      <c r="E17" s="15"/>
      <c r="F17" s="15"/>
      <c r="G17" s="15"/>
      <c r="H17" s="15"/>
      <c r="I17" s="15"/>
      <c r="J17" s="15"/>
    </row>
    <row r="18" spans="1:10" x14ac:dyDescent="0.25">
      <c r="A18" s="15" t="s">
        <v>68</v>
      </c>
      <c r="B18" s="15" t="s">
        <v>73</v>
      </c>
      <c r="C18" s="15"/>
      <c r="D18" s="15"/>
      <c r="F18" s="15"/>
      <c r="G18" s="15"/>
      <c r="H18" s="15"/>
      <c r="I18" s="15"/>
      <c r="J18" s="15"/>
    </row>
    <row r="19" spans="1:10" x14ac:dyDescent="0.25">
      <c r="A19" s="18" t="s">
        <v>74</v>
      </c>
      <c r="B19" s="17">
        <v>0</v>
      </c>
      <c r="C19" s="16" t="s">
        <v>75</v>
      </c>
      <c r="D19" s="16"/>
      <c r="F19" s="17"/>
      <c r="G19" s="17"/>
      <c r="H19" s="17"/>
      <c r="I19" s="17"/>
      <c r="J19" s="17"/>
    </row>
    <row r="20" spans="1:10" x14ac:dyDescent="0.25">
      <c r="A20" s="18" t="s">
        <v>76</v>
      </c>
      <c r="B20" s="17">
        <v>58224.12</v>
      </c>
      <c r="C20" s="16" t="s">
        <v>75</v>
      </c>
      <c r="D20" s="16"/>
      <c r="F20" s="17"/>
      <c r="G20" s="17"/>
      <c r="H20" s="17"/>
      <c r="I20" s="17"/>
      <c r="J20" s="17"/>
    </row>
    <row r="21" spans="1:10" x14ac:dyDescent="0.25">
      <c r="A21" s="18" t="s">
        <v>77</v>
      </c>
      <c r="B21" s="17">
        <v>0</v>
      </c>
      <c r="C21" s="16" t="s">
        <v>75</v>
      </c>
      <c r="D21" s="16"/>
      <c r="F21" s="17"/>
      <c r="G21" s="17"/>
      <c r="H21" s="17"/>
      <c r="I21" s="17"/>
      <c r="J21" s="17"/>
    </row>
    <row r="22" spans="1:10" x14ac:dyDescent="0.25">
      <c r="A22" s="18" t="s">
        <v>78</v>
      </c>
      <c r="B22" s="17">
        <v>0</v>
      </c>
      <c r="C22" s="16" t="s">
        <v>75</v>
      </c>
      <c r="D22" s="16"/>
      <c r="F22" s="17"/>
      <c r="G22" s="17"/>
      <c r="H22" s="17"/>
      <c r="I22" s="17"/>
      <c r="J22" s="17"/>
    </row>
    <row r="23" spans="1:10" x14ac:dyDescent="0.25">
      <c r="A23" s="18" t="s">
        <v>79</v>
      </c>
      <c r="B23" s="17">
        <v>0</v>
      </c>
      <c r="C23" s="16" t="s">
        <v>75</v>
      </c>
      <c r="D23" s="16"/>
      <c r="F23" s="17"/>
      <c r="G23" s="17"/>
      <c r="H23" s="17"/>
      <c r="I23" s="17"/>
      <c r="J23" s="17"/>
    </row>
    <row r="24" spans="1:10" x14ac:dyDescent="0.25">
      <c r="A24" s="18" t="s">
        <v>80</v>
      </c>
      <c r="B24" s="17">
        <v>0</v>
      </c>
      <c r="C24" s="16" t="s">
        <v>75</v>
      </c>
      <c r="D24" s="16"/>
      <c r="F24" s="17"/>
      <c r="G24" s="17"/>
      <c r="H24" s="17"/>
      <c r="I24" s="17"/>
      <c r="J24" s="17"/>
    </row>
    <row r="25" spans="1:10" x14ac:dyDescent="0.25">
      <c r="A25" s="18" t="s">
        <v>81</v>
      </c>
      <c r="B25" s="17">
        <v>0</v>
      </c>
      <c r="C25" s="16" t="s">
        <v>75</v>
      </c>
      <c r="D25" s="16"/>
      <c r="F25" s="17"/>
      <c r="G25" s="17"/>
      <c r="H25" s="17"/>
      <c r="I25" s="17"/>
      <c r="J25" s="17"/>
    </row>
    <row r="26" spans="1:10" x14ac:dyDescent="0.25">
      <c r="A26" s="18" t="s">
        <v>82</v>
      </c>
      <c r="B26" s="17">
        <v>0</v>
      </c>
      <c r="C26" s="16" t="s">
        <v>75</v>
      </c>
      <c r="D26" s="16"/>
      <c r="F26" s="17"/>
      <c r="G26" s="17"/>
      <c r="H26" s="17"/>
      <c r="I26" s="17"/>
      <c r="J26" s="17"/>
    </row>
    <row r="27" spans="1:10" x14ac:dyDescent="0.25">
      <c r="A27" s="18" t="s">
        <v>83</v>
      </c>
      <c r="B27" s="17">
        <v>0</v>
      </c>
      <c r="C27" s="16" t="s">
        <v>75</v>
      </c>
      <c r="D27" s="16"/>
      <c r="F27" s="17"/>
      <c r="G27" s="17"/>
      <c r="H27" s="17"/>
      <c r="I27" s="17"/>
      <c r="J27" s="17"/>
    </row>
    <row r="28" spans="1:10" x14ac:dyDescent="0.25">
      <c r="A28" s="18" t="s">
        <v>84</v>
      </c>
      <c r="B28" s="17">
        <v>0</v>
      </c>
      <c r="C28" s="16" t="s">
        <v>75</v>
      </c>
      <c r="D28" s="16"/>
      <c r="F28" s="17"/>
      <c r="G28" s="17"/>
      <c r="H28" s="17"/>
      <c r="I28" s="17"/>
      <c r="J28" s="17"/>
    </row>
    <row r="29" spans="1:10" x14ac:dyDescent="0.25">
      <c r="A29" s="18" t="s">
        <v>85</v>
      </c>
      <c r="B29" s="17">
        <v>0</v>
      </c>
      <c r="C29" s="16" t="s">
        <v>75</v>
      </c>
      <c r="D29" s="16"/>
      <c r="F29" s="17"/>
      <c r="G29" s="17"/>
      <c r="H29" s="17"/>
      <c r="I29" s="17"/>
      <c r="J29" s="17"/>
    </row>
    <row r="30" spans="1:10" x14ac:dyDescent="0.25">
      <c r="A30" s="18" t="s">
        <v>86</v>
      </c>
      <c r="B30" s="17">
        <v>0</v>
      </c>
      <c r="C30" s="16" t="s">
        <v>75</v>
      </c>
      <c r="D30" s="16"/>
      <c r="F30" s="17"/>
      <c r="G30" s="17"/>
      <c r="H30" s="17"/>
      <c r="I30" s="17"/>
      <c r="J30" s="17"/>
    </row>
    <row r="31" spans="1:10" x14ac:dyDescent="0.25">
      <c r="A31" s="18" t="s">
        <v>87</v>
      </c>
      <c r="B31" s="17">
        <v>0</v>
      </c>
      <c r="C31" s="16" t="s">
        <v>75</v>
      </c>
      <c r="D31" s="16"/>
      <c r="F31" s="17"/>
      <c r="G31" s="17"/>
      <c r="H31" s="17"/>
      <c r="I31" s="17"/>
      <c r="J31" s="17"/>
    </row>
    <row r="32" spans="1:10" x14ac:dyDescent="0.25">
      <c r="A32" s="18" t="s">
        <v>88</v>
      </c>
      <c r="B32" s="17">
        <v>0</v>
      </c>
      <c r="C32" s="16" t="s">
        <v>75</v>
      </c>
      <c r="D32" s="16"/>
      <c r="F32" s="17"/>
      <c r="G32" s="17"/>
      <c r="H32" s="17"/>
      <c r="I32" s="17"/>
      <c r="J32" s="17"/>
    </row>
    <row r="33" spans="1:10" x14ac:dyDescent="0.25">
      <c r="A33" s="18" t="s">
        <v>89</v>
      </c>
      <c r="B33" s="17">
        <v>0</v>
      </c>
      <c r="C33" s="16" t="s">
        <v>75</v>
      </c>
      <c r="D33" s="16"/>
      <c r="F33" s="17"/>
      <c r="G33" s="17"/>
      <c r="H33" s="17"/>
      <c r="I33" s="17"/>
      <c r="J33" s="17"/>
    </row>
    <row r="34" spans="1:10" x14ac:dyDescent="0.25">
      <c r="A34" s="18" t="s">
        <v>90</v>
      </c>
      <c r="B34" s="17">
        <v>0</v>
      </c>
      <c r="C34" s="16" t="s">
        <v>75</v>
      </c>
      <c r="D34" s="16"/>
      <c r="F34" s="17"/>
      <c r="G34" s="17"/>
      <c r="H34" s="17"/>
      <c r="I34" s="17"/>
      <c r="J34" s="17"/>
    </row>
    <row r="35" spans="1:10" x14ac:dyDescent="0.25">
      <c r="A35" s="18" t="s">
        <v>91</v>
      </c>
      <c r="B35" s="17">
        <v>0</v>
      </c>
      <c r="C35" s="16" t="s">
        <v>75</v>
      </c>
      <c r="D35" s="16"/>
      <c r="F35" s="17"/>
      <c r="G35" s="17"/>
      <c r="H35" s="17"/>
      <c r="I35" s="17"/>
      <c r="J35" s="17"/>
    </row>
    <row r="36" spans="1:10" x14ac:dyDescent="0.25">
      <c r="A36" s="18" t="s">
        <v>92</v>
      </c>
      <c r="B36" s="17">
        <v>0</v>
      </c>
      <c r="C36" s="16" t="s">
        <v>75</v>
      </c>
      <c r="D36" s="16"/>
      <c r="F36" s="17"/>
      <c r="G36" s="17"/>
      <c r="H36" s="17"/>
      <c r="I36" s="17"/>
      <c r="J36" s="17"/>
    </row>
    <row r="37" spans="1:10" x14ac:dyDescent="0.25">
      <c r="A37" s="18" t="s">
        <v>93</v>
      </c>
      <c r="B37" s="17">
        <v>0</v>
      </c>
      <c r="C37" s="16" t="s">
        <v>75</v>
      </c>
      <c r="D37" s="16"/>
      <c r="F37" s="17"/>
      <c r="G37" s="17"/>
      <c r="H37" s="17"/>
      <c r="I37" s="17"/>
      <c r="J37" s="17"/>
    </row>
    <row r="38" spans="1:10" x14ac:dyDescent="0.25">
      <c r="A38" s="18" t="s">
        <v>94</v>
      </c>
      <c r="B38" s="17">
        <v>0</v>
      </c>
      <c r="C38" s="16" t="s">
        <v>75</v>
      </c>
      <c r="D38" s="16"/>
      <c r="F38" s="17"/>
      <c r="G38" s="17"/>
      <c r="H38" s="17"/>
      <c r="I38" s="17"/>
      <c r="J38" s="17"/>
    </row>
    <row r="39" spans="1:10" x14ac:dyDescent="0.25">
      <c r="A39" s="18" t="s">
        <v>95</v>
      </c>
      <c r="B39" s="17">
        <v>0</v>
      </c>
      <c r="C39" s="16" t="s">
        <v>75</v>
      </c>
      <c r="D39" s="16"/>
      <c r="F39" s="17"/>
      <c r="G39" s="17"/>
      <c r="H39" s="17"/>
      <c r="I39" s="17"/>
      <c r="J39" s="17"/>
    </row>
    <row r="40" spans="1:10" x14ac:dyDescent="0.25">
      <c r="A40" s="18" t="s">
        <v>96</v>
      </c>
      <c r="B40" s="17">
        <v>0</v>
      </c>
      <c r="C40" s="16" t="s">
        <v>75</v>
      </c>
      <c r="D40" s="16"/>
      <c r="F40" s="17"/>
      <c r="G40" s="17"/>
      <c r="H40" s="17"/>
      <c r="I40" s="17"/>
      <c r="J40" s="17"/>
    </row>
    <row r="41" spans="1:10" x14ac:dyDescent="0.25">
      <c r="A41" s="18" t="s">
        <v>97</v>
      </c>
      <c r="B41" s="17">
        <v>0</v>
      </c>
      <c r="C41" s="16" t="s">
        <v>75</v>
      </c>
      <c r="D41" s="16"/>
      <c r="F41" s="17"/>
      <c r="G41" s="17"/>
      <c r="H41" s="17"/>
      <c r="I41" s="17"/>
      <c r="J41" s="17"/>
    </row>
    <row r="42" spans="1:10" x14ac:dyDescent="0.25">
      <c r="A42" s="18" t="s">
        <v>98</v>
      </c>
      <c r="B42" s="17">
        <v>0</v>
      </c>
      <c r="C42" s="16" t="s">
        <v>75</v>
      </c>
      <c r="D42" s="16"/>
      <c r="F42" s="17"/>
      <c r="G42" s="17"/>
      <c r="H42" s="17"/>
      <c r="I42" s="17"/>
      <c r="J42" s="17"/>
    </row>
    <row r="43" spans="1:10" x14ac:dyDescent="0.25">
      <c r="A43" s="15" t="s">
        <v>99</v>
      </c>
      <c r="B43" s="16">
        <v>0</v>
      </c>
      <c r="C43" s="15"/>
      <c r="D43" s="15"/>
      <c r="F43" s="16"/>
      <c r="G43" s="16"/>
      <c r="H43" s="16"/>
      <c r="I43" s="16"/>
      <c r="J43" s="16"/>
    </row>
    <row r="44" spans="1:10" x14ac:dyDescent="0.25">
      <c r="A44" s="15" t="s">
        <v>100</v>
      </c>
      <c r="B44" s="16">
        <v>0</v>
      </c>
      <c r="C44" s="15"/>
      <c r="D44" s="15"/>
      <c r="F44" s="16"/>
      <c r="G44" s="16"/>
      <c r="H44" s="16"/>
      <c r="I44" s="16"/>
      <c r="J44" s="16"/>
    </row>
    <row r="45" spans="1:10" x14ac:dyDescent="0.25">
      <c r="A45" s="15" t="s">
        <v>101</v>
      </c>
      <c r="B45" s="16">
        <v>58224.12</v>
      </c>
      <c r="C45" s="15"/>
      <c r="D45" s="15"/>
      <c r="F45" s="16"/>
      <c r="G45" s="16"/>
      <c r="H45" s="16"/>
      <c r="I45" s="16"/>
      <c r="J45" s="16"/>
    </row>
    <row r="46" spans="1:10" x14ac:dyDescent="0.25">
      <c r="A46" s="15" t="s">
        <v>102</v>
      </c>
      <c r="B46" s="16">
        <v>0</v>
      </c>
      <c r="C46" s="15"/>
      <c r="D46" s="15"/>
      <c r="F46" s="16"/>
      <c r="G46" s="16"/>
      <c r="H46" s="16"/>
      <c r="I46" s="16"/>
      <c r="J46" s="16"/>
    </row>
    <row r="48" spans="1:10" x14ac:dyDescent="0.25">
      <c r="A48" s="14"/>
      <c r="B48" s="14"/>
      <c r="C48" s="14"/>
      <c r="D48" s="1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5DFF-EE67-4CBA-B40E-9219530023E3}">
  <dimension ref="B3:C30"/>
  <sheetViews>
    <sheetView topLeftCell="A6" workbookViewId="0">
      <selection activeCell="B3" sqref="B3:C30"/>
    </sheetView>
  </sheetViews>
  <sheetFormatPr defaultRowHeight="15" x14ac:dyDescent="0.25"/>
  <sheetData>
    <row r="3" spans="2:3" x14ac:dyDescent="0.25">
      <c r="B3" s="8" t="s">
        <v>24</v>
      </c>
      <c r="C3" s="8" t="s">
        <v>25</v>
      </c>
    </row>
    <row r="4" spans="2:3" x14ac:dyDescent="0.25">
      <c r="B4" s="8" t="s">
        <v>27</v>
      </c>
    </row>
    <row r="5" spans="2:3" x14ac:dyDescent="0.25">
      <c r="B5" t="s">
        <v>28</v>
      </c>
    </row>
    <row r="6" spans="2:3" x14ac:dyDescent="0.25">
      <c r="B6" s="8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32</v>
      </c>
    </row>
    <row r="10" spans="2:3" x14ac:dyDescent="0.25">
      <c r="B10" t="s">
        <v>26</v>
      </c>
    </row>
    <row r="11" spans="2:3" x14ac:dyDescent="0.25">
      <c r="B11" t="s">
        <v>33</v>
      </c>
    </row>
    <row r="12" spans="2:3" x14ac:dyDescent="0.25">
      <c r="B12" t="s">
        <v>34</v>
      </c>
    </row>
    <row r="13" spans="2:3" x14ac:dyDescent="0.25">
      <c r="B13" t="s">
        <v>35</v>
      </c>
    </row>
    <row r="14" spans="2:3" x14ac:dyDescent="0.25">
      <c r="B14" t="s">
        <v>36</v>
      </c>
    </row>
    <row r="15" spans="2:3" x14ac:dyDescent="0.25">
      <c r="B15" t="s">
        <v>37</v>
      </c>
    </row>
    <row r="16" spans="2:3" x14ac:dyDescent="0.25">
      <c r="B16" t="s">
        <v>38</v>
      </c>
    </row>
    <row r="17" spans="2:2" x14ac:dyDescent="0.25">
      <c r="B17" t="s">
        <v>39</v>
      </c>
    </row>
    <row r="18" spans="2:2" x14ac:dyDescent="0.25">
      <c r="B18" t="s">
        <v>40</v>
      </c>
    </row>
    <row r="19" spans="2:2" x14ac:dyDescent="0.25">
      <c r="B19" t="s">
        <v>41</v>
      </c>
    </row>
    <row r="20" spans="2:2" x14ac:dyDescent="0.25">
      <c r="B20" t="s">
        <v>42</v>
      </c>
    </row>
    <row r="21" spans="2:2" x14ac:dyDescent="0.25">
      <c r="B21" t="s">
        <v>43</v>
      </c>
    </row>
    <row r="22" spans="2:2" x14ac:dyDescent="0.25">
      <c r="B22" t="s">
        <v>44</v>
      </c>
    </row>
    <row r="23" spans="2:2" x14ac:dyDescent="0.25">
      <c r="B23" t="s">
        <v>45</v>
      </c>
    </row>
    <row r="24" spans="2:2" x14ac:dyDescent="0.25">
      <c r="B24" t="s">
        <v>46</v>
      </c>
    </row>
    <row r="25" spans="2:2" x14ac:dyDescent="0.25">
      <c r="B25" t="s">
        <v>47</v>
      </c>
    </row>
    <row r="26" spans="2:2" x14ac:dyDescent="0.25">
      <c r="B26" t="s">
        <v>48</v>
      </c>
    </row>
    <row r="27" spans="2:2" x14ac:dyDescent="0.25">
      <c r="B27" t="s">
        <v>49</v>
      </c>
    </row>
    <row r="28" spans="2:2" x14ac:dyDescent="0.25">
      <c r="B28" t="s">
        <v>50</v>
      </c>
    </row>
    <row r="29" spans="2:2" x14ac:dyDescent="0.25">
      <c r="B29" t="s">
        <v>51</v>
      </c>
    </row>
    <row r="30" spans="2:2" x14ac:dyDescent="0.25">
      <c r="B30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3DD2-CAAA-4A3B-9D5C-391C3EDDB543}">
  <dimension ref="B2:C29"/>
  <sheetViews>
    <sheetView workbookViewId="0">
      <selection activeCell="F7" sqref="F7"/>
    </sheetView>
  </sheetViews>
  <sheetFormatPr defaultRowHeight="15" x14ac:dyDescent="0.25"/>
  <sheetData>
    <row r="2" spans="2:3" x14ac:dyDescent="0.25">
      <c r="B2" s="8" t="s">
        <v>24</v>
      </c>
      <c r="C2" s="8" t="s">
        <v>25</v>
      </c>
    </row>
    <row r="3" spans="2:3" x14ac:dyDescent="0.25">
      <c r="B3" s="8" t="s">
        <v>27</v>
      </c>
    </row>
    <row r="4" spans="2:3" x14ac:dyDescent="0.25">
      <c r="B4" t="s">
        <v>28</v>
      </c>
    </row>
    <row r="5" spans="2:3" x14ac:dyDescent="0.25">
      <c r="B5" s="8" t="s">
        <v>29</v>
      </c>
    </row>
    <row r="6" spans="2:3" x14ac:dyDescent="0.25">
      <c r="B6" t="s">
        <v>30</v>
      </c>
    </row>
    <row r="7" spans="2:3" x14ac:dyDescent="0.25">
      <c r="B7" t="s">
        <v>31</v>
      </c>
    </row>
    <row r="8" spans="2:3" x14ac:dyDescent="0.25">
      <c r="B8" t="s">
        <v>32</v>
      </c>
    </row>
    <row r="9" spans="2:3" x14ac:dyDescent="0.25">
      <c r="B9" t="s">
        <v>26</v>
      </c>
    </row>
    <row r="10" spans="2:3" x14ac:dyDescent="0.25">
      <c r="B10" t="s">
        <v>33</v>
      </c>
    </row>
    <row r="11" spans="2:3" x14ac:dyDescent="0.25">
      <c r="B11" t="s">
        <v>34</v>
      </c>
    </row>
    <row r="12" spans="2:3" x14ac:dyDescent="0.25">
      <c r="B12" t="s">
        <v>35</v>
      </c>
    </row>
    <row r="13" spans="2:3" x14ac:dyDescent="0.25">
      <c r="B13" t="s">
        <v>36</v>
      </c>
    </row>
    <row r="14" spans="2:3" x14ac:dyDescent="0.25">
      <c r="B14" t="s">
        <v>37</v>
      </c>
    </row>
    <row r="15" spans="2:3" x14ac:dyDescent="0.25">
      <c r="B15" t="s">
        <v>38</v>
      </c>
    </row>
    <row r="16" spans="2:3" x14ac:dyDescent="0.25">
      <c r="B16" t="s">
        <v>39</v>
      </c>
    </row>
    <row r="17" spans="2:2" x14ac:dyDescent="0.25">
      <c r="B17" t="s">
        <v>40</v>
      </c>
    </row>
    <row r="18" spans="2:2" x14ac:dyDescent="0.25">
      <c r="B18" t="s">
        <v>41</v>
      </c>
    </row>
    <row r="19" spans="2:2" x14ac:dyDescent="0.25">
      <c r="B19" t="s">
        <v>42</v>
      </c>
    </row>
    <row r="20" spans="2:2" x14ac:dyDescent="0.25">
      <c r="B20" t="s">
        <v>43</v>
      </c>
    </row>
    <row r="21" spans="2:2" x14ac:dyDescent="0.25">
      <c r="B21" t="s">
        <v>44</v>
      </c>
    </row>
    <row r="22" spans="2:2" x14ac:dyDescent="0.25">
      <c r="B22" t="s">
        <v>45</v>
      </c>
    </row>
    <row r="23" spans="2:2" x14ac:dyDescent="0.25">
      <c r="B23" t="s">
        <v>46</v>
      </c>
    </row>
    <row r="24" spans="2:2" x14ac:dyDescent="0.25">
      <c r="B24" t="s">
        <v>47</v>
      </c>
    </row>
    <row r="25" spans="2:2" x14ac:dyDescent="0.25">
      <c r="B25" t="s">
        <v>48</v>
      </c>
    </row>
    <row r="26" spans="2:2" x14ac:dyDescent="0.25">
      <c r="B26" t="s">
        <v>49</v>
      </c>
    </row>
    <row r="27" spans="2:2" x14ac:dyDescent="0.25">
      <c r="B27" t="s">
        <v>50</v>
      </c>
    </row>
    <row r="28" spans="2:2" x14ac:dyDescent="0.25">
      <c r="B28" t="s">
        <v>51</v>
      </c>
    </row>
    <row r="29" spans="2:2" x14ac:dyDescent="0.25">
      <c r="B29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ACC5-5BD0-4068-B1FA-C2178EA8E09D}">
  <dimension ref="A1:F10"/>
  <sheetViews>
    <sheetView workbookViewId="0">
      <selection activeCell="C4" sqref="C4"/>
    </sheetView>
  </sheetViews>
  <sheetFormatPr defaultRowHeight="15" x14ac:dyDescent="0.25"/>
  <cols>
    <col min="2" max="2" width="19.28515625" bestFit="1" customWidth="1"/>
    <col min="3" max="3" width="16.42578125" bestFit="1" customWidth="1"/>
    <col min="4" max="4" width="17.28515625" bestFit="1" customWidth="1"/>
    <col min="5" max="5" width="26.5703125" bestFit="1" customWidth="1"/>
    <col min="6" max="6" width="15" bestFit="1" customWidth="1"/>
    <col min="7" max="7" width="10.140625" bestFit="1" customWidth="1"/>
    <col min="8" max="8" width="15.85546875" bestFit="1" customWidth="1"/>
  </cols>
  <sheetData>
    <row r="1" spans="1:6" x14ac:dyDescent="0.25">
      <c r="B1" t="s">
        <v>17</v>
      </c>
    </row>
    <row r="2" spans="1:6" x14ac:dyDescent="0.25">
      <c r="A2" s="7"/>
      <c r="B2" s="7" t="s">
        <v>10</v>
      </c>
      <c r="C2" s="7" t="s">
        <v>11</v>
      </c>
      <c r="D2" s="7" t="s">
        <v>12</v>
      </c>
      <c r="E2" s="7" t="s">
        <v>15</v>
      </c>
      <c r="F2" s="7" t="s">
        <v>16</v>
      </c>
    </row>
    <row r="3" spans="1:6" x14ac:dyDescent="0.25">
      <c r="A3" s="9" t="s">
        <v>53</v>
      </c>
      <c r="B3" s="7"/>
      <c r="C3" s="7"/>
      <c r="D3" s="7"/>
      <c r="E3" s="7"/>
      <c r="F3" s="7"/>
    </row>
    <row r="4" spans="1:6" x14ac:dyDescent="0.25">
      <c r="B4" t="s">
        <v>18</v>
      </c>
    </row>
    <row r="5" spans="1:6" x14ac:dyDescent="0.25">
      <c r="A5" s="7"/>
      <c r="B5" s="7" t="s">
        <v>10</v>
      </c>
      <c r="C5" s="7" t="s">
        <v>11</v>
      </c>
      <c r="D5" s="7" t="s">
        <v>12</v>
      </c>
      <c r="E5" s="7" t="s">
        <v>15</v>
      </c>
      <c r="F5" s="7" t="s">
        <v>16</v>
      </c>
    </row>
    <row r="6" spans="1:6" x14ac:dyDescent="0.25">
      <c r="A6" s="7" t="s">
        <v>20</v>
      </c>
      <c r="B6" s="7"/>
      <c r="C6" s="7"/>
      <c r="D6" s="7"/>
      <c r="E6" s="7"/>
      <c r="F6" s="7"/>
    </row>
    <row r="7" spans="1:6" x14ac:dyDescent="0.25">
      <c r="B7" t="s">
        <v>19</v>
      </c>
    </row>
    <row r="9" spans="1:6" x14ac:dyDescent="0.25">
      <c r="B9" s="6"/>
      <c r="C9" s="6" t="s">
        <v>17</v>
      </c>
      <c r="D9" s="6" t="s">
        <v>18</v>
      </c>
      <c r="E9" s="6" t="s">
        <v>21</v>
      </c>
      <c r="F9" s="6" t="s">
        <v>22</v>
      </c>
    </row>
    <row r="10" spans="1:6" x14ac:dyDescent="0.25">
      <c r="B10" s="6" t="s">
        <v>53</v>
      </c>
      <c r="C10" s="6"/>
      <c r="D10" s="6"/>
      <c r="E10" s="6"/>
      <c r="F10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DRE</vt:lpstr>
      <vt:lpstr>BALANCETE</vt:lpstr>
      <vt:lpstr>ICMS 5005-2012</vt:lpstr>
      <vt:lpstr>PIS COFINS</vt:lpstr>
      <vt:lpstr>IRPJ</vt:lpstr>
      <vt:lpstr>CSLL</vt:lpstr>
      <vt:lpstr>ST</vt:lpstr>
      <vt:lpstr>DIFAL</vt:lpstr>
      <vt:lpstr>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lucas trindade</cp:lastModifiedBy>
  <dcterms:created xsi:type="dcterms:W3CDTF">2026-08-26T14:40:24Z</dcterms:created>
  <dcterms:modified xsi:type="dcterms:W3CDTF">2026-09-01T00:41:55Z</dcterms:modified>
</cp:coreProperties>
</file>