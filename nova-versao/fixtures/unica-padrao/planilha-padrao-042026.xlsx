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N:\Meu Drive\DASHBOARDS ÊXITO\UNICA\04-2026\"/>
    </mc:Choice>
  </mc:AlternateContent>
  <xr:revisionPtr revIDLastSave="0" documentId="13_ncr:1_{748F243C-A72D-4F57-8298-8B6041F65782}" xr6:coauthVersionLast="37" xr6:coauthVersionMax="47" xr10:uidLastSave="{00000000-0000-0000-0000-000000000000}"/>
  <bookViews>
    <workbookView xWindow="19095" yWindow="0" windowWidth="19410" windowHeight="15585" activeTab="9" xr2:uid="{00000000-000D-0000-FFFF-FFFF00000000}"/>
  </bookViews>
  <sheets>
    <sheet name="DRE" sheetId="8" r:id="rId1"/>
    <sheet name="BALANCETE" sheetId="9" r:id="rId2"/>
    <sheet name="ICMS 5005-2012" sheetId="1" r:id="rId3"/>
    <sheet name="PIS COFINS" sheetId="2" r:id="rId4"/>
    <sheet name="IRPJ" sheetId="3" r:id="rId5"/>
    <sheet name="CSLL" sheetId="4" r:id="rId6"/>
    <sheet name="ST" sheetId="5" r:id="rId7"/>
    <sheet name="DIFAL" sheetId="6" r:id="rId8"/>
    <sheet name="IPI" sheetId="7" r:id="rId9"/>
    <sheet name="ENTRADA" sheetId="10" r:id="rId10"/>
    <sheet name="SAIDA" sheetId="11" r:id="rId11"/>
  </sheets>
  <calcPr calcId="179021" iterateDelta="1E-4"/>
</workbook>
</file>

<file path=xl/calcChain.xml><?xml version="1.0" encoding="utf-8"?>
<calcChain xmlns="http://schemas.openxmlformats.org/spreadsheetml/2006/main">
  <c r="B6" i="1" l="1"/>
  <c r="B5" i="1"/>
  <c r="B14" i="1" l="1"/>
  <c r="B3" i="1" l="1"/>
  <c r="C13" i="2" l="1"/>
  <c r="H8" i="2"/>
  <c r="D13" i="2" s="1"/>
  <c r="H7" i="2"/>
  <c r="D14" i="2" s="1"/>
  <c r="H4" i="2"/>
  <c r="H3" i="2"/>
  <c r="C14" i="2" s="1"/>
  <c r="F13" i="2" l="1"/>
  <c r="F14" i="2"/>
  <c r="B18" i="1"/>
  <c r="B7" i="1"/>
  <c r="B16" i="1" l="1"/>
</calcChain>
</file>

<file path=xl/sharedStrings.xml><?xml version="1.0" encoding="utf-8"?>
<sst xmlns="http://schemas.openxmlformats.org/spreadsheetml/2006/main" count="12167" uniqueCount="2246">
  <si>
    <t>DÉBITO ORIGINAL</t>
  </si>
  <si>
    <t>CREDITO ORIGINAL</t>
  </si>
  <si>
    <t>TOTAL</t>
  </si>
  <si>
    <t>DEBITOS 5005</t>
  </si>
  <si>
    <t>CREDITOS 5005</t>
  </si>
  <si>
    <t>DÉBITO FORA</t>
  </si>
  <si>
    <t>CREDITO FORA</t>
  </si>
  <si>
    <t>CREDITO  OUTORGADO</t>
  </si>
  <si>
    <t>ICMS A RECOLHER</t>
  </si>
  <si>
    <t>GANHO RECEITA DE SUBVENÇÃO</t>
  </si>
  <si>
    <t>VALOR PRODUTO</t>
  </si>
  <si>
    <t>VALOR CONTABIL</t>
  </si>
  <si>
    <t xml:space="preserve">BASE DE CALCULO </t>
  </si>
  <si>
    <t>AJUSTE .B.C</t>
  </si>
  <si>
    <t>B.C. AJUSTADA</t>
  </si>
  <si>
    <t>ALIQUOTA</t>
  </si>
  <si>
    <t>VALOR IMPOSTO</t>
  </si>
  <si>
    <t>DEBITO</t>
  </si>
  <si>
    <t>CREDITO</t>
  </si>
  <si>
    <t>RESUMO APURAÇÃO</t>
  </si>
  <si>
    <t>PIS</t>
  </si>
  <si>
    <t>SALDO CREDOR</t>
  </si>
  <si>
    <t>PIS A RECOLHER</t>
  </si>
  <si>
    <t>COFINS</t>
  </si>
  <si>
    <t>UF</t>
  </si>
  <si>
    <t>VALOR</t>
  </si>
  <si>
    <t>DF</t>
  </si>
  <si>
    <t>AC</t>
  </si>
  <si>
    <t>AL</t>
  </si>
  <si>
    <t>AP</t>
  </si>
  <si>
    <t>AM</t>
  </si>
  <si>
    <t>BA</t>
  </si>
  <si>
    <t>CE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</si>
  <si>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</si>
  <si>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</si>
  <si>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</si>
  <si>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</si>
  <si>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</si>
  <si>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</si>
  <si>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</si>
  <si>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</si>
  <si>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</si>
  <si>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</si>
  <si>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</si>
  <si>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</si>
  <si>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</si>
  <si>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</si>
  <si>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</si>
  <si>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</si>
  <si>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</si>
  <si>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</si>
  <si>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</si>
  <si>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</si>
  <si>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IPI</t>
  </si>
  <si>
    <t>Competência:</t>
  </si>
  <si>
    <t>DEMONSTRATIVO DA CSLL</t>
  </si>
  <si>
    <t>Movimento</t>
  </si>
  <si>
    <t>Valor contábil</t>
  </si>
  <si>
    <t>% Base cálculo</t>
  </si>
  <si>
    <t>Base de cálculo</t>
  </si>
  <si>
    <t>Alíquota</t>
  </si>
  <si>
    <t>Saídas</t>
  </si>
  <si>
    <t>Deduções de IPI</t>
  </si>
  <si>
    <t>Total:</t>
  </si>
  <si>
    <t>(-)Devoluções de saída</t>
  </si>
  <si>
    <t>Receita bruta sujeita ao percentual de base de cálculo de 12,00%</t>
  </si>
  <si>
    <t>Total do Estabelecimento:</t>
  </si>
  <si>
    <t>PERCENTUAL DE PRESUNÇÃO MAJORADO</t>
  </si>
  <si>
    <t>Descrição</t>
  </si>
  <si>
    <t>Receita até o limite sujeita ao percentual de B.C de 12,00%</t>
  </si>
  <si>
    <t>Receita excedente sujeita ao percentual de B.C de 13,20% majorada</t>
  </si>
  <si>
    <t>Total da base de cálculo para a Contribuição Social - CSLL</t>
  </si>
  <si>
    <t>APURAÇÃO</t>
  </si>
  <si>
    <t>Valor</t>
  </si>
  <si>
    <t>Saldo credor do período anterior</t>
  </si>
  <si>
    <t/>
  </si>
  <si>
    <t>Débitos</t>
  </si>
  <si>
    <t>Outros acréscimos</t>
  </si>
  <si>
    <t>Bônus adimplência fiscal</t>
  </si>
  <si>
    <t xml:space="preserve">		Saldo de bônus adimplência fiscal do período anterior</t>
  </si>
  <si>
    <t xml:space="preserve">		Bônus adimplência fiscal do período</t>
  </si>
  <si>
    <t xml:space="preserve">		Bônus adimplência fiscal acumulado até o período anterior</t>
  </si>
  <si>
    <t xml:space="preserve">		Bônus adimplência fiscal não aproveitado</t>
  </si>
  <si>
    <t xml:space="preserve">		Estorno de bônus adimplência fiscal por impedimento legal</t>
  </si>
  <si>
    <t xml:space="preserve">		Saldo de bônus adimplência fiscal para o período seguinte</t>
  </si>
  <si>
    <t>Retenções</t>
  </si>
  <si>
    <t xml:space="preserve">		Retenção na fonte</t>
  </si>
  <si>
    <t xml:space="preserve">		Saldo anterior CRF órgãos públicos</t>
  </si>
  <si>
    <t xml:space="preserve">		CRF órgãos públicos</t>
  </si>
  <si>
    <t xml:space="preserve">		Devoluções de vendas CRF órgãos públicos</t>
  </si>
  <si>
    <t xml:space="preserve">		Retenções CRF órgãos públicos para o período seguinte</t>
  </si>
  <si>
    <t>Antecipação</t>
  </si>
  <si>
    <t>Outras deduções</t>
  </si>
  <si>
    <t xml:space="preserve">		Ressarcimento/Compensação de PIS/COFINS</t>
  </si>
  <si>
    <t xml:space="preserve">		Outras Compensações - Em Quotas</t>
  </si>
  <si>
    <t xml:space="preserve">		Outras Compensações</t>
  </si>
  <si>
    <t xml:space="preserve">		Pagamento Indevido ou a Maior - Em Quotas</t>
  </si>
  <si>
    <t xml:space="preserve">		Pagamento Indevido ou a Maior</t>
  </si>
  <si>
    <t xml:space="preserve">		Outras deduções</t>
  </si>
  <si>
    <t>Contribuição Social diferido do período anterior</t>
  </si>
  <si>
    <t>Contribuição Social diferido do período</t>
  </si>
  <si>
    <t>Saldo devedor de Contribuição Social</t>
  </si>
  <si>
    <t>Saldo credor de Contribuição Social para o mês seguinte</t>
  </si>
  <si>
    <t>Sistema licenciado para EXITO CONTABILIDADE EIRELI</t>
  </si>
  <si>
    <t>DEMONSTRATIVO DO IRPJ</t>
  </si>
  <si>
    <t>(-)Devolução de saídas</t>
  </si>
  <si>
    <t>Receita bruta sujeita ao percentual de base de cálculo de 8,00%</t>
  </si>
  <si>
    <t>Total Receitas:</t>
  </si>
  <si>
    <t>Receita até o limite sujeita ao percentual de B.C de 8,00%</t>
  </si>
  <si>
    <t>Receita excedente sujeita ao percentual de B.C de 8,80% majorada</t>
  </si>
  <si>
    <t>Total da base de cálculo para o Imposto de Renda - IRPJ</t>
  </si>
  <si>
    <t>ADICIONAL DO IRPJ</t>
  </si>
  <si>
    <t>Base de cálculo (Receita bruta auferida x % Base cálculo)</t>
  </si>
  <si>
    <t>Valor limite não sujeito ao adicional</t>
  </si>
  <si>
    <t>Parcela excedente ao limite</t>
  </si>
  <si>
    <t>Alíquota do adicional</t>
  </si>
  <si>
    <t>Valor do adicional do IRPJ</t>
  </si>
  <si>
    <t>Saldo credor utilizado na apuração do imposto 33-IRPJ-PO</t>
  </si>
  <si>
    <t>Outros débitos</t>
  </si>
  <si>
    <t>Compensação saldo negativo de IRPJ</t>
  </si>
  <si>
    <t>IRPJ retido</t>
  </si>
  <si>
    <t>IRRF propaganda</t>
  </si>
  <si>
    <t>Saldo anterior CRF órgãos públicos</t>
  </si>
  <si>
    <t>CRF órgãos públicos</t>
  </si>
  <si>
    <t>Devoluções de vendas CRF órgãos públicos</t>
  </si>
  <si>
    <t>Retenções CRF órgãos públicos para o período seguinte</t>
  </si>
  <si>
    <t>Ressarcimento/Compensação de PIS/COFINS</t>
  </si>
  <si>
    <t>Outras Compensações - Em Quotas</t>
  </si>
  <si>
    <t>Outras Compensações</t>
  </si>
  <si>
    <t>Pagamento Indevido ou a Maior - Em Quotas</t>
  </si>
  <si>
    <t>Pagamento Indevido ou a Maior</t>
  </si>
  <si>
    <t>Adicional de IRPJ</t>
  </si>
  <si>
    <t>IRPJ diferido do período anterior</t>
  </si>
  <si>
    <t>IRPJ diferido do período</t>
  </si>
  <si>
    <t>FIA a recolher</t>
  </si>
  <si>
    <t>Saldo devedor de IRPJ</t>
  </si>
  <si>
    <t>Saldo credor de IRPJ para o mês seguinte</t>
  </si>
  <si>
    <t>Estabelecimento: 03.185.564/0001-34 - EGAPLAST ARTEFATOS E COMERCIO DE PLASTICOS LTDA</t>
  </si>
  <si>
    <t>RECEITA BRUTA</t>
  </si>
  <si>
    <t>VENDA DE MERCADORIAS</t>
  </si>
  <si>
    <t>(-) DEDUÇÕES DA RECEITA BRUTA</t>
  </si>
  <si>
    <t>(-) DEVOLUÇÃO DE VENDA DE MERCADORIAS</t>
  </si>
  <si>
    <t>(-) ICMS</t>
  </si>
  <si>
    <t>(-) COFINS</t>
  </si>
  <si>
    <t>(-) PIS</t>
  </si>
  <si>
    <t>(-) SUBSTITUIÇÃO TRIBUTÁRIA</t>
  </si>
  <si>
    <t>= RECEITA LÍQUIDA</t>
  </si>
  <si>
    <t>(-) CMV</t>
  </si>
  <si>
    <t>CUSTOS DAS MERCADORIAS VENDIDAS</t>
  </si>
  <si>
    <t>= LUCRO BRUTO</t>
  </si>
  <si>
    <t>(-) DESPESAS OPERACIONAIS</t>
  </si>
  <si>
    <t>DESPESAS COM VENDAS</t>
  </si>
  <si>
    <t>FRETES E CARRETOS</t>
  </si>
  <si>
    <t>DESPESAS ADMINISTRATIVAS</t>
  </si>
  <si>
    <t>SALÁRIOS E ORDENADOS</t>
  </si>
  <si>
    <t>INSS</t>
  </si>
  <si>
    <t>FGTS</t>
  </si>
  <si>
    <t>ENERGIA ELÉTRICA</t>
  </si>
  <si>
    <t>ÁGUA E ESGOTO</t>
  </si>
  <si>
    <t>SEGUROS</t>
  </si>
  <si>
    <t>HONORÁRIOS CONTÁBEIS</t>
  </si>
  <si>
    <t>SERVIÇOS PRESTADOS POR TERCEIROS</t>
  </si>
  <si>
    <t>DESPESAS COM INTERNET</t>
  </si>
  <si>
    <t>COMBUSTÍVEL</t>
  </si>
  <si>
    <t>(+/-) RECEITAS FINANCEIRAS</t>
  </si>
  <si>
    <t>DESPESAS BANCÁRIA</t>
  </si>
  <si>
    <t>(-) OUTRAS RECEITAS OPERACIONAIS</t>
  </si>
  <si>
    <t>BONIFICAÇÃO RECEBIDA</t>
  </si>
  <si>
    <t>RECEITA DE SUBVENÇÃO ICMS</t>
  </si>
  <si>
    <t>= LUCRO OU PREJUÍZO OPERACIONAL</t>
  </si>
  <si>
    <t>JANEIRO</t>
  </si>
  <si>
    <t>AV</t>
  </si>
  <si>
    <t>AH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</si>
  <si>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</si>
  <si>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</si>
  <si>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</si>
  <si>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</si>
  <si>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</si>
  <si>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</si>
  <si>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</si>
  <si>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</si>
  <si>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</si>
  <si>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</si>
  <si>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</si>
  <si>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Código</t>
  </si>
  <si>
    <t>Classificação</t>
  </si>
  <si>
    <t>Descrição da conta</t>
  </si>
  <si>
    <t>ATIVO</t>
  </si>
  <si>
    <t>1.1</t>
  </si>
  <si>
    <t xml:space="preserve">   ATIVO CIRCULANTE</t>
  </si>
  <si>
    <t>1.1.1</t>
  </si>
  <si>
    <t xml:space="preserve">      DISPONÍVEL</t>
  </si>
  <si>
    <t>1.1.1.02</t>
  </si>
  <si>
    <t xml:space="preserve">         BANCOS CONTA MOVIMENTO</t>
  </si>
  <si>
    <t>1.1.1.02.00001</t>
  </si>
  <si>
    <t xml:space="preserve">            BANCO STONE - AG 0001 C/C 9352840-4</t>
  </si>
  <si>
    <t>1.1.1.02.00002</t>
  </si>
  <si>
    <t xml:space="preserve">            ITAU - AG 8090 C/C: 98422-3</t>
  </si>
  <si>
    <t>1.1.2</t>
  </si>
  <si>
    <t xml:space="preserve">      CLIENTES</t>
  </si>
  <si>
    <t>1.1.2.01</t>
  </si>
  <si>
    <t xml:space="preserve">         DUPLICATAS A RECEBER</t>
  </si>
  <si>
    <t>1.1.2.01.00001</t>
  </si>
  <si>
    <t xml:space="preserve">            CLIENTES DIVERSOS</t>
  </si>
  <si>
    <t>1.1.3</t>
  </si>
  <si>
    <t xml:space="preserve">      OUTROS CRÉDITOS</t>
  </si>
  <si>
    <t>1.1.3.03</t>
  </si>
  <si>
    <t xml:space="preserve">         CONTA CORRENTE DE SÓCIOS</t>
  </si>
  <si>
    <t>1.1.3.03.00001</t>
  </si>
  <si>
    <t xml:space="preserve">            CONTA CORRENTE DE SÓCIOS</t>
  </si>
  <si>
    <t>1.1.3.08</t>
  </si>
  <si>
    <t xml:space="preserve">         TRIBUTOS A RECUPERAR/COMPENSAR</t>
  </si>
  <si>
    <t>1.1.3.08.00002</t>
  </si>
  <si>
    <t xml:space="preserve">            ICMS A RECUPERAR</t>
  </si>
  <si>
    <t>1.1.3.08.00012</t>
  </si>
  <si>
    <t xml:space="preserve">            COFINS A RECUPERAR</t>
  </si>
  <si>
    <t>1.1.3.08.00013</t>
  </si>
  <si>
    <t xml:space="preserve">            PIS A RECUPERAR</t>
  </si>
  <si>
    <t>1.1.5</t>
  </si>
  <si>
    <t xml:space="preserve">      ESTOQUE</t>
  </si>
  <si>
    <t>1.1.5.01</t>
  </si>
  <si>
    <t xml:space="preserve">         MERCADORIAS, PRODUTOS E INSUMOS</t>
  </si>
  <si>
    <t>1.1.5.01.00001</t>
  </si>
  <si>
    <t xml:space="preserve">            MERCADORIAS PARA REVENDA</t>
  </si>
  <si>
    <t>1.1.5.01.00002</t>
  </si>
  <si>
    <t xml:space="preserve">            MATÉRIA-PRIMA</t>
  </si>
  <si>
    <t>PASSIVO</t>
  </si>
  <si>
    <t>2.1</t>
  </si>
  <si>
    <t xml:space="preserve">   PASSIVO CIRCULANTE</t>
  </si>
  <si>
    <t>2.1.1</t>
  </si>
  <si>
    <t xml:space="preserve">      FORNECEDORES</t>
  </si>
  <si>
    <t>2.1.1.01</t>
  </si>
  <si>
    <t xml:space="preserve">         FORNECEDORES</t>
  </si>
  <si>
    <t>2.1.1.01.00001</t>
  </si>
  <si>
    <t xml:space="preserve">            FORNECEDORES DIVERSOS</t>
  </si>
  <si>
    <t>2.1.2</t>
  </si>
  <si>
    <t xml:space="preserve">      OBRIGAÇÕES TRIBUTÁRIAS</t>
  </si>
  <si>
    <t>2.1.2.01</t>
  </si>
  <si>
    <t xml:space="preserve">         IMPOSTOS E CONTRIBUIÇÕES A RECOLHER</t>
  </si>
  <si>
    <t>2.1.2.01.00002</t>
  </si>
  <si>
    <t xml:space="preserve">            ICMS A RECOLHER</t>
  </si>
  <si>
    <t>2.1.2.01.00009</t>
  </si>
  <si>
    <t xml:space="preserve">            PIS A RECOLHER</t>
  </si>
  <si>
    <t>2.1.2.01.00010</t>
  </si>
  <si>
    <t xml:space="preserve">            COFINS A RECOLHER</t>
  </si>
  <si>
    <t>2.1.2.01.00016</t>
  </si>
  <si>
    <t xml:space="preserve">            SUBSTITUIÇÃO TRIBUTÁRIA A RECOLHER</t>
  </si>
  <si>
    <t>2.1.3</t>
  </si>
  <si>
    <t xml:space="preserve">      OBRIGAÇÕES TRABALHISTA E PREVIDENCIÁRIA</t>
  </si>
  <si>
    <t>2.1.3.01</t>
  </si>
  <si>
    <t xml:space="preserve">         OBRIGAÇÕES COM O PESSOAL</t>
  </si>
  <si>
    <t>2.1.3.01.00001</t>
  </si>
  <si>
    <t xml:space="preserve">            SALÁRIOS E ORDENADOS A PAGAR</t>
  </si>
  <si>
    <t>2.1.3.01.00005</t>
  </si>
  <si>
    <t xml:space="preserve">            RESCISÕES A PAGAR</t>
  </si>
  <si>
    <t>2.1.3.02</t>
  </si>
  <si>
    <t xml:space="preserve">         OBRIGAÇÕES SOCIAIS</t>
  </si>
  <si>
    <t>2.1.3.02.00001</t>
  </si>
  <si>
    <t xml:space="preserve">            INSS A RECOLHER</t>
  </si>
  <si>
    <t>2.1.3.02.00002</t>
  </si>
  <si>
    <t xml:space="preserve">            FGTS A RECOLHER</t>
  </si>
  <si>
    <t>2.1.4</t>
  </si>
  <si>
    <t xml:space="preserve">      OUTRAS OBRIGAÇÕES</t>
  </si>
  <si>
    <t>2.1.4.02</t>
  </si>
  <si>
    <t xml:space="preserve">         CONTAS A PAGAR</t>
  </si>
  <si>
    <t>2.1.4.02.00002</t>
  </si>
  <si>
    <t xml:space="preserve">            LOJA DAS MÁQUINAS</t>
  </si>
  <si>
    <t>2.3</t>
  </si>
  <si>
    <t xml:space="preserve">   PATRIMÔNIO LÍQUIDO</t>
  </si>
  <si>
    <t>2.3.1</t>
  </si>
  <si>
    <t xml:space="preserve">      CAPITAL SOCIAL</t>
  </si>
  <si>
    <t>2.3.1.01</t>
  </si>
  <si>
    <t xml:space="preserve">         CAPITAL SUBSCRITO</t>
  </si>
  <si>
    <t>2.3.1.01.00001</t>
  </si>
  <si>
    <t xml:space="preserve">            CAPITAL SOCIAL</t>
  </si>
  <si>
    <t>2.3.3</t>
  </si>
  <si>
    <t xml:space="preserve">      LUCROS OU PREJUÍZOS ACUMULADOS</t>
  </si>
  <si>
    <t>2.3.3.01</t>
  </si>
  <si>
    <t xml:space="preserve">         LUCROS OU PREJUÍZOS ACUMULADOS</t>
  </si>
  <si>
    <t>2.3.3.01.00002</t>
  </si>
  <si>
    <t xml:space="preserve">            (-) PREJUÍZOS ACUMULADOS</t>
  </si>
  <si>
    <t>2.3.3.01.00004</t>
  </si>
  <si>
    <t xml:space="preserve">            LUCRO DO EXERCÍCIO</t>
  </si>
  <si>
    <t>2.3.3.01.00005</t>
  </si>
  <si>
    <t xml:space="preserve">            (-) PREJUÍZO DO EXERCÍCIO</t>
  </si>
  <si>
    <t>2.3.3.01.00007</t>
  </si>
  <si>
    <t xml:space="preserve">            (-) AJUSTES DEVEDORES DE EXERCÍCIOS ANTERIORES</t>
  </si>
  <si>
    <t>IMPOSTO</t>
  </si>
  <si>
    <t>DIFAL</t>
  </si>
  <si>
    <t>46 - UNICA COMERCIO ATACADISTA DE TINTAS</t>
  </si>
  <si>
    <t>CNPJ:</t>
  </si>
  <si>
    <t>Insc Est.:</t>
  </si>
  <si>
    <t>07.968.214/001-09</t>
  </si>
  <si>
    <t>Período:</t>
  </si>
  <si>
    <t>01/04/2026 até 30/04/2026</t>
  </si>
  <si>
    <t>ACOMPANHAMENTO DE SAÍDAS</t>
  </si>
  <si>
    <t>Data Emissão</t>
  </si>
  <si>
    <t>Data Saída</t>
  </si>
  <si>
    <t>Nota</t>
  </si>
  <si>
    <t>Série</t>
  </si>
  <si>
    <t>Espécie</t>
  </si>
  <si>
    <t>Cliente</t>
  </si>
  <si>
    <t>CNPJ/CPF/CEI/CAEPF</t>
  </si>
  <si>
    <t>Insc. Est.</t>
  </si>
  <si>
    <t>CFOP</t>
  </si>
  <si>
    <t>AC.</t>
  </si>
  <si>
    <t>Valor Contábil</t>
  </si>
  <si>
    <t>Tipo</t>
  </si>
  <si>
    <t>Base Cálculo</t>
  </si>
  <si>
    <t>Alíq.</t>
  </si>
  <si>
    <t>Isentas</t>
  </si>
  <si>
    <t>Outras</t>
  </si>
  <si>
    <t>42599</t>
  </si>
  <si>
    <t>1</t>
  </si>
  <si>
    <t>22.749.579 CARLOS MARCOS BARBOSA DE OLIVEIRA JUNIOR</t>
  </si>
  <si>
    <t>22749579000122</t>
  </si>
  <si>
    <t>0772759900185</t>
  </si>
  <si>
    <t xml:space="preserve">ICMS    </t>
  </si>
  <si>
    <t xml:space="preserve">SUBTRI  </t>
  </si>
  <si>
    <t>42784</t>
  </si>
  <si>
    <t>Total Cliente</t>
  </si>
  <si>
    <t>42606</t>
  </si>
  <si>
    <t>32.993.132 MAURO DA SILVA NUNES</t>
  </si>
  <si>
    <t>32993132000158</t>
  </si>
  <si>
    <t>0790457900130</t>
  </si>
  <si>
    <t>42876</t>
  </si>
  <si>
    <t>42903</t>
  </si>
  <si>
    <t>43346</t>
  </si>
  <si>
    <t>43347</t>
  </si>
  <si>
    <t>43429</t>
  </si>
  <si>
    <t>39.597.087 MARLENE DE JESUS CARDOSO</t>
  </si>
  <si>
    <t>39597087000161</t>
  </si>
  <si>
    <t>200703811</t>
  </si>
  <si>
    <t>42579</t>
  </si>
  <si>
    <t>43.007.560 CAMILLA KELLY NASCIMENTO SANTOS</t>
  </si>
  <si>
    <t>43007560000180</t>
  </si>
  <si>
    <t>0807476600160</t>
  </si>
  <si>
    <t>43042</t>
  </si>
  <si>
    <t>42651</t>
  </si>
  <si>
    <t>50.827.812 FRANCISCO DA CRUZ LIMA</t>
  </si>
  <si>
    <t>50827812000183</t>
  </si>
  <si>
    <t>200422898</t>
  </si>
  <si>
    <t>42666</t>
  </si>
  <si>
    <t>42913</t>
  </si>
  <si>
    <t>42925</t>
  </si>
  <si>
    <t>43097</t>
  </si>
  <si>
    <t>43100</t>
  </si>
  <si>
    <t>43175</t>
  </si>
  <si>
    <t>51.77.196 MONICA ANDRADE DA SILVA MELO</t>
  </si>
  <si>
    <t>51779196000103</t>
  </si>
  <si>
    <t>200661760</t>
  </si>
  <si>
    <t>43262</t>
  </si>
  <si>
    <t>43030</t>
  </si>
  <si>
    <t>52.150.859 GABRIEL FERNANDES SILVA</t>
  </si>
  <si>
    <t>52150859000180</t>
  </si>
  <si>
    <t>0824656400143</t>
  </si>
  <si>
    <t>43148</t>
  </si>
  <si>
    <t>43159</t>
  </si>
  <si>
    <t>43401</t>
  </si>
  <si>
    <t>42668</t>
  </si>
  <si>
    <t>52.653.731 MICAELLE SOUSA COSTA</t>
  </si>
  <si>
    <t>52653731000130</t>
  </si>
  <si>
    <t>200884948</t>
  </si>
  <si>
    <t>42638</t>
  </si>
  <si>
    <t>54.999.103 MARCIEL DE JESUS SANTOS</t>
  </si>
  <si>
    <t>54999103000136</t>
  </si>
  <si>
    <t>201460416</t>
  </si>
  <si>
    <t>42952</t>
  </si>
  <si>
    <t>43380</t>
  </si>
  <si>
    <t>42653</t>
  </si>
  <si>
    <t>55.055.702 WALIRES UCHOA LOPES</t>
  </si>
  <si>
    <t>55055702000164</t>
  </si>
  <si>
    <t>0829938000119</t>
  </si>
  <si>
    <t>42654</t>
  </si>
  <si>
    <t>42825</t>
  </si>
  <si>
    <t>43195</t>
  </si>
  <si>
    <t>42728</t>
  </si>
  <si>
    <t>55.957.421 LETICIA MENEZES DE LIMA</t>
  </si>
  <si>
    <t>55957421000105</t>
  </si>
  <si>
    <t>0831544300166</t>
  </si>
  <si>
    <t>42729</t>
  </si>
  <si>
    <t>42846</t>
  </si>
  <si>
    <t>42847</t>
  </si>
  <si>
    <t>43025</t>
  </si>
  <si>
    <t>42884</t>
  </si>
  <si>
    <t>57.251.396 KALILA MELANE SANTOS FARIAS</t>
  </si>
  <si>
    <t>57251396000167</t>
  </si>
  <si>
    <t>0832904500151</t>
  </si>
  <si>
    <t>42696</t>
  </si>
  <si>
    <t>64.127.281 GABRIEL COSTA GONCALVES</t>
  </si>
  <si>
    <t>64127281000120</t>
  </si>
  <si>
    <t>42960</t>
  </si>
  <si>
    <t>A LASER MICHAEL LTDA</t>
  </si>
  <si>
    <t>24512862000161</t>
  </si>
  <si>
    <t>0776317300185</t>
  </si>
  <si>
    <t>43367</t>
  </si>
  <si>
    <t>42546</t>
  </si>
  <si>
    <t>A R F DA CUNHA</t>
  </si>
  <si>
    <t>18937225000134</t>
  </si>
  <si>
    <t>0765866500161</t>
  </si>
  <si>
    <t>43230</t>
  </si>
  <si>
    <t>42957</t>
  </si>
  <si>
    <t>ABS TINTAS 2 LTDA</t>
  </si>
  <si>
    <t>56942547000160</t>
  </si>
  <si>
    <t>201801566</t>
  </si>
  <si>
    <t>43390</t>
  </si>
  <si>
    <t>43427</t>
  </si>
  <si>
    <t>43315</t>
  </si>
  <si>
    <t>AFONSO TINTAS LTDA</t>
  </si>
  <si>
    <t>54291577000129</t>
  </si>
  <si>
    <t>201294532</t>
  </si>
  <si>
    <t>43155</t>
  </si>
  <si>
    <t>AFRODITE MOTEL E EMPREENDIMENTOS LTDA</t>
  </si>
  <si>
    <t>08819479000102</t>
  </si>
  <si>
    <t>0748743300105</t>
  </si>
  <si>
    <t>43009</t>
  </si>
  <si>
    <t>AGATA GOMES MARTINS</t>
  </si>
  <si>
    <t>60213875000101</t>
  </si>
  <si>
    <t>0051633340015</t>
  </si>
  <si>
    <t>43076</t>
  </si>
  <si>
    <t>AJ CONSTRUCAO LTDA</t>
  </si>
  <si>
    <t>44946975000182</t>
  </si>
  <si>
    <t>0810963900143</t>
  </si>
  <si>
    <t>43344</t>
  </si>
  <si>
    <t>9948</t>
  </si>
  <si>
    <t>22</t>
  </si>
  <si>
    <t>AKZO NOBEL LTDA</t>
  </si>
  <si>
    <t>60561719002258</t>
  </si>
  <si>
    <t>635072704119</t>
  </si>
  <si>
    <t>9954</t>
  </si>
  <si>
    <t>43372</t>
  </si>
  <si>
    <t>ALESSANDRO MENDES DA COSTA</t>
  </si>
  <si>
    <t>10784693000104</t>
  </si>
  <si>
    <t>0751965900109</t>
  </si>
  <si>
    <t>42761</t>
  </si>
  <si>
    <t>ALIPOX PINTURA ELETROSTATICA LTDA</t>
  </si>
  <si>
    <t>22872165000196</t>
  </si>
  <si>
    <t>0772923300122</t>
  </si>
  <si>
    <t>42780</t>
  </si>
  <si>
    <t>43177</t>
  </si>
  <si>
    <t>ALPHA EMPREENDIMENTOS E ADMINISTRACAO DE IMOVEIS LTDA</t>
  </si>
  <si>
    <t>69102093000161</t>
  </si>
  <si>
    <t>43176</t>
  </si>
  <si>
    <t>42762</t>
  </si>
  <si>
    <t>ALTERNATINTAS MATERIAIS PARA CONSTRUCAO LTDA ME</t>
  </si>
  <si>
    <t>37108966000238</t>
  </si>
  <si>
    <t>0730601200248</t>
  </si>
  <si>
    <t>43068</t>
  </si>
  <si>
    <t>42669</t>
  </si>
  <si>
    <t>AMERICAN SOLUOCES PORTAS LTDA</t>
  </si>
  <si>
    <t>45710664000182</t>
  </si>
  <si>
    <t>0813441000102</t>
  </si>
  <si>
    <t>43035</t>
  </si>
  <si>
    <t>42982</t>
  </si>
  <si>
    <t>ATLAS CASA E CONSTRUCAO LTDA</t>
  </si>
  <si>
    <t>57317239000107</t>
  </si>
  <si>
    <t>0833032900160</t>
  </si>
  <si>
    <t>42549</t>
  </si>
  <si>
    <t>ATUAL COMERCIO DE PRODUTOS DE LIMPEZA E ALIMENTOS LTDA</t>
  </si>
  <si>
    <t>10946351000143</t>
  </si>
  <si>
    <t>0752351900141</t>
  </si>
  <si>
    <t>42623</t>
  </si>
  <si>
    <t>AUTO PINTURA JULIO LTDA</t>
  </si>
  <si>
    <t>38059184000138</t>
  </si>
  <si>
    <t>0733958000191</t>
  </si>
  <si>
    <t>42932</t>
  </si>
  <si>
    <t>42934</t>
  </si>
  <si>
    <t>42945</t>
  </si>
  <si>
    <t>42757</t>
  </si>
  <si>
    <t>AUTO REFORMADORA JL LTDA</t>
  </si>
  <si>
    <t>11028380000199</t>
  </si>
  <si>
    <t>106096141</t>
  </si>
  <si>
    <t>42889</t>
  </si>
  <si>
    <t>43402</t>
  </si>
  <si>
    <t>43403</t>
  </si>
  <si>
    <t>43321</t>
  </si>
  <si>
    <t>AVENIDA TINTAS COMERCIO DE MATERIAIS DE CONSTRUCAO LTDA</t>
  </si>
  <si>
    <t>60511743000158</t>
  </si>
  <si>
    <t>0838864200194</t>
  </si>
  <si>
    <t>43326</t>
  </si>
  <si>
    <t>B S INDUSTRIA E COMERCIO LTDA</t>
  </si>
  <si>
    <t>45705710000155</t>
  </si>
  <si>
    <t>0812334600191</t>
  </si>
  <si>
    <t>43199</t>
  </si>
  <si>
    <t>BARCELONA CONSTRUTORA E COMERCIO DE VIDROS LTDA</t>
  </si>
  <si>
    <t>35980147000170</t>
  </si>
  <si>
    <t>0795897300158</t>
  </si>
  <si>
    <t>43200</t>
  </si>
  <si>
    <t>42698</t>
  </si>
  <si>
    <t>BOREAL TINTAS AUTOMOTIVAS LTDA</t>
  </si>
  <si>
    <t>43175781000168</t>
  </si>
  <si>
    <t>0807780600108</t>
  </si>
  <si>
    <t>43421</t>
  </si>
  <si>
    <t>42673</t>
  </si>
  <si>
    <t>BRASIL SUL INDUSTRIA DE EQUIPAMENTOS CONTRA INCENDIO LTDA</t>
  </si>
  <si>
    <t>22870211000118</t>
  </si>
  <si>
    <t>0794106100168</t>
  </si>
  <si>
    <t>42859</t>
  </si>
  <si>
    <t>42991</t>
  </si>
  <si>
    <t>43038</t>
  </si>
  <si>
    <t>43311</t>
  </si>
  <si>
    <t>43391</t>
  </si>
  <si>
    <t>42970</t>
  </si>
  <si>
    <t>BRASILUX TINTAS TECNICAS LTDA</t>
  </si>
  <si>
    <t>72770878000117</t>
  </si>
  <si>
    <t>441029187111</t>
  </si>
  <si>
    <t>43153</t>
  </si>
  <si>
    <t>BRINKPARK</t>
  </si>
  <si>
    <t>60858882000152</t>
  </si>
  <si>
    <t>0839468100128</t>
  </si>
  <si>
    <t>43287</t>
  </si>
  <si>
    <t>43288</t>
  </si>
  <si>
    <t>43413</t>
  </si>
  <si>
    <t>43239</t>
  </si>
  <si>
    <t>C &amp; M COMERCIO DE TINTAS LTDA ME</t>
  </si>
  <si>
    <t>10868223000129</t>
  </si>
  <si>
    <t>0752181400127</t>
  </si>
  <si>
    <t>43000</t>
  </si>
  <si>
    <t>CARVAL SERVICOS DE CONSTRUCOES E REFORMAS LTDA</t>
  </si>
  <si>
    <t>33174123000106</t>
  </si>
  <si>
    <t>0790807500143</t>
  </si>
  <si>
    <t>43059</t>
  </si>
  <si>
    <t>43084</t>
  </si>
  <si>
    <t>43018</t>
  </si>
  <si>
    <t>CASA DOS ESPELHOS E PINTURA ELETROSTATICA LTDA</t>
  </si>
  <si>
    <t>12694924000114</t>
  </si>
  <si>
    <t>020394651</t>
  </si>
  <si>
    <t>42830</t>
  </si>
  <si>
    <t>CASTELO DAS CORES COM. TINTAS LTDA</t>
  </si>
  <si>
    <t>34360009000125</t>
  </si>
  <si>
    <t>0792966200116</t>
  </si>
  <si>
    <t>43272</t>
  </si>
  <si>
    <t>42922</t>
  </si>
  <si>
    <t>CASTELO DAS CORES LTDA</t>
  </si>
  <si>
    <t>03667129000146</t>
  </si>
  <si>
    <t>0740753000133</t>
  </si>
  <si>
    <t>43271</t>
  </si>
  <si>
    <t>43044</t>
  </si>
  <si>
    <t>CASTELO FORTE SAMAMBAIA MAT. P CONST.</t>
  </si>
  <si>
    <t>03009406000123</t>
  </si>
  <si>
    <t>0739379100100</t>
  </si>
  <si>
    <t>43422</t>
  </si>
  <si>
    <t>CAVALCANTE E SOUSA COMERCIO DE TINTAS LTDA</t>
  </si>
  <si>
    <t>45341944000160</t>
  </si>
  <si>
    <t>0811695300152</t>
  </si>
  <si>
    <t>42755</t>
  </si>
  <si>
    <t>CDM DISTRIBUIDORA E COMERCIO LTDA</t>
  </si>
  <si>
    <t>23028564000138</t>
  </si>
  <si>
    <t>0773259800104</t>
  </si>
  <si>
    <t>42565</t>
  </si>
  <si>
    <t>CELINA BARROS DE AMORIM 54003601149</t>
  </si>
  <si>
    <t>46631147000180</t>
  </si>
  <si>
    <t>0814119200105</t>
  </si>
  <si>
    <t>42578</t>
  </si>
  <si>
    <t>42644</t>
  </si>
  <si>
    <t>42645</t>
  </si>
  <si>
    <t>42646</t>
  </si>
  <si>
    <t>42740</t>
  </si>
  <si>
    <t>42741</t>
  </si>
  <si>
    <t>42742</t>
  </si>
  <si>
    <t>42743</t>
  </si>
  <si>
    <t>42744</t>
  </si>
  <si>
    <t>42808</t>
  </si>
  <si>
    <t>42809</t>
  </si>
  <si>
    <t>42810</t>
  </si>
  <si>
    <t>42899</t>
  </si>
  <si>
    <t>42900</t>
  </si>
  <si>
    <t>42901</t>
  </si>
  <si>
    <t>42906</t>
  </si>
  <si>
    <t>42963</t>
  </si>
  <si>
    <t>43005</t>
  </si>
  <si>
    <t>43069</t>
  </si>
  <si>
    <t>43124</t>
  </si>
  <si>
    <t>43126</t>
  </si>
  <si>
    <t>43127</t>
  </si>
  <si>
    <t>43140</t>
  </si>
  <si>
    <t>43264</t>
  </si>
  <si>
    <t>43280</t>
  </si>
  <si>
    <t>43320</t>
  </si>
  <si>
    <t>43349</t>
  </si>
  <si>
    <t>43393</t>
  </si>
  <si>
    <t>43446</t>
  </si>
  <si>
    <t>43178</t>
  </si>
  <si>
    <t>43459</t>
  </si>
  <si>
    <t>CENTRAL TINTAS BARREIRAS LTDA</t>
  </si>
  <si>
    <t>43968496000102</t>
  </si>
  <si>
    <t>186626416</t>
  </si>
  <si>
    <t>43123</t>
  </si>
  <si>
    <t>CLEBER PINTURAS</t>
  </si>
  <si>
    <t>33510757000184</t>
  </si>
  <si>
    <t>200702971</t>
  </si>
  <si>
    <t>43201</t>
  </si>
  <si>
    <t>CLEIDIMAR MENEZES DE SOUZA</t>
  </si>
  <si>
    <t>35450509000110</t>
  </si>
  <si>
    <t>0794944100131</t>
  </si>
  <si>
    <t>43136</t>
  </si>
  <si>
    <t>CMA PINTURAS LTDA</t>
  </si>
  <si>
    <t>54093420000199</t>
  </si>
  <si>
    <t>0828222100150</t>
  </si>
  <si>
    <t>43251</t>
  </si>
  <si>
    <t>43252</t>
  </si>
  <si>
    <t>43253</t>
  </si>
  <si>
    <t>43374</t>
  </si>
  <si>
    <t>43135</t>
  </si>
  <si>
    <t>42943</t>
  </si>
  <si>
    <t>COLORADO TINTAS LTDA</t>
  </si>
  <si>
    <t>52803967000105</t>
  </si>
  <si>
    <t>0825847500183</t>
  </si>
  <si>
    <t>42944</t>
  </si>
  <si>
    <t>43010</t>
  </si>
  <si>
    <t>43423</t>
  </si>
  <si>
    <t>43424</t>
  </si>
  <si>
    <t>42978</t>
  </si>
  <si>
    <t>COLORMIX TINTAS E ACESSORIOS LTDA</t>
  </si>
  <si>
    <t>19950739000192</t>
  </si>
  <si>
    <t>0767606100100</t>
  </si>
  <si>
    <t>43015</t>
  </si>
  <si>
    <t>43051</t>
  </si>
  <si>
    <t>43265</t>
  </si>
  <si>
    <t>43257</t>
  </si>
  <si>
    <t>43259</t>
  </si>
  <si>
    <t>42611</t>
  </si>
  <si>
    <t>COMERCIAL G A DE TINTAS LTDA</t>
  </si>
  <si>
    <t>35841190000154</t>
  </si>
  <si>
    <t>0795659600103</t>
  </si>
  <si>
    <t>42965</t>
  </si>
  <si>
    <t>COMERCIO DE TINTAS BSB LTDA</t>
  </si>
  <si>
    <t>40822098000187</t>
  </si>
  <si>
    <t>0803489100193</t>
  </si>
  <si>
    <t>42576</t>
  </si>
  <si>
    <t>COMERCIO DE TINTAS D&amp; A LTDA</t>
  </si>
  <si>
    <t>04302096000101</t>
  </si>
  <si>
    <t>103354700</t>
  </si>
  <si>
    <t>42871</t>
  </si>
  <si>
    <t>42870</t>
  </si>
  <si>
    <t>COMIN INDUSTRIA DE CARROCERIAS EIRELI</t>
  </si>
  <si>
    <t>13246041000104</t>
  </si>
  <si>
    <t>104983345</t>
  </si>
  <si>
    <t>43003</t>
  </si>
  <si>
    <t>CONCRETO TINTAS LTDA - EPP</t>
  </si>
  <si>
    <t>37097342000181</t>
  </si>
  <si>
    <t>0731022200139</t>
  </si>
  <si>
    <t>43119</t>
  </si>
  <si>
    <t>43037</t>
  </si>
  <si>
    <t>CONSTRUASA E AGROPECUARIA COMERCIO DE MATERIAL DE CONST.LTDA</t>
  </si>
  <si>
    <t>41861028000109</t>
  </si>
  <si>
    <t>0805373900122</t>
  </si>
  <si>
    <t>43008</t>
  </si>
  <si>
    <t>CONSTRUSOLLO CONSTRUCOES LTDA</t>
  </si>
  <si>
    <t>00715532000105</t>
  </si>
  <si>
    <t>0824624700109</t>
  </si>
  <si>
    <t>43002</t>
  </si>
  <si>
    <t>42840</t>
  </si>
  <si>
    <t>CONSTRUTORA PORTO S.A.</t>
  </si>
  <si>
    <t>37243599000609</t>
  </si>
  <si>
    <t>0830965400126</t>
  </si>
  <si>
    <t>42919</t>
  </si>
  <si>
    <t>42951</t>
  </si>
  <si>
    <t>42763</t>
  </si>
  <si>
    <t>D PRIMEIRA COMERCIO DE FERRAMENTAS E PARAFUSOS LTDA</t>
  </si>
  <si>
    <t>28077991000120</t>
  </si>
  <si>
    <t>0781623400163</t>
  </si>
  <si>
    <t>42816</t>
  </si>
  <si>
    <t>42817</t>
  </si>
  <si>
    <t>42869</t>
  </si>
  <si>
    <t>43001</t>
  </si>
  <si>
    <t>43032</t>
  </si>
  <si>
    <t>43095</t>
  </si>
  <si>
    <t>43369</t>
  </si>
  <si>
    <t>43370</t>
  </si>
  <si>
    <t>43394</t>
  </si>
  <si>
    <t>7058</t>
  </si>
  <si>
    <t>DAUTO COMERCIO DE PRODUTO</t>
  </si>
  <si>
    <t>46675949000192</t>
  </si>
  <si>
    <t>109360222</t>
  </si>
  <si>
    <t>42627</t>
  </si>
  <si>
    <t>DAUTO PINTURA E MECANICA LTDA - GUARA</t>
  </si>
  <si>
    <t>24934648000101</t>
  </si>
  <si>
    <t>0731129400194</t>
  </si>
  <si>
    <t>42626</t>
  </si>
  <si>
    <t>DAUTO PINTURA E MECANICA LTDA - TAGUATINGA</t>
  </si>
  <si>
    <t>24934648000365</t>
  </si>
  <si>
    <t>0731129400356</t>
  </si>
  <si>
    <t>42628</t>
  </si>
  <si>
    <t>DAUTO PINTURA E MECANICA LTDA - TR 03</t>
  </si>
  <si>
    <t>24934648000284</t>
  </si>
  <si>
    <t>0731129400275</t>
  </si>
  <si>
    <t>42802</t>
  </si>
  <si>
    <t>DAUTO TINTAS PARACATU LTDA</t>
  </si>
  <si>
    <t>33304308000180</t>
  </si>
  <si>
    <t>0034204700047</t>
  </si>
  <si>
    <t>42823</t>
  </si>
  <si>
    <t>42824</t>
  </si>
  <si>
    <t>42829</t>
  </si>
  <si>
    <t>43039</t>
  </si>
  <si>
    <t>43222</t>
  </si>
  <si>
    <t>42622</t>
  </si>
  <si>
    <t>DCS CENTRO AUTOMOTIVO LTDA ME - TR 17</t>
  </si>
  <si>
    <t>01514533000235</t>
  </si>
  <si>
    <t>0736670600283</t>
  </si>
  <si>
    <t>43204</t>
  </si>
  <si>
    <t>42625</t>
  </si>
  <si>
    <t>DCS LANTERNAGEM E PINTURA LTDA ME - SOF SUL</t>
  </si>
  <si>
    <t>01514533000154</t>
  </si>
  <si>
    <t>0736670600100</t>
  </si>
  <si>
    <t>42577</t>
  </si>
  <si>
    <t>DECORAR COMERCIO DE TINTAS LTDA</t>
  </si>
  <si>
    <t>26135549000187</t>
  </si>
  <si>
    <t>0778266400184</t>
  </si>
  <si>
    <t>42768</t>
  </si>
  <si>
    <t>43198</t>
  </si>
  <si>
    <t>DEL MAIPO COMERCIO E REPRESENTACOES LTDA</t>
  </si>
  <si>
    <t>05700241000167</t>
  </si>
  <si>
    <t>0744570000196</t>
  </si>
  <si>
    <t>43017</t>
  </si>
  <si>
    <t>DELTA LOCACOES DE EQUIPAMENTOS E CONTAINERS LTDA</t>
  </si>
  <si>
    <t>01420277000136</t>
  </si>
  <si>
    <t>0769664100173</t>
  </si>
  <si>
    <t>43384</t>
  </si>
  <si>
    <t>43383</t>
  </si>
  <si>
    <t>42605</t>
  </si>
  <si>
    <t>DELTA VIDROS E ESQUADRIAS LTDA</t>
  </si>
  <si>
    <t>34253032000110</t>
  </si>
  <si>
    <t>0792775100109</t>
  </si>
  <si>
    <t>42954</t>
  </si>
  <si>
    <t>DF COMERCIO DE UTENSILIOS PARA TRANSPORTE DE ALIMENTOS LTDA</t>
  </si>
  <si>
    <t>32878818000106</t>
  </si>
  <si>
    <t>0790235100188</t>
  </si>
  <si>
    <t>43194</t>
  </si>
  <si>
    <t>43212</t>
  </si>
  <si>
    <t>DF MOVEIS FABRICACAO E COMERCIO LTDA</t>
  </si>
  <si>
    <t>63391051000101</t>
  </si>
  <si>
    <t>0844132500178</t>
  </si>
  <si>
    <t>43004</t>
  </si>
  <si>
    <t>DIAMANTINA COMERCIO E SERVICOS</t>
  </si>
  <si>
    <t>00696483000100</t>
  </si>
  <si>
    <t>0773426900170</t>
  </si>
  <si>
    <t>43075</t>
  </si>
  <si>
    <t>42590</t>
  </si>
  <si>
    <t>DINAMICA COMERCIO DE TINTAS LTDA</t>
  </si>
  <si>
    <t>35374625000106</t>
  </si>
  <si>
    <t>0794757500172</t>
  </si>
  <si>
    <t>42670</t>
  </si>
  <si>
    <t>42671</t>
  </si>
  <si>
    <t>42675</t>
  </si>
  <si>
    <t>42961</t>
  </si>
  <si>
    <t>43053</t>
  </si>
  <si>
    <t>43209</t>
  </si>
  <si>
    <t>43219</t>
  </si>
  <si>
    <t>43128</t>
  </si>
  <si>
    <t>DISTRITAL COMERCIO DE TINTAS LTDA ME</t>
  </si>
  <si>
    <t>23781742000105</t>
  </si>
  <si>
    <t>0774583600130</t>
  </si>
  <si>
    <t>42775</t>
  </si>
  <si>
    <t>DISTRITO FERRAGENS LTDA</t>
  </si>
  <si>
    <t>50575932000130</t>
  </si>
  <si>
    <t>0821724500255</t>
  </si>
  <si>
    <t>43047</t>
  </si>
  <si>
    <t>DNR TINTAS AUTOMOTIVAS EIRELI</t>
  </si>
  <si>
    <t>32911866000140</t>
  </si>
  <si>
    <t>107538016</t>
  </si>
  <si>
    <t>43416</t>
  </si>
  <si>
    <t>DOBRACO COMERCIO DE CORTE &amp; DOBRA DE CHAPA LTDA</t>
  </si>
  <si>
    <t>19308000000181</t>
  </si>
  <si>
    <t>0766487600140</t>
  </si>
  <si>
    <t>43418</t>
  </si>
  <si>
    <t>42554</t>
  </si>
  <si>
    <t>DT TINTAS COMERCIO VAREJISTA LIMITADA (CEILANDIA)</t>
  </si>
  <si>
    <t>40994045000143</t>
  </si>
  <si>
    <t>0803779600105</t>
  </si>
  <si>
    <t>42555</t>
  </si>
  <si>
    <t>42571</t>
  </si>
  <si>
    <t>42582</t>
  </si>
  <si>
    <t>42583</t>
  </si>
  <si>
    <t>42595</t>
  </si>
  <si>
    <t>42602</t>
  </si>
  <si>
    <t>42603</t>
  </si>
  <si>
    <t>42610</t>
  </si>
  <si>
    <t>42615</t>
  </si>
  <si>
    <t>42619</t>
  </si>
  <si>
    <t>42620</t>
  </si>
  <si>
    <t>42629</t>
  </si>
  <si>
    <t>42634</t>
  </si>
  <si>
    <t>42639</t>
  </si>
  <si>
    <t>42681</t>
  </si>
  <si>
    <t>42688</t>
  </si>
  <si>
    <t>42704</t>
  </si>
  <si>
    <t>42705</t>
  </si>
  <si>
    <t>42707</t>
  </si>
  <si>
    <t>42733</t>
  </si>
  <si>
    <t>42746</t>
  </si>
  <si>
    <t>42792</t>
  </si>
  <si>
    <t>42798</t>
  </si>
  <si>
    <t>42804</t>
  </si>
  <si>
    <t>42863</t>
  </si>
  <si>
    <t>42878</t>
  </si>
  <si>
    <t>42879</t>
  </si>
  <si>
    <t>42895</t>
  </si>
  <si>
    <t>42926</t>
  </si>
  <si>
    <t>42942</t>
  </si>
  <si>
    <t>42972</t>
  </si>
  <si>
    <t>42977</t>
  </si>
  <si>
    <t>42990</t>
  </si>
  <si>
    <t>43024</t>
  </si>
  <si>
    <t>43034</t>
  </si>
  <si>
    <t>43036</t>
  </si>
  <si>
    <t>43080</t>
  </si>
  <si>
    <t>43090</t>
  </si>
  <si>
    <t>43092</t>
  </si>
  <si>
    <t>43098</t>
  </si>
  <si>
    <t>43106</t>
  </si>
  <si>
    <t>43108</t>
  </si>
  <si>
    <t>43117</t>
  </si>
  <si>
    <t>43149</t>
  </si>
  <si>
    <t>43150</t>
  </si>
  <si>
    <t>43161</t>
  </si>
  <si>
    <t>43165</t>
  </si>
  <si>
    <t>43173</t>
  </si>
  <si>
    <t>43185</t>
  </si>
  <si>
    <t>43193</t>
  </si>
  <si>
    <t>43205</t>
  </si>
  <si>
    <t>43223</t>
  </si>
  <si>
    <t>43241</t>
  </si>
  <si>
    <t>43244</t>
  </si>
  <si>
    <t>43245</t>
  </si>
  <si>
    <t>43249</t>
  </si>
  <si>
    <t>43268</t>
  </si>
  <si>
    <t>43269</t>
  </si>
  <si>
    <t>43273</t>
  </si>
  <si>
    <t>43289</t>
  </si>
  <si>
    <t>43290</t>
  </si>
  <si>
    <t>43292</t>
  </si>
  <si>
    <t>43299</t>
  </si>
  <si>
    <t>43303</t>
  </si>
  <si>
    <t>43304</t>
  </si>
  <si>
    <t>43340</t>
  </si>
  <si>
    <t>43362</t>
  </si>
  <si>
    <t>43382</t>
  </si>
  <si>
    <t>43397</t>
  </si>
  <si>
    <t>43399</t>
  </si>
  <si>
    <t>43400</t>
  </si>
  <si>
    <t>43404</t>
  </si>
  <si>
    <t>43426</t>
  </si>
  <si>
    <t>43431</t>
  </si>
  <si>
    <t>43433</t>
  </si>
  <si>
    <t>43437</t>
  </si>
  <si>
    <t>43441</t>
  </si>
  <si>
    <t>43447</t>
  </si>
  <si>
    <t>43448</t>
  </si>
  <si>
    <t>43457</t>
  </si>
  <si>
    <t>43458</t>
  </si>
  <si>
    <t>43461</t>
  </si>
  <si>
    <t>43462</t>
  </si>
  <si>
    <t>42553</t>
  </si>
  <si>
    <t>DT TINTAS COMERCIO VAREJISTA LIMITADA (GUARA)</t>
  </si>
  <si>
    <t>40994045000305</t>
  </si>
  <si>
    <t>0803779600377</t>
  </si>
  <si>
    <t>42563</t>
  </si>
  <si>
    <t>42592</t>
  </si>
  <si>
    <t>42600</t>
  </si>
  <si>
    <t>42604</t>
  </si>
  <si>
    <t>42618</t>
  </si>
  <si>
    <t>42643</t>
  </si>
  <si>
    <t>42649</t>
  </si>
  <si>
    <t>42662</t>
  </si>
  <si>
    <t>42667</t>
  </si>
  <si>
    <t>42686</t>
  </si>
  <si>
    <t>42687</t>
  </si>
  <si>
    <t>42708</t>
  </si>
  <si>
    <t>42734</t>
  </si>
  <si>
    <t>42750</t>
  </si>
  <si>
    <t>42788</t>
  </si>
  <si>
    <t>42789</t>
  </si>
  <si>
    <t>42801</t>
  </si>
  <si>
    <t>42805</t>
  </si>
  <si>
    <t>42833</t>
  </si>
  <si>
    <t>42852</t>
  </si>
  <si>
    <t>42893</t>
  </si>
  <si>
    <t>42894</t>
  </si>
  <si>
    <t>42904</t>
  </si>
  <si>
    <t>42914</t>
  </si>
  <si>
    <t>42928</t>
  </si>
  <si>
    <t>42930</t>
  </si>
  <si>
    <t>42946</t>
  </si>
  <si>
    <t>42971</t>
  </si>
  <si>
    <t>42986</t>
  </si>
  <si>
    <t>42994</t>
  </si>
  <si>
    <t>42995</t>
  </si>
  <si>
    <t>43013</t>
  </si>
  <si>
    <t>43031</t>
  </si>
  <si>
    <t>43058</t>
  </si>
  <si>
    <t>43071</t>
  </si>
  <si>
    <t>43081</t>
  </si>
  <si>
    <t>43094</t>
  </si>
  <si>
    <t>43107</t>
  </si>
  <si>
    <t>43114</t>
  </si>
  <si>
    <t>43125</t>
  </si>
  <si>
    <t>43130</t>
  </si>
  <si>
    <t>43152</t>
  </si>
  <si>
    <t>43184</t>
  </si>
  <si>
    <t>43188</t>
  </si>
  <si>
    <t>43190</t>
  </si>
  <si>
    <t>43203</t>
  </si>
  <si>
    <t>43254</t>
  </si>
  <si>
    <t>43278</t>
  </si>
  <si>
    <t>43286</t>
  </si>
  <si>
    <t>43313</t>
  </si>
  <si>
    <t>43323</t>
  </si>
  <si>
    <t>43330</t>
  </si>
  <si>
    <t>43332</t>
  </si>
  <si>
    <t>43334</t>
  </si>
  <si>
    <t>43354</t>
  </si>
  <si>
    <t>43355</t>
  </si>
  <si>
    <t>43359</t>
  </si>
  <si>
    <t>43388</t>
  </si>
  <si>
    <t>43406</t>
  </si>
  <si>
    <t>43414</t>
  </si>
  <si>
    <t>43428</t>
  </si>
  <si>
    <t>43451</t>
  </si>
  <si>
    <t>42585</t>
  </si>
  <si>
    <t>DT TINTAS COMERCIO VAREJISTA LIMITADA (LUZIANIA)</t>
  </si>
  <si>
    <t>40994045000496</t>
  </si>
  <si>
    <t>202602338</t>
  </si>
  <si>
    <t>42587</t>
  </si>
  <si>
    <t>42617</t>
  </si>
  <si>
    <t>42664</t>
  </si>
  <si>
    <t>42676</t>
  </si>
  <si>
    <t>42682</t>
  </si>
  <si>
    <t>42703</t>
  </si>
  <si>
    <t>42722</t>
  </si>
  <si>
    <t>42726</t>
  </si>
  <si>
    <t>42745</t>
  </si>
  <si>
    <t>42765</t>
  </si>
  <si>
    <t>42773</t>
  </si>
  <si>
    <t>42778</t>
  </si>
  <si>
    <t>42834</t>
  </si>
  <si>
    <t>42851</t>
  </si>
  <si>
    <t>42880</t>
  </si>
  <si>
    <t>42887</t>
  </si>
  <si>
    <t>42896</t>
  </si>
  <si>
    <t>42897</t>
  </si>
  <si>
    <t>43011</t>
  </si>
  <si>
    <t>43014</t>
  </si>
  <si>
    <t>43029</t>
  </si>
  <si>
    <t>43073</t>
  </si>
  <si>
    <t>43145</t>
  </si>
  <si>
    <t>43169</t>
  </si>
  <si>
    <t>43171</t>
  </si>
  <si>
    <t>43180</t>
  </si>
  <si>
    <t>43221</t>
  </si>
  <si>
    <t>43233</t>
  </si>
  <si>
    <t>43235</t>
  </si>
  <si>
    <t>43238</t>
  </si>
  <si>
    <t>43341</t>
  </si>
  <si>
    <t>43417</t>
  </si>
  <si>
    <t>43432</t>
  </si>
  <si>
    <t>42556</t>
  </si>
  <si>
    <t>DT TINTAS COMERCIO VAREJISTA LIMITADA (SIA)</t>
  </si>
  <si>
    <t>40994045000224</t>
  </si>
  <si>
    <t>0803779600296</t>
  </si>
  <si>
    <t>42557</t>
  </si>
  <si>
    <t>42573</t>
  </si>
  <si>
    <t>42574</t>
  </si>
  <si>
    <t>42612</t>
  </si>
  <si>
    <t>42631</t>
  </si>
  <si>
    <t>42652</t>
  </si>
  <si>
    <t>42699</t>
  </si>
  <si>
    <t>42736</t>
  </si>
  <si>
    <t>42806</t>
  </si>
  <si>
    <t>42821</t>
  </si>
  <si>
    <t>42844</t>
  </si>
  <si>
    <t>42855</t>
  </si>
  <si>
    <t>42856</t>
  </si>
  <si>
    <t>42890</t>
  </si>
  <si>
    <t>42891</t>
  </si>
  <si>
    <t>42923</t>
  </si>
  <si>
    <t>42927</t>
  </si>
  <si>
    <t>42962</t>
  </si>
  <si>
    <t>42985</t>
  </si>
  <si>
    <t>42998</t>
  </si>
  <si>
    <t>43021</t>
  </si>
  <si>
    <t>43022</t>
  </si>
  <si>
    <t>43026</t>
  </si>
  <si>
    <t>43027</t>
  </si>
  <si>
    <t>43046</t>
  </si>
  <si>
    <t>43054</t>
  </si>
  <si>
    <t>43060</t>
  </si>
  <si>
    <t>43061</t>
  </si>
  <si>
    <t>43102</t>
  </si>
  <si>
    <t>43109</t>
  </si>
  <si>
    <t>43120</t>
  </si>
  <si>
    <t>43131</t>
  </si>
  <si>
    <t>43164</t>
  </si>
  <si>
    <t>43166</t>
  </si>
  <si>
    <t>43181</t>
  </si>
  <si>
    <t>43187</t>
  </si>
  <si>
    <t>43189</t>
  </si>
  <si>
    <t>43206</t>
  </si>
  <si>
    <t>43231</t>
  </si>
  <si>
    <t>43258</t>
  </si>
  <si>
    <t>43275</t>
  </si>
  <si>
    <t>43276</t>
  </si>
  <si>
    <t>43284</t>
  </si>
  <si>
    <t>43285</t>
  </si>
  <si>
    <t>43297</t>
  </si>
  <si>
    <t>43314</t>
  </si>
  <si>
    <t>43331</t>
  </si>
  <si>
    <t>43351</t>
  </si>
  <si>
    <t>43352</t>
  </si>
  <si>
    <t>43353</t>
  </si>
  <si>
    <t>43368</t>
  </si>
  <si>
    <t>43389</t>
  </si>
  <si>
    <t>43395</t>
  </si>
  <si>
    <t>43396</t>
  </si>
  <si>
    <t>43405</t>
  </si>
  <si>
    <t>43409</t>
  </si>
  <si>
    <t>43430</t>
  </si>
  <si>
    <t>43434</t>
  </si>
  <si>
    <t>43435</t>
  </si>
  <si>
    <t>43436</t>
  </si>
  <si>
    <t>43452</t>
  </si>
  <si>
    <t>43455</t>
  </si>
  <si>
    <t>43121</t>
  </si>
  <si>
    <t>DUBAY EMPREENDIMENTO LTDA</t>
  </si>
  <si>
    <t>43024166000150</t>
  </si>
  <si>
    <t>0831149100176</t>
  </si>
  <si>
    <t>42635</t>
  </si>
  <si>
    <t>EDMAR ALEXANDRE DA SILVA</t>
  </si>
  <si>
    <t>23946420000160</t>
  </si>
  <si>
    <t>42799</t>
  </si>
  <si>
    <t>42853</t>
  </si>
  <si>
    <t>43040</t>
  </si>
  <si>
    <t>43322</t>
  </si>
  <si>
    <t>ELETRICA CARDOSO LTDA</t>
  </si>
  <si>
    <t>55853707000132</t>
  </si>
  <si>
    <t>0831358700141</t>
  </si>
  <si>
    <t>42581</t>
  </si>
  <si>
    <t>ELITE ESTETICA  AUTOMOTIVA LTDA</t>
  </si>
  <si>
    <t>50280719000100</t>
  </si>
  <si>
    <t>205682016</t>
  </si>
  <si>
    <t>42967</t>
  </si>
  <si>
    <t>ELLOS INDUSTRIA E COMERCIO DE MOVEIS LTDA</t>
  </si>
  <si>
    <t>12680125000199</t>
  </si>
  <si>
    <t>0767686600172</t>
  </si>
  <si>
    <t>43260</t>
  </si>
  <si>
    <t>ENAELLE VITORIA PASSOS DOS SANTOS</t>
  </si>
  <si>
    <t>65551691000167</t>
  </si>
  <si>
    <t>0848139500168</t>
  </si>
  <si>
    <t>42591</t>
  </si>
  <si>
    <t>ENGETEC - TECNOLOGIA EM PREVENCAO E CONTROLE DE INCENDIO LTD</t>
  </si>
  <si>
    <t>01721142000100</t>
  </si>
  <si>
    <t>0749723500166</t>
  </si>
  <si>
    <t>43196</t>
  </si>
  <si>
    <t>43337</t>
  </si>
  <si>
    <t>ENGTCI - ENGENHARIA E TECNOLOGIA CONTRA INCENDIO LTDA</t>
  </si>
  <si>
    <t>30619592000195</t>
  </si>
  <si>
    <t>0786273100167</t>
  </si>
  <si>
    <t>43308</t>
  </si>
  <si>
    <t>ERICO AUGUSTO DE SOUZA</t>
  </si>
  <si>
    <t>30655167000151</t>
  </si>
  <si>
    <t>0786277000191</t>
  </si>
  <si>
    <t>42564</t>
  </si>
  <si>
    <t>ETICA COMERCIO VAREJISTA DE TINTAS LTDA (SOFN)</t>
  </si>
  <si>
    <t>04744446000181</t>
  </si>
  <si>
    <t>0756716700107</t>
  </si>
  <si>
    <t>42572</t>
  </si>
  <si>
    <t>42594</t>
  </si>
  <si>
    <t>42660</t>
  </si>
  <si>
    <t>42690</t>
  </si>
  <si>
    <t>42701</t>
  </si>
  <si>
    <t>42706</t>
  </si>
  <si>
    <t>42716</t>
  </si>
  <si>
    <t>42723</t>
  </si>
  <si>
    <t>42759</t>
  </si>
  <si>
    <t>42807</t>
  </si>
  <si>
    <t>42850</t>
  </si>
  <si>
    <t>42915</t>
  </si>
  <si>
    <t>42929</t>
  </si>
  <si>
    <t>42938</t>
  </si>
  <si>
    <t>42974</t>
  </si>
  <si>
    <t>43070</t>
  </si>
  <si>
    <t>43086</t>
  </si>
  <si>
    <t>43192</t>
  </si>
  <si>
    <t>43236</t>
  </si>
  <si>
    <t>43250</t>
  </si>
  <si>
    <t>43283</t>
  </si>
  <si>
    <t>42818</t>
  </si>
  <si>
    <t>ETICA COMERCIO VAREJISTA DE TINTAS LTDA (UNAI)</t>
  </si>
  <si>
    <t>04744446000262</t>
  </si>
  <si>
    <t>0040931340012</t>
  </si>
  <si>
    <t>42822</t>
  </si>
  <si>
    <t>42921</t>
  </si>
  <si>
    <t>43055</t>
  </si>
  <si>
    <t>43213</t>
  </si>
  <si>
    <t>43215</t>
  </si>
  <si>
    <t>42550</t>
  </si>
  <si>
    <t>F &amp; M TINTAS AUTOMOTIVAS LTDA</t>
  </si>
  <si>
    <t>55608869000105</t>
  </si>
  <si>
    <t>0830922200133</t>
  </si>
  <si>
    <t>42589</t>
  </si>
  <si>
    <t>42624</t>
  </si>
  <si>
    <t>42730</t>
  </si>
  <si>
    <t>43066</t>
  </si>
  <si>
    <t>43139</t>
  </si>
  <si>
    <t>43232</t>
  </si>
  <si>
    <t>43360</t>
  </si>
  <si>
    <t>43376</t>
  </si>
  <si>
    <t>42797</t>
  </si>
  <si>
    <t>FABIANO NASCIMENTO CHMURZYNSKI</t>
  </si>
  <si>
    <t>20938720000100</t>
  </si>
  <si>
    <t>0769333400102</t>
  </si>
  <si>
    <t>42786</t>
  </si>
  <si>
    <t>FABRICIO RODRIGUES SANTOS 01192878116</t>
  </si>
  <si>
    <t>18404299000105</t>
  </si>
  <si>
    <t>0764892700182</t>
  </si>
  <si>
    <t>42607</t>
  </si>
  <si>
    <t>FAUSTO HENRIQUE SILVEIRA CARVALHO</t>
  </si>
  <si>
    <t>35949851000160</t>
  </si>
  <si>
    <t>0795829000128</t>
  </si>
  <si>
    <t>42999</t>
  </si>
  <si>
    <t>43325</t>
  </si>
  <si>
    <t>43407</t>
  </si>
  <si>
    <t>42783</t>
  </si>
  <si>
    <t>FENIX ELETRICA E HIDRAULICA LTDA</t>
  </si>
  <si>
    <t>43256342000180</t>
  </si>
  <si>
    <t>0807926600115</t>
  </si>
  <si>
    <t>43411</t>
  </si>
  <si>
    <t>FIBER CLASS EIRELI</t>
  </si>
  <si>
    <t>26952106000189</t>
  </si>
  <si>
    <t>0779676800164</t>
  </si>
  <si>
    <t>42663</t>
  </si>
  <si>
    <t>GALPAO COMERCIO E CONSTRUCOES</t>
  </si>
  <si>
    <t>35826428000172</t>
  </si>
  <si>
    <t>0795629700150</t>
  </si>
  <si>
    <t>42711</t>
  </si>
  <si>
    <t>42772</t>
  </si>
  <si>
    <t>43116</t>
  </si>
  <si>
    <t>43154</t>
  </si>
  <si>
    <t>43263</t>
  </si>
  <si>
    <t>43298</t>
  </si>
  <si>
    <t>43377</t>
  </si>
  <si>
    <t>43342</t>
  </si>
  <si>
    <t>43096</t>
  </si>
  <si>
    <t>GLEIDSON ARAUJO LIMA</t>
  </si>
  <si>
    <t>22295417000161</t>
  </si>
  <si>
    <t>124124303</t>
  </si>
  <si>
    <t>42659</t>
  </si>
  <si>
    <t>GLP CONSTRUCOES LTDA</t>
  </si>
  <si>
    <t>29024468000106</t>
  </si>
  <si>
    <t>0832813300109</t>
  </si>
  <si>
    <t>42689</t>
  </si>
  <si>
    <t>42820</t>
  </si>
  <si>
    <t>42882</t>
  </si>
  <si>
    <t>43202</t>
  </si>
  <si>
    <t>43439</t>
  </si>
  <si>
    <t>42580</t>
  </si>
  <si>
    <t>GOLD TINTAS LTDA</t>
  </si>
  <si>
    <t>42752323000181</t>
  </si>
  <si>
    <t>0818441300166</t>
  </si>
  <si>
    <t>42752</t>
  </si>
  <si>
    <t>GRAFICA REAL PRINT LTDA</t>
  </si>
  <si>
    <t>24487231000130</t>
  </si>
  <si>
    <t>27340330020</t>
  </si>
  <si>
    <t>43309</t>
  </si>
  <si>
    <t>GSL COMERCIO DE TINTAS LTDA</t>
  </si>
  <si>
    <t>42469159000108</t>
  </si>
  <si>
    <t>0806503600180</t>
  </si>
  <si>
    <t>43425</t>
  </si>
  <si>
    <t>GURGEL ENGENHARIA LTDA</t>
  </si>
  <si>
    <t>23503739000111</t>
  </si>
  <si>
    <t>0774042100133</t>
  </si>
  <si>
    <t>43208</t>
  </si>
  <si>
    <t>H2O SERVICE MANUTENCAO E LIMPEZA LTDA</t>
  </si>
  <si>
    <t>30639051000129</t>
  </si>
  <si>
    <t>0786222700167</t>
  </si>
  <si>
    <t>43361</t>
  </si>
  <si>
    <t>HC CONSTRUTORA S/A</t>
  </si>
  <si>
    <t>33489261000176</t>
  </si>
  <si>
    <t>0732485200115</t>
  </si>
  <si>
    <t>42616</t>
  </si>
  <si>
    <t>HERNANE VIDA E SILVA 02986890148</t>
  </si>
  <si>
    <t>39865617000105</t>
  </si>
  <si>
    <t>0801765900113</t>
  </si>
  <si>
    <t>42918</t>
  </si>
  <si>
    <t>43049</t>
  </si>
  <si>
    <t>43052</t>
  </si>
  <si>
    <t>HOME CENTER CASTELO FORTE LTDA</t>
  </si>
  <si>
    <t>03009406000638</t>
  </si>
  <si>
    <t>0739379100614</t>
  </si>
  <si>
    <t>43079</t>
  </si>
  <si>
    <t>IGREJA PENTECOSTAL MISSAO DA FE</t>
  </si>
  <si>
    <t>02574648000105</t>
  </si>
  <si>
    <t>43147</t>
  </si>
  <si>
    <t>IL COMERCIO DE TINTAS LTDA</t>
  </si>
  <si>
    <t>35409214000109</t>
  </si>
  <si>
    <t>107792036</t>
  </si>
  <si>
    <t>43454</t>
  </si>
  <si>
    <t>IMPACTTO IDENTIFICACAO VISUAL LTDA</t>
  </si>
  <si>
    <t>15511815000102</t>
  </si>
  <si>
    <t>0760743800107</t>
  </si>
  <si>
    <t>42545</t>
  </si>
  <si>
    <t>IMPERIO DAS CORES COMERCIO DE TINTAS LTDA</t>
  </si>
  <si>
    <t>53047542000186</t>
  </si>
  <si>
    <t>0826386300156</t>
  </si>
  <si>
    <t>42637</t>
  </si>
  <si>
    <t>42693</t>
  </si>
  <si>
    <t>42695</t>
  </si>
  <si>
    <t>42724</t>
  </si>
  <si>
    <t>42828</t>
  </si>
  <si>
    <t>42826</t>
  </si>
  <si>
    <t>IMPERIO DAS TINTAS E CONSTRUTORA LTDA</t>
  </si>
  <si>
    <t>35502010000100</t>
  </si>
  <si>
    <t>107805936</t>
  </si>
  <si>
    <t>43267</t>
  </si>
  <si>
    <t>43350</t>
  </si>
  <si>
    <t>42992</t>
  </si>
  <si>
    <t>J.V. REZENDE COMERCIO DE FERRAGENS LTDA</t>
  </si>
  <si>
    <t>11885752000101</t>
  </si>
  <si>
    <t>0753890700198</t>
  </si>
  <si>
    <t>43156</t>
  </si>
  <si>
    <t>JHS COMERCIO DE TINTAS LTDA EPP</t>
  </si>
  <si>
    <t>15314704000106</t>
  </si>
  <si>
    <t>0760379700113</t>
  </si>
  <si>
    <t>43226</t>
  </si>
  <si>
    <t>JLSF MATERIAIS PARA CONSTRUCAO EIRELI-ME</t>
  </si>
  <si>
    <t>29010644000142</t>
  </si>
  <si>
    <t>0783305200124</t>
  </si>
  <si>
    <t>43363</t>
  </si>
  <si>
    <t>JM VENDAS AUTOMATICAS LTDA</t>
  </si>
  <si>
    <t>31605125000179</t>
  </si>
  <si>
    <t>0787988100134</t>
  </si>
  <si>
    <t>42738</t>
  </si>
  <si>
    <t>JOAO PEDRO LOPES DE SOUZA</t>
  </si>
  <si>
    <t>47001018000171</t>
  </si>
  <si>
    <t>0814856300161</t>
  </si>
  <si>
    <t>42819</t>
  </si>
  <si>
    <t>JOEL BALDOV NASCIMENTO</t>
  </si>
  <si>
    <t>48532019000105</t>
  </si>
  <si>
    <t>0044793790062</t>
  </si>
  <si>
    <t>42650</t>
  </si>
  <si>
    <t>JOSE J A DE OLIVEIRA COMERCIO DE TINTAS</t>
  </si>
  <si>
    <t>33504368000146</t>
  </si>
  <si>
    <t>0791656800109</t>
  </si>
  <si>
    <t>43214</t>
  </si>
  <si>
    <t>43371</t>
  </si>
  <si>
    <t>JOSE LAILSON ALMEIDA</t>
  </si>
  <si>
    <t>46373970000133</t>
  </si>
  <si>
    <t>0813635500186</t>
  </si>
  <si>
    <t>42975</t>
  </si>
  <si>
    <t>JR SERRALHERIA E PINTURA ELETROSTATICA LTDA</t>
  </si>
  <si>
    <t>63170599000121</t>
  </si>
  <si>
    <t>203295633</t>
  </si>
  <si>
    <t>43041</t>
  </si>
  <si>
    <t>42983</t>
  </si>
  <si>
    <t>JULIO CEZAR VIEIRA DE AQUINO 03613327694</t>
  </si>
  <si>
    <t>33058738000169</t>
  </si>
  <si>
    <t>0790575900148</t>
  </si>
  <si>
    <t>43224</t>
  </si>
  <si>
    <t>JUVENILTON LEANDRO DA SILVA</t>
  </si>
  <si>
    <t>22262732000192</t>
  </si>
  <si>
    <t>0771852400105</t>
  </si>
  <si>
    <t>43228</t>
  </si>
  <si>
    <t>43167</t>
  </si>
  <si>
    <t>JVC INDUNSTRIA COM.ATACADO LOG E DIST. DE ALIMENTOS LTDA</t>
  </si>
  <si>
    <t>37145968000116</t>
  </si>
  <si>
    <t>0735320600111</t>
  </si>
  <si>
    <t>43006</t>
  </si>
  <si>
    <t>K SERVICE PRESTADORA DE SERVICOS LTDA</t>
  </si>
  <si>
    <t>21958869000113</t>
  </si>
  <si>
    <t>0771164000112</t>
  </si>
  <si>
    <t>42710</t>
  </si>
  <si>
    <t>KELLEN MARTINS DE SOUZA</t>
  </si>
  <si>
    <t>61420827000149</t>
  </si>
  <si>
    <t>0840558900178</t>
  </si>
  <si>
    <t>42969</t>
  </si>
  <si>
    <t>42848</t>
  </si>
  <si>
    <t>L FORT INDUSTRIA E METALURGICA LTDA</t>
  </si>
  <si>
    <t>05604487000135</t>
  </si>
  <si>
    <t>0744406700164</t>
  </si>
  <si>
    <t>42694</t>
  </si>
  <si>
    <t>L. A. LOPES &amp; J. P. DE SOUSA LTDA</t>
  </si>
  <si>
    <t>51324545000194</t>
  </si>
  <si>
    <t>0823154000183</t>
  </si>
  <si>
    <t>42886</t>
  </si>
  <si>
    <t>43133</t>
  </si>
  <si>
    <t>43440</t>
  </si>
  <si>
    <t>42566</t>
  </si>
  <si>
    <t>L&amp;R COMERCIO DE TINTAS LTDA</t>
  </si>
  <si>
    <t>50989390000142</t>
  </si>
  <si>
    <t>0822501100107</t>
  </si>
  <si>
    <t>42697</t>
  </si>
  <si>
    <t>42720</t>
  </si>
  <si>
    <t>42916</t>
  </si>
  <si>
    <t>42966</t>
  </si>
  <si>
    <t>43157</t>
  </si>
  <si>
    <t>43255</t>
  </si>
  <si>
    <t>43302</t>
  </si>
  <si>
    <t>43366</t>
  </si>
  <si>
    <t>43387</t>
  </si>
  <si>
    <t>43300</t>
  </si>
  <si>
    <t>42800</t>
  </si>
  <si>
    <t>LANTERNART LANTERNAGEM E PINTURA LTDA</t>
  </si>
  <si>
    <t>03206928000115</t>
  </si>
  <si>
    <t>0739720100127</t>
  </si>
  <si>
    <t>43444</t>
  </si>
  <si>
    <t>LEONARDO BISPO DE CARVALHO</t>
  </si>
  <si>
    <t>36451666000103</t>
  </si>
  <si>
    <t>0796649200178</t>
  </si>
  <si>
    <t>42727</t>
  </si>
  <si>
    <t>LIGTH METALURGICA LTDA</t>
  </si>
  <si>
    <t>57985162000143</t>
  </si>
  <si>
    <t>0834219900189</t>
  </si>
  <si>
    <t>43074</t>
  </si>
  <si>
    <t>43343</t>
  </si>
  <si>
    <t>42672</t>
  </si>
  <si>
    <t>LINDEMBERG &amp; MELO COMERCIO  DE TINTAS AUT E IMOBI LTDA</t>
  </si>
  <si>
    <t>38351625000170</t>
  </si>
  <si>
    <t>0800166000192</t>
  </si>
  <si>
    <t>42781</t>
  </si>
  <si>
    <t>43270</t>
  </si>
  <si>
    <t>42551</t>
  </si>
  <si>
    <t>LINKCAR MULTIMARCAS COMERCIO DE VEICULOS LTDA</t>
  </si>
  <si>
    <t>34907579000192</t>
  </si>
  <si>
    <t>0794024200177</t>
  </si>
  <si>
    <t>42656</t>
  </si>
  <si>
    <t>42702</t>
  </si>
  <si>
    <t>42811</t>
  </si>
  <si>
    <t>42813</t>
  </si>
  <si>
    <t>42849</t>
  </si>
  <si>
    <t>42877</t>
  </si>
  <si>
    <t>42968</t>
  </si>
  <si>
    <t>43197</t>
  </si>
  <si>
    <t>43243</t>
  </si>
  <si>
    <t>43246</t>
  </si>
  <si>
    <t>42561</t>
  </si>
  <si>
    <t>LINOX SERVICOS AUTOMOTIVOS LTDA ME</t>
  </si>
  <si>
    <t>07831610000186</t>
  </si>
  <si>
    <t>0747641400129</t>
  </si>
  <si>
    <t>42679</t>
  </si>
  <si>
    <t>42936</t>
  </si>
  <si>
    <t>43234</t>
  </si>
  <si>
    <t>43247</t>
  </si>
  <si>
    <t>42860</t>
  </si>
  <si>
    <t>LP COMERCIO DE TINTAS LTDA</t>
  </si>
  <si>
    <t>36949823000105</t>
  </si>
  <si>
    <t>0797596800131</t>
  </si>
  <si>
    <t>43115</t>
  </si>
  <si>
    <t>43028</t>
  </si>
  <si>
    <t>LR COMERCIO DE TINTAS LTDA</t>
  </si>
  <si>
    <t>19406819000181</t>
  </si>
  <si>
    <t>0766675600178</t>
  </si>
  <si>
    <t>43274</t>
  </si>
  <si>
    <t>43294</t>
  </si>
  <si>
    <t>43296</t>
  </si>
  <si>
    <t>43316</t>
  </si>
  <si>
    <t>43408</t>
  </si>
  <si>
    <t>42748</t>
  </si>
  <si>
    <t>M C FREITAS MATERIAIS DE CONSTRUCOES EIRELI ME</t>
  </si>
  <si>
    <t>20935049000143</t>
  </si>
  <si>
    <t>0769319100130</t>
  </si>
  <si>
    <t>42753</t>
  </si>
  <si>
    <t>42861</t>
  </si>
  <si>
    <t>43089</t>
  </si>
  <si>
    <t>43142</t>
  </si>
  <si>
    <t>43345</t>
  </si>
  <si>
    <t>M2S CONSTRUCOES E REFORMAS LTDA</t>
  </si>
  <si>
    <t>54104361000107</t>
  </si>
  <si>
    <t>0828241900116</t>
  </si>
  <si>
    <t>42713</t>
  </si>
  <si>
    <t>MACCAN ATACADISTA DE TINTAS AUTOMOTIVAS LTDA</t>
  </si>
  <si>
    <t>47223020000195</t>
  </si>
  <si>
    <t>0815274600160</t>
  </si>
  <si>
    <t>43137</t>
  </si>
  <si>
    <t>MAGICOLOR METALURGICA</t>
  </si>
  <si>
    <t>38038543000170</t>
  </si>
  <si>
    <t>0733184400113</t>
  </si>
  <si>
    <t>42691</t>
  </si>
  <si>
    <t>MAIS SOLUCOES COMERCIO ATACADISTA DE TINTAS LTDA</t>
  </si>
  <si>
    <t>50433993000163</t>
  </si>
  <si>
    <t>0821450900138</t>
  </si>
  <si>
    <t>42692</t>
  </si>
  <si>
    <t>43016</t>
  </si>
  <si>
    <t>43336</t>
  </si>
  <si>
    <t>42575</t>
  </si>
  <si>
    <t>MAJU TINTAS EMPRESA INDIVIDUAL</t>
  </si>
  <si>
    <t>27904046000191</t>
  </si>
  <si>
    <t>0781412800145</t>
  </si>
  <si>
    <t>42680</t>
  </si>
  <si>
    <t>43182</t>
  </si>
  <si>
    <t>42964</t>
  </si>
  <si>
    <t>MANOEL J. BEZERRA ALEXANDRE LTDA</t>
  </si>
  <si>
    <t>28162034000100</t>
  </si>
  <si>
    <t>0781832600114</t>
  </si>
  <si>
    <t>43419</t>
  </si>
  <si>
    <t>42648</t>
  </si>
  <si>
    <t>MARCOS ROBERTO PEREIRA DE FARIA EIRELI</t>
  </si>
  <si>
    <t>22315412000153</t>
  </si>
  <si>
    <t>0771697800133</t>
  </si>
  <si>
    <t>42812</t>
  </si>
  <si>
    <t>43078</t>
  </si>
  <si>
    <t>43364</t>
  </si>
  <si>
    <t>42782</t>
  </si>
  <si>
    <t>MARI COMERCIO DE TINTAS LTDA</t>
  </si>
  <si>
    <t>44074511000123</t>
  </si>
  <si>
    <t>0809365600193</t>
  </si>
  <si>
    <t>42827</t>
  </si>
  <si>
    <t>43050</t>
  </si>
  <si>
    <t>43324</t>
  </si>
  <si>
    <t>42771</t>
  </si>
  <si>
    <t>MARIA CRISTINA SANTOS DA SILVA ME</t>
  </si>
  <si>
    <t>10242528000120</t>
  </si>
  <si>
    <t>0750769700102</t>
  </si>
  <si>
    <t>42642</t>
  </si>
  <si>
    <t>MARIA FERNANDA MORAIS DE ARAUJO</t>
  </si>
  <si>
    <t>39353109000148</t>
  </si>
  <si>
    <t>0800850900167</t>
  </si>
  <si>
    <t>42795</t>
  </si>
  <si>
    <t>43146</t>
  </si>
  <si>
    <t>43293</t>
  </si>
  <si>
    <t>43358</t>
  </si>
  <si>
    <t>43445</t>
  </si>
  <si>
    <t>42920</t>
  </si>
  <si>
    <t>MAURO ANDRE COELHO DOS SANTOS</t>
  </si>
  <si>
    <t>26936806000180</t>
  </si>
  <si>
    <t>0779727300180</t>
  </si>
  <si>
    <t>42980</t>
  </si>
  <si>
    <t>MAXIMA  ATACADISTA DE TINTAS E MATERIAIS DE CONSTRUCAO LTDA</t>
  </si>
  <si>
    <t>61116812000191</t>
  </si>
  <si>
    <t>0840006100120</t>
  </si>
  <si>
    <t>43083</t>
  </si>
  <si>
    <t>43065</t>
  </si>
  <si>
    <t>42558</t>
  </si>
  <si>
    <t>MERCADO DAS TINTAS LTDA ( ADE )</t>
  </si>
  <si>
    <t>72628407000179</t>
  </si>
  <si>
    <t>0747233400177</t>
  </si>
  <si>
    <t>42560</t>
  </si>
  <si>
    <t>42562</t>
  </si>
  <si>
    <t>42584</t>
  </si>
  <si>
    <t>42613</t>
  </si>
  <si>
    <t>42647</t>
  </si>
  <si>
    <t>42685</t>
  </si>
  <si>
    <t>42712</t>
  </si>
  <si>
    <t>42737</t>
  </si>
  <si>
    <t>42769</t>
  </si>
  <si>
    <t>42835</t>
  </si>
  <si>
    <t>42845</t>
  </si>
  <si>
    <t>42885</t>
  </si>
  <si>
    <t>42924</t>
  </si>
  <si>
    <t>42931</t>
  </si>
  <si>
    <t>42939</t>
  </si>
  <si>
    <t>42996</t>
  </si>
  <si>
    <t>43012</t>
  </si>
  <si>
    <t>43082</t>
  </si>
  <si>
    <t>43122</t>
  </si>
  <si>
    <t>43191</t>
  </si>
  <si>
    <t>43307</t>
  </si>
  <si>
    <t>43453</t>
  </si>
  <si>
    <t>42547</t>
  </si>
  <si>
    <t>MERCADO DAS TINTAS LTDA (GAMA)</t>
  </si>
  <si>
    <t>72628407000330</t>
  </si>
  <si>
    <t>0747233400339</t>
  </si>
  <si>
    <t>42586</t>
  </si>
  <si>
    <t>42596</t>
  </si>
  <si>
    <t>42597</t>
  </si>
  <si>
    <t>42598</t>
  </si>
  <si>
    <t>42683</t>
  </si>
  <si>
    <t>42714</t>
  </si>
  <si>
    <t>42715</t>
  </si>
  <si>
    <t>42719</t>
  </si>
  <si>
    <t>42837</t>
  </si>
  <si>
    <t>42843</t>
  </si>
  <si>
    <t>42865</t>
  </si>
  <si>
    <t>42956</t>
  </si>
  <si>
    <t>42958</t>
  </si>
  <si>
    <t>42959</t>
  </si>
  <si>
    <t>42973</t>
  </si>
  <si>
    <t>43072</t>
  </si>
  <si>
    <t>43093</t>
  </si>
  <si>
    <t>43101</t>
  </si>
  <si>
    <t>43242</t>
  </si>
  <si>
    <t>42700</t>
  </si>
  <si>
    <t>METRO COMERCIO DE TINTAS E MATERIAIS DE CONSTRUCAO LTDA</t>
  </si>
  <si>
    <t>64621430000103</t>
  </si>
  <si>
    <t>0846404600122</t>
  </si>
  <si>
    <t>42758</t>
  </si>
  <si>
    <t>42794</t>
  </si>
  <si>
    <t>42854</t>
  </si>
  <si>
    <t>43113</t>
  </si>
  <si>
    <t>43256</t>
  </si>
  <si>
    <t>43357</t>
  </si>
  <si>
    <t>43410</t>
  </si>
  <si>
    <t>43443</t>
  </si>
  <si>
    <t>42665</t>
  </si>
  <si>
    <t>MLM ELETRICA E HIDRAULICA LTDA</t>
  </si>
  <si>
    <t>60369619000108</t>
  </si>
  <si>
    <t>202623394</t>
  </si>
  <si>
    <t>42862</t>
  </si>
  <si>
    <t>MONAD CONTRUTORA LTDA</t>
  </si>
  <si>
    <t>36680647000159</t>
  </si>
  <si>
    <t>0797126200146</t>
  </si>
  <si>
    <t>43099</t>
  </si>
  <si>
    <t>43281</t>
  </si>
  <si>
    <t>43282</t>
  </si>
  <si>
    <t>42993</t>
  </si>
  <si>
    <t>MONTANHA - ELETRICA E HIDRAULICA LTDA</t>
  </si>
  <si>
    <t>57765959000135</t>
  </si>
  <si>
    <t>0833839300171</t>
  </si>
  <si>
    <t>42751</t>
  </si>
  <si>
    <t>MULLER MATHEUS MARQUES DE OLIVEIRA</t>
  </si>
  <si>
    <t>36513289000190</t>
  </si>
  <si>
    <t>0796812800124</t>
  </si>
  <si>
    <t>43160</t>
  </si>
  <si>
    <t>42658</t>
  </si>
  <si>
    <t>MUNDO DAS TINTAS LTDA</t>
  </si>
  <si>
    <t>60761507000190</t>
  </si>
  <si>
    <t>0839326300178</t>
  </si>
  <si>
    <t>42636</t>
  </si>
  <si>
    <t>NACIONAL ATACADISTA LTDA</t>
  </si>
  <si>
    <t>24565109000134</t>
  </si>
  <si>
    <t>0776323300132</t>
  </si>
  <si>
    <t>42684</t>
  </si>
  <si>
    <t>42988</t>
  </si>
  <si>
    <t>NACIONAL PINTURA ELETROSTATICA LTDA</t>
  </si>
  <si>
    <t>61967686000189</t>
  </si>
  <si>
    <t>0841574600114</t>
  </si>
  <si>
    <t>43335</t>
  </si>
  <si>
    <t>43266</t>
  </si>
  <si>
    <t>NB COMERCIAL DE TINTAS LTDA</t>
  </si>
  <si>
    <t>03651611000198</t>
  </si>
  <si>
    <t>0740719800106</t>
  </si>
  <si>
    <t>42953</t>
  </si>
  <si>
    <t>NILSON CAETANO ROSA 221.928.911-72</t>
  </si>
  <si>
    <t>44851622000107</t>
  </si>
  <si>
    <t>0810793000104</t>
  </si>
  <si>
    <t>42717</t>
  </si>
  <si>
    <t>NILTON JOSE DOS REIS ME</t>
  </si>
  <si>
    <t>03009830000178</t>
  </si>
  <si>
    <t>0739379900149</t>
  </si>
  <si>
    <t>43045</t>
  </si>
  <si>
    <t>43138</t>
  </si>
  <si>
    <t>43318</t>
  </si>
  <si>
    <t>42588</t>
  </si>
  <si>
    <t>NOEMIA DE AGUIAR BRANDAO DOS SANTOS</t>
  </si>
  <si>
    <t>51508532000175</t>
  </si>
  <si>
    <t>0823500100187</t>
  </si>
  <si>
    <t>42908</t>
  </si>
  <si>
    <t>42912</t>
  </si>
  <si>
    <t>42976</t>
  </si>
  <si>
    <t>43227</t>
  </si>
  <si>
    <t>42641</t>
  </si>
  <si>
    <t>NYL FERRAGENS LTDA</t>
  </si>
  <si>
    <t>14372578000183</t>
  </si>
  <si>
    <t>0758758800122</t>
  </si>
  <si>
    <t>42739</t>
  </si>
  <si>
    <t>43412</t>
  </si>
  <si>
    <t>43158</t>
  </si>
  <si>
    <t>O.S COSTA COMERCIO E SERVICOS DE EQUIPAMENTOS CONTRA INC.</t>
  </si>
  <si>
    <t>58347163000125</t>
  </si>
  <si>
    <t>0834908300161</t>
  </si>
  <si>
    <t>42774</t>
  </si>
  <si>
    <t>OLIVEIRA COMERCIO DE TINTAS LTDA</t>
  </si>
  <si>
    <t>35493060000178</t>
  </si>
  <si>
    <t>0795016900120</t>
  </si>
  <si>
    <t>43063</t>
  </si>
  <si>
    <t>OMNI COMERCIO E SERVICOS LTDA</t>
  </si>
  <si>
    <t>38029534000113</t>
  </si>
  <si>
    <t>0731530400124</t>
  </si>
  <si>
    <t>43067</t>
  </si>
  <si>
    <t>365466</t>
  </si>
  <si>
    <t>365467</t>
  </si>
  <si>
    <t>42796</t>
  </si>
  <si>
    <t>OSANAEL DE SOUSA PAIVA ME</t>
  </si>
  <si>
    <t>20045651000105</t>
  </si>
  <si>
    <t>0767897000183</t>
  </si>
  <si>
    <t>42791</t>
  </si>
  <si>
    <t>OSIEL GOMES DE SOUSA</t>
  </si>
  <si>
    <t>18743652000181</t>
  </si>
  <si>
    <t>0765469500190</t>
  </si>
  <si>
    <t>42593</t>
  </si>
  <si>
    <t>PAINT COMERCIO ATACADISTA DE TINTAS LTDA</t>
  </si>
  <si>
    <t>60275431000192</t>
  </si>
  <si>
    <t>0838430700162</t>
  </si>
  <si>
    <t>42657</t>
  </si>
  <si>
    <t>42725</t>
  </si>
  <si>
    <t>42754</t>
  </si>
  <si>
    <t>42777</t>
  </si>
  <si>
    <t>42790</t>
  </si>
  <si>
    <t>42841</t>
  </si>
  <si>
    <t>42888</t>
  </si>
  <si>
    <t>42979</t>
  </si>
  <si>
    <t>43019</t>
  </si>
  <si>
    <t>43020</t>
  </si>
  <si>
    <t>43087</t>
  </si>
  <si>
    <t>43088</t>
  </si>
  <si>
    <t>43162</t>
  </si>
  <si>
    <t>43186</t>
  </si>
  <si>
    <t>43218</t>
  </si>
  <si>
    <t>43220</t>
  </si>
  <si>
    <t>43277</t>
  </si>
  <si>
    <t>43291</t>
  </si>
  <si>
    <t>43339</t>
  </si>
  <si>
    <t>43386</t>
  </si>
  <si>
    <t>43420</t>
  </si>
  <si>
    <t>43449</t>
  </si>
  <si>
    <t>43450</t>
  </si>
  <si>
    <t>42875</t>
  </si>
  <si>
    <t>42770</t>
  </si>
  <si>
    <t>PARANOA TINTAS LTDA</t>
  </si>
  <si>
    <t>18325711000100</t>
  </si>
  <si>
    <t>0764656200198</t>
  </si>
  <si>
    <t>42732</t>
  </si>
  <si>
    <t>PATRICIA CARLA CARLA MENDES</t>
  </si>
  <si>
    <t>29266193000109</t>
  </si>
  <si>
    <t>108869520</t>
  </si>
  <si>
    <t>43240</t>
  </si>
  <si>
    <t>42608</t>
  </si>
  <si>
    <t>PAULO VICTOR RODRIGUES FERNANDES ME</t>
  </si>
  <si>
    <t>08888669000173</t>
  </si>
  <si>
    <t>0756555800105</t>
  </si>
  <si>
    <t>42609</t>
  </si>
  <si>
    <t>43129</t>
  </si>
  <si>
    <t>PERFIL FERRAGENS, FERRAMENTAS LTDA</t>
  </si>
  <si>
    <t>43407532000150</t>
  </si>
  <si>
    <t>0808199700164</t>
  </si>
  <si>
    <t>43365</t>
  </si>
  <si>
    <t>43217</t>
  </si>
  <si>
    <t>PREMIER VEICULOS LTDA.</t>
  </si>
  <si>
    <t>02203159000139</t>
  </si>
  <si>
    <t>0738116600154</t>
  </si>
  <si>
    <t>177756</t>
  </si>
  <si>
    <t>2</t>
  </si>
  <si>
    <t>PREMIERE DISTRIBUIDORA DE VEICULOS LTDA</t>
  </si>
  <si>
    <t>02457732000211</t>
  </si>
  <si>
    <t>0738396600281</t>
  </si>
  <si>
    <t>43077</t>
  </si>
  <si>
    <t>PROJETA ARQUITETURA E ENGENHARIA LTDA</t>
  </si>
  <si>
    <t>27210344000181</t>
  </si>
  <si>
    <t>0780073500111</t>
  </si>
  <si>
    <t>43048</t>
  </si>
  <si>
    <t>QUALITY COMERCIO DE TINTAS LTDA</t>
  </si>
  <si>
    <t>07693573000197</t>
  </si>
  <si>
    <t>0747214500102</t>
  </si>
  <si>
    <t>43207</t>
  </si>
  <si>
    <t>R O DA SILVA ERCO TINTAS E MATERIAIS DE CONSTRUCAO</t>
  </si>
  <si>
    <t>19072473000122</t>
  </si>
  <si>
    <t>0834179900175</t>
  </si>
  <si>
    <t>43333</t>
  </si>
  <si>
    <t>42570</t>
  </si>
  <si>
    <t>R.A.J GESTAO DE NEGOCIOS LTDA</t>
  </si>
  <si>
    <t>56109434000189</t>
  </si>
  <si>
    <t>0831804400157</t>
  </si>
  <si>
    <t>43144</t>
  </si>
  <si>
    <t>43306</t>
  </si>
  <si>
    <t>42831</t>
  </si>
  <si>
    <t>R&amp;L PUBLICIDADE E COM. DE MOVEIS EIRELI</t>
  </si>
  <si>
    <t>10807379000108</t>
  </si>
  <si>
    <t>0752030500122</t>
  </si>
  <si>
    <t>42749</t>
  </si>
  <si>
    <t>RAFAELA PNEUS E SERVICOS AUTOMOTIVOS LTDA</t>
  </si>
  <si>
    <t>30025335000125</t>
  </si>
  <si>
    <t>0785198500134</t>
  </si>
  <si>
    <t>42892</t>
  </si>
  <si>
    <t>RAMOS &amp; MARINHO FUNILARIA E PINTURA LTDA</t>
  </si>
  <si>
    <t>45546064000120</t>
  </si>
  <si>
    <t>191595356</t>
  </si>
  <si>
    <t>42709</t>
  </si>
  <si>
    <t>RENATO FERREIRA DE SOUSA</t>
  </si>
  <si>
    <t>30724024000154</t>
  </si>
  <si>
    <t>0786548500187</t>
  </si>
  <si>
    <t>43174</t>
  </si>
  <si>
    <t>42731</t>
  </si>
  <si>
    <t>RENATO GOMES DA SILVA</t>
  </si>
  <si>
    <t>63322480000127</t>
  </si>
  <si>
    <t>203332350</t>
  </si>
  <si>
    <t>42868</t>
  </si>
  <si>
    <t>RIACHO TINTAS LTDA</t>
  </si>
  <si>
    <t>03073454000180</t>
  </si>
  <si>
    <t>0739472100114</t>
  </si>
  <si>
    <t>42909</t>
  </si>
  <si>
    <t>42839</t>
  </si>
  <si>
    <t>03073454000504</t>
  </si>
  <si>
    <t>0739472100548</t>
  </si>
  <si>
    <t>43378</t>
  </si>
  <si>
    <t>43379</t>
  </si>
  <si>
    <t>42677</t>
  </si>
  <si>
    <t>RICARDO DE SOUZA O. MACARIO</t>
  </si>
  <si>
    <t>30461163000132</t>
  </si>
  <si>
    <t>0785884000137</t>
  </si>
  <si>
    <t>42678</t>
  </si>
  <si>
    <t>42721</t>
  </si>
  <si>
    <t>43163</t>
  </si>
  <si>
    <t>42989</t>
  </si>
  <si>
    <t>RIOCOR COMERCIAL DE TINTAS LTDA</t>
  </si>
  <si>
    <t>03706713000163</t>
  </si>
  <si>
    <t>0740826100140</t>
  </si>
  <si>
    <t>43062</t>
  </si>
  <si>
    <t>43237</t>
  </si>
  <si>
    <t>42949</t>
  </si>
  <si>
    <t>43132</t>
  </si>
  <si>
    <t>RS COMERCIO DE TINTAS E FERRAMENTAS LTDA</t>
  </si>
  <si>
    <t>35145250000102</t>
  </si>
  <si>
    <t>162192779</t>
  </si>
  <si>
    <t>42857</t>
  </si>
  <si>
    <t>RVA BRASILIA CONTRUCOES  LTDA</t>
  </si>
  <si>
    <t>26392234000115</t>
  </si>
  <si>
    <t>0778666100129</t>
  </si>
  <si>
    <t>42881</t>
  </si>
  <si>
    <t>43141</t>
  </si>
  <si>
    <t>42655</t>
  </si>
  <si>
    <t>SAGA DETROIT COMERCIO DE VEICULOS PECAS E SERVICOS LTDA</t>
  </si>
  <si>
    <t>19945014000530</t>
  </si>
  <si>
    <t>0770437100249</t>
  </si>
  <si>
    <t>42940</t>
  </si>
  <si>
    <t>43105</t>
  </si>
  <si>
    <t>SANTISSIMO COMERCIO DE TINTAS LTDA</t>
  </si>
  <si>
    <t>28029101000104</t>
  </si>
  <si>
    <t>0781589400127</t>
  </si>
  <si>
    <t>43305</t>
  </si>
  <si>
    <t>42776</t>
  </si>
  <si>
    <t>SAO JOSE MATERIAL ELETRICO, HIDRAULICO E SERVICOS LTDA</t>
  </si>
  <si>
    <t>46035311000197</t>
  </si>
  <si>
    <t>0813530600180</t>
  </si>
  <si>
    <t>43216</t>
  </si>
  <si>
    <t>43319</t>
  </si>
  <si>
    <t>43373</t>
  </si>
  <si>
    <t>42674</t>
  </si>
  <si>
    <t>SERTAO AUTO PECAS LTDA</t>
  </si>
  <si>
    <t>11232499000189</t>
  </si>
  <si>
    <t>0752902700160</t>
  </si>
  <si>
    <t>42984</t>
  </si>
  <si>
    <t>43179</t>
  </si>
  <si>
    <t>42981</t>
  </si>
  <si>
    <t>42632</t>
  </si>
  <si>
    <t>SILVIA M. DAS NEVES &amp; JOAQUIM A. O. GOMES LTDA</t>
  </si>
  <si>
    <t>54426280000123</t>
  </si>
  <si>
    <t>0828916700110</t>
  </si>
  <si>
    <t>43064</t>
  </si>
  <si>
    <t>43317</t>
  </si>
  <si>
    <t>43438</t>
  </si>
  <si>
    <t>42902</t>
  </si>
  <si>
    <t>SM TINTAS LTDA</t>
  </si>
  <si>
    <t>29726147000145</t>
  </si>
  <si>
    <t>107187752</t>
  </si>
  <si>
    <t>42937</t>
  </si>
  <si>
    <t>42787</t>
  </si>
  <si>
    <t>SML MATERIAIS PARA CONSTRUCAO LTDA</t>
  </si>
  <si>
    <t>29917583000100</t>
  </si>
  <si>
    <t>0784922200144</t>
  </si>
  <si>
    <t>43415</t>
  </si>
  <si>
    <t>42905</t>
  </si>
  <si>
    <t>SOARES TINTAS LTDA ME</t>
  </si>
  <si>
    <t>04478606000198</t>
  </si>
  <si>
    <t>0742308500180</t>
  </si>
  <si>
    <t>43118</t>
  </si>
  <si>
    <t>SOF NORTE PECAS E TINTAS AUTOMOTIVAS LTDA</t>
  </si>
  <si>
    <t>07845996000185</t>
  </si>
  <si>
    <t>0747533500100</t>
  </si>
  <si>
    <t>42630</t>
  </si>
  <si>
    <t>SOLAR COMERCIO DE TINTAS CRISTALINA LTDA</t>
  </si>
  <si>
    <t>65849559000136</t>
  </si>
  <si>
    <t>203960068</t>
  </si>
  <si>
    <t>43104</t>
  </si>
  <si>
    <t>42911</t>
  </si>
  <si>
    <t>SOLAR TINTAS UNAI</t>
  </si>
  <si>
    <t>45554743000141</t>
  </si>
  <si>
    <t>0042866590040</t>
  </si>
  <si>
    <t>42559</t>
  </si>
  <si>
    <t>SOLUCAO CONSERTO DE TENIS E CALCADOS EM GERAL LTDA ME</t>
  </si>
  <si>
    <t>10623094000109</t>
  </si>
  <si>
    <t>0751620900155</t>
  </si>
  <si>
    <t>43183</t>
  </si>
  <si>
    <t>TOP 10 ULTILIDADES DOMESTICAS HOME CENTER LTDA</t>
  </si>
  <si>
    <t>32879473000105</t>
  </si>
  <si>
    <t>0790236100122</t>
  </si>
  <si>
    <t>42858</t>
  </si>
  <si>
    <t>TOP PRIMER LANTERNAGEM E PINTURA LTDA</t>
  </si>
  <si>
    <t>42479767000195</t>
  </si>
  <si>
    <t>0806523600151</t>
  </si>
  <si>
    <t>42601</t>
  </si>
  <si>
    <t>TOP SAUDE ACADEMIA LTDA</t>
  </si>
  <si>
    <t>11085266000109</t>
  </si>
  <si>
    <t>0752611200101</t>
  </si>
  <si>
    <t>42814</t>
  </si>
  <si>
    <t>42898</t>
  </si>
  <si>
    <t>42567</t>
  </si>
  <si>
    <t>TRADO ENGENHARIA CONSTRUCOES LTDA</t>
  </si>
  <si>
    <t>41171967000113</t>
  </si>
  <si>
    <t>0804109800110</t>
  </si>
  <si>
    <t>42568</t>
  </si>
  <si>
    <t>42760</t>
  </si>
  <si>
    <t>42803</t>
  </si>
  <si>
    <t>42941</t>
  </si>
  <si>
    <t>43033</t>
  </si>
  <si>
    <t>TVA CONSTRUCAO EIRELI</t>
  </si>
  <si>
    <t>09366582000107</t>
  </si>
  <si>
    <t>0749908200100</t>
  </si>
  <si>
    <t>43375</t>
  </si>
  <si>
    <t>UNIMAN CONSTRUCOES EIRELI.</t>
  </si>
  <si>
    <t>11866924000191</t>
  </si>
  <si>
    <t>0753845500126</t>
  </si>
  <si>
    <t>43460</t>
  </si>
  <si>
    <t>UNIVERSO DOS EQUIPAMENTOS LTDA</t>
  </si>
  <si>
    <t>48534765000138</t>
  </si>
  <si>
    <t>0817675300199</t>
  </si>
  <si>
    <t>42764</t>
  </si>
  <si>
    <t>UTB UNIAO TRANSPORTE BRASILIA LTDA</t>
  </si>
  <si>
    <t>37098480000185</t>
  </si>
  <si>
    <t>0732076700197</t>
  </si>
  <si>
    <t>42948</t>
  </si>
  <si>
    <t>42997</t>
  </si>
  <si>
    <t>43091</t>
  </si>
  <si>
    <t>43295</t>
  </si>
  <si>
    <t>42552</t>
  </si>
  <si>
    <t>V&amp;T COMERCIO VAREJISTA DE TINTAS LTDA  (AGUAS LINDAS)</t>
  </si>
  <si>
    <t>36113768000208</t>
  </si>
  <si>
    <t>108660389</t>
  </si>
  <si>
    <t>42614</t>
  </si>
  <si>
    <t>42836</t>
  </si>
  <si>
    <t>42864</t>
  </si>
  <si>
    <t>42866</t>
  </si>
  <si>
    <t>42873</t>
  </si>
  <si>
    <t>42874</t>
  </si>
  <si>
    <t>42955</t>
  </si>
  <si>
    <t>42987</t>
  </si>
  <si>
    <t>43007</t>
  </si>
  <si>
    <t>43248</t>
  </si>
  <si>
    <t>42910</t>
  </si>
  <si>
    <t>VANDERLEIDE ECILDA DE CARVALHO PESSOA</t>
  </si>
  <si>
    <t>31289467000127</t>
  </si>
  <si>
    <t>0787405100175</t>
  </si>
  <si>
    <t>43170</t>
  </si>
  <si>
    <t>43312</t>
  </si>
  <si>
    <t>43143</t>
  </si>
  <si>
    <t>VANILDO MENDES VIEIRA</t>
  </si>
  <si>
    <t>47028583000122</t>
  </si>
  <si>
    <t>0814907100148</t>
  </si>
  <si>
    <t>42756</t>
  </si>
  <si>
    <t>VASCONCELOS PRODUTOS AUTOMOTIVOS LTDA</t>
  </si>
  <si>
    <t>28289442000119</t>
  </si>
  <si>
    <t>0782095400167</t>
  </si>
  <si>
    <t>42793</t>
  </si>
  <si>
    <t>42621</t>
  </si>
  <si>
    <t>VELCAR CENTRO AUTOMOTIVO LTDA</t>
  </si>
  <si>
    <t>04363960000177</t>
  </si>
  <si>
    <t>0742097300179</t>
  </si>
  <si>
    <t>43279</t>
  </si>
  <si>
    <t>43225</t>
  </si>
  <si>
    <t>VENANCIO OFICIO DA MADEIRA COMERCIO DE PRODUTOS P CASA E JAR</t>
  </si>
  <si>
    <t>36226893000135</t>
  </si>
  <si>
    <t>0796259200106</t>
  </si>
  <si>
    <t>43310</t>
  </si>
  <si>
    <t>W B DE JESUS MATERIAS ELETRICOS E HIDRAULICO</t>
  </si>
  <si>
    <t>18282898000101</t>
  </si>
  <si>
    <t>0764622900189</t>
  </si>
  <si>
    <t>42832</t>
  </si>
  <si>
    <t>W E W QUEIROZ TINTAS LIMITADA</t>
  </si>
  <si>
    <t>42009786000239</t>
  </si>
  <si>
    <t>0805654900266</t>
  </si>
  <si>
    <t>43134</t>
  </si>
  <si>
    <t>43385</t>
  </si>
  <si>
    <t>42661</t>
  </si>
  <si>
    <t>W. PEREIRA DO AMARAL LTDA</t>
  </si>
  <si>
    <t>62024172000152</t>
  </si>
  <si>
    <t>0841677400177</t>
  </si>
  <si>
    <t>43229</t>
  </si>
  <si>
    <t>42779</t>
  </si>
  <si>
    <t>WA SALES BRASILIA LTDA</t>
  </si>
  <si>
    <t>20930297000100</t>
  </si>
  <si>
    <t>0769314800192</t>
  </si>
  <si>
    <t>42815</t>
  </si>
  <si>
    <t>WL CARROCERIAS METALICAS, FABRICACAO, COMERCIO E MANUTENCAO</t>
  </si>
  <si>
    <t>31904655000118</t>
  </si>
  <si>
    <t>0788522000108</t>
  </si>
  <si>
    <t>42842</t>
  </si>
  <si>
    <t>43398</t>
  </si>
  <si>
    <t>WLL TRANSPORTES LTDA</t>
  </si>
  <si>
    <t>27374359000185</t>
  </si>
  <si>
    <t>0780383600190</t>
  </si>
  <si>
    <t>42718</t>
  </si>
  <si>
    <t>WM COMERCIO DE TINTAS LTDA</t>
  </si>
  <si>
    <t>01683858000160</t>
  </si>
  <si>
    <t>102921822</t>
  </si>
  <si>
    <t>43456</t>
  </si>
  <si>
    <t>WS SERVICOS E LOCACOES LTDA</t>
  </si>
  <si>
    <t>15395091000189</t>
  </si>
  <si>
    <t>107821176</t>
  </si>
  <si>
    <t>42633</t>
  </si>
  <si>
    <t>YESHUA SERVICOS E MANUTENCAO LTDA</t>
  </si>
  <si>
    <t>51652357000195</t>
  </si>
  <si>
    <t>0823770900127</t>
  </si>
  <si>
    <t>42640</t>
  </si>
  <si>
    <t>ZEMA CENTRO AUTOMOTIVO LTDA</t>
  </si>
  <si>
    <t>55053905000111</t>
  </si>
  <si>
    <t>0829934500109</t>
  </si>
  <si>
    <t>42766</t>
  </si>
  <si>
    <t>42867</t>
  </si>
  <si>
    <t>42883</t>
  </si>
  <si>
    <t>42947</t>
  </si>
  <si>
    <t>43023</t>
  </si>
  <si>
    <t>43043</t>
  </si>
  <si>
    <t>43085</t>
  </si>
  <si>
    <t>43151</t>
  </si>
  <si>
    <t>43168</t>
  </si>
  <si>
    <t>43348</t>
  </si>
  <si>
    <t>Total Geral</t>
  </si>
  <si>
    <t>UNICA COMERCIO ATACADISTA DE TINTAS</t>
  </si>
  <si>
    <t>36517206000130</t>
  </si>
  <si>
    <t>ACOMPANHAMENTO DE ENTRADAS</t>
  </si>
  <si>
    <t>Data</t>
  </si>
  <si>
    <t>Fornecedor</t>
  </si>
  <si>
    <t>1382</t>
  </si>
  <si>
    <t>3D INFLAVEIS LTDA</t>
  </si>
  <si>
    <t>Total Fornecedor</t>
  </si>
  <si>
    <t>725383</t>
  </si>
  <si>
    <t>25</t>
  </si>
  <si>
    <t>3M DO BRASIL LTDA</t>
  </si>
  <si>
    <t>729396</t>
  </si>
  <si>
    <t>729397</t>
  </si>
  <si>
    <t>729398</t>
  </si>
  <si>
    <t>729399</t>
  </si>
  <si>
    <t>729400</t>
  </si>
  <si>
    <t>729401</t>
  </si>
  <si>
    <t>731343</t>
  </si>
  <si>
    <t>737964</t>
  </si>
  <si>
    <t>737965</t>
  </si>
  <si>
    <t>737966</t>
  </si>
  <si>
    <t>737967</t>
  </si>
  <si>
    <t>737968</t>
  </si>
  <si>
    <t>737969</t>
  </si>
  <si>
    <t>741186</t>
  </si>
  <si>
    <t>741395</t>
  </si>
  <si>
    <t>741396</t>
  </si>
  <si>
    <t>741397</t>
  </si>
  <si>
    <t>741398</t>
  </si>
  <si>
    <t>741399</t>
  </si>
  <si>
    <t>741400</t>
  </si>
  <si>
    <t>741401</t>
  </si>
  <si>
    <t>741402</t>
  </si>
  <si>
    <t>741403</t>
  </si>
  <si>
    <t>741408</t>
  </si>
  <si>
    <t>741409</t>
  </si>
  <si>
    <t>745365</t>
  </si>
  <si>
    <t>745366</t>
  </si>
  <si>
    <t>745367</t>
  </si>
  <si>
    <t>749816</t>
  </si>
  <si>
    <t>749817</t>
  </si>
  <si>
    <t>749818</t>
  </si>
  <si>
    <t>749819</t>
  </si>
  <si>
    <t>967488</t>
  </si>
  <si>
    <t>14</t>
  </si>
  <si>
    <t>34</t>
  </si>
  <si>
    <t>49.562.393 SAMUEL DA COSTA FREIRE CARVALHO</t>
  </si>
  <si>
    <t>12</t>
  </si>
  <si>
    <t>62.316.713 MAYANA LIMA DE SOUZA VELOSO</t>
  </si>
  <si>
    <t>1963</t>
  </si>
  <si>
    <t>A. RIBEIRO EQUIPAMENTOS LTDA</t>
  </si>
  <si>
    <t>3</t>
  </si>
  <si>
    <t>ACG LOGISTICA LTDA</t>
  </si>
  <si>
    <t>687044</t>
  </si>
  <si>
    <t>ADERE PRODUTOS AUTO-ADESIVOS LTDA</t>
  </si>
  <si>
    <t>2120430</t>
  </si>
  <si>
    <t>AGE SERVICOS DE INFORMATICA LTDA</t>
  </si>
  <si>
    <t xml:space="preserve">ISS     </t>
  </si>
  <si>
    <t>2121388</t>
  </si>
  <si>
    <t>2121433</t>
  </si>
  <si>
    <t>2121476</t>
  </si>
  <si>
    <t>2121521</t>
  </si>
  <si>
    <t>2122208</t>
  </si>
  <si>
    <t>2122237</t>
  </si>
  <si>
    <t>2122463</t>
  </si>
  <si>
    <t>AGE TECNOLOGIA DA INFORMACAO LTDA</t>
  </si>
  <si>
    <t>2123435</t>
  </si>
  <si>
    <t>2123480</t>
  </si>
  <si>
    <t>2123529</t>
  </si>
  <si>
    <t>2123574</t>
  </si>
  <si>
    <t>2124034</t>
  </si>
  <si>
    <t>2124193</t>
  </si>
  <si>
    <t>1958613</t>
  </si>
  <si>
    <t>21</t>
  </si>
  <si>
    <t>1960073</t>
  </si>
  <si>
    <t>1960074</t>
  </si>
  <si>
    <t>1960075</t>
  </si>
  <si>
    <t>1961970</t>
  </si>
  <si>
    <t>1961971</t>
  </si>
  <si>
    <t>1961972</t>
  </si>
  <si>
    <t>1962925</t>
  </si>
  <si>
    <t>1962926</t>
  </si>
  <si>
    <t>500007</t>
  </si>
  <si>
    <t>500259</t>
  </si>
  <si>
    <t>500427</t>
  </si>
  <si>
    <t>500494</t>
  </si>
  <si>
    <t>500495</t>
  </si>
  <si>
    <t>500496</t>
  </si>
  <si>
    <t>500497</t>
  </si>
  <si>
    <t>500502</t>
  </si>
  <si>
    <t>500589</t>
  </si>
  <si>
    <t>500590</t>
  </si>
  <si>
    <t>500591</t>
  </si>
  <si>
    <t>500592</t>
  </si>
  <si>
    <t>500614</t>
  </si>
  <si>
    <t>500712</t>
  </si>
  <si>
    <t>500922</t>
  </si>
  <si>
    <t>500923</t>
  </si>
  <si>
    <t>501170</t>
  </si>
  <si>
    <t>501254</t>
  </si>
  <si>
    <t>501385</t>
  </si>
  <si>
    <t>501386</t>
  </si>
  <si>
    <t>501516</t>
  </si>
  <si>
    <t>501517</t>
  </si>
  <si>
    <t>501518</t>
  </si>
  <si>
    <t>499992</t>
  </si>
  <si>
    <t>4229185</t>
  </si>
  <si>
    <t>ALELO INSTITUIÇAO DE PAGAMENTO S.A.</t>
  </si>
  <si>
    <t>ALINDE DECOR COMERCIO E SERVICOS LTDA</t>
  </si>
  <si>
    <t>474750</t>
  </si>
  <si>
    <t>ANJO QUIMICA DO BRASIL LTDA</t>
  </si>
  <si>
    <t>476583</t>
  </si>
  <si>
    <t>87112</t>
  </si>
  <si>
    <t>APOIO DISTRIBUIDORA DE MATERIAIS DE CONSTRUCAO LTDA</t>
  </si>
  <si>
    <t>9007</t>
  </si>
  <si>
    <t>0</t>
  </si>
  <si>
    <t>ATACADAO DAS TINTAS IRMAOS SOARES LTDA</t>
  </si>
  <si>
    <t>9865</t>
  </si>
  <si>
    <t>682705</t>
  </si>
  <si>
    <t>ATLAS S.A.</t>
  </si>
  <si>
    <t>42933</t>
  </si>
  <si>
    <t>267090</t>
  </si>
  <si>
    <t>AUTOAMERICA LTDA</t>
  </si>
  <si>
    <t>39762</t>
  </si>
  <si>
    <t>AUTOLIMPE INDUSTRIA E COMERCIO DE SANEANTES EIRELI ME</t>
  </si>
  <si>
    <t>7954</t>
  </si>
  <si>
    <t>BAIFER DISTRIBUIDORA DE FERRAMENTAS LTDA</t>
  </si>
  <si>
    <t>94195</t>
  </si>
  <si>
    <t>BERLINER DO BRASIL MOTORES LTDA</t>
  </si>
  <si>
    <t>95076</t>
  </si>
  <si>
    <t>2385206</t>
  </si>
  <si>
    <t>23</t>
  </si>
  <si>
    <t>BLACK &amp; DECKER DO BRASIL LTDA.</t>
  </si>
  <si>
    <t>91695</t>
  </si>
  <si>
    <t>BRASFORT DISTRIBUIDORA DE TINTAS LTDA</t>
  </si>
  <si>
    <t>808952</t>
  </si>
  <si>
    <t>809684</t>
  </si>
  <si>
    <t>810552</t>
  </si>
  <si>
    <t>810553</t>
  </si>
  <si>
    <t>810554</t>
  </si>
  <si>
    <t>43329</t>
  </si>
  <si>
    <t>42548</t>
  </si>
  <si>
    <t>42735</t>
  </si>
  <si>
    <t>42872</t>
  </si>
  <si>
    <t>43110</t>
  </si>
  <si>
    <t>43111</t>
  </si>
  <si>
    <t>43112</t>
  </si>
  <si>
    <t>43172</t>
  </si>
  <si>
    <t>43392</t>
  </si>
  <si>
    <t>1772</t>
  </si>
  <si>
    <t>CELSO CAVINI DIAS SERRALHERIA</t>
  </si>
  <si>
    <t>387095</t>
  </si>
  <si>
    <t>CHIAPERINI INDUSTRIAL LTDA</t>
  </si>
  <si>
    <t>387739</t>
  </si>
  <si>
    <t>388713</t>
  </si>
  <si>
    <t>177872</t>
  </si>
  <si>
    <t>CITEL ANALISE E PROGRAMACAO DE SISTEMAS LTDA</t>
  </si>
  <si>
    <t>IRRF</t>
  </si>
  <si>
    <t>179822</t>
  </si>
  <si>
    <t>1953047</t>
  </si>
  <si>
    <t>CLIENT CO SERVICOS DE REDE NORDESTE S.A.</t>
  </si>
  <si>
    <t>1405437</t>
  </si>
  <si>
    <t>COM. ALV. LIMPEZA E DESCARTAVEIS LTDA</t>
  </si>
  <si>
    <t>1410524</t>
  </si>
  <si>
    <t>42950</t>
  </si>
  <si>
    <t>6977</t>
  </si>
  <si>
    <t>DAUTO COMERCIO DE PRODUTOS EQUIPAMENTOS E SERVICOS AUTOMOTIV</t>
  </si>
  <si>
    <t>99</t>
  </si>
  <si>
    <t>DEBORA FOGLIARINI DA SILVA 95428364068</t>
  </si>
  <si>
    <t>43381</t>
  </si>
  <si>
    <t>3161</t>
  </si>
  <si>
    <t>DESTAK COMERCIO DE CONFECCAO E GRAFICA EIRELI</t>
  </si>
  <si>
    <t>110800</t>
  </si>
  <si>
    <t>DISSOLTEX IND QUIMICA LTDA</t>
  </si>
  <si>
    <t>9677</t>
  </si>
  <si>
    <t>DT TINTAS COMERCIO VAREJISTA LIMITADA</t>
  </si>
  <si>
    <t>25741</t>
  </si>
  <si>
    <t>DT TINTAS COMERCIO VAREJISTA LTDA</t>
  </si>
  <si>
    <t>24660</t>
  </si>
  <si>
    <t>DURACOLOR INDUSTRIA E COMERCIO DE TINTAS LTDA</t>
  </si>
  <si>
    <t>24688</t>
  </si>
  <si>
    <t>24749</t>
  </si>
  <si>
    <t>24791</t>
  </si>
  <si>
    <t>44226</t>
  </si>
  <si>
    <t>EP SIA ALUGUEL DE EQUIPAMENTOS E C</t>
  </si>
  <si>
    <t>44955</t>
  </si>
  <si>
    <t>44962</t>
  </si>
  <si>
    <t>186762</t>
  </si>
  <si>
    <t>EVC INDUSTRIAL LTDA</t>
  </si>
  <si>
    <t>14853</t>
  </si>
  <si>
    <t>FABRICIO &amp; RAFAEL TINTAS LTDA-ME</t>
  </si>
  <si>
    <t>136232094</t>
  </si>
  <si>
    <t>FACEBOOK SERVICOS ONLINE DO BRASIL LTDA.</t>
  </si>
  <si>
    <t>4746</t>
  </si>
  <si>
    <t>G S JUNQUEIRA</t>
  </si>
  <si>
    <t>59023</t>
  </si>
  <si>
    <t>GAMER STAR ATACADO E VEREJO DE INFORMATICA E ELETRONICOS LTD</t>
  </si>
  <si>
    <t>43328</t>
  </si>
  <si>
    <t>15651</t>
  </si>
  <si>
    <t>INFINITY INDUSTRIAL ATACADO EIRELI</t>
  </si>
  <si>
    <t>431</t>
  </si>
  <si>
    <t>J.M COMERCIO E CONFECCOES DE UNIFORMES LTDA</t>
  </si>
  <si>
    <t>387</t>
  </si>
  <si>
    <t>JC MANUTENCAO E SERVICOS LTDA ME</t>
  </si>
  <si>
    <t>568</t>
  </si>
  <si>
    <t>JR MANUTENCOES EM EMPILHADEIRAS ELETRICAS</t>
  </si>
  <si>
    <t>JR RODRIGUES DA SILVA EMPILHADEIRA - ME</t>
  </si>
  <si>
    <t>1605370</t>
  </si>
  <si>
    <t>KARCHER INDUSTRIA E COMERCIO LTDA.</t>
  </si>
  <si>
    <t>1609700</t>
  </si>
  <si>
    <t>311841</t>
  </si>
  <si>
    <t>L AUTO CARGO TRANSPORTE RODOVIARIO S/A</t>
  </si>
  <si>
    <t>42838</t>
  </si>
  <si>
    <t>42935</t>
  </si>
  <si>
    <t>42569</t>
  </si>
  <si>
    <t>M &amp; A ADMINISTRACAO DE BENS E DIREITOS PATRIMONIAIS LTDA.</t>
  </si>
  <si>
    <t>42747</t>
  </si>
  <si>
    <t>232195</t>
  </si>
  <si>
    <t>5</t>
  </si>
  <si>
    <t>MAXI RUBBER INDUSTRIAS QUIMICAS LTDA</t>
  </si>
  <si>
    <t>817056</t>
  </si>
  <si>
    <t>MAZA PRODUTOS QUIMICOS LTDA</t>
  </si>
  <si>
    <t>22983</t>
  </si>
  <si>
    <t>MM HOME CENTER LTDA</t>
  </si>
  <si>
    <t>62101</t>
  </si>
  <si>
    <t>MULTI PNEUS EIRELI</t>
  </si>
  <si>
    <t>148318</t>
  </si>
  <si>
    <t>N. S. INFORMATICA LTDA</t>
  </si>
  <si>
    <t>2650</t>
  </si>
  <si>
    <t>NEON VEGAS COMERCIO DE PLACAS E SERVICOS LTDA</t>
  </si>
  <si>
    <t>Neon Vegas Comercio de Placas e Servicos Ltda</t>
  </si>
  <si>
    <t>42767</t>
  </si>
  <si>
    <t>43103</t>
  </si>
  <si>
    <t>42907</t>
  </si>
  <si>
    <t>1874394</t>
  </si>
  <si>
    <t>NOVA CASA DIST MAT CONST S/A DF FL 02</t>
  </si>
  <si>
    <t>365131</t>
  </si>
  <si>
    <t>365377</t>
  </si>
  <si>
    <t>365366</t>
  </si>
  <si>
    <t>418</t>
  </si>
  <si>
    <t>ONKRAFT COMERCIO DE PAPEL E PAPELAO LTDA</t>
  </si>
  <si>
    <t>419</t>
  </si>
  <si>
    <t>11320</t>
  </si>
  <si>
    <t>PADILHA IMPERMEABILIZANTES LTDA</t>
  </si>
  <si>
    <t>11335</t>
  </si>
  <si>
    <t>3592</t>
  </si>
  <si>
    <t>PAINT COM ATACADISTA DE TINTAS</t>
  </si>
  <si>
    <t>3628</t>
  </si>
  <si>
    <t>388196</t>
  </si>
  <si>
    <t>PANAMERICANO TRANSPORTE RODOVIARIO DE CARGAS LTDA</t>
  </si>
  <si>
    <t>389696</t>
  </si>
  <si>
    <t>389617</t>
  </si>
  <si>
    <t>5268</t>
  </si>
  <si>
    <t>PH COMERCIO ATACADISTA DE EMBALAGENS EIRELI EPP</t>
  </si>
  <si>
    <t>1598</t>
  </si>
  <si>
    <t>PLASTINI EMBALAGENS LTDA</t>
  </si>
  <si>
    <t>416068</t>
  </si>
  <si>
    <t>17</t>
  </si>
  <si>
    <t>PPG IND DO BRASIL TINTAS E VERNIZES LTDA</t>
  </si>
  <si>
    <t>177755</t>
  </si>
  <si>
    <t>43327</t>
  </si>
  <si>
    <t>2055</t>
  </si>
  <si>
    <t>RB REFINISH COMERCIAL ACESSORIOS LTDA</t>
  </si>
  <si>
    <t>54</t>
  </si>
  <si>
    <t>RIBAS ENGENHARIA LTDA</t>
  </si>
  <si>
    <t>82700</t>
  </si>
  <si>
    <t>ROBERLO DO BRASIL IND. COM. DISTR. DE PRODUTOS QUIMICOS LTDA</t>
  </si>
  <si>
    <t>82810</t>
  </si>
  <si>
    <t>198501</t>
  </si>
  <si>
    <t>8</t>
  </si>
  <si>
    <t>RODOSUL EXPRESS LTDA</t>
  </si>
  <si>
    <t>198509</t>
  </si>
  <si>
    <t>198610</t>
  </si>
  <si>
    <t>198688</t>
  </si>
  <si>
    <t>198809</t>
  </si>
  <si>
    <t>198813</t>
  </si>
  <si>
    <t>198814</t>
  </si>
  <si>
    <t>198932</t>
  </si>
  <si>
    <t>198964</t>
  </si>
  <si>
    <t>198965</t>
  </si>
  <si>
    <t>199115</t>
  </si>
  <si>
    <t>199117</t>
  </si>
  <si>
    <t>199205</t>
  </si>
  <si>
    <t>199222</t>
  </si>
  <si>
    <t>199260</t>
  </si>
  <si>
    <t>199352</t>
  </si>
  <si>
    <t>199363</t>
  </si>
  <si>
    <t>199373</t>
  </si>
  <si>
    <t>199632</t>
  </si>
  <si>
    <t>199644</t>
  </si>
  <si>
    <t>199645</t>
  </si>
  <si>
    <t>199823</t>
  </si>
  <si>
    <t>199947</t>
  </si>
  <si>
    <t>199960</t>
  </si>
  <si>
    <t>200048</t>
  </si>
  <si>
    <t>200056</t>
  </si>
  <si>
    <t>200070</t>
  </si>
  <si>
    <t>200085</t>
  </si>
  <si>
    <t>200191</t>
  </si>
  <si>
    <t>1191</t>
  </si>
  <si>
    <t>S I Suporte Informatica Eireli ME</t>
  </si>
  <si>
    <t>2468264</t>
  </si>
  <si>
    <t>SAINT-GOBAIN DO BRASIL PRODUTOS  INDUSTRIAIS E PARA CONSTRUÇ</t>
  </si>
  <si>
    <t>2468283</t>
  </si>
  <si>
    <t>2468284</t>
  </si>
  <si>
    <t>2469473</t>
  </si>
  <si>
    <t>2469474</t>
  </si>
  <si>
    <t>2469492</t>
  </si>
  <si>
    <t>2471806</t>
  </si>
  <si>
    <t>2471807</t>
  </si>
  <si>
    <t>2471808</t>
  </si>
  <si>
    <t>2474581</t>
  </si>
  <si>
    <t>40173</t>
  </si>
  <si>
    <t>SARKIS &amp;AMP; SARKIS LTDA</t>
  </si>
  <si>
    <t>345222</t>
  </si>
  <si>
    <t>SHERWIN-WILLIAMS DO BRASIL IND. E COM. LTDA. DIV. AUTOMOTIVA</t>
  </si>
  <si>
    <t>347249</t>
  </si>
  <si>
    <t>SI SUPORTE INFORMÁTICA EIRELI ME</t>
  </si>
  <si>
    <t>331676</t>
  </si>
  <si>
    <t>SIA PARAFUSOS E FERRAMENTAS LTDA</t>
  </si>
  <si>
    <t>42917</t>
  </si>
  <si>
    <t>3240</t>
  </si>
  <si>
    <t>SONIA SERTANEJO NETO EIRELI - ME</t>
  </si>
  <si>
    <t>947107</t>
  </si>
  <si>
    <t>TERRA UTIL COMERCIO DE FERRAMENTAS E UTILIDADES LTDA</t>
  </si>
  <si>
    <t>949010</t>
  </si>
  <si>
    <t>217119</t>
  </si>
  <si>
    <t>TRIPAR BSB ADMINISTRADORA DE CARTOES LTDA</t>
  </si>
  <si>
    <t>217281</t>
  </si>
  <si>
    <t>219105</t>
  </si>
  <si>
    <t>219117</t>
  </si>
  <si>
    <t>114</t>
  </si>
  <si>
    <t>UNIAO MOTOS</t>
  </si>
  <si>
    <t>43301</t>
  </si>
  <si>
    <t>24017</t>
  </si>
  <si>
    <t>VICTORIA TRANSPORTES DE CARGAS LTDA</t>
  </si>
  <si>
    <t>791052</t>
  </si>
  <si>
    <t>W L ATACADISTA LTDA</t>
  </si>
  <si>
    <t>91099</t>
  </si>
  <si>
    <t>ZAPSIGN PROCESSAMENTO DE DADOS LTDA</t>
  </si>
  <si>
    <t>93870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</si>
</sst>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mm/yyyy"/>
    <numFmt numFmtId="166" formatCode="#,##0.00;\(#,##0.00\);#,##0.00"/>
    <numFmt numFmtId="167" formatCode="##0.00%"/>
    <numFmt numFmtId="168" formatCode="######"/>
    <numFmt numFmtId="169" formatCode="#,##0.00&quot;d&quot;;#,##0.00&quot;c&quot;;#,##0.00"/>
    <numFmt numFmtId="170" formatCode="0000"/>
    <numFmt numFmtId="171" formatCode="#\-###"/>
    <numFmt numFmtId="172" formatCode="###,###,###,##0.00"/>
    <numFmt numFmtId="173" formatCode="##0.00"/>
    <numFmt numFmtId="174" formatCode="0\-00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7"/>
      <color indexed="8"/>
      <name val="Tahoma"/>
      <family val="2"/>
    </font>
    <font>
      <sz val="10"/>
      <name val="Arial"/>
      <family val="2"/>
    </font>
    <font>
      <b/>
      <sz val="7"/>
      <color indexed="8"/>
      <name val="Tahoma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7"/>
      <color indexed="8"/>
      <name val="Tahoma"/>
      <family val="1"/>
    </font>
    <font>
      <sz val="7"/>
      <color indexed="8"/>
      <name val="Tahoma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44" fontId="14" fillId="0" borderId="0" applyFont="0" applyFill="0" applyBorder="0" applyAlignment="0" applyProtection="0"/>
  </cellStyleXfs>
  <cellXfs count="78">
    <xf numFmtId="0" fontId="0" fillId="0" borderId="0" xfId="0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/>
    <xf numFmtId="0" fontId="3" fillId="0" borderId="1" xfId="0" applyFont="1" applyBorder="1"/>
    <xf numFmtId="164" fontId="3" fillId="0" borderId="0" xfId="0" applyNumberFormat="1" applyFont="1"/>
    <xf numFmtId="0" fontId="3" fillId="0" borderId="0" xfId="0" applyFont="1"/>
    <xf numFmtId="0" fontId="4" fillId="0" borderId="2" xfId="0" applyFont="1" applyBorder="1"/>
    <xf numFmtId="0" fontId="0" fillId="0" borderId="2" xfId="0" applyBorder="1"/>
    <xf numFmtId="0" fontId="2" fillId="0" borderId="0" xfId="0" applyFont="1"/>
    <xf numFmtId="0" fontId="2" fillId="0" borderId="2" xfId="0" applyFont="1" applyBorder="1"/>
    <xf numFmtId="49" fontId="5" fillId="0" borderId="0" xfId="0" applyNumberFormat="1" applyFont="1" applyAlignment="1">
      <alignment horizontal="right" vertical="top" wrapText="1"/>
    </xf>
    <xf numFmtId="166" fontId="6" fillId="0" borderId="0" xfId="0" applyNumberFormat="1" applyFont="1" applyAlignment="1">
      <alignment horizontal="right" vertical="top"/>
    </xf>
    <xf numFmtId="167" fontId="6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 vertical="top" wrapText="1"/>
    </xf>
    <xf numFmtId="49" fontId="7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top" wrapText="1"/>
    </xf>
    <xf numFmtId="4" fontId="6" fillId="0" borderId="0" xfId="0" applyNumberFormat="1" applyFont="1" applyAlignment="1">
      <alignment vertical="top"/>
    </xf>
    <xf numFmtId="166" fontId="6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 wrapText="1"/>
    </xf>
    <xf numFmtId="4" fontId="5" fillId="0" borderId="0" xfId="0" applyNumberFormat="1" applyFont="1" applyAlignment="1">
      <alignment vertical="top"/>
    </xf>
    <xf numFmtId="0" fontId="0" fillId="0" borderId="0" xfId="0" applyAlignment="1"/>
    <xf numFmtId="167" fontId="6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21" fontId="6" fillId="0" borderId="0" xfId="0" applyNumberFormat="1" applyFont="1" applyAlignment="1">
      <alignment vertical="top"/>
    </xf>
    <xf numFmtId="0" fontId="8" fillId="0" borderId="0" xfId="1"/>
    <xf numFmtId="166" fontId="9" fillId="0" borderId="0" xfId="1" applyNumberFormat="1" applyFont="1" applyAlignment="1">
      <alignment vertical="top"/>
    </xf>
    <xf numFmtId="49" fontId="9" fillId="0" borderId="0" xfId="1" applyNumberFormat="1" applyFont="1" applyAlignment="1">
      <alignment vertical="top" wrapText="1"/>
    </xf>
    <xf numFmtId="166" fontId="7" fillId="0" borderId="0" xfId="1" applyNumberFormat="1" applyFont="1" applyAlignment="1">
      <alignment vertical="top"/>
    </xf>
    <xf numFmtId="49" fontId="7" fillId="0" borderId="0" xfId="1" applyNumberFormat="1" applyFont="1" applyAlignment="1">
      <alignment vertical="top" wrapText="1"/>
    </xf>
    <xf numFmtId="166" fontId="9" fillId="0" borderId="0" xfId="1" applyNumberFormat="1" applyFont="1" applyFill="1" applyAlignment="1">
      <alignment vertical="top"/>
    </xf>
    <xf numFmtId="0" fontId="11" fillId="0" borderId="0" xfId="1" applyFont="1"/>
    <xf numFmtId="0" fontId="0" fillId="0" borderId="0" xfId="0" applyAlignment="1">
      <alignment horizontal="center"/>
    </xf>
    <xf numFmtId="168" fontId="12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9" fontId="12" fillId="0" borderId="0" xfId="0" applyNumberFormat="1" applyFont="1" applyAlignment="1">
      <alignment horizontal="center" vertical="top"/>
    </xf>
    <xf numFmtId="168" fontId="13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169" fontId="13" fillId="0" borderId="0" xfId="0" applyNumberFormat="1" applyFont="1" applyAlignment="1">
      <alignment horizontal="center" vertical="top"/>
    </xf>
    <xf numFmtId="49" fontId="7" fillId="2" borderId="0" xfId="0" applyNumberFormat="1" applyFont="1" applyFill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2" xfId="2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3" borderId="2" xfId="2" applyFont="1" applyFill="1" applyBorder="1" applyAlignment="1">
      <alignment horizontal="center"/>
    </xf>
    <xf numFmtId="44" fontId="2" fillId="0" borderId="0" xfId="2" applyFont="1"/>
    <xf numFmtId="44" fontId="0" fillId="0" borderId="0" xfId="2" applyFont="1"/>
    <xf numFmtId="49" fontId="9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horizontal="left" vertical="top" wrapText="1"/>
    </xf>
    <xf numFmtId="170" fontId="7" fillId="0" borderId="0" xfId="0" applyNumberFormat="1" applyFont="1" applyAlignment="1">
      <alignment vertical="top"/>
    </xf>
    <xf numFmtId="49" fontId="7" fillId="0" borderId="0" xfId="0" applyNumberFormat="1" applyFont="1" applyAlignment="1">
      <alignment horizontal="left" vertical="top"/>
    </xf>
    <xf numFmtId="14" fontId="7" fillId="0" borderId="0" xfId="0" applyNumberFormat="1" applyFont="1" applyAlignment="1">
      <alignment vertical="top"/>
    </xf>
    <xf numFmtId="20" fontId="7" fillId="0" borderId="0" xfId="0" applyNumberFormat="1" applyFont="1" applyAlignment="1">
      <alignment vertical="top"/>
    </xf>
    <xf numFmtId="49" fontId="9" fillId="0" borderId="0" xfId="0" applyNumberFormat="1" applyFont="1" applyAlignment="1">
      <alignment horizontal="right" vertical="top" wrapText="1"/>
    </xf>
    <xf numFmtId="49" fontId="9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right" vertical="top"/>
    </xf>
    <xf numFmtId="14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right" vertical="top" wrapText="1"/>
    </xf>
    <xf numFmtId="49" fontId="7" fillId="0" borderId="0" xfId="0" applyNumberFormat="1" applyFont="1" applyAlignment="1">
      <alignment vertical="top"/>
    </xf>
    <xf numFmtId="0" fontId="7" fillId="0" borderId="0" xfId="0" applyFont="1" applyAlignment="1">
      <alignment vertical="top" wrapText="1"/>
    </xf>
    <xf numFmtId="171" fontId="7" fillId="0" borderId="0" xfId="0" applyNumberFormat="1" applyFont="1" applyAlignment="1">
      <alignment horizontal="right" vertical="top"/>
    </xf>
    <xf numFmtId="172" fontId="7" fillId="0" borderId="0" xfId="0" applyNumberFormat="1" applyFont="1" applyAlignment="1">
      <alignment vertical="top"/>
    </xf>
    <xf numFmtId="172" fontId="7" fillId="0" borderId="0" xfId="0" applyNumberFormat="1" applyFont="1" applyAlignment="1">
      <alignment horizontal="right" vertical="top"/>
    </xf>
    <xf numFmtId="173" fontId="7" fillId="0" borderId="0" xfId="0" applyNumberFormat="1" applyFont="1" applyAlignment="1">
      <alignment horizontal="right" vertical="top"/>
    </xf>
    <xf numFmtId="0" fontId="9" fillId="0" borderId="0" xfId="0" applyFont="1" applyAlignment="1">
      <alignment vertical="top" wrapText="1"/>
    </xf>
    <xf numFmtId="49" fontId="7" fillId="2" borderId="0" xfId="0" applyNumberFormat="1" applyFont="1" applyFill="1" applyAlignment="1">
      <alignment vertical="top" wrapText="1"/>
    </xf>
    <xf numFmtId="49" fontId="7" fillId="0" borderId="0" xfId="0" quotePrefix="1" applyNumberFormat="1" applyFont="1" applyAlignment="1">
      <alignment vertical="top" wrapText="1"/>
    </xf>
    <xf numFmtId="49" fontId="6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 wrapText="1"/>
    </xf>
    <xf numFmtId="14" fontId="7" fillId="0" borderId="0" xfId="0" applyNumberFormat="1" applyFont="1" applyAlignment="1">
      <alignment horizontal="right" vertical="top"/>
    </xf>
    <xf numFmtId="174" fontId="7" fillId="0" borderId="0" xfId="0" applyNumberFormat="1" applyFont="1" applyAlignment="1">
      <alignment horizontal="right" vertical="top"/>
    </xf>
    <xf numFmtId="49" fontId="6" fillId="2" borderId="0" xfId="0" applyNumberFormat="1" applyFont="1" applyFill="1" applyAlignment="1">
      <alignment vertical="top" wrapText="1"/>
    </xf>
    <xf numFmtId="170" fontId="6" fillId="0" borderId="0" xfId="0" applyNumberFormat="1" applyFont="1" applyAlignment="1">
      <alignment vertical="top"/>
    </xf>
    <xf numFmtId="14" fontId="6" fillId="0" borderId="0" xfId="0" applyNumberFormat="1" applyFont="1" applyAlignment="1">
      <alignment vertical="top"/>
    </xf>
    <xf numFmtId="20" fontId="6" fillId="0" borderId="0" xfId="0" applyNumberFormat="1" applyFont="1" applyAlignment="1">
      <alignment vertical="top"/>
    </xf>
  </cellXfs>
  <cellStyles count="3">
    <cellStyle name="Moeda" xfId="2" builtinId="4"/>
    <cellStyle name="Normal" xfId="0" builtinId="0"/>
    <cellStyle name="Normal 2" xfId="1" xr:uid="{A6E16576-736F-4DCD-8230-5666B848C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CD20-5A81-4ADE-9DA8-370D8C2686CF}">
  <dimension ref="A1:AN32"/>
  <sheetViews>
    <sheetView workbookViewId="0">
      <selection activeCell="E24" sqref="E24"/>
    </sheetView>
  </sheetViews>
  <sheetFormatPr defaultRowHeight="15" x14ac:dyDescent="0.25"/>
  <cols>
    <col min="1" max="1" width="31.28515625" bestFit="1" customWidth="1"/>
    <col min="2" max="2" width="10.42578125" customWidth="1"/>
    <col min="3" max="3" width="3.42578125" bestFit="1" customWidth="1"/>
    <col min="4" max="4" width="3.7109375" customWidth="1"/>
    <col min="6" max="6" width="3.42578125" bestFit="1" customWidth="1"/>
    <col min="7" max="7" width="3.7109375" customWidth="1"/>
    <col min="9" max="9" width="3.42578125" bestFit="1" customWidth="1"/>
    <col min="10" max="10" width="3.7109375" customWidth="1"/>
    <col min="12" max="12" width="3.42578125" bestFit="1" customWidth="1"/>
    <col min="13" max="13" width="3.7109375" customWidth="1"/>
    <col min="15" max="15" width="3.42578125" bestFit="1" customWidth="1"/>
    <col min="16" max="16" width="3.7109375" customWidth="1"/>
    <col min="18" max="18" width="3.42578125" bestFit="1" customWidth="1"/>
    <col min="19" max="19" width="3.7109375" customWidth="1"/>
    <col min="21" max="21" width="3.42578125" bestFit="1" customWidth="1"/>
    <col min="22" max="22" width="3.7109375" customWidth="1"/>
    <col min="24" max="24" width="3.42578125" bestFit="1" customWidth="1"/>
    <col min="25" max="25" width="3.7109375" customWidth="1"/>
    <col min="27" max="27" width="3.42578125" bestFit="1" customWidth="1"/>
    <col min="28" max="28" width="3.7109375" customWidth="1"/>
    <col min="30" max="30" width="3.42578125" bestFit="1" customWidth="1"/>
    <col min="31" max="31" width="4.42578125" customWidth="1"/>
    <col min="33" max="33" width="3.42578125" bestFit="1" customWidth="1"/>
    <col min="34" max="34" width="4.42578125" customWidth="1"/>
    <col min="36" max="36" width="3.42578125" bestFit="1" customWidth="1"/>
    <col min="37" max="37" width="4.42578125" customWidth="1"/>
    <col min="39" max="39" width="3.42578125" bestFit="1" customWidth="1"/>
    <col min="40" max="40" width="4.42578125" customWidth="1"/>
  </cols>
  <sheetData>
    <row r="1" spans="1:40" x14ac:dyDescent="0.25">
      <c r="A1" s="26" t="s">
        <v>138</v>
      </c>
      <c r="B1" s="30" t="s">
        <v>170</v>
      </c>
      <c r="C1" s="25" t="s">
        <v>171</v>
      </c>
      <c r="D1" s="25" t="s">
        <v>172</v>
      </c>
      <c r="E1" s="25" t="s">
        <v>173</v>
      </c>
      <c r="F1" s="25" t="s">
        <v>171</v>
      </c>
      <c r="G1" s="25" t="s">
        <v>172</v>
      </c>
      <c r="H1" s="25" t="s">
        <v>174</v>
      </c>
      <c r="I1" s="25" t="s">
        <v>171</v>
      </c>
      <c r="J1" s="25" t="s">
        <v>172</v>
      </c>
      <c r="K1" s="25" t="s">
        <v>175</v>
      </c>
      <c r="L1" s="25" t="s">
        <v>171</v>
      </c>
      <c r="M1" s="25" t="s">
        <v>172</v>
      </c>
      <c r="N1" s="25" t="s">
        <v>176</v>
      </c>
      <c r="O1" s="25" t="s">
        <v>171</v>
      </c>
      <c r="P1" s="25" t="s">
        <v>172</v>
      </c>
      <c r="Q1" s="25" t="s">
        <v>177</v>
      </c>
      <c r="R1" s="25" t="s">
        <v>171</v>
      </c>
      <c r="S1" s="25" t="s">
        <v>172</v>
      </c>
      <c r="T1" s="25" t="s">
        <v>178</v>
      </c>
      <c r="U1" s="25" t="s">
        <v>171</v>
      </c>
      <c r="V1" s="25" t="s">
        <v>172</v>
      </c>
      <c r="W1" s="25" t="s">
        <v>179</v>
      </c>
      <c r="X1" s="25" t="s">
        <v>171</v>
      </c>
      <c r="Y1" s="25" t="s">
        <v>172</v>
      </c>
      <c r="Z1" s="25" t="s">
        <v>180</v>
      </c>
      <c r="AA1" s="25" t="s">
        <v>171</v>
      </c>
      <c r="AB1" s="25" t="s">
        <v>172</v>
      </c>
      <c r="AC1" s="25" t="s">
        <v>181</v>
      </c>
      <c r="AD1" s="25" t="s">
        <v>171</v>
      </c>
      <c r="AE1" s="25" t="s">
        <v>172</v>
      </c>
      <c r="AF1" s="25" t="s">
        <v>182</v>
      </c>
      <c r="AG1" s="25" t="s">
        <v>171</v>
      </c>
      <c r="AH1" s="25" t="s">
        <v>172</v>
      </c>
      <c r="AI1" s="25" t="s">
        <v>183</v>
      </c>
      <c r="AJ1" s="25" t="s">
        <v>171</v>
      </c>
      <c r="AK1" s="25" t="s">
        <v>172</v>
      </c>
      <c r="AL1" s="29" t="s">
        <v>2</v>
      </c>
      <c r="AM1" s="25" t="s">
        <v>171</v>
      </c>
      <c r="AN1" s="25" t="s">
        <v>172</v>
      </c>
    </row>
    <row r="2" spans="1:40" x14ac:dyDescent="0.25">
      <c r="A2" s="28" t="s">
        <v>139</v>
      </c>
      <c r="B2" s="27">
        <v>691952.4</v>
      </c>
      <c r="C2" s="24"/>
      <c r="D2" s="24"/>
      <c r="E2" s="24"/>
      <c r="F2" s="24"/>
      <c r="G2" s="24"/>
      <c r="H2" s="24"/>
      <c r="I2" s="24"/>
      <c r="J2" s="24"/>
      <c r="L2" s="24"/>
      <c r="M2" s="24"/>
      <c r="O2" s="24"/>
      <c r="P2" s="24"/>
      <c r="R2" s="24"/>
      <c r="S2" s="24"/>
      <c r="U2" s="24"/>
      <c r="V2" s="24"/>
      <c r="X2" s="24"/>
      <c r="Y2" s="24"/>
      <c r="AA2" s="24"/>
      <c r="AB2" s="24"/>
      <c r="AD2" s="24"/>
      <c r="AE2" s="24"/>
      <c r="AG2" s="24"/>
      <c r="AH2" s="24"/>
      <c r="AJ2" s="24"/>
      <c r="AK2" s="24"/>
      <c r="AM2" s="24"/>
      <c r="AN2" s="24"/>
    </row>
    <row r="3" spans="1:40" x14ac:dyDescent="0.25">
      <c r="A3" s="26" t="s">
        <v>140</v>
      </c>
      <c r="B3" s="24"/>
      <c r="C3" s="25"/>
      <c r="D3" s="25"/>
      <c r="E3" s="25"/>
      <c r="F3" s="25"/>
      <c r="G3" s="25"/>
      <c r="H3" s="25"/>
      <c r="I3" s="25"/>
      <c r="J3" s="25"/>
      <c r="L3" s="25"/>
      <c r="M3" s="25"/>
      <c r="O3" s="25"/>
      <c r="P3" s="25"/>
      <c r="R3" s="25"/>
      <c r="S3" s="25"/>
      <c r="U3" s="25"/>
      <c r="V3" s="25"/>
      <c r="X3" s="25"/>
      <c r="Y3" s="25"/>
      <c r="AA3" s="25"/>
      <c r="AB3" s="25"/>
      <c r="AD3" s="25"/>
      <c r="AE3" s="25"/>
      <c r="AG3" s="25"/>
      <c r="AH3" s="25"/>
      <c r="AJ3" s="25"/>
      <c r="AK3" s="25"/>
      <c r="AM3" s="25"/>
      <c r="AN3" s="25"/>
    </row>
    <row r="4" spans="1:40" x14ac:dyDescent="0.25">
      <c r="A4" s="28" t="s">
        <v>141</v>
      </c>
      <c r="B4" s="27">
        <v>-12774.35</v>
      </c>
      <c r="C4" s="24"/>
      <c r="D4" s="24"/>
      <c r="E4" s="24"/>
      <c r="F4" s="24"/>
      <c r="G4" s="24"/>
      <c r="H4" s="24"/>
      <c r="I4" s="24"/>
      <c r="J4" s="24"/>
      <c r="L4" s="24"/>
      <c r="M4" s="24"/>
      <c r="O4" s="24"/>
      <c r="P4" s="24"/>
      <c r="R4" s="24"/>
      <c r="S4" s="24"/>
      <c r="U4" s="24"/>
      <c r="V4" s="24"/>
      <c r="X4" s="24"/>
      <c r="Y4" s="24"/>
      <c r="AA4" s="24"/>
      <c r="AB4" s="24"/>
      <c r="AD4" s="24"/>
      <c r="AE4" s="24"/>
      <c r="AG4" s="24"/>
      <c r="AH4" s="24"/>
      <c r="AJ4" s="24"/>
      <c r="AK4" s="24"/>
      <c r="AM4" s="24"/>
      <c r="AN4" s="24"/>
    </row>
    <row r="5" spans="1:40" x14ac:dyDescent="0.25">
      <c r="A5" s="28" t="s">
        <v>142</v>
      </c>
      <c r="B5" s="27">
        <v>-80791.039999999994</v>
      </c>
      <c r="C5" s="24"/>
      <c r="D5" s="24"/>
      <c r="E5" s="24"/>
      <c r="F5" s="24"/>
      <c r="G5" s="24"/>
      <c r="H5" s="24"/>
      <c r="I5" s="24"/>
      <c r="J5" s="24"/>
      <c r="L5" s="24"/>
      <c r="M5" s="24"/>
      <c r="O5" s="24"/>
      <c r="P5" s="24"/>
      <c r="R5" s="24"/>
      <c r="S5" s="24"/>
      <c r="U5" s="24"/>
      <c r="V5" s="24"/>
      <c r="X5" s="24"/>
      <c r="Y5" s="24"/>
      <c r="AA5" s="24"/>
      <c r="AB5" s="24"/>
      <c r="AD5" s="24"/>
      <c r="AE5" s="24"/>
      <c r="AG5" s="24"/>
      <c r="AH5" s="24"/>
      <c r="AJ5" s="24"/>
      <c r="AK5" s="24"/>
      <c r="AM5" s="24"/>
      <c r="AN5" s="24"/>
    </row>
    <row r="6" spans="1:40" x14ac:dyDescent="0.25">
      <c r="A6" s="28" t="s">
        <v>143</v>
      </c>
      <c r="B6" s="27">
        <v>-42842.47</v>
      </c>
      <c r="C6" s="24"/>
      <c r="D6" s="24"/>
      <c r="E6" s="24"/>
      <c r="F6" s="24"/>
      <c r="G6" s="24"/>
      <c r="H6" s="24"/>
      <c r="I6" s="24"/>
      <c r="J6" s="24"/>
      <c r="L6" s="24"/>
      <c r="M6" s="24"/>
      <c r="O6" s="24"/>
      <c r="P6" s="24"/>
      <c r="R6" s="24"/>
      <c r="S6" s="24"/>
      <c r="U6" s="24"/>
      <c r="V6" s="24"/>
      <c r="X6" s="24"/>
      <c r="Y6" s="24"/>
      <c r="AA6" s="24"/>
      <c r="AB6" s="24"/>
      <c r="AD6" s="24"/>
      <c r="AE6" s="24"/>
      <c r="AG6" s="24"/>
      <c r="AH6" s="24"/>
      <c r="AJ6" s="24"/>
      <c r="AK6" s="24"/>
      <c r="AM6" s="24"/>
      <c r="AN6" s="24"/>
    </row>
    <row r="7" spans="1:40" x14ac:dyDescent="0.25">
      <c r="A7" s="28" t="s">
        <v>144</v>
      </c>
      <c r="B7" s="27">
        <v>-9301.33</v>
      </c>
      <c r="C7" s="24"/>
      <c r="D7" s="24"/>
      <c r="E7" s="24"/>
      <c r="F7" s="24"/>
      <c r="G7" s="24"/>
      <c r="H7" s="24"/>
      <c r="I7" s="24"/>
      <c r="J7" s="24"/>
      <c r="L7" s="24"/>
      <c r="M7" s="24"/>
      <c r="O7" s="24"/>
      <c r="P7" s="24"/>
      <c r="R7" s="24"/>
      <c r="S7" s="24"/>
      <c r="U7" s="24"/>
      <c r="V7" s="24"/>
      <c r="X7" s="24"/>
      <c r="Y7" s="24"/>
      <c r="AA7" s="24"/>
      <c r="AB7" s="24"/>
      <c r="AD7" s="24"/>
      <c r="AE7" s="24"/>
      <c r="AG7" s="24"/>
      <c r="AH7" s="24"/>
      <c r="AJ7" s="24"/>
      <c r="AK7" s="24"/>
      <c r="AM7" s="24"/>
      <c r="AN7" s="24"/>
    </row>
    <row r="8" spans="1:40" x14ac:dyDescent="0.25">
      <c r="A8" s="28" t="s">
        <v>145</v>
      </c>
      <c r="B8" s="27">
        <v>-81.99</v>
      </c>
      <c r="C8" s="24"/>
      <c r="D8" s="24"/>
      <c r="E8" s="24"/>
      <c r="F8" s="24"/>
      <c r="G8" s="24"/>
      <c r="H8" s="24"/>
      <c r="I8" s="24"/>
      <c r="J8" s="24"/>
      <c r="L8" s="24"/>
      <c r="M8" s="24"/>
      <c r="O8" s="24"/>
      <c r="P8" s="24"/>
      <c r="R8" s="24"/>
      <c r="S8" s="24"/>
      <c r="U8" s="24"/>
      <c r="V8" s="24"/>
      <c r="X8" s="24"/>
      <c r="Y8" s="24"/>
      <c r="AA8" s="24"/>
      <c r="AB8" s="24"/>
      <c r="AD8" s="24"/>
      <c r="AE8" s="24"/>
      <c r="AG8" s="24"/>
      <c r="AH8" s="24"/>
      <c r="AJ8" s="24"/>
      <c r="AK8" s="24"/>
      <c r="AM8" s="24"/>
      <c r="AN8" s="24"/>
    </row>
    <row r="9" spans="1:40" x14ac:dyDescent="0.25">
      <c r="A9" s="26" t="s">
        <v>146</v>
      </c>
      <c r="B9" s="24"/>
      <c r="C9" s="25"/>
      <c r="D9" s="25"/>
      <c r="E9" s="25"/>
      <c r="F9" s="25"/>
      <c r="G9" s="25"/>
      <c r="H9" s="25"/>
      <c r="I9" s="25"/>
      <c r="J9" s="25"/>
      <c r="L9" s="25"/>
      <c r="M9" s="25"/>
      <c r="O9" s="25"/>
      <c r="P9" s="25"/>
      <c r="R9" s="25"/>
      <c r="S9" s="25"/>
      <c r="U9" s="25"/>
      <c r="V9" s="25"/>
      <c r="X9" s="25"/>
      <c r="Y9" s="25"/>
      <c r="AA9" s="25"/>
      <c r="AB9" s="25"/>
      <c r="AD9" s="25"/>
      <c r="AE9" s="25"/>
      <c r="AG9" s="25"/>
      <c r="AH9" s="25"/>
      <c r="AJ9" s="25"/>
      <c r="AK9" s="25"/>
      <c r="AM9" s="25"/>
      <c r="AN9" s="25"/>
    </row>
    <row r="10" spans="1:40" x14ac:dyDescent="0.25">
      <c r="A10" s="26" t="s">
        <v>147</v>
      </c>
      <c r="B10" s="24"/>
      <c r="C10" s="25"/>
      <c r="D10" s="25"/>
      <c r="E10" s="25"/>
      <c r="F10" s="25"/>
      <c r="G10" s="25"/>
      <c r="H10" s="25"/>
      <c r="I10" s="25"/>
      <c r="J10" s="25"/>
      <c r="L10" s="25"/>
      <c r="M10" s="25"/>
      <c r="O10" s="25"/>
      <c r="P10" s="25"/>
      <c r="R10" s="25"/>
      <c r="S10" s="25"/>
      <c r="U10" s="25"/>
      <c r="V10" s="25"/>
      <c r="X10" s="25"/>
      <c r="Y10" s="25"/>
      <c r="AA10" s="25"/>
      <c r="AB10" s="25"/>
      <c r="AD10" s="25"/>
      <c r="AE10" s="25"/>
      <c r="AG10" s="25"/>
      <c r="AH10" s="25"/>
      <c r="AJ10" s="25"/>
      <c r="AK10" s="25"/>
      <c r="AM10" s="25"/>
      <c r="AN10" s="25"/>
    </row>
    <row r="11" spans="1:40" x14ac:dyDescent="0.25">
      <c r="A11" s="28" t="s">
        <v>148</v>
      </c>
      <c r="B11" s="27">
        <v>-551974.79</v>
      </c>
      <c r="C11" s="24"/>
      <c r="D11" s="24"/>
      <c r="E11" s="24"/>
      <c r="F11" s="24"/>
      <c r="G11" s="24"/>
      <c r="H11" s="24"/>
      <c r="I11" s="24"/>
      <c r="J11" s="24"/>
      <c r="L11" s="24"/>
      <c r="M11" s="24"/>
      <c r="O11" s="24"/>
      <c r="P11" s="24"/>
      <c r="R11" s="24"/>
      <c r="S11" s="24"/>
      <c r="U11" s="24"/>
      <c r="V11" s="24"/>
      <c r="X11" s="24"/>
      <c r="Y11" s="24"/>
      <c r="AA11" s="24"/>
      <c r="AB11" s="24"/>
      <c r="AD11" s="24"/>
      <c r="AE11" s="24"/>
      <c r="AG11" s="24"/>
      <c r="AH11" s="24"/>
      <c r="AJ11" s="24"/>
      <c r="AK11" s="24"/>
      <c r="AM11" s="24"/>
      <c r="AN11" s="24"/>
    </row>
    <row r="12" spans="1:40" x14ac:dyDescent="0.25">
      <c r="A12" s="26" t="s">
        <v>149</v>
      </c>
      <c r="B12" s="24"/>
      <c r="C12" s="25"/>
      <c r="D12" s="25"/>
      <c r="E12" s="25"/>
      <c r="F12" s="25"/>
      <c r="G12" s="25"/>
      <c r="H12" s="25"/>
      <c r="I12" s="25"/>
      <c r="J12" s="25"/>
      <c r="L12" s="25"/>
      <c r="M12" s="25"/>
      <c r="O12" s="25"/>
      <c r="P12" s="25"/>
      <c r="R12" s="25"/>
      <c r="S12" s="25"/>
      <c r="U12" s="25"/>
      <c r="V12" s="25"/>
      <c r="X12" s="25"/>
      <c r="Y12" s="25"/>
      <c r="AA12" s="25"/>
      <c r="AB12" s="25"/>
      <c r="AD12" s="25"/>
      <c r="AE12" s="25"/>
      <c r="AG12" s="25"/>
      <c r="AH12" s="25"/>
      <c r="AJ12" s="25"/>
      <c r="AK12" s="25"/>
      <c r="AM12" s="25"/>
      <c r="AN12" s="25"/>
    </row>
    <row r="13" spans="1:40" x14ac:dyDescent="0.25">
      <c r="A13" s="26" t="s">
        <v>150</v>
      </c>
      <c r="B13" s="24"/>
      <c r="C13" s="25"/>
      <c r="D13" s="25"/>
      <c r="E13" s="25"/>
      <c r="F13" s="25"/>
      <c r="G13" s="25"/>
      <c r="H13" s="25"/>
      <c r="I13" s="25"/>
      <c r="J13" s="25"/>
      <c r="L13" s="25"/>
      <c r="M13" s="25"/>
      <c r="O13" s="25"/>
      <c r="P13" s="25"/>
      <c r="R13" s="25"/>
      <c r="S13" s="25"/>
      <c r="U13" s="25"/>
      <c r="V13" s="25"/>
      <c r="X13" s="25"/>
      <c r="Y13" s="25"/>
      <c r="AA13" s="25"/>
      <c r="AB13" s="25"/>
      <c r="AD13" s="25"/>
      <c r="AE13" s="25"/>
      <c r="AG13" s="25"/>
      <c r="AH13" s="25"/>
      <c r="AJ13" s="25"/>
      <c r="AK13" s="25"/>
      <c r="AM13" s="25"/>
      <c r="AN13" s="25"/>
    </row>
    <row r="14" spans="1:40" x14ac:dyDescent="0.25">
      <c r="A14" s="26" t="s">
        <v>151</v>
      </c>
      <c r="B14" s="24"/>
      <c r="C14" s="24"/>
      <c r="D14" s="24"/>
      <c r="E14" s="24"/>
      <c r="F14" s="24"/>
      <c r="G14" s="24"/>
      <c r="H14" s="24"/>
      <c r="I14" s="24"/>
      <c r="J14" s="24"/>
      <c r="L14" s="24"/>
      <c r="M14" s="24"/>
      <c r="O14" s="24"/>
      <c r="P14" s="24"/>
      <c r="R14" s="24"/>
      <c r="S14" s="24"/>
      <c r="U14" s="24"/>
      <c r="V14" s="24"/>
      <c r="X14" s="24"/>
      <c r="Y14" s="24"/>
      <c r="AA14" s="24"/>
      <c r="AB14" s="24"/>
      <c r="AD14" s="24"/>
      <c r="AE14" s="24"/>
      <c r="AG14" s="24"/>
      <c r="AH14" s="24"/>
      <c r="AJ14" s="24"/>
      <c r="AK14" s="24"/>
      <c r="AM14" s="24"/>
      <c r="AN14" s="24"/>
    </row>
    <row r="15" spans="1:40" x14ac:dyDescent="0.25">
      <c r="A15" s="28" t="s">
        <v>152</v>
      </c>
      <c r="B15" s="27">
        <v>-4477</v>
      </c>
      <c r="C15" s="24"/>
      <c r="D15" s="24"/>
      <c r="E15" s="24"/>
      <c r="F15" s="24"/>
      <c r="G15" s="24"/>
      <c r="H15" s="24"/>
      <c r="I15" s="24"/>
      <c r="J15" s="24"/>
      <c r="L15" s="24"/>
      <c r="M15" s="24"/>
      <c r="O15" s="24"/>
      <c r="P15" s="24"/>
      <c r="R15" s="24"/>
      <c r="S15" s="24"/>
      <c r="U15" s="24"/>
      <c r="V15" s="24"/>
      <c r="X15" s="24"/>
      <c r="Y15" s="24"/>
      <c r="AA15" s="24"/>
      <c r="AB15" s="24"/>
      <c r="AD15" s="24"/>
      <c r="AE15" s="24"/>
      <c r="AG15" s="24"/>
      <c r="AH15" s="24"/>
      <c r="AJ15" s="24"/>
      <c r="AK15" s="24"/>
      <c r="AM15" s="24"/>
      <c r="AN15" s="24"/>
    </row>
    <row r="16" spans="1:40" x14ac:dyDescent="0.25">
      <c r="A16" s="26" t="s">
        <v>153</v>
      </c>
      <c r="B16" s="24"/>
      <c r="C16" s="24"/>
      <c r="D16" s="24"/>
      <c r="E16" s="24"/>
      <c r="F16" s="24"/>
      <c r="G16" s="24"/>
      <c r="H16" s="24"/>
      <c r="I16" s="24"/>
      <c r="J16" s="24"/>
      <c r="L16" s="24"/>
      <c r="M16" s="24"/>
      <c r="O16" s="24"/>
      <c r="P16" s="24"/>
      <c r="R16" s="24"/>
      <c r="S16" s="24"/>
      <c r="U16" s="24"/>
      <c r="V16" s="24"/>
      <c r="X16" s="24"/>
      <c r="Y16" s="24"/>
      <c r="AA16" s="24"/>
      <c r="AB16" s="24"/>
      <c r="AD16" s="24"/>
      <c r="AE16" s="24"/>
      <c r="AG16" s="24"/>
      <c r="AH16" s="24"/>
      <c r="AJ16" s="24"/>
      <c r="AK16" s="24"/>
      <c r="AM16" s="24"/>
      <c r="AN16" s="24"/>
    </row>
    <row r="17" spans="1:40" x14ac:dyDescent="0.25">
      <c r="A17" s="28" t="s">
        <v>154</v>
      </c>
      <c r="B17" s="27">
        <v>-4292.5</v>
      </c>
      <c r="C17" s="24"/>
      <c r="D17" s="24"/>
      <c r="E17" s="24"/>
      <c r="F17" s="24"/>
      <c r="G17" s="24"/>
      <c r="H17" s="24"/>
      <c r="I17" s="24"/>
      <c r="J17" s="24"/>
      <c r="L17" s="24"/>
      <c r="M17" s="24"/>
      <c r="O17" s="24"/>
      <c r="P17" s="24"/>
      <c r="R17" s="24"/>
      <c r="S17" s="24"/>
      <c r="U17" s="24"/>
      <c r="V17" s="24"/>
      <c r="X17" s="24"/>
      <c r="Y17" s="24"/>
      <c r="AA17" s="24"/>
      <c r="AB17" s="24"/>
      <c r="AD17" s="24"/>
      <c r="AE17" s="24"/>
      <c r="AG17" s="24"/>
      <c r="AH17" s="24"/>
      <c r="AJ17" s="24"/>
      <c r="AK17" s="24"/>
      <c r="AM17" s="24"/>
      <c r="AN17" s="24"/>
    </row>
    <row r="18" spans="1:40" x14ac:dyDescent="0.25">
      <c r="A18" s="28" t="s">
        <v>155</v>
      </c>
      <c r="B18" s="27">
        <v>-1281.04</v>
      </c>
      <c r="C18" s="24"/>
      <c r="D18" s="24"/>
      <c r="E18" s="24"/>
      <c r="F18" s="24"/>
      <c r="G18" s="24"/>
      <c r="H18" s="24"/>
      <c r="I18" s="24"/>
      <c r="J18" s="24"/>
      <c r="L18" s="24"/>
      <c r="M18" s="24"/>
      <c r="O18" s="24"/>
      <c r="P18" s="24"/>
      <c r="R18" s="24"/>
      <c r="S18" s="24"/>
      <c r="U18" s="24"/>
      <c r="V18" s="24"/>
      <c r="X18" s="24"/>
      <c r="Y18" s="24"/>
      <c r="AA18" s="24"/>
      <c r="AB18" s="24"/>
      <c r="AD18" s="24"/>
      <c r="AE18" s="24"/>
      <c r="AG18" s="24"/>
      <c r="AH18" s="24"/>
      <c r="AJ18" s="24"/>
      <c r="AK18" s="24"/>
      <c r="AM18" s="24"/>
      <c r="AN18" s="24"/>
    </row>
    <row r="19" spans="1:40" x14ac:dyDescent="0.25">
      <c r="A19" s="28" t="s">
        <v>156</v>
      </c>
      <c r="B19" s="27">
        <v>-355.85</v>
      </c>
      <c r="C19" s="24"/>
      <c r="D19" s="24"/>
      <c r="E19" s="24"/>
      <c r="F19" s="24"/>
      <c r="G19" s="24"/>
      <c r="H19" s="24"/>
      <c r="I19" s="24"/>
      <c r="J19" s="24"/>
      <c r="L19" s="24"/>
      <c r="M19" s="24"/>
      <c r="O19" s="24"/>
      <c r="P19" s="24"/>
      <c r="R19" s="24"/>
      <c r="S19" s="24"/>
      <c r="U19" s="24"/>
      <c r="V19" s="24"/>
      <c r="X19" s="24"/>
      <c r="Y19" s="24"/>
      <c r="AA19" s="24"/>
      <c r="AB19" s="24"/>
      <c r="AD19" s="24"/>
      <c r="AE19" s="24"/>
      <c r="AG19" s="24"/>
      <c r="AH19" s="24"/>
      <c r="AJ19" s="24"/>
      <c r="AK19" s="24"/>
      <c r="AM19" s="24"/>
      <c r="AN19" s="24"/>
    </row>
    <row r="20" spans="1:40" x14ac:dyDescent="0.25">
      <c r="A20" s="28" t="s">
        <v>157</v>
      </c>
      <c r="B20" s="27">
        <v>-1430.36</v>
      </c>
      <c r="C20" s="24"/>
      <c r="D20" s="24"/>
      <c r="E20" s="24"/>
      <c r="F20" s="24"/>
      <c r="G20" s="24"/>
      <c r="H20" s="24"/>
      <c r="I20" s="24"/>
      <c r="J20" s="24"/>
      <c r="L20" s="24"/>
      <c r="M20" s="24"/>
      <c r="O20" s="24"/>
      <c r="P20" s="24"/>
      <c r="R20" s="24"/>
      <c r="S20" s="24"/>
      <c r="U20" s="24"/>
      <c r="V20" s="24"/>
      <c r="X20" s="24"/>
      <c r="Y20" s="24"/>
      <c r="AA20" s="24"/>
      <c r="AB20" s="24"/>
      <c r="AD20" s="24"/>
      <c r="AE20" s="24"/>
      <c r="AG20" s="24"/>
      <c r="AH20" s="24"/>
      <c r="AJ20" s="24"/>
      <c r="AK20" s="24"/>
      <c r="AM20" s="24"/>
      <c r="AN20" s="24"/>
    </row>
    <row r="21" spans="1:40" x14ac:dyDescent="0.25">
      <c r="A21" s="28" t="s">
        <v>158</v>
      </c>
      <c r="B21" s="27">
        <v>-93.04</v>
      </c>
      <c r="C21" s="24"/>
      <c r="D21" s="24"/>
      <c r="E21" s="24"/>
      <c r="F21" s="24"/>
      <c r="G21" s="24"/>
      <c r="H21" s="24"/>
      <c r="I21" s="24"/>
      <c r="J21" s="24"/>
      <c r="L21" s="24"/>
      <c r="M21" s="24"/>
      <c r="O21" s="24"/>
      <c r="P21" s="24"/>
      <c r="R21" s="24"/>
      <c r="S21" s="24"/>
      <c r="U21" s="24"/>
      <c r="V21" s="24"/>
      <c r="X21" s="24"/>
      <c r="Y21" s="24"/>
      <c r="AA21" s="24"/>
      <c r="AB21" s="24"/>
      <c r="AD21" s="24"/>
      <c r="AE21" s="24"/>
      <c r="AG21" s="24"/>
      <c r="AH21" s="24"/>
      <c r="AJ21" s="24"/>
      <c r="AK21" s="24"/>
      <c r="AM21" s="24"/>
      <c r="AN21" s="24"/>
    </row>
    <row r="22" spans="1:40" x14ac:dyDescent="0.25">
      <c r="A22" s="28" t="s">
        <v>159</v>
      </c>
      <c r="B22" s="27">
        <v>-496.91</v>
      </c>
      <c r="C22" s="24"/>
      <c r="D22" s="24"/>
      <c r="E22" s="24"/>
      <c r="F22" s="24"/>
      <c r="G22" s="24"/>
      <c r="H22" s="24"/>
      <c r="I22" s="24"/>
      <c r="J22" s="24"/>
      <c r="L22" s="24"/>
      <c r="M22" s="24"/>
      <c r="O22" s="24"/>
      <c r="P22" s="24"/>
      <c r="R22" s="24"/>
      <c r="S22" s="24"/>
      <c r="U22" s="24"/>
      <c r="V22" s="24"/>
      <c r="X22" s="24"/>
      <c r="Y22" s="24"/>
      <c r="AA22" s="24"/>
      <c r="AB22" s="24"/>
      <c r="AD22" s="24"/>
      <c r="AE22" s="24"/>
      <c r="AG22" s="24"/>
      <c r="AH22" s="24"/>
      <c r="AJ22" s="24"/>
      <c r="AK22" s="24"/>
      <c r="AM22" s="24"/>
      <c r="AN22" s="24"/>
    </row>
    <row r="23" spans="1:40" x14ac:dyDescent="0.25">
      <c r="A23" s="28" t="s">
        <v>160</v>
      </c>
      <c r="B23" s="27">
        <v>-1900</v>
      </c>
      <c r="C23" s="24"/>
      <c r="D23" s="24"/>
      <c r="E23" s="24"/>
      <c r="F23" s="24"/>
      <c r="G23" s="24"/>
      <c r="H23" s="24"/>
      <c r="I23" s="24"/>
      <c r="J23" s="24"/>
      <c r="L23" s="24"/>
      <c r="M23" s="24"/>
      <c r="O23" s="24"/>
      <c r="P23" s="24"/>
      <c r="R23" s="24"/>
      <c r="S23" s="24"/>
      <c r="U23" s="24"/>
      <c r="V23" s="24"/>
      <c r="X23" s="24"/>
      <c r="Y23" s="24"/>
      <c r="AA23" s="24"/>
      <c r="AB23" s="24"/>
      <c r="AD23" s="24"/>
      <c r="AE23" s="24"/>
      <c r="AG23" s="24"/>
      <c r="AH23" s="24"/>
      <c r="AJ23" s="24"/>
      <c r="AK23" s="24"/>
      <c r="AM23" s="24"/>
      <c r="AN23" s="24"/>
    </row>
    <row r="24" spans="1:40" x14ac:dyDescent="0.25">
      <c r="A24" s="28" t="s">
        <v>161</v>
      </c>
      <c r="B24" s="27">
        <v>-650</v>
      </c>
      <c r="C24" s="24"/>
      <c r="D24" s="24"/>
      <c r="E24" s="24"/>
      <c r="F24" s="24"/>
      <c r="G24" s="24"/>
      <c r="H24" s="24"/>
      <c r="I24" s="24"/>
      <c r="J24" s="24"/>
      <c r="L24" s="24"/>
      <c r="M24" s="24"/>
      <c r="O24" s="24"/>
      <c r="P24" s="24"/>
      <c r="R24" s="24"/>
      <c r="S24" s="24"/>
      <c r="U24" s="24"/>
      <c r="V24" s="24"/>
      <c r="X24" s="24"/>
      <c r="Y24" s="24"/>
      <c r="AA24" s="24"/>
      <c r="AB24" s="24"/>
      <c r="AD24" s="24"/>
      <c r="AE24" s="24"/>
      <c r="AG24" s="24"/>
      <c r="AH24" s="24"/>
      <c r="AJ24" s="24"/>
      <c r="AK24" s="24"/>
      <c r="AM24" s="24"/>
      <c r="AN24" s="24"/>
    </row>
    <row r="25" spans="1:40" x14ac:dyDescent="0.25">
      <c r="A25" s="28" t="s">
        <v>162</v>
      </c>
      <c r="B25" s="27">
        <v>-400</v>
      </c>
      <c r="C25" s="24"/>
      <c r="D25" s="24"/>
      <c r="E25" s="24"/>
      <c r="F25" s="24"/>
      <c r="G25" s="24"/>
      <c r="H25" s="24"/>
      <c r="I25" s="24"/>
      <c r="J25" s="24"/>
      <c r="L25" s="24"/>
      <c r="M25" s="24"/>
      <c r="O25" s="24"/>
      <c r="P25" s="24"/>
      <c r="R25" s="24"/>
      <c r="S25" s="24"/>
      <c r="U25" s="24"/>
      <c r="V25" s="24"/>
      <c r="X25" s="24"/>
      <c r="Y25" s="24"/>
      <c r="AA25" s="24"/>
      <c r="AB25" s="24"/>
      <c r="AD25" s="24"/>
      <c r="AE25" s="24"/>
      <c r="AG25" s="24"/>
      <c r="AH25" s="24"/>
      <c r="AJ25" s="24"/>
      <c r="AK25" s="24"/>
      <c r="AM25" s="24"/>
      <c r="AN25" s="24"/>
    </row>
    <row r="26" spans="1:40" x14ac:dyDescent="0.25">
      <c r="A26" s="28" t="s">
        <v>163</v>
      </c>
      <c r="B26" s="27">
        <v>-53.45</v>
      </c>
      <c r="C26" s="24"/>
      <c r="D26" s="24"/>
      <c r="E26" s="24"/>
      <c r="F26" s="24"/>
      <c r="G26" s="24"/>
      <c r="H26" s="24"/>
      <c r="I26" s="24"/>
      <c r="J26" s="24"/>
      <c r="L26" s="24"/>
      <c r="M26" s="24"/>
      <c r="O26" s="24"/>
      <c r="P26" s="24"/>
      <c r="R26" s="24"/>
      <c r="S26" s="24"/>
      <c r="U26" s="24"/>
      <c r="V26" s="24"/>
      <c r="X26" s="24"/>
      <c r="Y26" s="24"/>
      <c r="AA26" s="24"/>
      <c r="AB26" s="24"/>
      <c r="AD26" s="24"/>
      <c r="AE26" s="24"/>
      <c r="AG26" s="24"/>
      <c r="AH26" s="24"/>
      <c r="AJ26" s="24"/>
      <c r="AK26" s="24"/>
      <c r="AM26" s="24"/>
      <c r="AN26" s="24"/>
    </row>
    <row r="27" spans="1:40" x14ac:dyDescent="0.25">
      <c r="A27" s="26" t="s">
        <v>164</v>
      </c>
      <c r="B27" s="24"/>
      <c r="C27" s="25"/>
      <c r="D27" s="25"/>
      <c r="E27" s="25"/>
      <c r="F27" s="25"/>
      <c r="G27" s="25"/>
      <c r="H27" s="25"/>
      <c r="I27" s="25"/>
      <c r="J27" s="25"/>
      <c r="L27" s="25"/>
      <c r="M27" s="25"/>
      <c r="O27" s="25"/>
      <c r="P27" s="25"/>
      <c r="R27" s="25"/>
      <c r="S27" s="25"/>
      <c r="U27" s="25"/>
      <c r="V27" s="25"/>
      <c r="X27" s="25"/>
      <c r="Y27" s="25"/>
      <c r="AA27" s="25"/>
      <c r="AB27" s="25"/>
      <c r="AD27" s="25"/>
      <c r="AE27" s="25"/>
      <c r="AG27" s="25"/>
      <c r="AH27" s="25"/>
      <c r="AJ27" s="25"/>
      <c r="AK27" s="25"/>
      <c r="AM27" s="25"/>
      <c r="AN27" s="25"/>
    </row>
    <row r="28" spans="1:40" x14ac:dyDescent="0.25">
      <c r="A28" s="28" t="s">
        <v>165</v>
      </c>
      <c r="B28" s="27">
        <v>-1064.05</v>
      </c>
      <c r="C28" s="24"/>
      <c r="D28" s="24"/>
      <c r="E28" s="24"/>
      <c r="F28" s="24"/>
      <c r="G28" s="24"/>
      <c r="H28" s="24"/>
      <c r="I28" s="24"/>
      <c r="J28" s="24"/>
      <c r="L28" s="24"/>
      <c r="M28" s="24"/>
      <c r="O28" s="24"/>
      <c r="P28" s="24"/>
      <c r="R28" s="24"/>
      <c r="S28" s="24"/>
      <c r="U28" s="24"/>
      <c r="V28" s="24"/>
      <c r="X28" s="24"/>
      <c r="Y28" s="24"/>
      <c r="AA28" s="24"/>
      <c r="AB28" s="24"/>
      <c r="AD28" s="24"/>
      <c r="AE28" s="24"/>
      <c r="AG28" s="24"/>
      <c r="AH28" s="24"/>
      <c r="AJ28" s="24"/>
      <c r="AK28" s="24"/>
      <c r="AM28" s="24"/>
      <c r="AN28" s="24"/>
    </row>
    <row r="29" spans="1:40" x14ac:dyDescent="0.25">
      <c r="A29" s="26" t="s">
        <v>166</v>
      </c>
      <c r="B29" s="24"/>
      <c r="C29" s="25"/>
      <c r="D29" s="25"/>
      <c r="E29" s="25"/>
      <c r="F29" s="25"/>
      <c r="G29" s="25"/>
      <c r="H29" s="25"/>
      <c r="I29" s="25"/>
      <c r="J29" s="25"/>
      <c r="L29" s="25"/>
      <c r="M29" s="25"/>
      <c r="O29" s="25"/>
      <c r="P29" s="25"/>
      <c r="R29" s="25"/>
      <c r="S29" s="25"/>
      <c r="U29" s="25"/>
      <c r="V29" s="25"/>
      <c r="X29" s="25"/>
      <c r="Y29" s="25"/>
      <c r="AA29" s="25"/>
      <c r="AB29" s="25"/>
      <c r="AD29" s="25"/>
      <c r="AE29" s="25"/>
      <c r="AG29" s="25"/>
      <c r="AH29" s="25"/>
      <c r="AJ29" s="25"/>
      <c r="AK29" s="25"/>
      <c r="AM29" s="25"/>
      <c r="AN29" s="25"/>
    </row>
    <row r="30" spans="1:40" x14ac:dyDescent="0.25">
      <c r="A30" s="28" t="s">
        <v>167</v>
      </c>
      <c r="B30" s="27">
        <v>9511.65</v>
      </c>
      <c r="C30" s="24"/>
      <c r="D30" s="24"/>
      <c r="E30" s="24"/>
      <c r="F30" s="24"/>
      <c r="G30" s="24"/>
      <c r="H30" s="24"/>
      <c r="I30" s="24"/>
      <c r="J30" s="24"/>
      <c r="L30" s="24"/>
      <c r="M30" s="24"/>
      <c r="O30" s="24"/>
      <c r="P30" s="24"/>
      <c r="R30" s="24"/>
      <c r="S30" s="24"/>
      <c r="U30" s="24"/>
      <c r="V30" s="24"/>
      <c r="X30" s="24"/>
      <c r="Y30" s="24"/>
      <c r="AA30" s="24"/>
      <c r="AB30" s="24"/>
      <c r="AD30" s="24"/>
      <c r="AE30" s="24"/>
      <c r="AG30" s="24"/>
      <c r="AH30" s="24"/>
      <c r="AJ30" s="24"/>
      <c r="AK30" s="24"/>
      <c r="AM30" s="24"/>
      <c r="AN30" s="24"/>
    </row>
    <row r="31" spans="1:40" x14ac:dyDescent="0.25">
      <c r="A31" s="28" t="s">
        <v>168</v>
      </c>
      <c r="B31" s="27">
        <v>18777.439999999999</v>
      </c>
      <c r="C31" s="24"/>
      <c r="D31" s="24"/>
      <c r="E31" s="24"/>
      <c r="F31" s="24"/>
      <c r="G31" s="24"/>
      <c r="H31" s="24"/>
      <c r="I31" s="24"/>
      <c r="J31" s="24"/>
      <c r="L31" s="24"/>
      <c r="M31" s="24"/>
      <c r="O31" s="24"/>
      <c r="P31" s="24"/>
      <c r="R31" s="24"/>
      <c r="S31" s="24"/>
      <c r="U31" s="24"/>
      <c r="V31" s="24"/>
      <c r="X31" s="24"/>
      <c r="Y31" s="24"/>
      <c r="AA31" s="24"/>
      <c r="AB31" s="24"/>
      <c r="AD31" s="24"/>
      <c r="AE31" s="24"/>
      <c r="AG31" s="24"/>
      <c r="AH31" s="24"/>
      <c r="AJ31" s="24"/>
      <c r="AK31" s="24"/>
      <c r="AM31" s="24"/>
      <c r="AN31" s="24"/>
    </row>
    <row r="32" spans="1:40" x14ac:dyDescent="0.25">
      <c r="A32" s="26" t="s">
        <v>169</v>
      </c>
      <c r="B32" s="24"/>
      <c r="C32" s="25"/>
      <c r="D32" s="25"/>
      <c r="E32" s="25"/>
      <c r="F32" s="25"/>
      <c r="G32" s="25"/>
      <c r="H32" s="25"/>
      <c r="I32" s="25"/>
      <c r="J32" s="25"/>
      <c r="L32" s="25"/>
      <c r="M32" s="25"/>
      <c r="O32" s="25"/>
      <c r="P32" s="25"/>
      <c r="R32" s="25"/>
      <c r="S32" s="25"/>
      <c r="U32" s="25"/>
      <c r="V32" s="25"/>
      <c r="X32" s="25"/>
      <c r="Y32" s="25"/>
      <c r="AA32" s="25"/>
      <c r="AB32" s="25"/>
      <c r="AD32" s="25"/>
      <c r="AE32" s="25"/>
      <c r="AG32" s="25"/>
      <c r="AH32" s="25"/>
      <c r="AJ32" s="25"/>
      <c r="AK32" s="25"/>
      <c r="AM32" s="25"/>
      <c r="AN32" s="25"/>
    </row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3AB1-8DA4-46CE-A427-26425C5A5CBF}">
  <dimension ref="A1:AA53"/>
  <sheetViews>
    <sheetView workbookViewId="0">
      <selection activeCell="F5" sqref="F5"/>
    </sheetView>
  </sheetViews>
  <sheetFormatPr defaultRowHeight="15" x14ac:dyDescent="0.25"/>
  <cols>
    <col min="1" max="1" width="6.140625" style="31" customWidth="1"/>
    <col min="2" max="2" width="12.7109375" style="31" customWidth="1"/>
    <col min="3" max="3" width="21.28515625" style="31" customWidth="1"/>
    <col min="4" max="4" width="11.140625" style="31" bestFit="1" customWidth="1"/>
    <col min="5" max="5" width="9.85546875" style="31" customWidth="1"/>
    <col min="6" max="6" width="3.140625" style="31" bestFit="1" customWidth="1"/>
    <col min="7" max="7" width="9.140625" style="31"/>
    <col min="8" max="8" width="3.140625" style="31" bestFit="1" customWidth="1"/>
    <col min="9" max="9" width="9.140625" style="31"/>
    <col min="10" max="10" width="3.140625" style="31" bestFit="1" customWidth="1"/>
    <col min="11" max="11" width="5.42578125" style="31" bestFit="1" customWidth="1"/>
    <col min="12" max="12" width="3.140625" style="31" bestFit="1" customWidth="1"/>
    <col min="13" max="13" width="9.140625" style="31"/>
    <col min="14" max="14" width="3.140625" style="31" bestFit="1" customWidth="1"/>
    <col min="15" max="15" width="6.140625" style="31" bestFit="1" customWidth="1"/>
    <col min="16" max="16" width="3.140625" style="31" bestFit="1" customWidth="1"/>
    <col min="17" max="17" width="7.5703125" style="31" bestFit="1" customWidth="1"/>
    <col min="18" max="18" width="3.140625" style="31" bestFit="1" customWidth="1"/>
    <col min="19" max="19" width="12.42578125" style="31" customWidth="1"/>
    <col min="20" max="20" width="3.140625" style="31" bestFit="1" customWidth="1"/>
    <col min="21" max="21" width="8.7109375" style="31" bestFit="1" customWidth="1"/>
    <col min="22" max="22" width="3.140625" style="31" bestFit="1" customWidth="1"/>
    <col min="23" max="23" width="9.7109375" style="31" bestFit="1" customWidth="1"/>
    <col min="24" max="24" width="3.140625" style="31" bestFit="1" customWidth="1"/>
    <col min="25" max="25" width="9.5703125" style="31" bestFit="1" customWidth="1"/>
    <col min="26" max="26" width="3.140625" style="31" bestFit="1" customWidth="1"/>
    <col min="27" max="27" width="6.140625" style="31" bestFit="1" customWidth="1"/>
    <col min="28" max="259" width="9.140625" style="31"/>
    <col min="260" max="260" width="6.140625" style="31" customWidth="1"/>
    <col min="261" max="261" width="12.7109375" style="31" customWidth="1"/>
    <col min="262" max="262" width="6.28515625" style="31" customWidth="1"/>
    <col min="263" max="263" width="21.28515625" style="31" customWidth="1"/>
    <col min="264" max="264" width="14.7109375" style="31" customWidth="1"/>
    <col min="265" max="265" width="5.28515625" style="31" customWidth="1"/>
    <col min="266" max="266" width="17" style="31" customWidth="1"/>
    <col min="267" max="267" width="9.7109375" style="31" customWidth="1"/>
    <col min="268" max="268" width="6.28515625" style="31" customWidth="1"/>
    <col min="269" max="269" width="11.140625" style="31" customWidth="1"/>
    <col min="270" max="270" width="5" style="31" customWidth="1"/>
    <col min="271" max="271" width="8.140625" style="31" customWidth="1"/>
    <col min="272" max="272" width="6.5703125" style="31" customWidth="1"/>
    <col min="273" max="515" width="9.140625" style="31"/>
    <col min="516" max="516" width="6.140625" style="31" customWidth="1"/>
    <col min="517" max="517" width="12.7109375" style="31" customWidth="1"/>
    <col min="518" max="518" width="6.28515625" style="31" customWidth="1"/>
    <col min="519" max="519" width="21.28515625" style="31" customWidth="1"/>
    <col min="520" max="520" width="14.7109375" style="31" customWidth="1"/>
    <col min="521" max="521" width="5.28515625" style="31" customWidth="1"/>
    <col min="522" max="522" width="17" style="31" customWidth="1"/>
    <col min="523" max="523" width="9.7109375" style="31" customWidth="1"/>
    <col min="524" max="524" width="6.28515625" style="31" customWidth="1"/>
    <col min="525" max="525" width="11.140625" style="31" customWidth="1"/>
    <col min="526" max="526" width="5" style="31" customWidth="1"/>
    <col min="527" max="527" width="8.140625" style="31" customWidth="1"/>
    <col min="528" max="528" width="6.5703125" style="31" customWidth="1"/>
    <col min="529" max="771" width="9.140625" style="31"/>
    <col min="772" max="772" width="6.140625" style="31" customWidth="1"/>
    <col min="773" max="773" width="12.7109375" style="31" customWidth="1"/>
    <col min="774" max="774" width="6.28515625" style="31" customWidth="1"/>
    <col min="775" max="775" width="21.28515625" style="31" customWidth="1"/>
    <col min="776" max="776" width="14.7109375" style="31" customWidth="1"/>
    <col min="777" max="777" width="5.28515625" style="31" customWidth="1"/>
    <col min="778" max="778" width="17" style="31" customWidth="1"/>
    <col min="779" max="779" width="9.7109375" style="31" customWidth="1"/>
    <col min="780" max="780" width="6.28515625" style="31" customWidth="1"/>
    <col min="781" max="781" width="11.140625" style="31" customWidth="1"/>
    <col min="782" max="782" width="5" style="31" customWidth="1"/>
    <col min="783" max="783" width="8.140625" style="31" customWidth="1"/>
    <col min="784" max="784" width="6.5703125" style="31" customWidth="1"/>
    <col min="785" max="1027" width="9.140625" style="31"/>
    <col min="1028" max="1028" width="6.140625" style="31" customWidth="1"/>
    <col min="1029" max="1029" width="12.7109375" style="31" customWidth="1"/>
    <col min="1030" max="1030" width="6.28515625" style="31" customWidth="1"/>
    <col min="1031" max="1031" width="21.28515625" style="31" customWidth="1"/>
    <col min="1032" max="1032" width="14.7109375" style="31" customWidth="1"/>
    <col min="1033" max="1033" width="5.28515625" style="31" customWidth="1"/>
    <col min="1034" max="1034" width="17" style="31" customWidth="1"/>
    <col min="1035" max="1035" width="9.7109375" style="31" customWidth="1"/>
    <col min="1036" max="1036" width="6.28515625" style="31" customWidth="1"/>
    <col min="1037" max="1037" width="11.140625" style="31" customWidth="1"/>
    <col min="1038" max="1038" width="5" style="31" customWidth="1"/>
    <col min="1039" max="1039" width="8.140625" style="31" customWidth="1"/>
    <col min="1040" max="1040" width="6.5703125" style="31" customWidth="1"/>
    <col min="1041" max="1283" width="9.140625" style="31"/>
    <col min="1284" max="1284" width="6.140625" style="31" customWidth="1"/>
    <col min="1285" max="1285" width="12.7109375" style="31" customWidth="1"/>
    <col min="1286" max="1286" width="6.28515625" style="31" customWidth="1"/>
    <col min="1287" max="1287" width="21.28515625" style="31" customWidth="1"/>
    <col min="1288" max="1288" width="14.7109375" style="31" customWidth="1"/>
    <col min="1289" max="1289" width="5.28515625" style="31" customWidth="1"/>
    <col min="1290" max="1290" width="17" style="31" customWidth="1"/>
    <col min="1291" max="1291" width="9.7109375" style="31" customWidth="1"/>
    <col min="1292" max="1292" width="6.28515625" style="31" customWidth="1"/>
    <col min="1293" max="1293" width="11.140625" style="31" customWidth="1"/>
    <col min="1294" max="1294" width="5" style="31" customWidth="1"/>
    <col min="1295" max="1295" width="8.140625" style="31" customWidth="1"/>
    <col min="1296" max="1296" width="6.5703125" style="31" customWidth="1"/>
    <col min="1297" max="1539" width="9.140625" style="31"/>
    <col min="1540" max="1540" width="6.140625" style="31" customWidth="1"/>
    <col min="1541" max="1541" width="12.7109375" style="31" customWidth="1"/>
    <col min="1542" max="1542" width="6.28515625" style="31" customWidth="1"/>
    <col min="1543" max="1543" width="21.28515625" style="31" customWidth="1"/>
    <col min="1544" max="1544" width="14.7109375" style="31" customWidth="1"/>
    <col min="1545" max="1545" width="5.28515625" style="31" customWidth="1"/>
    <col min="1546" max="1546" width="17" style="31" customWidth="1"/>
    <col min="1547" max="1547" width="9.7109375" style="31" customWidth="1"/>
    <col min="1548" max="1548" width="6.28515625" style="31" customWidth="1"/>
    <col min="1549" max="1549" width="11.140625" style="31" customWidth="1"/>
    <col min="1550" max="1550" width="5" style="31" customWidth="1"/>
    <col min="1551" max="1551" width="8.140625" style="31" customWidth="1"/>
    <col min="1552" max="1552" width="6.5703125" style="31" customWidth="1"/>
    <col min="1553" max="1795" width="9.140625" style="31"/>
    <col min="1796" max="1796" width="6.140625" style="31" customWidth="1"/>
    <col min="1797" max="1797" width="12.7109375" style="31" customWidth="1"/>
    <col min="1798" max="1798" width="6.28515625" style="31" customWidth="1"/>
    <col min="1799" max="1799" width="21.28515625" style="31" customWidth="1"/>
    <col min="1800" max="1800" width="14.7109375" style="31" customWidth="1"/>
    <col min="1801" max="1801" width="5.28515625" style="31" customWidth="1"/>
    <col min="1802" max="1802" width="17" style="31" customWidth="1"/>
    <col min="1803" max="1803" width="9.7109375" style="31" customWidth="1"/>
    <col min="1804" max="1804" width="6.28515625" style="31" customWidth="1"/>
    <col min="1805" max="1805" width="11.140625" style="31" customWidth="1"/>
    <col min="1806" max="1806" width="5" style="31" customWidth="1"/>
    <col min="1807" max="1807" width="8.140625" style="31" customWidth="1"/>
    <col min="1808" max="1808" width="6.5703125" style="31" customWidth="1"/>
    <col min="1809" max="2051" width="9.140625" style="31"/>
    <col min="2052" max="2052" width="6.140625" style="31" customWidth="1"/>
    <col min="2053" max="2053" width="12.7109375" style="31" customWidth="1"/>
    <col min="2054" max="2054" width="6.28515625" style="31" customWidth="1"/>
    <col min="2055" max="2055" width="21.28515625" style="31" customWidth="1"/>
    <col min="2056" max="2056" width="14.7109375" style="31" customWidth="1"/>
    <col min="2057" max="2057" width="5.28515625" style="31" customWidth="1"/>
    <col min="2058" max="2058" width="17" style="31" customWidth="1"/>
    <col min="2059" max="2059" width="9.7109375" style="31" customWidth="1"/>
    <col min="2060" max="2060" width="6.28515625" style="31" customWidth="1"/>
    <col min="2061" max="2061" width="11.140625" style="31" customWidth="1"/>
    <col min="2062" max="2062" width="5" style="31" customWidth="1"/>
    <col min="2063" max="2063" width="8.140625" style="31" customWidth="1"/>
    <col min="2064" max="2064" width="6.5703125" style="31" customWidth="1"/>
    <col min="2065" max="2307" width="9.140625" style="31"/>
    <col min="2308" max="2308" width="6.140625" style="31" customWidth="1"/>
    <col min="2309" max="2309" width="12.7109375" style="31" customWidth="1"/>
    <col min="2310" max="2310" width="6.28515625" style="31" customWidth="1"/>
    <col min="2311" max="2311" width="21.28515625" style="31" customWidth="1"/>
    <col min="2312" max="2312" width="14.7109375" style="31" customWidth="1"/>
    <col min="2313" max="2313" width="5.28515625" style="31" customWidth="1"/>
    <col min="2314" max="2314" width="17" style="31" customWidth="1"/>
    <col min="2315" max="2315" width="9.7109375" style="31" customWidth="1"/>
    <col min="2316" max="2316" width="6.28515625" style="31" customWidth="1"/>
    <col min="2317" max="2317" width="11.140625" style="31" customWidth="1"/>
    <col min="2318" max="2318" width="5" style="31" customWidth="1"/>
    <col min="2319" max="2319" width="8.140625" style="31" customWidth="1"/>
    <col min="2320" max="2320" width="6.5703125" style="31" customWidth="1"/>
    <col min="2321" max="2563" width="9.140625" style="31"/>
    <col min="2564" max="2564" width="6.140625" style="31" customWidth="1"/>
    <col min="2565" max="2565" width="12.7109375" style="31" customWidth="1"/>
    <col min="2566" max="2566" width="6.28515625" style="31" customWidth="1"/>
    <col min="2567" max="2567" width="21.28515625" style="31" customWidth="1"/>
    <col min="2568" max="2568" width="14.7109375" style="31" customWidth="1"/>
    <col min="2569" max="2569" width="5.28515625" style="31" customWidth="1"/>
    <col min="2570" max="2570" width="17" style="31" customWidth="1"/>
    <col min="2571" max="2571" width="9.7109375" style="31" customWidth="1"/>
    <col min="2572" max="2572" width="6.28515625" style="31" customWidth="1"/>
    <col min="2573" max="2573" width="11.140625" style="31" customWidth="1"/>
    <col min="2574" max="2574" width="5" style="31" customWidth="1"/>
    <col min="2575" max="2575" width="8.140625" style="31" customWidth="1"/>
    <col min="2576" max="2576" width="6.5703125" style="31" customWidth="1"/>
    <col min="2577" max="2819" width="9.140625" style="31"/>
    <col min="2820" max="2820" width="6.140625" style="31" customWidth="1"/>
    <col min="2821" max="2821" width="12.7109375" style="31" customWidth="1"/>
    <col min="2822" max="2822" width="6.28515625" style="31" customWidth="1"/>
    <col min="2823" max="2823" width="21.28515625" style="31" customWidth="1"/>
    <col min="2824" max="2824" width="14.7109375" style="31" customWidth="1"/>
    <col min="2825" max="2825" width="5.28515625" style="31" customWidth="1"/>
    <col min="2826" max="2826" width="17" style="31" customWidth="1"/>
    <col min="2827" max="2827" width="9.7109375" style="31" customWidth="1"/>
    <col min="2828" max="2828" width="6.28515625" style="31" customWidth="1"/>
    <col min="2829" max="2829" width="11.140625" style="31" customWidth="1"/>
    <col min="2830" max="2830" width="5" style="31" customWidth="1"/>
    <col min="2831" max="2831" width="8.140625" style="31" customWidth="1"/>
    <col min="2832" max="2832" width="6.5703125" style="31" customWidth="1"/>
    <col min="2833" max="3075" width="9.140625" style="31"/>
    <col min="3076" max="3076" width="6.140625" style="31" customWidth="1"/>
    <col min="3077" max="3077" width="12.7109375" style="31" customWidth="1"/>
    <col min="3078" max="3078" width="6.28515625" style="31" customWidth="1"/>
    <col min="3079" max="3079" width="21.28515625" style="31" customWidth="1"/>
    <col min="3080" max="3080" width="14.7109375" style="31" customWidth="1"/>
    <col min="3081" max="3081" width="5.28515625" style="31" customWidth="1"/>
    <col min="3082" max="3082" width="17" style="31" customWidth="1"/>
    <col min="3083" max="3083" width="9.7109375" style="31" customWidth="1"/>
    <col min="3084" max="3084" width="6.28515625" style="31" customWidth="1"/>
    <col min="3085" max="3085" width="11.140625" style="31" customWidth="1"/>
    <col min="3086" max="3086" width="5" style="31" customWidth="1"/>
    <col min="3087" max="3087" width="8.140625" style="31" customWidth="1"/>
    <col min="3088" max="3088" width="6.5703125" style="31" customWidth="1"/>
    <col min="3089" max="3331" width="9.140625" style="31"/>
    <col min="3332" max="3332" width="6.140625" style="31" customWidth="1"/>
    <col min="3333" max="3333" width="12.7109375" style="31" customWidth="1"/>
    <col min="3334" max="3334" width="6.28515625" style="31" customWidth="1"/>
    <col min="3335" max="3335" width="21.28515625" style="31" customWidth="1"/>
    <col min="3336" max="3336" width="14.7109375" style="31" customWidth="1"/>
    <col min="3337" max="3337" width="5.28515625" style="31" customWidth="1"/>
    <col min="3338" max="3338" width="17" style="31" customWidth="1"/>
    <col min="3339" max="3339" width="9.7109375" style="31" customWidth="1"/>
    <col min="3340" max="3340" width="6.28515625" style="31" customWidth="1"/>
    <col min="3341" max="3341" width="11.140625" style="31" customWidth="1"/>
    <col min="3342" max="3342" width="5" style="31" customWidth="1"/>
    <col min="3343" max="3343" width="8.140625" style="31" customWidth="1"/>
    <col min="3344" max="3344" width="6.5703125" style="31" customWidth="1"/>
    <col min="3345" max="3587" width="9.140625" style="31"/>
    <col min="3588" max="3588" width="6.140625" style="31" customWidth="1"/>
    <col min="3589" max="3589" width="12.7109375" style="31" customWidth="1"/>
    <col min="3590" max="3590" width="6.28515625" style="31" customWidth="1"/>
    <col min="3591" max="3591" width="21.28515625" style="31" customWidth="1"/>
    <col min="3592" max="3592" width="14.7109375" style="31" customWidth="1"/>
    <col min="3593" max="3593" width="5.28515625" style="31" customWidth="1"/>
    <col min="3594" max="3594" width="17" style="31" customWidth="1"/>
    <col min="3595" max="3595" width="9.7109375" style="31" customWidth="1"/>
    <col min="3596" max="3596" width="6.28515625" style="31" customWidth="1"/>
    <col min="3597" max="3597" width="11.140625" style="31" customWidth="1"/>
    <col min="3598" max="3598" width="5" style="31" customWidth="1"/>
    <col min="3599" max="3599" width="8.140625" style="31" customWidth="1"/>
    <col min="3600" max="3600" width="6.5703125" style="31" customWidth="1"/>
    <col min="3601" max="3843" width="9.140625" style="31"/>
    <col min="3844" max="3844" width="6.140625" style="31" customWidth="1"/>
    <col min="3845" max="3845" width="12.7109375" style="31" customWidth="1"/>
    <col min="3846" max="3846" width="6.28515625" style="31" customWidth="1"/>
    <col min="3847" max="3847" width="21.28515625" style="31" customWidth="1"/>
    <col min="3848" max="3848" width="14.7109375" style="31" customWidth="1"/>
    <col min="3849" max="3849" width="5.28515625" style="31" customWidth="1"/>
    <col min="3850" max="3850" width="17" style="31" customWidth="1"/>
    <col min="3851" max="3851" width="9.7109375" style="31" customWidth="1"/>
    <col min="3852" max="3852" width="6.28515625" style="31" customWidth="1"/>
    <col min="3853" max="3853" width="11.140625" style="31" customWidth="1"/>
    <col min="3854" max="3854" width="5" style="31" customWidth="1"/>
    <col min="3855" max="3855" width="8.140625" style="31" customWidth="1"/>
    <col min="3856" max="3856" width="6.5703125" style="31" customWidth="1"/>
    <col min="3857" max="4099" width="9.140625" style="31"/>
    <col min="4100" max="4100" width="6.140625" style="31" customWidth="1"/>
    <col min="4101" max="4101" width="12.7109375" style="31" customWidth="1"/>
    <col min="4102" max="4102" width="6.28515625" style="31" customWidth="1"/>
    <col min="4103" max="4103" width="21.28515625" style="31" customWidth="1"/>
    <col min="4104" max="4104" width="14.7109375" style="31" customWidth="1"/>
    <col min="4105" max="4105" width="5.28515625" style="31" customWidth="1"/>
    <col min="4106" max="4106" width="17" style="31" customWidth="1"/>
    <col min="4107" max="4107" width="9.7109375" style="31" customWidth="1"/>
    <col min="4108" max="4108" width="6.28515625" style="31" customWidth="1"/>
    <col min="4109" max="4109" width="11.140625" style="31" customWidth="1"/>
    <col min="4110" max="4110" width="5" style="31" customWidth="1"/>
    <col min="4111" max="4111" width="8.140625" style="31" customWidth="1"/>
    <col min="4112" max="4112" width="6.5703125" style="31" customWidth="1"/>
    <col min="4113" max="4355" width="9.140625" style="31"/>
    <col min="4356" max="4356" width="6.140625" style="31" customWidth="1"/>
    <col min="4357" max="4357" width="12.7109375" style="31" customWidth="1"/>
    <col min="4358" max="4358" width="6.28515625" style="31" customWidth="1"/>
    <col min="4359" max="4359" width="21.28515625" style="31" customWidth="1"/>
    <col min="4360" max="4360" width="14.7109375" style="31" customWidth="1"/>
    <col min="4361" max="4361" width="5.28515625" style="31" customWidth="1"/>
    <col min="4362" max="4362" width="17" style="31" customWidth="1"/>
    <col min="4363" max="4363" width="9.7109375" style="31" customWidth="1"/>
    <col min="4364" max="4364" width="6.28515625" style="31" customWidth="1"/>
    <col min="4365" max="4365" width="11.140625" style="31" customWidth="1"/>
    <col min="4366" max="4366" width="5" style="31" customWidth="1"/>
    <col min="4367" max="4367" width="8.140625" style="31" customWidth="1"/>
    <col min="4368" max="4368" width="6.5703125" style="31" customWidth="1"/>
    <col min="4369" max="4611" width="9.140625" style="31"/>
    <col min="4612" max="4612" width="6.140625" style="31" customWidth="1"/>
    <col min="4613" max="4613" width="12.7109375" style="31" customWidth="1"/>
    <col min="4614" max="4614" width="6.28515625" style="31" customWidth="1"/>
    <col min="4615" max="4615" width="21.28515625" style="31" customWidth="1"/>
    <col min="4616" max="4616" width="14.7109375" style="31" customWidth="1"/>
    <col min="4617" max="4617" width="5.28515625" style="31" customWidth="1"/>
    <col min="4618" max="4618" width="17" style="31" customWidth="1"/>
    <col min="4619" max="4619" width="9.7109375" style="31" customWidth="1"/>
    <col min="4620" max="4620" width="6.28515625" style="31" customWidth="1"/>
    <col min="4621" max="4621" width="11.140625" style="31" customWidth="1"/>
    <col min="4622" max="4622" width="5" style="31" customWidth="1"/>
    <col min="4623" max="4623" width="8.140625" style="31" customWidth="1"/>
    <col min="4624" max="4624" width="6.5703125" style="31" customWidth="1"/>
    <col min="4625" max="4867" width="9.140625" style="31"/>
    <col min="4868" max="4868" width="6.140625" style="31" customWidth="1"/>
    <col min="4869" max="4869" width="12.7109375" style="31" customWidth="1"/>
    <col min="4870" max="4870" width="6.28515625" style="31" customWidth="1"/>
    <col min="4871" max="4871" width="21.28515625" style="31" customWidth="1"/>
    <col min="4872" max="4872" width="14.7109375" style="31" customWidth="1"/>
    <col min="4873" max="4873" width="5.28515625" style="31" customWidth="1"/>
    <col min="4874" max="4874" width="17" style="31" customWidth="1"/>
    <col min="4875" max="4875" width="9.7109375" style="31" customWidth="1"/>
    <col min="4876" max="4876" width="6.28515625" style="31" customWidth="1"/>
    <col min="4877" max="4877" width="11.140625" style="31" customWidth="1"/>
    <col min="4878" max="4878" width="5" style="31" customWidth="1"/>
    <col min="4879" max="4879" width="8.140625" style="31" customWidth="1"/>
    <col min="4880" max="4880" width="6.5703125" style="31" customWidth="1"/>
    <col min="4881" max="5123" width="9.140625" style="31"/>
    <col min="5124" max="5124" width="6.140625" style="31" customWidth="1"/>
    <col min="5125" max="5125" width="12.7109375" style="31" customWidth="1"/>
    <col min="5126" max="5126" width="6.28515625" style="31" customWidth="1"/>
    <col min="5127" max="5127" width="21.28515625" style="31" customWidth="1"/>
    <col min="5128" max="5128" width="14.7109375" style="31" customWidth="1"/>
    <col min="5129" max="5129" width="5.28515625" style="31" customWidth="1"/>
    <col min="5130" max="5130" width="17" style="31" customWidth="1"/>
    <col min="5131" max="5131" width="9.7109375" style="31" customWidth="1"/>
    <col min="5132" max="5132" width="6.28515625" style="31" customWidth="1"/>
    <col min="5133" max="5133" width="11.140625" style="31" customWidth="1"/>
    <col min="5134" max="5134" width="5" style="31" customWidth="1"/>
    <col min="5135" max="5135" width="8.140625" style="31" customWidth="1"/>
    <col min="5136" max="5136" width="6.5703125" style="31" customWidth="1"/>
    <col min="5137" max="5379" width="9.140625" style="31"/>
    <col min="5380" max="5380" width="6.140625" style="31" customWidth="1"/>
    <col min="5381" max="5381" width="12.7109375" style="31" customWidth="1"/>
    <col min="5382" max="5382" width="6.28515625" style="31" customWidth="1"/>
    <col min="5383" max="5383" width="21.28515625" style="31" customWidth="1"/>
    <col min="5384" max="5384" width="14.7109375" style="31" customWidth="1"/>
    <col min="5385" max="5385" width="5.28515625" style="31" customWidth="1"/>
    <col min="5386" max="5386" width="17" style="31" customWidth="1"/>
    <col min="5387" max="5387" width="9.7109375" style="31" customWidth="1"/>
    <col min="5388" max="5388" width="6.28515625" style="31" customWidth="1"/>
    <col min="5389" max="5389" width="11.140625" style="31" customWidth="1"/>
    <col min="5390" max="5390" width="5" style="31" customWidth="1"/>
    <col min="5391" max="5391" width="8.140625" style="31" customWidth="1"/>
    <col min="5392" max="5392" width="6.5703125" style="31" customWidth="1"/>
    <col min="5393" max="5635" width="9.140625" style="31"/>
    <col min="5636" max="5636" width="6.140625" style="31" customWidth="1"/>
    <col min="5637" max="5637" width="12.7109375" style="31" customWidth="1"/>
    <col min="5638" max="5638" width="6.28515625" style="31" customWidth="1"/>
    <col min="5639" max="5639" width="21.28515625" style="31" customWidth="1"/>
    <col min="5640" max="5640" width="14.7109375" style="31" customWidth="1"/>
    <col min="5641" max="5641" width="5.28515625" style="31" customWidth="1"/>
    <col min="5642" max="5642" width="17" style="31" customWidth="1"/>
    <col min="5643" max="5643" width="9.7109375" style="31" customWidth="1"/>
    <col min="5644" max="5644" width="6.28515625" style="31" customWidth="1"/>
    <col min="5645" max="5645" width="11.140625" style="31" customWidth="1"/>
    <col min="5646" max="5646" width="5" style="31" customWidth="1"/>
    <col min="5647" max="5647" width="8.140625" style="31" customWidth="1"/>
    <col min="5648" max="5648" width="6.5703125" style="31" customWidth="1"/>
    <col min="5649" max="5891" width="9.140625" style="31"/>
    <col min="5892" max="5892" width="6.140625" style="31" customWidth="1"/>
    <col min="5893" max="5893" width="12.7109375" style="31" customWidth="1"/>
    <col min="5894" max="5894" width="6.28515625" style="31" customWidth="1"/>
    <col min="5895" max="5895" width="21.28515625" style="31" customWidth="1"/>
    <col min="5896" max="5896" width="14.7109375" style="31" customWidth="1"/>
    <col min="5897" max="5897" width="5.28515625" style="31" customWidth="1"/>
    <col min="5898" max="5898" width="17" style="31" customWidth="1"/>
    <col min="5899" max="5899" width="9.7109375" style="31" customWidth="1"/>
    <col min="5900" max="5900" width="6.28515625" style="31" customWidth="1"/>
    <col min="5901" max="5901" width="11.140625" style="31" customWidth="1"/>
    <col min="5902" max="5902" width="5" style="31" customWidth="1"/>
    <col min="5903" max="5903" width="8.140625" style="31" customWidth="1"/>
    <col min="5904" max="5904" width="6.5703125" style="31" customWidth="1"/>
    <col min="5905" max="6147" width="9.140625" style="31"/>
    <col min="6148" max="6148" width="6.140625" style="31" customWidth="1"/>
    <col min="6149" max="6149" width="12.7109375" style="31" customWidth="1"/>
    <col min="6150" max="6150" width="6.28515625" style="31" customWidth="1"/>
    <col min="6151" max="6151" width="21.28515625" style="31" customWidth="1"/>
    <col min="6152" max="6152" width="14.7109375" style="31" customWidth="1"/>
    <col min="6153" max="6153" width="5.28515625" style="31" customWidth="1"/>
    <col min="6154" max="6154" width="17" style="31" customWidth="1"/>
    <col min="6155" max="6155" width="9.7109375" style="31" customWidth="1"/>
    <col min="6156" max="6156" width="6.28515625" style="31" customWidth="1"/>
    <col min="6157" max="6157" width="11.140625" style="31" customWidth="1"/>
    <col min="6158" max="6158" width="5" style="31" customWidth="1"/>
    <col min="6159" max="6159" width="8.140625" style="31" customWidth="1"/>
    <col min="6160" max="6160" width="6.5703125" style="31" customWidth="1"/>
    <col min="6161" max="6403" width="9.140625" style="31"/>
    <col min="6404" max="6404" width="6.140625" style="31" customWidth="1"/>
    <col min="6405" max="6405" width="12.7109375" style="31" customWidth="1"/>
    <col min="6406" max="6406" width="6.28515625" style="31" customWidth="1"/>
    <col min="6407" max="6407" width="21.28515625" style="31" customWidth="1"/>
    <col min="6408" max="6408" width="14.7109375" style="31" customWidth="1"/>
    <col min="6409" max="6409" width="5.28515625" style="31" customWidth="1"/>
    <col min="6410" max="6410" width="17" style="31" customWidth="1"/>
    <col min="6411" max="6411" width="9.7109375" style="31" customWidth="1"/>
    <col min="6412" max="6412" width="6.28515625" style="31" customWidth="1"/>
    <col min="6413" max="6413" width="11.140625" style="31" customWidth="1"/>
    <col min="6414" max="6414" width="5" style="31" customWidth="1"/>
    <col min="6415" max="6415" width="8.140625" style="31" customWidth="1"/>
    <col min="6416" max="6416" width="6.5703125" style="31" customWidth="1"/>
    <col min="6417" max="6659" width="9.140625" style="31"/>
    <col min="6660" max="6660" width="6.140625" style="31" customWidth="1"/>
    <col min="6661" max="6661" width="12.7109375" style="31" customWidth="1"/>
    <col min="6662" max="6662" width="6.28515625" style="31" customWidth="1"/>
    <col min="6663" max="6663" width="21.28515625" style="31" customWidth="1"/>
    <col min="6664" max="6664" width="14.7109375" style="31" customWidth="1"/>
    <col min="6665" max="6665" width="5.28515625" style="31" customWidth="1"/>
    <col min="6666" max="6666" width="17" style="31" customWidth="1"/>
    <col min="6667" max="6667" width="9.7109375" style="31" customWidth="1"/>
    <col min="6668" max="6668" width="6.28515625" style="31" customWidth="1"/>
    <col min="6669" max="6669" width="11.140625" style="31" customWidth="1"/>
    <col min="6670" max="6670" width="5" style="31" customWidth="1"/>
    <col min="6671" max="6671" width="8.140625" style="31" customWidth="1"/>
    <col min="6672" max="6672" width="6.5703125" style="31" customWidth="1"/>
    <col min="6673" max="6915" width="9.140625" style="31"/>
    <col min="6916" max="6916" width="6.140625" style="31" customWidth="1"/>
    <col min="6917" max="6917" width="12.7109375" style="31" customWidth="1"/>
    <col min="6918" max="6918" width="6.28515625" style="31" customWidth="1"/>
    <col min="6919" max="6919" width="21.28515625" style="31" customWidth="1"/>
    <col min="6920" max="6920" width="14.7109375" style="31" customWidth="1"/>
    <col min="6921" max="6921" width="5.28515625" style="31" customWidth="1"/>
    <col min="6922" max="6922" width="17" style="31" customWidth="1"/>
    <col min="6923" max="6923" width="9.7109375" style="31" customWidth="1"/>
    <col min="6924" max="6924" width="6.28515625" style="31" customWidth="1"/>
    <col min="6925" max="6925" width="11.140625" style="31" customWidth="1"/>
    <col min="6926" max="6926" width="5" style="31" customWidth="1"/>
    <col min="6927" max="6927" width="8.140625" style="31" customWidth="1"/>
    <col min="6928" max="6928" width="6.5703125" style="31" customWidth="1"/>
    <col min="6929" max="7171" width="9.140625" style="31"/>
    <col min="7172" max="7172" width="6.140625" style="31" customWidth="1"/>
    <col min="7173" max="7173" width="12.7109375" style="31" customWidth="1"/>
    <col min="7174" max="7174" width="6.28515625" style="31" customWidth="1"/>
    <col min="7175" max="7175" width="21.28515625" style="31" customWidth="1"/>
    <col min="7176" max="7176" width="14.7109375" style="31" customWidth="1"/>
    <col min="7177" max="7177" width="5.28515625" style="31" customWidth="1"/>
    <col min="7178" max="7178" width="17" style="31" customWidth="1"/>
    <col min="7179" max="7179" width="9.7109375" style="31" customWidth="1"/>
    <col min="7180" max="7180" width="6.28515625" style="31" customWidth="1"/>
    <col min="7181" max="7181" width="11.140625" style="31" customWidth="1"/>
    <col min="7182" max="7182" width="5" style="31" customWidth="1"/>
    <col min="7183" max="7183" width="8.140625" style="31" customWidth="1"/>
    <col min="7184" max="7184" width="6.5703125" style="31" customWidth="1"/>
    <col min="7185" max="7427" width="9.140625" style="31"/>
    <col min="7428" max="7428" width="6.140625" style="31" customWidth="1"/>
    <col min="7429" max="7429" width="12.7109375" style="31" customWidth="1"/>
    <col min="7430" max="7430" width="6.28515625" style="31" customWidth="1"/>
    <col min="7431" max="7431" width="21.28515625" style="31" customWidth="1"/>
    <col min="7432" max="7432" width="14.7109375" style="31" customWidth="1"/>
    <col min="7433" max="7433" width="5.28515625" style="31" customWidth="1"/>
    <col min="7434" max="7434" width="17" style="31" customWidth="1"/>
    <col min="7435" max="7435" width="9.7109375" style="31" customWidth="1"/>
    <col min="7436" max="7436" width="6.28515625" style="31" customWidth="1"/>
    <col min="7437" max="7437" width="11.140625" style="31" customWidth="1"/>
    <col min="7438" max="7438" width="5" style="31" customWidth="1"/>
    <col min="7439" max="7439" width="8.140625" style="31" customWidth="1"/>
    <col min="7440" max="7440" width="6.5703125" style="31" customWidth="1"/>
    <col min="7441" max="7683" width="9.140625" style="31"/>
    <col min="7684" max="7684" width="6.140625" style="31" customWidth="1"/>
    <col min="7685" max="7685" width="12.7109375" style="31" customWidth="1"/>
    <col min="7686" max="7686" width="6.28515625" style="31" customWidth="1"/>
    <col min="7687" max="7687" width="21.28515625" style="31" customWidth="1"/>
    <col min="7688" max="7688" width="14.7109375" style="31" customWidth="1"/>
    <col min="7689" max="7689" width="5.28515625" style="31" customWidth="1"/>
    <col min="7690" max="7690" width="17" style="31" customWidth="1"/>
    <col min="7691" max="7691" width="9.7109375" style="31" customWidth="1"/>
    <col min="7692" max="7692" width="6.28515625" style="31" customWidth="1"/>
    <col min="7693" max="7693" width="11.140625" style="31" customWidth="1"/>
    <col min="7694" max="7694" width="5" style="31" customWidth="1"/>
    <col min="7695" max="7695" width="8.140625" style="31" customWidth="1"/>
    <col min="7696" max="7696" width="6.5703125" style="31" customWidth="1"/>
    <col min="7697" max="7939" width="9.140625" style="31"/>
    <col min="7940" max="7940" width="6.140625" style="31" customWidth="1"/>
    <col min="7941" max="7941" width="12.7109375" style="31" customWidth="1"/>
    <col min="7942" max="7942" width="6.28515625" style="31" customWidth="1"/>
    <col min="7943" max="7943" width="21.28515625" style="31" customWidth="1"/>
    <col min="7944" max="7944" width="14.7109375" style="31" customWidth="1"/>
    <col min="7945" max="7945" width="5.28515625" style="31" customWidth="1"/>
    <col min="7946" max="7946" width="17" style="31" customWidth="1"/>
    <col min="7947" max="7947" width="9.7109375" style="31" customWidth="1"/>
    <col min="7948" max="7948" width="6.28515625" style="31" customWidth="1"/>
    <col min="7949" max="7949" width="11.140625" style="31" customWidth="1"/>
    <col min="7950" max="7950" width="5" style="31" customWidth="1"/>
    <col min="7951" max="7951" width="8.140625" style="31" customWidth="1"/>
    <col min="7952" max="7952" width="6.5703125" style="31" customWidth="1"/>
    <col min="7953" max="8195" width="9.140625" style="31"/>
    <col min="8196" max="8196" width="6.140625" style="31" customWidth="1"/>
    <col min="8197" max="8197" width="12.7109375" style="31" customWidth="1"/>
    <col min="8198" max="8198" width="6.28515625" style="31" customWidth="1"/>
    <col min="8199" max="8199" width="21.28515625" style="31" customWidth="1"/>
    <col min="8200" max="8200" width="14.7109375" style="31" customWidth="1"/>
    <col min="8201" max="8201" width="5.28515625" style="31" customWidth="1"/>
    <col min="8202" max="8202" width="17" style="31" customWidth="1"/>
    <col min="8203" max="8203" width="9.7109375" style="31" customWidth="1"/>
    <col min="8204" max="8204" width="6.28515625" style="31" customWidth="1"/>
    <col min="8205" max="8205" width="11.140625" style="31" customWidth="1"/>
    <col min="8206" max="8206" width="5" style="31" customWidth="1"/>
    <col min="8207" max="8207" width="8.140625" style="31" customWidth="1"/>
    <col min="8208" max="8208" width="6.5703125" style="31" customWidth="1"/>
    <col min="8209" max="8451" width="9.140625" style="31"/>
    <col min="8452" max="8452" width="6.140625" style="31" customWidth="1"/>
    <col min="8453" max="8453" width="12.7109375" style="31" customWidth="1"/>
    <col min="8454" max="8454" width="6.28515625" style="31" customWidth="1"/>
    <col min="8455" max="8455" width="21.28515625" style="31" customWidth="1"/>
    <col min="8456" max="8456" width="14.7109375" style="31" customWidth="1"/>
    <col min="8457" max="8457" width="5.28515625" style="31" customWidth="1"/>
    <col min="8458" max="8458" width="17" style="31" customWidth="1"/>
    <col min="8459" max="8459" width="9.7109375" style="31" customWidth="1"/>
    <col min="8460" max="8460" width="6.28515625" style="31" customWidth="1"/>
    <col min="8461" max="8461" width="11.140625" style="31" customWidth="1"/>
    <col min="8462" max="8462" width="5" style="31" customWidth="1"/>
    <col min="8463" max="8463" width="8.140625" style="31" customWidth="1"/>
    <col min="8464" max="8464" width="6.5703125" style="31" customWidth="1"/>
    <col min="8465" max="8707" width="9.140625" style="31"/>
    <col min="8708" max="8708" width="6.140625" style="31" customWidth="1"/>
    <col min="8709" max="8709" width="12.7109375" style="31" customWidth="1"/>
    <col min="8710" max="8710" width="6.28515625" style="31" customWidth="1"/>
    <col min="8711" max="8711" width="21.28515625" style="31" customWidth="1"/>
    <col min="8712" max="8712" width="14.7109375" style="31" customWidth="1"/>
    <col min="8713" max="8713" width="5.28515625" style="31" customWidth="1"/>
    <col min="8714" max="8714" width="17" style="31" customWidth="1"/>
    <col min="8715" max="8715" width="9.7109375" style="31" customWidth="1"/>
    <col min="8716" max="8716" width="6.28515625" style="31" customWidth="1"/>
    <col min="8717" max="8717" width="11.140625" style="31" customWidth="1"/>
    <col min="8718" max="8718" width="5" style="31" customWidth="1"/>
    <col min="8719" max="8719" width="8.140625" style="31" customWidth="1"/>
    <col min="8720" max="8720" width="6.5703125" style="31" customWidth="1"/>
    <col min="8721" max="8963" width="9.140625" style="31"/>
    <col min="8964" max="8964" width="6.140625" style="31" customWidth="1"/>
    <col min="8965" max="8965" width="12.7109375" style="31" customWidth="1"/>
    <col min="8966" max="8966" width="6.28515625" style="31" customWidth="1"/>
    <col min="8967" max="8967" width="21.28515625" style="31" customWidth="1"/>
    <col min="8968" max="8968" width="14.7109375" style="31" customWidth="1"/>
    <col min="8969" max="8969" width="5.28515625" style="31" customWidth="1"/>
    <col min="8970" max="8970" width="17" style="31" customWidth="1"/>
    <col min="8971" max="8971" width="9.7109375" style="31" customWidth="1"/>
    <col min="8972" max="8972" width="6.28515625" style="31" customWidth="1"/>
    <col min="8973" max="8973" width="11.140625" style="31" customWidth="1"/>
    <col min="8974" max="8974" width="5" style="31" customWidth="1"/>
    <col min="8975" max="8975" width="8.140625" style="31" customWidth="1"/>
    <col min="8976" max="8976" width="6.5703125" style="31" customWidth="1"/>
    <col min="8977" max="9219" width="9.140625" style="31"/>
    <col min="9220" max="9220" width="6.140625" style="31" customWidth="1"/>
    <col min="9221" max="9221" width="12.7109375" style="31" customWidth="1"/>
    <col min="9222" max="9222" width="6.28515625" style="31" customWidth="1"/>
    <col min="9223" max="9223" width="21.28515625" style="31" customWidth="1"/>
    <col min="9224" max="9224" width="14.7109375" style="31" customWidth="1"/>
    <col min="9225" max="9225" width="5.28515625" style="31" customWidth="1"/>
    <col min="9226" max="9226" width="17" style="31" customWidth="1"/>
    <col min="9227" max="9227" width="9.7109375" style="31" customWidth="1"/>
    <col min="9228" max="9228" width="6.28515625" style="31" customWidth="1"/>
    <col min="9229" max="9229" width="11.140625" style="31" customWidth="1"/>
    <col min="9230" max="9230" width="5" style="31" customWidth="1"/>
    <col min="9231" max="9231" width="8.140625" style="31" customWidth="1"/>
    <col min="9232" max="9232" width="6.5703125" style="31" customWidth="1"/>
    <col min="9233" max="9475" width="9.140625" style="31"/>
    <col min="9476" max="9476" width="6.140625" style="31" customWidth="1"/>
    <col min="9477" max="9477" width="12.7109375" style="31" customWidth="1"/>
    <col min="9478" max="9478" width="6.28515625" style="31" customWidth="1"/>
    <col min="9479" max="9479" width="21.28515625" style="31" customWidth="1"/>
    <col min="9480" max="9480" width="14.7109375" style="31" customWidth="1"/>
    <col min="9481" max="9481" width="5.28515625" style="31" customWidth="1"/>
    <col min="9482" max="9482" width="17" style="31" customWidth="1"/>
    <col min="9483" max="9483" width="9.7109375" style="31" customWidth="1"/>
    <col min="9484" max="9484" width="6.28515625" style="31" customWidth="1"/>
    <col min="9485" max="9485" width="11.140625" style="31" customWidth="1"/>
    <col min="9486" max="9486" width="5" style="31" customWidth="1"/>
    <col min="9487" max="9487" width="8.140625" style="31" customWidth="1"/>
    <col min="9488" max="9488" width="6.5703125" style="31" customWidth="1"/>
    <col min="9489" max="9731" width="9.140625" style="31"/>
    <col min="9732" max="9732" width="6.140625" style="31" customWidth="1"/>
    <col min="9733" max="9733" width="12.7109375" style="31" customWidth="1"/>
    <col min="9734" max="9734" width="6.28515625" style="31" customWidth="1"/>
    <col min="9735" max="9735" width="21.28515625" style="31" customWidth="1"/>
    <col min="9736" max="9736" width="14.7109375" style="31" customWidth="1"/>
    <col min="9737" max="9737" width="5.28515625" style="31" customWidth="1"/>
    <col min="9738" max="9738" width="17" style="31" customWidth="1"/>
    <col min="9739" max="9739" width="9.7109375" style="31" customWidth="1"/>
    <col min="9740" max="9740" width="6.28515625" style="31" customWidth="1"/>
    <col min="9741" max="9741" width="11.140625" style="31" customWidth="1"/>
    <col min="9742" max="9742" width="5" style="31" customWidth="1"/>
    <col min="9743" max="9743" width="8.140625" style="31" customWidth="1"/>
    <col min="9744" max="9744" width="6.5703125" style="31" customWidth="1"/>
    <col min="9745" max="9987" width="9.140625" style="31"/>
    <col min="9988" max="9988" width="6.140625" style="31" customWidth="1"/>
    <col min="9989" max="9989" width="12.7109375" style="31" customWidth="1"/>
    <col min="9990" max="9990" width="6.28515625" style="31" customWidth="1"/>
    <col min="9991" max="9991" width="21.28515625" style="31" customWidth="1"/>
    <col min="9992" max="9992" width="14.7109375" style="31" customWidth="1"/>
    <col min="9993" max="9993" width="5.28515625" style="31" customWidth="1"/>
    <col min="9994" max="9994" width="17" style="31" customWidth="1"/>
    <col min="9995" max="9995" width="9.7109375" style="31" customWidth="1"/>
    <col min="9996" max="9996" width="6.28515625" style="31" customWidth="1"/>
    <col min="9997" max="9997" width="11.140625" style="31" customWidth="1"/>
    <col min="9998" max="9998" width="5" style="31" customWidth="1"/>
    <col min="9999" max="9999" width="8.140625" style="31" customWidth="1"/>
    <col min="10000" max="10000" width="6.5703125" style="31" customWidth="1"/>
    <col min="10001" max="10243" width="9.140625" style="31"/>
    <col min="10244" max="10244" width="6.140625" style="31" customWidth="1"/>
    <col min="10245" max="10245" width="12.7109375" style="31" customWidth="1"/>
    <col min="10246" max="10246" width="6.28515625" style="31" customWidth="1"/>
    <col min="10247" max="10247" width="21.28515625" style="31" customWidth="1"/>
    <col min="10248" max="10248" width="14.7109375" style="31" customWidth="1"/>
    <col min="10249" max="10249" width="5.28515625" style="31" customWidth="1"/>
    <col min="10250" max="10250" width="17" style="31" customWidth="1"/>
    <col min="10251" max="10251" width="9.7109375" style="31" customWidth="1"/>
    <col min="10252" max="10252" width="6.28515625" style="31" customWidth="1"/>
    <col min="10253" max="10253" width="11.140625" style="31" customWidth="1"/>
    <col min="10254" max="10254" width="5" style="31" customWidth="1"/>
    <col min="10255" max="10255" width="8.140625" style="31" customWidth="1"/>
    <col min="10256" max="10256" width="6.5703125" style="31" customWidth="1"/>
    <col min="10257" max="10499" width="9.140625" style="31"/>
    <col min="10500" max="10500" width="6.140625" style="31" customWidth="1"/>
    <col min="10501" max="10501" width="12.7109375" style="31" customWidth="1"/>
    <col min="10502" max="10502" width="6.28515625" style="31" customWidth="1"/>
    <col min="10503" max="10503" width="21.28515625" style="31" customWidth="1"/>
    <col min="10504" max="10504" width="14.7109375" style="31" customWidth="1"/>
    <col min="10505" max="10505" width="5.28515625" style="31" customWidth="1"/>
    <col min="10506" max="10506" width="17" style="31" customWidth="1"/>
    <col min="10507" max="10507" width="9.7109375" style="31" customWidth="1"/>
    <col min="10508" max="10508" width="6.28515625" style="31" customWidth="1"/>
    <col min="10509" max="10509" width="11.140625" style="31" customWidth="1"/>
    <col min="10510" max="10510" width="5" style="31" customWidth="1"/>
    <col min="10511" max="10511" width="8.140625" style="31" customWidth="1"/>
    <col min="10512" max="10512" width="6.5703125" style="31" customWidth="1"/>
    <col min="10513" max="10755" width="9.140625" style="31"/>
    <col min="10756" max="10756" width="6.140625" style="31" customWidth="1"/>
    <col min="10757" max="10757" width="12.7109375" style="31" customWidth="1"/>
    <col min="10758" max="10758" width="6.28515625" style="31" customWidth="1"/>
    <col min="10759" max="10759" width="21.28515625" style="31" customWidth="1"/>
    <col min="10760" max="10760" width="14.7109375" style="31" customWidth="1"/>
    <col min="10761" max="10761" width="5.28515625" style="31" customWidth="1"/>
    <col min="10762" max="10762" width="17" style="31" customWidth="1"/>
    <col min="10763" max="10763" width="9.7109375" style="31" customWidth="1"/>
    <col min="10764" max="10764" width="6.28515625" style="31" customWidth="1"/>
    <col min="10765" max="10765" width="11.140625" style="31" customWidth="1"/>
    <col min="10766" max="10766" width="5" style="31" customWidth="1"/>
    <col min="10767" max="10767" width="8.140625" style="31" customWidth="1"/>
    <col min="10768" max="10768" width="6.5703125" style="31" customWidth="1"/>
    <col min="10769" max="11011" width="9.140625" style="31"/>
    <col min="11012" max="11012" width="6.140625" style="31" customWidth="1"/>
    <col min="11013" max="11013" width="12.7109375" style="31" customWidth="1"/>
    <col min="11014" max="11014" width="6.28515625" style="31" customWidth="1"/>
    <col min="11015" max="11015" width="21.28515625" style="31" customWidth="1"/>
    <col min="11016" max="11016" width="14.7109375" style="31" customWidth="1"/>
    <col min="11017" max="11017" width="5.28515625" style="31" customWidth="1"/>
    <col min="11018" max="11018" width="17" style="31" customWidth="1"/>
    <col min="11019" max="11019" width="9.7109375" style="31" customWidth="1"/>
    <col min="11020" max="11020" width="6.28515625" style="31" customWidth="1"/>
    <col min="11021" max="11021" width="11.140625" style="31" customWidth="1"/>
    <col min="11022" max="11022" width="5" style="31" customWidth="1"/>
    <col min="11023" max="11023" width="8.140625" style="31" customWidth="1"/>
    <col min="11024" max="11024" width="6.5703125" style="31" customWidth="1"/>
    <col min="11025" max="11267" width="9.140625" style="31"/>
    <col min="11268" max="11268" width="6.140625" style="31" customWidth="1"/>
    <col min="11269" max="11269" width="12.7109375" style="31" customWidth="1"/>
    <col min="11270" max="11270" width="6.28515625" style="31" customWidth="1"/>
    <col min="11271" max="11271" width="21.28515625" style="31" customWidth="1"/>
    <col min="11272" max="11272" width="14.7109375" style="31" customWidth="1"/>
    <col min="11273" max="11273" width="5.28515625" style="31" customWidth="1"/>
    <col min="11274" max="11274" width="17" style="31" customWidth="1"/>
    <col min="11275" max="11275" width="9.7109375" style="31" customWidth="1"/>
    <col min="11276" max="11276" width="6.28515625" style="31" customWidth="1"/>
    <col min="11277" max="11277" width="11.140625" style="31" customWidth="1"/>
    <col min="11278" max="11278" width="5" style="31" customWidth="1"/>
    <col min="11279" max="11279" width="8.140625" style="31" customWidth="1"/>
    <col min="11280" max="11280" width="6.5703125" style="31" customWidth="1"/>
    <col min="11281" max="11523" width="9.140625" style="31"/>
    <col min="11524" max="11524" width="6.140625" style="31" customWidth="1"/>
    <col min="11525" max="11525" width="12.7109375" style="31" customWidth="1"/>
    <col min="11526" max="11526" width="6.28515625" style="31" customWidth="1"/>
    <col min="11527" max="11527" width="21.28515625" style="31" customWidth="1"/>
    <col min="11528" max="11528" width="14.7109375" style="31" customWidth="1"/>
    <col min="11529" max="11529" width="5.28515625" style="31" customWidth="1"/>
    <col min="11530" max="11530" width="17" style="31" customWidth="1"/>
    <col min="11531" max="11531" width="9.7109375" style="31" customWidth="1"/>
    <col min="11532" max="11532" width="6.28515625" style="31" customWidth="1"/>
    <col min="11533" max="11533" width="11.140625" style="31" customWidth="1"/>
    <col min="11534" max="11534" width="5" style="31" customWidth="1"/>
    <col min="11535" max="11535" width="8.140625" style="31" customWidth="1"/>
    <col min="11536" max="11536" width="6.5703125" style="31" customWidth="1"/>
    <col min="11537" max="11779" width="9.140625" style="31"/>
    <col min="11780" max="11780" width="6.140625" style="31" customWidth="1"/>
    <col min="11781" max="11781" width="12.7109375" style="31" customWidth="1"/>
    <col min="11782" max="11782" width="6.28515625" style="31" customWidth="1"/>
    <col min="11783" max="11783" width="21.28515625" style="31" customWidth="1"/>
    <col min="11784" max="11784" width="14.7109375" style="31" customWidth="1"/>
    <col min="11785" max="11785" width="5.28515625" style="31" customWidth="1"/>
    <col min="11786" max="11786" width="17" style="31" customWidth="1"/>
    <col min="11787" max="11787" width="9.7109375" style="31" customWidth="1"/>
    <col min="11788" max="11788" width="6.28515625" style="31" customWidth="1"/>
    <col min="11789" max="11789" width="11.140625" style="31" customWidth="1"/>
    <col min="11790" max="11790" width="5" style="31" customWidth="1"/>
    <col min="11791" max="11791" width="8.140625" style="31" customWidth="1"/>
    <col min="11792" max="11792" width="6.5703125" style="31" customWidth="1"/>
    <col min="11793" max="12035" width="9.140625" style="31"/>
    <col min="12036" max="12036" width="6.140625" style="31" customWidth="1"/>
    <col min="12037" max="12037" width="12.7109375" style="31" customWidth="1"/>
    <col min="12038" max="12038" width="6.28515625" style="31" customWidth="1"/>
    <col min="12039" max="12039" width="21.28515625" style="31" customWidth="1"/>
    <col min="12040" max="12040" width="14.7109375" style="31" customWidth="1"/>
    <col min="12041" max="12041" width="5.28515625" style="31" customWidth="1"/>
    <col min="12042" max="12042" width="17" style="31" customWidth="1"/>
    <col min="12043" max="12043" width="9.7109375" style="31" customWidth="1"/>
    <col min="12044" max="12044" width="6.28515625" style="31" customWidth="1"/>
    <col min="12045" max="12045" width="11.140625" style="31" customWidth="1"/>
    <col min="12046" max="12046" width="5" style="31" customWidth="1"/>
    <col min="12047" max="12047" width="8.140625" style="31" customWidth="1"/>
    <col min="12048" max="12048" width="6.5703125" style="31" customWidth="1"/>
    <col min="12049" max="12291" width="9.140625" style="31"/>
    <col min="12292" max="12292" width="6.140625" style="31" customWidth="1"/>
    <col min="12293" max="12293" width="12.7109375" style="31" customWidth="1"/>
    <col min="12294" max="12294" width="6.28515625" style="31" customWidth="1"/>
    <col min="12295" max="12295" width="21.28515625" style="31" customWidth="1"/>
    <col min="12296" max="12296" width="14.7109375" style="31" customWidth="1"/>
    <col min="12297" max="12297" width="5.28515625" style="31" customWidth="1"/>
    <col min="12298" max="12298" width="17" style="31" customWidth="1"/>
    <col min="12299" max="12299" width="9.7109375" style="31" customWidth="1"/>
    <col min="12300" max="12300" width="6.28515625" style="31" customWidth="1"/>
    <col min="12301" max="12301" width="11.140625" style="31" customWidth="1"/>
    <col min="12302" max="12302" width="5" style="31" customWidth="1"/>
    <col min="12303" max="12303" width="8.140625" style="31" customWidth="1"/>
    <col min="12304" max="12304" width="6.5703125" style="31" customWidth="1"/>
    <col min="12305" max="12547" width="9.140625" style="31"/>
    <col min="12548" max="12548" width="6.140625" style="31" customWidth="1"/>
    <col min="12549" max="12549" width="12.7109375" style="31" customWidth="1"/>
    <col min="12550" max="12550" width="6.28515625" style="31" customWidth="1"/>
    <col min="12551" max="12551" width="21.28515625" style="31" customWidth="1"/>
    <col min="12552" max="12552" width="14.7109375" style="31" customWidth="1"/>
    <col min="12553" max="12553" width="5.28515625" style="31" customWidth="1"/>
    <col min="12554" max="12554" width="17" style="31" customWidth="1"/>
    <col min="12555" max="12555" width="9.7109375" style="31" customWidth="1"/>
    <col min="12556" max="12556" width="6.28515625" style="31" customWidth="1"/>
    <col min="12557" max="12557" width="11.140625" style="31" customWidth="1"/>
    <col min="12558" max="12558" width="5" style="31" customWidth="1"/>
    <col min="12559" max="12559" width="8.140625" style="31" customWidth="1"/>
    <col min="12560" max="12560" width="6.5703125" style="31" customWidth="1"/>
    <col min="12561" max="12803" width="9.140625" style="31"/>
    <col min="12804" max="12804" width="6.140625" style="31" customWidth="1"/>
    <col min="12805" max="12805" width="12.7109375" style="31" customWidth="1"/>
    <col min="12806" max="12806" width="6.28515625" style="31" customWidth="1"/>
    <col min="12807" max="12807" width="21.28515625" style="31" customWidth="1"/>
    <col min="12808" max="12808" width="14.7109375" style="31" customWidth="1"/>
    <col min="12809" max="12809" width="5.28515625" style="31" customWidth="1"/>
    <col min="12810" max="12810" width="17" style="31" customWidth="1"/>
    <col min="12811" max="12811" width="9.7109375" style="31" customWidth="1"/>
    <col min="12812" max="12812" width="6.28515625" style="31" customWidth="1"/>
    <col min="12813" max="12813" width="11.140625" style="31" customWidth="1"/>
    <col min="12814" max="12814" width="5" style="31" customWidth="1"/>
    <col min="12815" max="12815" width="8.140625" style="31" customWidth="1"/>
    <col min="12816" max="12816" width="6.5703125" style="31" customWidth="1"/>
    <col min="12817" max="13059" width="9.140625" style="31"/>
    <col min="13060" max="13060" width="6.140625" style="31" customWidth="1"/>
    <col min="13061" max="13061" width="12.7109375" style="31" customWidth="1"/>
    <col min="13062" max="13062" width="6.28515625" style="31" customWidth="1"/>
    <col min="13063" max="13063" width="21.28515625" style="31" customWidth="1"/>
    <col min="13064" max="13064" width="14.7109375" style="31" customWidth="1"/>
    <col min="13065" max="13065" width="5.28515625" style="31" customWidth="1"/>
    <col min="13066" max="13066" width="17" style="31" customWidth="1"/>
    <col min="13067" max="13067" width="9.7109375" style="31" customWidth="1"/>
    <col min="13068" max="13068" width="6.28515625" style="31" customWidth="1"/>
    <col min="13069" max="13069" width="11.140625" style="31" customWidth="1"/>
    <col min="13070" max="13070" width="5" style="31" customWidth="1"/>
    <col min="13071" max="13071" width="8.140625" style="31" customWidth="1"/>
    <col min="13072" max="13072" width="6.5703125" style="31" customWidth="1"/>
    <col min="13073" max="13315" width="9.140625" style="31"/>
    <col min="13316" max="13316" width="6.140625" style="31" customWidth="1"/>
    <col min="13317" max="13317" width="12.7109375" style="31" customWidth="1"/>
    <col min="13318" max="13318" width="6.28515625" style="31" customWidth="1"/>
    <col min="13319" max="13319" width="21.28515625" style="31" customWidth="1"/>
    <col min="13320" max="13320" width="14.7109375" style="31" customWidth="1"/>
    <col min="13321" max="13321" width="5.28515625" style="31" customWidth="1"/>
    <col min="13322" max="13322" width="17" style="31" customWidth="1"/>
    <col min="13323" max="13323" width="9.7109375" style="31" customWidth="1"/>
    <col min="13324" max="13324" width="6.28515625" style="31" customWidth="1"/>
    <col min="13325" max="13325" width="11.140625" style="31" customWidth="1"/>
    <col min="13326" max="13326" width="5" style="31" customWidth="1"/>
    <col min="13327" max="13327" width="8.140625" style="31" customWidth="1"/>
    <col min="13328" max="13328" width="6.5703125" style="31" customWidth="1"/>
    <col min="13329" max="13571" width="9.140625" style="31"/>
    <col min="13572" max="13572" width="6.140625" style="31" customWidth="1"/>
    <col min="13573" max="13573" width="12.7109375" style="31" customWidth="1"/>
    <col min="13574" max="13574" width="6.28515625" style="31" customWidth="1"/>
    <col min="13575" max="13575" width="21.28515625" style="31" customWidth="1"/>
    <col min="13576" max="13576" width="14.7109375" style="31" customWidth="1"/>
    <col min="13577" max="13577" width="5.28515625" style="31" customWidth="1"/>
    <col min="13578" max="13578" width="17" style="31" customWidth="1"/>
    <col min="13579" max="13579" width="9.7109375" style="31" customWidth="1"/>
    <col min="13580" max="13580" width="6.28515625" style="31" customWidth="1"/>
    <col min="13581" max="13581" width="11.140625" style="31" customWidth="1"/>
    <col min="13582" max="13582" width="5" style="31" customWidth="1"/>
    <col min="13583" max="13583" width="8.140625" style="31" customWidth="1"/>
    <col min="13584" max="13584" width="6.5703125" style="31" customWidth="1"/>
    <col min="13585" max="13827" width="9.140625" style="31"/>
    <col min="13828" max="13828" width="6.140625" style="31" customWidth="1"/>
    <col min="13829" max="13829" width="12.7109375" style="31" customWidth="1"/>
    <col min="13830" max="13830" width="6.28515625" style="31" customWidth="1"/>
    <col min="13831" max="13831" width="21.28515625" style="31" customWidth="1"/>
    <col min="13832" max="13832" width="14.7109375" style="31" customWidth="1"/>
    <col min="13833" max="13833" width="5.28515625" style="31" customWidth="1"/>
    <col min="13834" max="13834" width="17" style="31" customWidth="1"/>
    <col min="13835" max="13835" width="9.7109375" style="31" customWidth="1"/>
    <col min="13836" max="13836" width="6.28515625" style="31" customWidth="1"/>
    <col min="13837" max="13837" width="11.140625" style="31" customWidth="1"/>
    <col min="13838" max="13838" width="5" style="31" customWidth="1"/>
    <col min="13839" max="13839" width="8.140625" style="31" customWidth="1"/>
    <col min="13840" max="13840" width="6.5703125" style="31" customWidth="1"/>
    <col min="13841" max="14083" width="9.140625" style="31"/>
    <col min="14084" max="14084" width="6.140625" style="31" customWidth="1"/>
    <col min="14085" max="14085" width="12.7109375" style="31" customWidth="1"/>
    <col min="14086" max="14086" width="6.28515625" style="31" customWidth="1"/>
    <col min="14087" max="14087" width="21.28515625" style="31" customWidth="1"/>
    <col min="14088" max="14088" width="14.7109375" style="31" customWidth="1"/>
    <col min="14089" max="14089" width="5.28515625" style="31" customWidth="1"/>
    <col min="14090" max="14090" width="17" style="31" customWidth="1"/>
    <col min="14091" max="14091" width="9.7109375" style="31" customWidth="1"/>
    <col min="14092" max="14092" width="6.28515625" style="31" customWidth="1"/>
    <col min="14093" max="14093" width="11.140625" style="31" customWidth="1"/>
    <col min="14094" max="14094" width="5" style="31" customWidth="1"/>
    <col min="14095" max="14095" width="8.140625" style="31" customWidth="1"/>
    <col min="14096" max="14096" width="6.5703125" style="31" customWidth="1"/>
    <col min="14097" max="14339" width="9.140625" style="31"/>
    <col min="14340" max="14340" width="6.140625" style="31" customWidth="1"/>
    <col min="14341" max="14341" width="12.7109375" style="31" customWidth="1"/>
    <col min="14342" max="14342" width="6.28515625" style="31" customWidth="1"/>
    <col min="14343" max="14343" width="21.28515625" style="31" customWidth="1"/>
    <col min="14344" max="14344" width="14.7109375" style="31" customWidth="1"/>
    <col min="14345" max="14345" width="5.28515625" style="31" customWidth="1"/>
    <col min="14346" max="14346" width="17" style="31" customWidth="1"/>
    <col min="14347" max="14347" width="9.7109375" style="31" customWidth="1"/>
    <col min="14348" max="14348" width="6.28515625" style="31" customWidth="1"/>
    <col min="14349" max="14349" width="11.140625" style="31" customWidth="1"/>
    <col min="14350" max="14350" width="5" style="31" customWidth="1"/>
    <col min="14351" max="14351" width="8.140625" style="31" customWidth="1"/>
    <col min="14352" max="14352" width="6.5703125" style="31" customWidth="1"/>
    <col min="14353" max="14595" width="9.140625" style="31"/>
    <col min="14596" max="14596" width="6.140625" style="31" customWidth="1"/>
    <col min="14597" max="14597" width="12.7109375" style="31" customWidth="1"/>
    <col min="14598" max="14598" width="6.28515625" style="31" customWidth="1"/>
    <col min="14599" max="14599" width="21.28515625" style="31" customWidth="1"/>
    <col min="14600" max="14600" width="14.7109375" style="31" customWidth="1"/>
    <col min="14601" max="14601" width="5.28515625" style="31" customWidth="1"/>
    <col min="14602" max="14602" width="17" style="31" customWidth="1"/>
    <col min="14603" max="14603" width="9.7109375" style="31" customWidth="1"/>
    <col min="14604" max="14604" width="6.28515625" style="31" customWidth="1"/>
    <col min="14605" max="14605" width="11.140625" style="31" customWidth="1"/>
    <col min="14606" max="14606" width="5" style="31" customWidth="1"/>
    <col min="14607" max="14607" width="8.140625" style="31" customWidth="1"/>
    <col min="14608" max="14608" width="6.5703125" style="31" customWidth="1"/>
    <col min="14609" max="14851" width="9.140625" style="31"/>
    <col min="14852" max="14852" width="6.140625" style="31" customWidth="1"/>
    <col min="14853" max="14853" width="12.7109375" style="31" customWidth="1"/>
    <col min="14854" max="14854" width="6.28515625" style="31" customWidth="1"/>
    <col min="14855" max="14855" width="21.28515625" style="31" customWidth="1"/>
    <col min="14856" max="14856" width="14.7109375" style="31" customWidth="1"/>
    <col min="14857" max="14857" width="5.28515625" style="31" customWidth="1"/>
    <col min="14858" max="14858" width="17" style="31" customWidth="1"/>
    <col min="14859" max="14859" width="9.7109375" style="31" customWidth="1"/>
    <col min="14860" max="14860" width="6.28515625" style="31" customWidth="1"/>
    <col min="14861" max="14861" width="11.140625" style="31" customWidth="1"/>
    <col min="14862" max="14862" width="5" style="31" customWidth="1"/>
    <col min="14863" max="14863" width="8.140625" style="31" customWidth="1"/>
    <col min="14864" max="14864" width="6.5703125" style="31" customWidth="1"/>
    <col min="14865" max="15107" width="9.140625" style="31"/>
    <col min="15108" max="15108" width="6.140625" style="31" customWidth="1"/>
    <col min="15109" max="15109" width="12.7109375" style="31" customWidth="1"/>
    <col min="15110" max="15110" width="6.28515625" style="31" customWidth="1"/>
    <col min="15111" max="15111" width="21.28515625" style="31" customWidth="1"/>
    <col min="15112" max="15112" width="14.7109375" style="31" customWidth="1"/>
    <col min="15113" max="15113" width="5.28515625" style="31" customWidth="1"/>
    <col min="15114" max="15114" width="17" style="31" customWidth="1"/>
    <col min="15115" max="15115" width="9.7109375" style="31" customWidth="1"/>
    <col min="15116" max="15116" width="6.28515625" style="31" customWidth="1"/>
    <col min="15117" max="15117" width="11.140625" style="31" customWidth="1"/>
    <col min="15118" max="15118" width="5" style="31" customWidth="1"/>
    <col min="15119" max="15119" width="8.140625" style="31" customWidth="1"/>
    <col min="15120" max="15120" width="6.5703125" style="31" customWidth="1"/>
    <col min="15121" max="15363" width="9.140625" style="31"/>
    <col min="15364" max="15364" width="6.140625" style="31" customWidth="1"/>
    <col min="15365" max="15365" width="12.7109375" style="31" customWidth="1"/>
    <col min="15366" max="15366" width="6.28515625" style="31" customWidth="1"/>
    <col min="15367" max="15367" width="21.28515625" style="31" customWidth="1"/>
    <col min="15368" max="15368" width="14.7109375" style="31" customWidth="1"/>
    <col min="15369" max="15369" width="5.28515625" style="31" customWidth="1"/>
    <col min="15370" max="15370" width="17" style="31" customWidth="1"/>
    <col min="15371" max="15371" width="9.7109375" style="31" customWidth="1"/>
    <col min="15372" max="15372" width="6.28515625" style="31" customWidth="1"/>
    <col min="15373" max="15373" width="11.140625" style="31" customWidth="1"/>
    <col min="15374" max="15374" width="5" style="31" customWidth="1"/>
    <col min="15375" max="15375" width="8.140625" style="31" customWidth="1"/>
    <col min="15376" max="15376" width="6.5703125" style="31" customWidth="1"/>
    <col min="15377" max="15619" width="9.140625" style="31"/>
    <col min="15620" max="15620" width="6.140625" style="31" customWidth="1"/>
    <col min="15621" max="15621" width="12.7109375" style="31" customWidth="1"/>
    <col min="15622" max="15622" width="6.28515625" style="31" customWidth="1"/>
    <col min="15623" max="15623" width="21.28515625" style="31" customWidth="1"/>
    <col min="15624" max="15624" width="14.7109375" style="31" customWidth="1"/>
    <col min="15625" max="15625" width="5.28515625" style="31" customWidth="1"/>
    <col min="15626" max="15626" width="17" style="31" customWidth="1"/>
    <col min="15627" max="15627" width="9.7109375" style="31" customWidth="1"/>
    <col min="15628" max="15628" width="6.28515625" style="31" customWidth="1"/>
    <col min="15629" max="15629" width="11.140625" style="31" customWidth="1"/>
    <col min="15630" max="15630" width="5" style="31" customWidth="1"/>
    <col min="15631" max="15631" width="8.140625" style="31" customWidth="1"/>
    <col min="15632" max="15632" width="6.5703125" style="31" customWidth="1"/>
    <col min="15633" max="15875" width="9.140625" style="31"/>
    <col min="15876" max="15876" width="6.140625" style="31" customWidth="1"/>
    <col min="15877" max="15877" width="12.7109375" style="31" customWidth="1"/>
    <col min="15878" max="15878" width="6.28515625" style="31" customWidth="1"/>
    <col min="15879" max="15879" width="21.28515625" style="31" customWidth="1"/>
    <col min="15880" max="15880" width="14.7109375" style="31" customWidth="1"/>
    <col min="15881" max="15881" width="5.28515625" style="31" customWidth="1"/>
    <col min="15882" max="15882" width="17" style="31" customWidth="1"/>
    <col min="15883" max="15883" width="9.7109375" style="31" customWidth="1"/>
    <col min="15884" max="15884" width="6.28515625" style="31" customWidth="1"/>
    <col min="15885" max="15885" width="11.140625" style="31" customWidth="1"/>
    <col min="15886" max="15886" width="5" style="31" customWidth="1"/>
    <col min="15887" max="15887" width="8.140625" style="31" customWidth="1"/>
    <col min="15888" max="15888" width="6.5703125" style="31" customWidth="1"/>
    <col min="15889" max="16131" width="9.140625" style="31"/>
    <col min="16132" max="16132" width="6.140625" style="31" customWidth="1"/>
    <col min="16133" max="16133" width="12.7109375" style="31" customWidth="1"/>
    <col min="16134" max="16134" width="6.28515625" style="31" customWidth="1"/>
    <col min="16135" max="16135" width="21.28515625" style="31" customWidth="1"/>
    <col min="16136" max="16136" width="14.7109375" style="31" customWidth="1"/>
    <col min="16137" max="16137" width="5.28515625" style="31" customWidth="1"/>
    <col min="16138" max="16138" width="17" style="31" customWidth="1"/>
    <col min="16139" max="16139" width="9.7109375" style="31" customWidth="1"/>
    <col min="16140" max="16140" width="6.28515625" style="31" customWidth="1"/>
    <col min="16141" max="16141" width="11.140625" style="31" customWidth="1"/>
    <col min="16142" max="16142" width="5" style="31" customWidth="1"/>
    <col min="16143" max="16143" width="8.140625" style="31" customWidth="1"/>
    <col min="16144" max="16144" width="6.5703125" style="31" customWidth="1"/>
    <col min="16145" max="16384" width="9.140625" style="31"/>
  </cols>
  <sheetData>
    <row r="1" spans="1:27" ht="27.75" customHeight="1" x14ac:dyDescent="0.25">
      <c r="A1" s="13" t="s">
        <v>184</v>
      </c>
      <c r="B1" s="13" t="s">
        <v>185</v>
      </c>
      <c r="C1" s="13" t="s">
        <v>186</v>
      </c>
      <c r="D1" s="13" t="s">
        <v>170</v>
      </c>
      <c r="E1" s="13" t="s">
        <v>173</v>
      </c>
      <c r="F1" s="13" t="s">
        <v>171</v>
      </c>
      <c r="G1" s="13" t="s">
        <v>174</v>
      </c>
      <c r="H1" s="13" t="s">
        <v>171</v>
      </c>
      <c r="I1" s="13" t="s">
        <v>175</v>
      </c>
      <c r="J1" s="13" t="s">
        <v>171</v>
      </c>
      <c r="K1" s="13" t="s">
        <v>176</v>
      </c>
      <c r="L1" s="13" t="s">
        <v>171</v>
      </c>
      <c r="M1" s="13" t="s">
        <v>177</v>
      </c>
      <c r="N1" s="13" t="s">
        <v>171</v>
      </c>
      <c r="O1" s="13" t="s">
        <v>178</v>
      </c>
      <c r="P1" s="13" t="s">
        <v>171</v>
      </c>
      <c r="Q1" s="13" t="s">
        <v>179</v>
      </c>
      <c r="R1" s="13" t="s">
        <v>171</v>
      </c>
      <c r="S1" s="13" t="s">
        <v>180</v>
      </c>
      <c r="T1" s="13" t="s">
        <v>171</v>
      </c>
      <c r="U1" s="13" t="s">
        <v>181</v>
      </c>
      <c r="V1" s="13" t="s">
        <v>171</v>
      </c>
      <c r="W1" s="13" t="s">
        <v>182</v>
      </c>
      <c r="X1" s="13" t="s">
        <v>171</v>
      </c>
      <c r="Y1" s="13" t="s">
        <v>183</v>
      </c>
      <c r="Z1" s="13" t="s">
        <v>171</v>
      </c>
      <c r="AA1" s="13" t="s">
        <v>2</v>
      </c>
    </row>
    <row r="2" spans="1:27" ht="10.35" customHeight="1" x14ac:dyDescent="0.25">
      <c r="A2" s="32">
        <v>1</v>
      </c>
      <c r="B2" s="33">
        <v>1</v>
      </c>
      <c r="C2" s="33" t="s">
        <v>187</v>
      </c>
      <c r="D2" s="34">
        <v>3315866.01</v>
      </c>
      <c r="E2" s="34"/>
      <c r="F2" s="34"/>
    </row>
    <row r="3" spans="1:27" ht="10.35" customHeight="1" x14ac:dyDescent="0.25">
      <c r="A3" s="32">
        <v>2</v>
      </c>
      <c r="B3" s="33" t="s">
        <v>188</v>
      </c>
      <c r="C3" s="33" t="s">
        <v>189</v>
      </c>
      <c r="D3" s="34">
        <v>3315866.01</v>
      </c>
      <c r="E3" s="34"/>
      <c r="F3" s="34"/>
    </row>
    <row r="4" spans="1:27" ht="10.35" customHeight="1" x14ac:dyDescent="0.25">
      <c r="A4" s="32">
        <v>3</v>
      </c>
      <c r="B4" s="33" t="s">
        <v>190</v>
      </c>
      <c r="C4" s="33" t="s">
        <v>191</v>
      </c>
      <c r="D4" s="34">
        <v>34290.92</v>
      </c>
      <c r="E4" s="34"/>
      <c r="F4" s="34"/>
    </row>
    <row r="5" spans="1:27" ht="10.35" customHeight="1" x14ac:dyDescent="0.25">
      <c r="A5" s="32">
        <v>7</v>
      </c>
      <c r="B5" s="33" t="s">
        <v>192</v>
      </c>
      <c r="C5" s="33" t="s">
        <v>193</v>
      </c>
      <c r="D5" s="34">
        <v>34290.92</v>
      </c>
      <c r="E5" s="34"/>
      <c r="F5" s="34"/>
    </row>
    <row r="6" spans="1:27" ht="10.35" customHeight="1" x14ac:dyDescent="0.25">
      <c r="A6" s="35">
        <v>8</v>
      </c>
      <c r="B6" s="36" t="s">
        <v>194</v>
      </c>
      <c r="C6" s="36" t="s">
        <v>195</v>
      </c>
      <c r="D6" s="37">
        <v>1830.39</v>
      </c>
      <c r="E6" s="37"/>
      <c r="F6" s="37"/>
    </row>
    <row r="7" spans="1:27" ht="10.35" customHeight="1" x14ac:dyDescent="0.25">
      <c r="A7" s="35">
        <v>9</v>
      </c>
      <c r="B7" s="36" t="s">
        <v>196</v>
      </c>
      <c r="C7" s="36" t="s">
        <v>197</v>
      </c>
      <c r="D7" s="37">
        <v>32460.53</v>
      </c>
      <c r="E7" s="37"/>
      <c r="F7" s="37"/>
    </row>
    <row r="8" spans="1:27" ht="10.35" customHeight="1" x14ac:dyDescent="0.25">
      <c r="A8" s="32">
        <v>12</v>
      </c>
      <c r="B8" s="33" t="s">
        <v>198</v>
      </c>
      <c r="C8" s="33" t="s">
        <v>199</v>
      </c>
      <c r="D8" s="34">
        <v>3359214.69</v>
      </c>
      <c r="E8" s="34"/>
      <c r="F8" s="34"/>
    </row>
    <row r="9" spans="1:27" ht="10.35" customHeight="1" x14ac:dyDescent="0.25">
      <c r="A9" s="32">
        <v>13</v>
      </c>
      <c r="B9" s="33" t="s">
        <v>200</v>
      </c>
      <c r="C9" s="33" t="s">
        <v>201</v>
      </c>
      <c r="D9" s="34">
        <v>3359214.69</v>
      </c>
      <c r="E9" s="34"/>
      <c r="F9" s="34"/>
    </row>
    <row r="10" spans="1:27" ht="10.35" customHeight="1" x14ac:dyDescent="0.25">
      <c r="A10" s="35">
        <v>1000</v>
      </c>
      <c r="B10" s="36" t="s">
        <v>202</v>
      </c>
      <c r="C10" s="36" t="s">
        <v>203</v>
      </c>
      <c r="D10" s="37">
        <v>3359214.69</v>
      </c>
      <c r="E10" s="37"/>
      <c r="F10" s="37"/>
    </row>
    <row r="11" spans="1:27" ht="10.35" customHeight="1" x14ac:dyDescent="0.25">
      <c r="A11" s="32">
        <v>18</v>
      </c>
      <c r="B11" s="33" t="s">
        <v>204</v>
      </c>
      <c r="C11" s="33" t="s">
        <v>205</v>
      </c>
      <c r="D11" s="34">
        <v>130452.97</v>
      </c>
      <c r="E11" s="34"/>
      <c r="F11" s="34"/>
    </row>
    <row r="12" spans="1:27" ht="10.35" customHeight="1" x14ac:dyDescent="0.25">
      <c r="A12" s="32">
        <v>21</v>
      </c>
      <c r="B12" s="33" t="s">
        <v>206</v>
      </c>
      <c r="C12" s="33" t="s">
        <v>207</v>
      </c>
      <c r="D12" s="34">
        <v>84456.09</v>
      </c>
      <c r="E12" s="34"/>
      <c r="F12" s="34"/>
    </row>
    <row r="13" spans="1:27" ht="10.35" customHeight="1" x14ac:dyDescent="0.25">
      <c r="A13" s="35">
        <v>1029</v>
      </c>
      <c r="B13" s="36" t="s">
        <v>208</v>
      </c>
      <c r="C13" s="36" t="s">
        <v>209</v>
      </c>
      <c r="D13" s="37">
        <v>84456.09</v>
      </c>
      <c r="E13" s="37"/>
      <c r="F13" s="37"/>
    </row>
    <row r="14" spans="1:27" ht="10.35" customHeight="1" x14ac:dyDescent="0.25">
      <c r="A14" s="32">
        <v>28</v>
      </c>
      <c r="B14" s="33" t="s">
        <v>210</v>
      </c>
      <c r="C14" s="33" t="s">
        <v>211</v>
      </c>
      <c r="D14" s="34">
        <v>45996.88</v>
      </c>
      <c r="E14" s="34"/>
      <c r="F14" s="34"/>
    </row>
    <row r="15" spans="1:27" ht="10.35" customHeight="1" x14ac:dyDescent="0.25">
      <c r="A15" s="35">
        <v>30</v>
      </c>
      <c r="B15" s="36" t="s">
        <v>212</v>
      </c>
      <c r="C15" s="36" t="s">
        <v>213</v>
      </c>
      <c r="D15" s="37">
        <v>-29758.66</v>
      </c>
      <c r="E15" s="37"/>
      <c r="F15" s="37"/>
    </row>
    <row r="16" spans="1:27" ht="10.35" customHeight="1" x14ac:dyDescent="0.25">
      <c r="A16" s="35">
        <v>40</v>
      </c>
      <c r="B16" s="36" t="s">
        <v>214</v>
      </c>
      <c r="C16" s="36" t="s">
        <v>215</v>
      </c>
      <c r="D16" s="37">
        <v>55151.97</v>
      </c>
      <c r="E16" s="37"/>
      <c r="F16" s="37"/>
    </row>
    <row r="17" spans="1:6" ht="10.35" customHeight="1" x14ac:dyDescent="0.25">
      <c r="A17" s="35">
        <v>41</v>
      </c>
      <c r="B17" s="36" t="s">
        <v>216</v>
      </c>
      <c r="C17" s="36" t="s">
        <v>217</v>
      </c>
      <c r="D17" s="37">
        <v>20603.57</v>
      </c>
      <c r="E17" s="37"/>
      <c r="F17" s="37"/>
    </row>
    <row r="18" spans="1:6" ht="10.35" customHeight="1" x14ac:dyDescent="0.25">
      <c r="A18" s="32">
        <v>53</v>
      </c>
      <c r="B18" s="33" t="s">
        <v>218</v>
      </c>
      <c r="C18" s="33" t="s">
        <v>219</v>
      </c>
      <c r="D18" s="34">
        <v>-208092.57</v>
      </c>
      <c r="E18" s="34"/>
      <c r="F18" s="34"/>
    </row>
    <row r="19" spans="1:6" ht="10.35" customHeight="1" x14ac:dyDescent="0.25">
      <c r="A19" s="32">
        <v>54</v>
      </c>
      <c r="B19" s="33" t="s">
        <v>220</v>
      </c>
      <c r="C19" s="33" t="s">
        <v>221</v>
      </c>
      <c r="D19" s="34">
        <v>-208092.57</v>
      </c>
      <c r="E19" s="34"/>
      <c r="F19" s="34"/>
    </row>
    <row r="20" spans="1:6" ht="10.35" customHeight="1" x14ac:dyDescent="0.25">
      <c r="A20" s="35">
        <v>55</v>
      </c>
      <c r="B20" s="36" t="s">
        <v>222</v>
      </c>
      <c r="C20" s="36" t="s">
        <v>223</v>
      </c>
      <c r="D20" s="37">
        <v>-955963.2</v>
      </c>
      <c r="E20" s="37"/>
      <c r="F20" s="37"/>
    </row>
    <row r="21" spans="1:6" ht="10.35" customHeight="1" x14ac:dyDescent="0.25">
      <c r="A21" s="35">
        <v>56</v>
      </c>
      <c r="B21" s="36" t="s">
        <v>224</v>
      </c>
      <c r="C21" s="36" t="s">
        <v>225</v>
      </c>
      <c r="D21" s="37">
        <v>747870.63</v>
      </c>
      <c r="E21" s="37"/>
      <c r="F21" s="37"/>
    </row>
    <row r="22" spans="1:6" ht="10.35" customHeight="1" x14ac:dyDescent="0.25">
      <c r="A22" s="32">
        <v>149</v>
      </c>
      <c r="B22" s="33">
        <v>2</v>
      </c>
      <c r="C22" s="33" t="s">
        <v>226</v>
      </c>
      <c r="D22" s="34">
        <v>-3203632.39</v>
      </c>
      <c r="E22" s="34"/>
      <c r="F22" s="34"/>
    </row>
    <row r="23" spans="1:6" ht="10.35" customHeight="1" x14ac:dyDescent="0.25">
      <c r="A23" s="32">
        <v>150</v>
      </c>
      <c r="B23" s="33" t="s">
        <v>227</v>
      </c>
      <c r="C23" s="33" t="s">
        <v>228</v>
      </c>
      <c r="D23" s="34">
        <v>-3262314.89</v>
      </c>
      <c r="E23" s="34"/>
      <c r="F23" s="34"/>
    </row>
    <row r="24" spans="1:6" ht="10.35" customHeight="1" x14ac:dyDescent="0.25">
      <c r="A24" s="32">
        <v>164</v>
      </c>
      <c r="B24" s="33" t="s">
        <v>229</v>
      </c>
      <c r="C24" s="33" t="s">
        <v>230</v>
      </c>
      <c r="D24" s="34">
        <v>-3076212.38</v>
      </c>
      <c r="E24" s="34"/>
      <c r="F24" s="34"/>
    </row>
    <row r="25" spans="1:6" ht="10.35" customHeight="1" x14ac:dyDescent="0.25">
      <c r="A25" s="32">
        <v>165</v>
      </c>
      <c r="B25" s="33" t="s">
        <v>231</v>
      </c>
      <c r="C25" s="33" t="s">
        <v>232</v>
      </c>
      <c r="D25" s="34">
        <v>-3076212.38</v>
      </c>
      <c r="E25" s="34"/>
      <c r="F25" s="34"/>
    </row>
    <row r="26" spans="1:6" ht="10.35" customHeight="1" x14ac:dyDescent="0.25">
      <c r="A26" s="35">
        <v>1004</v>
      </c>
      <c r="B26" s="36" t="s">
        <v>233</v>
      </c>
      <c r="C26" s="36" t="s">
        <v>234</v>
      </c>
      <c r="D26" s="37">
        <v>-3076212.38</v>
      </c>
      <c r="E26" s="37"/>
      <c r="F26" s="37"/>
    </row>
    <row r="27" spans="1:6" ht="10.35" customHeight="1" x14ac:dyDescent="0.25">
      <c r="A27" s="32">
        <v>169</v>
      </c>
      <c r="B27" s="33" t="s">
        <v>235</v>
      </c>
      <c r="C27" s="33" t="s">
        <v>236</v>
      </c>
      <c r="D27" s="34">
        <v>-18591.560000000001</v>
      </c>
      <c r="E27" s="34"/>
      <c r="F27" s="34"/>
    </row>
    <row r="28" spans="1:6" ht="10.35" customHeight="1" x14ac:dyDescent="0.25">
      <c r="A28" s="32">
        <v>170</v>
      </c>
      <c r="B28" s="33" t="s">
        <v>237</v>
      </c>
      <c r="C28" s="33" t="s">
        <v>238</v>
      </c>
      <c r="D28" s="34">
        <v>-18591.560000000001</v>
      </c>
      <c r="E28" s="34"/>
      <c r="F28" s="34"/>
    </row>
    <row r="29" spans="1:6" ht="10.35" customHeight="1" x14ac:dyDescent="0.25">
      <c r="A29" s="35">
        <v>172</v>
      </c>
      <c r="B29" s="36" t="s">
        <v>239</v>
      </c>
      <c r="C29" s="36" t="s">
        <v>240</v>
      </c>
      <c r="D29" s="37">
        <v>-18055.650000000001</v>
      </c>
      <c r="E29" s="37"/>
      <c r="F29" s="37"/>
    </row>
    <row r="30" spans="1:6" ht="10.35" customHeight="1" x14ac:dyDescent="0.25">
      <c r="A30" s="35">
        <v>179</v>
      </c>
      <c r="B30" s="36" t="s">
        <v>241</v>
      </c>
      <c r="C30" s="36" t="s">
        <v>242</v>
      </c>
      <c r="D30" s="37">
        <v>0</v>
      </c>
      <c r="E30" s="37"/>
      <c r="F30" s="37"/>
    </row>
    <row r="31" spans="1:6" ht="10.35" customHeight="1" x14ac:dyDescent="0.25">
      <c r="A31" s="35">
        <v>180</v>
      </c>
      <c r="B31" s="36" t="s">
        <v>243</v>
      </c>
      <c r="C31" s="36" t="s">
        <v>244</v>
      </c>
      <c r="D31" s="37">
        <v>0</v>
      </c>
      <c r="E31" s="37"/>
      <c r="F31" s="37"/>
    </row>
    <row r="32" spans="1:6" ht="10.35" customHeight="1" x14ac:dyDescent="0.25">
      <c r="A32" s="35">
        <v>481</v>
      </c>
      <c r="B32" s="36" t="s">
        <v>245</v>
      </c>
      <c r="C32" s="36" t="s">
        <v>246</v>
      </c>
      <c r="D32" s="37">
        <v>-535.91</v>
      </c>
      <c r="E32" s="37"/>
      <c r="F32" s="37"/>
    </row>
    <row r="33" spans="1:6" ht="10.35" customHeight="1" x14ac:dyDescent="0.25">
      <c r="A33" s="32">
        <v>185</v>
      </c>
      <c r="B33" s="33" t="s">
        <v>247</v>
      </c>
      <c r="C33" s="33" t="s">
        <v>248</v>
      </c>
      <c r="D33" s="34">
        <v>-7575.3</v>
      </c>
      <c r="E33" s="34"/>
      <c r="F33" s="34"/>
    </row>
    <row r="34" spans="1:6" ht="10.35" customHeight="1" x14ac:dyDescent="0.25">
      <c r="A34" s="32">
        <v>186</v>
      </c>
      <c r="B34" s="33" t="s">
        <v>249</v>
      </c>
      <c r="C34" s="33" t="s">
        <v>250</v>
      </c>
      <c r="D34" s="34">
        <v>-3067.9</v>
      </c>
      <c r="E34" s="34"/>
      <c r="F34" s="34"/>
    </row>
    <row r="35" spans="1:6" ht="10.35" customHeight="1" x14ac:dyDescent="0.25">
      <c r="A35" s="35">
        <v>187</v>
      </c>
      <c r="B35" s="36" t="s">
        <v>251</v>
      </c>
      <c r="C35" s="36" t="s">
        <v>252</v>
      </c>
      <c r="D35" s="37">
        <v>-4148.46</v>
      </c>
      <c r="E35" s="37"/>
      <c r="F35" s="37"/>
    </row>
    <row r="36" spans="1:6" ht="10.35" customHeight="1" x14ac:dyDescent="0.25">
      <c r="A36" s="35">
        <v>167</v>
      </c>
      <c r="B36" s="36" t="s">
        <v>253</v>
      </c>
      <c r="C36" s="36" t="s">
        <v>254</v>
      </c>
      <c r="D36" s="37">
        <v>1080.56</v>
      </c>
      <c r="E36" s="37"/>
      <c r="F36" s="37"/>
    </row>
    <row r="37" spans="1:6" ht="10.35" customHeight="1" x14ac:dyDescent="0.25">
      <c r="A37" s="32">
        <v>190</v>
      </c>
      <c r="B37" s="33" t="s">
        <v>255</v>
      </c>
      <c r="C37" s="33" t="s">
        <v>256</v>
      </c>
      <c r="D37" s="34">
        <v>-4507.3999999999996</v>
      </c>
      <c r="E37" s="34"/>
      <c r="F37" s="34"/>
    </row>
    <row r="38" spans="1:6" ht="10.35" customHeight="1" x14ac:dyDescent="0.25">
      <c r="A38" s="35">
        <v>191</v>
      </c>
      <c r="B38" s="36" t="s">
        <v>257</v>
      </c>
      <c r="C38" s="36" t="s">
        <v>258</v>
      </c>
      <c r="D38" s="37">
        <v>-3725.75</v>
      </c>
      <c r="E38" s="37"/>
      <c r="F38" s="37"/>
    </row>
    <row r="39" spans="1:6" ht="10.35" customHeight="1" x14ac:dyDescent="0.25">
      <c r="A39" s="35">
        <v>192</v>
      </c>
      <c r="B39" s="36" t="s">
        <v>259</v>
      </c>
      <c r="C39" s="36" t="s">
        <v>260</v>
      </c>
      <c r="D39" s="37">
        <v>-781.65</v>
      </c>
      <c r="E39" s="37"/>
      <c r="F39" s="37"/>
    </row>
    <row r="40" spans="1:6" ht="10.35" customHeight="1" x14ac:dyDescent="0.25">
      <c r="A40" s="32">
        <v>200</v>
      </c>
      <c r="B40" s="33" t="s">
        <v>261</v>
      </c>
      <c r="C40" s="33" t="s">
        <v>262</v>
      </c>
      <c r="D40" s="34">
        <v>-159935.65</v>
      </c>
      <c r="E40" s="34"/>
      <c r="F40" s="34"/>
    </row>
    <row r="41" spans="1:6" ht="10.35" customHeight="1" x14ac:dyDescent="0.25">
      <c r="A41" s="32">
        <v>202</v>
      </c>
      <c r="B41" s="33" t="s">
        <v>263</v>
      </c>
      <c r="C41" s="33" t="s">
        <v>264</v>
      </c>
      <c r="D41" s="34">
        <v>-159935.65</v>
      </c>
      <c r="E41" s="34"/>
      <c r="F41" s="34"/>
    </row>
    <row r="42" spans="1:6" ht="10.35" customHeight="1" x14ac:dyDescent="0.25">
      <c r="A42" s="35">
        <v>1026</v>
      </c>
      <c r="B42" s="36" t="s">
        <v>265</v>
      </c>
      <c r="C42" s="36" t="s">
        <v>266</v>
      </c>
      <c r="D42" s="37">
        <v>-159935.65</v>
      </c>
      <c r="E42" s="37"/>
      <c r="F42" s="37"/>
    </row>
    <row r="43" spans="1:6" ht="10.35" customHeight="1" x14ac:dyDescent="0.25">
      <c r="A43" s="32">
        <v>242</v>
      </c>
      <c r="B43" s="33" t="s">
        <v>267</v>
      </c>
      <c r="C43" s="33" t="s">
        <v>268</v>
      </c>
      <c r="D43" s="34">
        <v>58682.5</v>
      </c>
      <c r="E43" s="34"/>
      <c r="F43" s="34"/>
    </row>
    <row r="44" spans="1:6" ht="10.35" customHeight="1" x14ac:dyDescent="0.25">
      <c r="A44" s="32">
        <v>243</v>
      </c>
      <c r="B44" s="33" t="s">
        <v>269</v>
      </c>
      <c r="C44" s="33" t="s">
        <v>270</v>
      </c>
      <c r="D44" s="34">
        <v>-50000</v>
      </c>
      <c r="E44" s="34"/>
      <c r="F44" s="34"/>
    </row>
    <row r="45" spans="1:6" ht="10.35" customHeight="1" x14ac:dyDescent="0.25">
      <c r="A45" s="32">
        <v>244</v>
      </c>
      <c r="B45" s="33" t="s">
        <v>271</v>
      </c>
      <c r="C45" s="33" t="s">
        <v>272</v>
      </c>
      <c r="D45" s="34">
        <v>-50000</v>
      </c>
      <c r="E45" s="34"/>
      <c r="F45" s="34"/>
    </row>
    <row r="46" spans="1:6" ht="10.35" customHeight="1" x14ac:dyDescent="0.25">
      <c r="A46" s="35">
        <v>245</v>
      </c>
      <c r="B46" s="36" t="s">
        <v>273</v>
      </c>
      <c r="C46" s="36" t="s">
        <v>274</v>
      </c>
      <c r="D46" s="37">
        <v>-50000</v>
      </c>
      <c r="E46" s="37"/>
      <c r="F46" s="37"/>
    </row>
    <row r="47" spans="1:6" ht="10.35" customHeight="1" x14ac:dyDescent="0.25">
      <c r="A47" s="32">
        <v>264</v>
      </c>
      <c r="B47" s="33" t="s">
        <v>275</v>
      </c>
      <c r="C47" s="33" t="s">
        <v>276</v>
      </c>
      <c r="D47" s="34">
        <v>108682.5</v>
      </c>
      <c r="E47" s="34"/>
      <c r="F47" s="34"/>
    </row>
    <row r="48" spans="1:6" ht="10.35" customHeight="1" x14ac:dyDescent="0.25">
      <c r="A48" s="32">
        <v>265</v>
      </c>
      <c r="B48" s="33" t="s">
        <v>277</v>
      </c>
      <c r="C48" s="33" t="s">
        <v>278</v>
      </c>
      <c r="D48" s="34">
        <v>108682.5</v>
      </c>
      <c r="E48" s="34"/>
      <c r="F48" s="34"/>
    </row>
    <row r="49" spans="1:6" ht="10.35" customHeight="1" x14ac:dyDescent="0.25">
      <c r="A49" s="35">
        <v>267</v>
      </c>
      <c r="B49" s="36" t="s">
        <v>279</v>
      </c>
      <c r="C49" s="36" t="s">
        <v>280</v>
      </c>
      <c r="D49" s="37">
        <v>86063.91</v>
      </c>
      <c r="E49" s="37"/>
      <c r="F49" s="37"/>
    </row>
    <row r="50" spans="1:6" ht="10.35" customHeight="1" x14ac:dyDescent="0.25">
      <c r="A50" s="35">
        <v>522</v>
      </c>
      <c r="B50" s="36" t="s">
        <v>281</v>
      </c>
      <c r="C50" s="36" t="s">
        <v>282</v>
      </c>
      <c r="D50" s="37">
        <v>-62779.15</v>
      </c>
      <c r="E50" s="37"/>
      <c r="F50" s="37"/>
    </row>
    <row r="51" spans="1:6" ht="10.35" customHeight="1" x14ac:dyDescent="0.25">
      <c r="A51" s="35">
        <v>523</v>
      </c>
      <c r="B51" s="36" t="s">
        <v>283</v>
      </c>
      <c r="C51" s="36" t="s">
        <v>284</v>
      </c>
      <c r="D51" s="37">
        <v>76492.02</v>
      </c>
      <c r="E51" s="37"/>
      <c r="F51" s="37"/>
    </row>
    <row r="52" spans="1:6" ht="10.35" customHeight="1" x14ac:dyDescent="0.25">
      <c r="A52" s="35">
        <v>563</v>
      </c>
      <c r="B52" s="36" t="s">
        <v>285</v>
      </c>
      <c r="C52" s="36" t="s">
        <v>286</v>
      </c>
      <c r="D52" s="37">
        <v>8905.7199999999993</v>
      </c>
      <c r="E52" s="37"/>
      <c r="F52" s="37"/>
    </row>
    <row r="53" spans="1:6" ht="12.6" customHeight="1" x14ac:dyDescent="0.25">
      <c r="A53" s="38" t="s">
        <v>103</v>
      </c>
      <c r="B53" s="38"/>
      <c r="C53" s="38"/>
    </row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"/>
  <sheetViews>
    <sheetView workbookViewId="0">
      <selection activeCell="C19" sqref="C19"/>
    </sheetView>
  </sheetViews>
  <sheetFormatPr defaultColWidth="14.42578125" defaultRowHeight="15" customHeight="1" x14ac:dyDescent="0.25"/>
  <cols>
    <col min="1" max="1" width="30.140625" customWidth="1"/>
    <col min="2" max="2" width="24.85546875" customWidth="1"/>
    <col min="3" max="26" width="8.7109375" customWidth="1"/>
  </cols>
  <sheetData>
    <row r="1" spans="1:2" x14ac:dyDescent="0.25">
      <c r="A1" s="1" t="s">
        <v>0</v>
      </c>
      <c r="B1" s="2">
        <v>243233.52</v>
      </c>
    </row>
    <row r="2" spans="1:2" x14ac:dyDescent="0.25">
      <c r="A2" s="1" t="s">
        <v>1</v>
      </c>
      <c r="B2" s="2">
        <v>120523.28</v>
      </c>
    </row>
    <row r="3" spans="1:2" x14ac:dyDescent="0.25">
      <c r="A3" s="3" t="s">
        <v>2</v>
      </c>
      <c r="B3" s="2">
        <f>B1-B2</f>
        <v>122710.23999999999</v>
      </c>
    </row>
    <row r="4" spans="1:2" x14ac:dyDescent="0.25">
      <c r="B4" s="4"/>
    </row>
    <row r="5" spans="1:2" x14ac:dyDescent="0.25">
      <c r="A5" s="3" t="s">
        <v>3</v>
      </c>
      <c r="B5" s="2">
        <f>188173.76+59708.5</f>
        <v>247882.26</v>
      </c>
    </row>
    <row r="6" spans="1:2" x14ac:dyDescent="0.25">
      <c r="A6" s="3" t="s">
        <v>4</v>
      </c>
      <c r="B6" s="2">
        <f>133872.33+27788.2</f>
        <v>161660.53</v>
      </c>
    </row>
    <row r="7" spans="1:2" x14ac:dyDescent="0.25">
      <c r="A7" s="3" t="s">
        <v>2</v>
      </c>
      <c r="B7" s="2">
        <f>B5-B6</f>
        <v>86221.73000000001</v>
      </c>
    </row>
    <row r="8" spans="1:2" x14ac:dyDescent="0.25">
      <c r="B8" s="4"/>
    </row>
    <row r="9" spans="1:2" x14ac:dyDescent="0.25">
      <c r="B9" s="4"/>
    </row>
    <row r="10" spans="1:2" x14ac:dyDescent="0.25">
      <c r="A10" s="3" t="s">
        <v>5</v>
      </c>
      <c r="B10" s="2">
        <v>770.1</v>
      </c>
    </row>
    <row r="11" spans="1:2" x14ac:dyDescent="0.25">
      <c r="A11" s="3" t="s">
        <v>288</v>
      </c>
      <c r="B11" s="2">
        <v>1799.44</v>
      </c>
    </row>
    <row r="12" spans="1:2" x14ac:dyDescent="0.25">
      <c r="A12" s="3" t="s">
        <v>6</v>
      </c>
      <c r="B12" s="2">
        <v>8056.94</v>
      </c>
    </row>
    <row r="13" spans="1:2" x14ac:dyDescent="0.25">
      <c r="A13" s="3" t="s">
        <v>7</v>
      </c>
      <c r="B13" s="2">
        <v>14924.02</v>
      </c>
    </row>
    <row r="14" spans="1:2" x14ac:dyDescent="0.25">
      <c r="A14" s="3" t="s">
        <v>2</v>
      </c>
      <c r="B14" s="2">
        <f>(B10+B11)-(B12+B13)</f>
        <v>-20411.419999999998</v>
      </c>
    </row>
    <row r="16" spans="1:2" x14ac:dyDescent="0.25">
      <c r="A16" s="3" t="s">
        <v>8</v>
      </c>
      <c r="B16" s="2">
        <f>B7+B14</f>
        <v>65810.310000000012</v>
      </c>
    </row>
    <row r="17" spans="1:5" x14ac:dyDescent="0.25">
      <c r="B17" s="4"/>
    </row>
    <row r="18" spans="1:5" x14ac:dyDescent="0.25">
      <c r="A18" s="5" t="s">
        <v>9</v>
      </c>
      <c r="B18" s="4">
        <f>B1-B5+(B6-B2)</f>
        <v>36488.50999999998</v>
      </c>
    </row>
    <row r="23" spans="1:5" ht="15.75" customHeight="1" x14ac:dyDescent="0.25">
      <c r="A23" s="48"/>
      <c r="B23" s="48"/>
    </row>
    <row r="24" spans="1:5" ht="15.75" customHeight="1" x14ac:dyDescent="0.25">
      <c r="A24" s="48"/>
      <c r="B24" s="48"/>
    </row>
    <row r="25" spans="1:5" ht="15.75" customHeight="1" x14ac:dyDescent="0.25">
      <c r="A25" s="48"/>
      <c r="B25" s="48"/>
      <c r="C25" s="48"/>
      <c r="D25" s="48"/>
      <c r="E25" s="48"/>
    </row>
    <row r="26" spans="1:5" ht="15.75" customHeight="1" x14ac:dyDescent="0.25">
      <c r="A26" s="48"/>
      <c r="B26" s="48"/>
      <c r="C26" s="48"/>
      <c r="D26" s="48"/>
      <c r="E26" s="48"/>
    </row>
    <row r="27" spans="1:5" ht="15.75" customHeight="1" x14ac:dyDescent="0.25">
      <c r="A27" s="48"/>
      <c r="B27" s="48"/>
      <c r="C27" s="48"/>
      <c r="D27" s="48"/>
      <c r="E27" s="48"/>
    </row>
    <row r="28" spans="1:5" ht="15.75" customHeight="1" x14ac:dyDescent="0.25">
      <c r="A28" s="48"/>
      <c r="B28" s="48"/>
      <c r="C28" s="48"/>
      <c r="D28" s="48"/>
      <c r="E28" s="48"/>
    </row>
    <row r="29" spans="1:5" ht="15.75" customHeight="1" x14ac:dyDescent="0.25">
      <c r="A29" s="48"/>
      <c r="B29" s="48"/>
      <c r="C29" s="48"/>
      <c r="D29" s="48"/>
      <c r="E29" s="48"/>
    </row>
    <row r="30" spans="1:5" ht="15.75" customHeight="1" x14ac:dyDescent="0.25">
      <c r="A30" s="48"/>
      <c r="B30" s="48"/>
      <c r="C30" s="48"/>
      <c r="D30" s="48"/>
      <c r="E30" s="48"/>
    </row>
    <row r="31" spans="1:5" ht="15.75" customHeight="1" x14ac:dyDescent="0.25">
      <c r="A31" s="48"/>
      <c r="B31" s="48"/>
      <c r="C31" s="48"/>
      <c r="D31" s="48"/>
      <c r="E31" s="48"/>
    </row>
    <row r="32" spans="1:5" ht="15.75" customHeight="1" x14ac:dyDescent="0.25">
      <c r="A32" s="48"/>
      <c r="B32" s="48"/>
      <c r="C32" s="48"/>
      <c r="D32" s="48"/>
      <c r="E32" s="48"/>
    </row>
    <row r="33" spans="1:5" ht="15.75" customHeight="1" x14ac:dyDescent="0.25">
      <c r="A33" s="48"/>
      <c r="B33" s="48"/>
      <c r="C33" s="48"/>
      <c r="D33" s="48"/>
      <c r="E33" s="48"/>
    </row>
    <row r="34" spans="1:5" ht="15.75" customHeight="1" x14ac:dyDescent="0.25"/>
    <row r="35" spans="1:5" ht="15.75" customHeight="1" x14ac:dyDescent="0.25"/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43D1-6611-4C31-8516-FD73071194FD}">
  <dimension ref="A1:H19"/>
  <sheetViews>
    <sheetView workbookViewId="0">
      <selection activeCell="G4" sqref="G4"/>
    </sheetView>
  </sheetViews>
  <sheetFormatPr defaultRowHeight="15" x14ac:dyDescent="0.25"/>
  <cols>
    <col min="1" max="1" width="9.140625" style="31"/>
    <col min="2" max="2" width="21" style="31" customWidth="1"/>
    <col min="3" max="3" width="20.5703125" style="31" customWidth="1"/>
    <col min="4" max="4" width="20.85546875" style="31" customWidth="1"/>
    <col min="5" max="5" width="26.5703125" style="31" bestFit="1" customWidth="1"/>
    <col min="6" max="6" width="17.7109375" style="31" customWidth="1"/>
    <col min="7" max="7" width="10.140625" style="31" bestFit="1" customWidth="1"/>
    <col min="8" max="8" width="15.85546875" style="31" bestFit="1" customWidth="1"/>
    <col min="9" max="16384" width="9.140625" style="31"/>
  </cols>
  <sheetData>
    <row r="1" spans="1:8" x14ac:dyDescent="0.25">
      <c r="B1" s="31" t="s">
        <v>17</v>
      </c>
    </row>
    <row r="2" spans="1:8" x14ac:dyDescent="0.25">
      <c r="A2" s="39"/>
      <c r="B2" s="39" t="s">
        <v>10</v>
      </c>
      <c r="C2" s="39" t="s">
        <v>11</v>
      </c>
      <c r="D2" s="39" t="s">
        <v>12</v>
      </c>
      <c r="E2" s="39" t="s">
        <v>13</v>
      </c>
      <c r="F2" s="39" t="s">
        <v>14</v>
      </c>
      <c r="G2" s="39" t="s">
        <v>15</v>
      </c>
      <c r="H2" s="39" t="s">
        <v>16</v>
      </c>
    </row>
    <row r="3" spans="1:8" x14ac:dyDescent="0.25">
      <c r="A3" s="39" t="s">
        <v>20</v>
      </c>
      <c r="B3" s="42">
        <v>1896206.51</v>
      </c>
      <c r="C3" s="42">
        <v>1967972.67</v>
      </c>
      <c r="D3" s="42">
        <v>1699752.12</v>
      </c>
      <c r="E3" s="42"/>
      <c r="F3" s="42">
        <v>1669752.12</v>
      </c>
      <c r="G3" s="41">
        <v>1.6500000000000001E-2</v>
      </c>
      <c r="H3" s="42">
        <f>F3*G3</f>
        <v>27550.909980000004</v>
      </c>
    </row>
    <row r="4" spans="1:8" x14ac:dyDescent="0.25">
      <c r="A4" s="39" t="s">
        <v>23</v>
      </c>
      <c r="B4" s="42">
        <v>1896206.51</v>
      </c>
      <c r="C4" s="42">
        <v>1967972.67</v>
      </c>
      <c r="D4" s="42">
        <v>1669752.12</v>
      </c>
      <c r="E4" s="42"/>
      <c r="F4" s="42">
        <v>1669752.12</v>
      </c>
      <c r="G4" s="41">
        <v>7.5999999999999998E-2</v>
      </c>
      <c r="H4" s="42">
        <f>F4*G4</f>
        <v>126901.16112</v>
      </c>
    </row>
    <row r="5" spans="1:8" x14ac:dyDescent="0.25">
      <c r="B5" s="43" t="s">
        <v>18</v>
      </c>
    </row>
    <row r="6" spans="1:8" x14ac:dyDescent="0.25">
      <c r="A6" s="39"/>
      <c r="B6" s="39" t="s">
        <v>10</v>
      </c>
      <c r="C6" s="39" t="s">
        <v>11</v>
      </c>
      <c r="D6" s="39" t="s">
        <v>12</v>
      </c>
      <c r="E6" s="39" t="s">
        <v>13</v>
      </c>
      <c r="F6" s="39" t="s">
        <v>14</v>
      </c>
      <c r="G6" s="39" t="s">
        <v>15</v>
      </c>
      <c r="H6" s="39" t="s">
        <v>16</v>
      </c>
    </row>
    <row r="7" spans="1:8" x14ac:dyDescent="0.25">
      <c r="A7" s="39" t="s">
        <v>20</v>
      </c>
      <c r="B7" s="42">
        <v>1533657.56</v>
      </c>
      <c r="C7" s="42">
        <v>1533657.56</v>
      </c>
      <c r="D7" s="42">
        <v>1432059.91</v>
      </c>
      <c r="E7" s="42"/>
      <c r="F7" s="42">
        <v>1432059.91</v>
      </c>
      <c r="G7" s="41">
        <v>1.6500000000000001E-2</v>
      </c>
      <c r="H7" s="42">
        <f>F7*G7</f>
        <v>23628.988515000001</v>
      </c>
    </row>
    <row r="8" spans="1:8" x14ac:dyDescent="0.25">
      <c r="A8" s="39" t="s">
        <v>23</v>
      </c>
      <c r="B8" s="42">
        <v>1533657.56</v>
      </c>
      <c r="C8" s="42">
        <v>1533657.56</v>
      </c>
      <c r="D8" s="42">
        <v>1432059.9140000001</v>
      </c>
      <c r="E8" s="42"/>
      <c r="F8" s="42">
        <v>1432059.91</v>
      </c>
      <c r="G8" s="41">
        <v>7.5999999999999998E-2</v>
      </c>
      <c r="H8" s="42">
        <f>F8*G8</f>
        <v>108836.55316</v>
      </c>
    </row>
    <row r="9" spans="1:8" x14ac:dyDescent="0.25">
      <c r="B9" s="31" t="s">
        <v>19</v>
      </c>
    </row>
    <row r="11" spans="1:8" x14ac:dyDescent="0.25">
      <c r="B11" s="40" t="s">
        <v>287</v>
      </c>
      <c r="C11" s="40" t="s">
        <v>17</v>
      </c>
      <c r="D11" s="40" t="s">
        <v>18</v>
      </c>
      <c r="E11" s="40" t="s">
        <v>21</v>
      </c>
      <c r="F11" s="40" t="s">
        <v>22</v>
      </c>
    </row>
    <row r="12" spans="1:8" x14ac:dyDescent="0.25">
      <c r="B12" s="40"/>
      <c r="C12" s="40"/>
      <c r="D12" s="40"/>
      <c r="E12" s="40"/>
      <c r="F12" s="40"/>
    </row>
    <row r="13" spans="1:8" x14ac:dyDescent="0.25">
      <c r="B13" s="44" t="s">
        <v>23</v>
      </c>
      <c r="C13" s="45">
        <f>H4</f>
        <v>126901.16112</v>
      </c>
      <c r="D13" s="45">
        <f>H8</f>
        <v>108836.55316</v>
      </c>
      <c r="E13" s="42">
        <v>378138.57</v>
      </c>
      <c r="F13" s="46">
        <f>(C13-D13)-E13</f>
        <v>-360073.96204000001</v>
      </c>
    </row>
    <row r="14" spans="1:8" x14ac:dyDescent="0.25">
      <c r="B14" s="44" t="s">
        <v>20</v>
      </c>
      <c r="C14" s="45">
        <f>H3</f>
        <v>27550.909980000004</v>
      </c>
      <c r="D14" s="45">
        <f>H7</f>
        <v>23628.988515000001</v>
      </c>
      <c r="E14" s="42">
        <v>87442.05</v>
      </c>
      <c r="F14" s="46">
        <f>(C14-D14)-E14</f>
        <v>-83520.128534999996</v>
      </c>
    </row>
    <row r="19" spans="5:5" x14ac:dyDescent="0.25">
      <c r="E19" s="4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C718-9947-4CD0-906B-56DC21BCC42F}">
  <dimension ref="A1:J55"/>
  <sheetViews>
    <sheetView topLeftCell="A14" workbookViewId="0">
      <selection activeCell="C49" sqref="C49"/>
    </sheetView>
  </sheetViews>
  <sheetFormatPr defaultRowHeight="15" x14ac:dyDescent="0.25"/>
  <cols>
    <col min="1" max="1" width="48.85546875" customWidth="1"/>
    <col min="2" max="2" width="15.140625" customWidth="1"/>
    <col min="3" max="3" width="13.5703125" customWidth="1"/>
    <col min="4" max="4" width="13.42578125" customWidth="1"/>
    <col min="5" max="5" width="10.5703125" customWidth="1"/>
    <col min="6" max="6" width="13" customWidth="1"/>
    <col min="7" max="7" width="12.28515625" customWidth="1"/>
    <col min="8" max="8" width="9.140625" customWidth="1"/>
    <col min="9" max="9" width="5.42578125" customWidth="1"/>
    <col min="10" max="10" width="9.42578125" customWidth="1"/>
    <col min="247" max="247" width="4.5703125" customWidth="1"/>
    <col min="248" max="248" width="6.42578125" customWidth="1"/>
    <col min="249" max="249" width="2.7109375" customWidth="1"/>
    <col min="250" max="250" width="6.28515625" customWidth="1"/>
    <col min="251" max="251" width="6.5703125" customWidth="1"/>
    <col min="252" max="252" width="28.5703125" customWidth="1"/>
    <col min="253" max="253" width="3.28515625" customWidth="1"/>
    <col min="254" max="254" width="1.5703125" customWidth="1"/>
    <col min="255" max="255" width="15.140625" customWidth="1"/>
    <col min="256" max="256" width="1.5703125" customWidth="1"/>
    <col min="257" max="257" width="13.5703125" customWidth="1"/>
    <col min="258" max="258" width="1.5703125" customWidth="1"/>
    <col min="259" max="259" width="4.7109375" customWidth="1"/>
    <col min="260" max="260" width="1.42578125" customWidth="1"/>
    <col min="261" max="261" width="3.28515625" customWidth="1"/>
    <col min="262" max="262" width="2" customWidth="1"/>
    <col min="263" max="263" width="5.5703125" customWidth="1"/>
    <col min="264" max="264" width="1.7109375" customWidth="1"/>
    <col min="265" max="265" width="1.5703125" customWidth="1"/>
    <col min="266" max="266" width="8.5703125" customWidth="1"/>
    <col min="503" max="503" width="4.5703125" customWidth="1"/>
    <col min="504" max="504" width="6.42578125" customWidth="1"/>
    <col min="505" max="505" width="2.7109375" customWidth="1"/>
    <col min="506" max="506" width="6.28515625" customWidth="1"/>
    <col min="507" max="507" width="6.5703125" customWidth="1"/>
    <col min="508" max="508" width="28.5703125" customWidth="1"/>
    <col min="509" max="509" width="3.28515625" customWidth="1"/>
    <col min="510" max="510" width="1.5703125" customWidth="1"/>
    <col min="511" max="511" width="15.140625" customWidth="1"/>
    <col min="512" max="512" width="1.5703125" customWidth="1"/>
    <col min="513" max="513" width="13.5703125" customWidth="1"/>
    <col min="514" max="514" width="1.5703125" customWidth="1"/>
    <col min="515" max="515" width="4.7109375" customWidth="1"/>
    <col min="516" max="516" width="1.42578125" customWidth="1"/>
    <col min="517" max="517" width="3.28515625" customWidth="1"/>
    <col min="518" max="518" width="2" customWidth="1"/>
    <col min="519" max="519" width="5.5703125" customWidth="1"/>
    <col min="520" max="520" width="1.7109375" customWidth="1"/>
    <col min="521" max="521" width="1.5703125" customWidth="1"/>
    <col min="522" max="522" width="8.5703125" customWidth="1"/>
    <col min="759" max="759" width="4.5703125" customWidth="1"/>
    <col min="760" max="760" width="6.42578125" customWidth="1"/>
    <col min="761" max="761" width="2.7109375" customWidth="1"/>
    <col min="762" max="762" width="6.28515625" customWidth="1"/>
    <col min="763" max="763" width="6.5703125" customWidth="1"/>
    <col min="764" max="764" width="28.5703125" customWidth="1"/>
    <col min="765" max="765" width="3.28515625" customWidth="1"/>
    <col min="766" max="766" width="1.5703125" customWidth="1"/>
    <col min="767" max="767" width="15.140625" customWidth="1"/>
    <col min="768" max="768" width="1.5703125" customWidth="1"/>
    <col min="769" max="769" width="13.5703125" customWidth="1"/>
    <col min="770" max="770" width="1.5703125" customWidth="1"/>
    <col min="771" max="771" width="4.7109375" customWidth="1"/>
    <col min="772" max="772" width="1.42578125" customWidth="1"/>
    <col min="773" max="773" width="3.28515625" customWidth="1"/>
    <col min="774" max="774" width="2" customWidth="1"/>
    <col min="775" max="775" width="5.5703125" customWidth="1"/>
    <col min="776" max="776" width="1.7109375" customWidth="1"/>
    <col min="777" max="777" width="1.5703125" customWidth="1"/>
    <col min="778" max="778" width="8.5703125" customWidth="1"/>
    <col min="1015" max="1015" width="4.5703125" customWidth="1"/>
    <col min="1016" max="1016" width="6.42578125" customWidth="1"/>
    <col min="1017" max="1017" width="2.7109375" customWidth="1"/>
    <col min="1018" max="1018" width="6.28515625" customWidth="1"/>
    <col min="1019" max="1019" width="6.5703125" customWidth="1"/>
    <col min="1020" max="1020" width="28.5703125" customWidth="1"/>
    <col min="1021" max="1021" width="3.28515625" customWidth="1"/>
    <col min="1022" max="1022" width="1.5703125" customWidth="1"/>
    <col min="1023" max="1023" width="15.140625" customWidth="1"/>
    <col min="1024" max="1024" width="1.5703125" customWidth="1"/>
    <col min="1025" max="1025" width="13.5703125" customWidth="1"/>
    <col min="1026" max="1026" width="1.5703125" customWidth="1"/>
    <col min="1027" max="1027" width="4.7109375" customWidth="1"/>
    <col min="1028" max="1028" width="1.42578125" customWidth="1"/>
    <col min="1029" max="1029" width="3.28515625" customWidth="1"/>
    <col min="1030" max="1030" width="2" customWidth="1"/>
    <col min="1031" max="1031" width="5.5703125" customWidth="1"/>
    <col min="1032" max="1032" width="1.7109375" customWidth="1"/>
    <col min="1033" max="1033" width="1.5703125" customWidth="1"/>
    <col min="1034" max="1034" width="8.5703125" customWidth="1"/>
    <col min="1271" max="1271" width="4.5703125" customWidth="1"/>
    <col min="1272" max="1272" width="6.42578125" customWidth="1"/>
    <col min="1273" max="1273" width="2.7109375" customWidth="1"/>
    <col min="1274" max="1274" width="6.28515625" customWidth="1"/>
    <col min="1275" max="1275" width="6.5703125" customWidth="1"/>
    <col min="1276" max="1276" width="28.5703125" customWidth="1"/>
    <col min="1277" max="1277" width="3.28515625" customWidth="1"/>
    <col min="1278" max="1278" width="1.5703125" customWidth="1"/>
    <col min="1279" max="1279" width="15.140625" customWidth="1"/>
    <col min="1280" max="1280" width="1.5703125" customWidth="1"/>
    <col min="1281" max="1281" width="13.5703125" customWidth="1"/>
    <col min="1282" max="1282" width="1.5703125" customWidth="1"/>
    <col min="1283" max="1283" width="4.7109375" customWidth="1"/>
    <col min="1284" max="1284" width="1.42578125" customWidth="1"/>
    <col min="1285" max="1285" width="3.28515625" customWidth="1"/>
    <col min="1286" max="1286" width="2" customWidth="1"/>
    <col min="1287" max="1287" width="5.5703125" customWidth="1"/>
    <col min="1288" max="1288" width="1.7109375" customWidth="1"/>
    <col min="1289" max="1289" width="1.5703125" customWidth="1"/>
    <col min="1290" max="1290" width="8.5703125" customWidth="1"/>
    <col min="1527" max="1527" width="4.5703125" customWidth="1"/>
    <col min="1528" max="1528" width="6.42578125" customWidth="1"/>
    <col min="1529" max="1529" width="2.7109375" customWidth="1"/>
    <col min="1530" max="1530" width="6.28515625" customWidth="1"/>
    <col min="1531" max="1531" width="6.5703125" customWidth="1"/>
    <col min="1532" max="1532" width="28.5703125" customWidth="1"/>
    <col min="1533" max="1533" width="3.28515625" customWidth="1"/>
    <col min="1534" max="1534" width="1.5703125" customWidth="1"/>
    <col min="1535" max="1535" width="15.140625" customWidth="1"/>
    <col min="1536" max="1536" width="1.5703125" customWidth="1"/>
    <col min="1537" max="1537" width="13.5703125" customWidth="1"/>
    <col min="1538" max="1538" width="1.5703125" customWidth="1"/>
    <col min="1539" max="1539" width="4.7109375" customWidth="1"/>
    <col min="1540" max="1540" width="1.42578125" customWidth="1"/>
    <col min="1541" max="1541" width="3.28515625" customWidth="1"/>
    <col min="1542" max="1542" width="2" customWidth="1"/>
    <col min="1543" max="1543" width="5.5703125" customWidth="1"/>
    <col min="1544" max="1544" width="1.7109375" customWidth="1"/>
    <col min="1545" max="1545" width="1.5703125" customWidth="1"/>
    <col min="1546" max="1546" width="8.5703125" customWidth="1"/>
    <col min="1783" max="1783" width="4.5703125" customWidth="1"/>
    <col min="1784" max="1784" width="6.42578125" customWidth="1"/>
    <col min="1785" max="1785" width="2.7109375" customWidth="1"/>
    <col min="1786" max="1786" width="6.28515625" customWidth="1"/>
    <col min="1787" max="1787" width="6.5703125" customWidth="1"/>
    <col min="1788" max="1788" width="28.5703125" customWidth="1"/>
    <col min="1789" max="1789" width="3.28515625" customWidth="1"/>
    <col min="1790" max="1790" width="1.5703125" customWidth="1"/>
    <col min="1791" max="1791" width="15.140625" customWidth="1"/>
    <col min="1792" max="1792" width="1.5703125" customWidth="1"/>
    <col min="1793" max="1793" width="13.5703125" customWidth="1"/>
    <col min="1794" max="1794" width="1.5703125" customWidth="1"/>
    <col min="1795" max="1795" width="4.7109375" customWidth="1"/>
    <col min="1796" max="1796" width="1.42578125" customWidth="1"/>
    <col min="1797" max="1797" width="3.28515625" customWidth="1"/>
    <col min="1798" max="1798" width="2" customWidth="1"/>
    <col min="1799" max="1799" width="5.5703125" customWidth="1"/>
    <col min="1800" max="1800" width="1.7109375" customWidth="1"/>
    <col min="1801" max="1801" width="1.5703125" customWidth="1"/>
    <col min="1802" max="1802" width="8.5703125" customWidth="1"/>
    <col min="2039" max="2039" width="4.5703125" customWidth="1"/>
    <col min="2040" max="2040" width="6.42578125" customWidth="1"/>
    <col min="2041" max="2041" width="2.7109375" customWidth="1"/>
    <col min="2042" max="2042" width="6.28515625" customWidth="1"/>
    <col min="2043" max="2043" width="6.5703125" customWidth="1"/>
    <col min="2044" max="2044" width="28.5703125" customWidth="1"/>
    <col min="2045" max="2045" width="3.28515625" customWidth="1"/>
    <col min="2046" max="2046" width="1.5703125" customWidth="1"/>
    <col min="2047" max="2047" width="15.140625" customWidth="1"/>
    <col min="2048" max="2048" width="1.5703125" customWidth="1"/>
    <col min="2049" max="2049" width="13.5703125" customWidth="1"/>
    <col min="2050" max="2050" width="1.5703125" customWidth="1"/>
    <col min="2051" max="2051" width="4.7109375" customWidth="1"/>
    <col min="2052" max="2052" width="1.42578125" customWidth="1"/>
    <col min="2053" max="2053" width="3.28515625" customWidth="1"/>
    <col min="2054" max="2054" width="2" customWidth="1"/>
    <col min="2055" max="2055" width="5.5703125" customWidth="1"/>
    <col min="2056" max="2056" width="1.7109375" customWidth="1"/>
    <col min="2057" max="2057" width="1.5703125" customWidth="1"/>
    <col min="2058" max="2058" width="8.5703125" customWidth="1"/>
    <col min="2295" max="2295" width="4.5703125" customWidth="1"/>
    <col min="2296" max="2296" width="6.42578125" customWidth="1"/>
    <col min="2297" max="2297" width="2.7109375" customWidth="1"/>
    <col min="2298" max="2298" width="6.28515625" customWidth="1"/>
    <col min="2299" max="2299" width="6.5703125" customWidth="1"/>
    <col min="2300" max="2300" width="28.5703125" customWidth="1"/>
    <col min="2301" max="2301" width="3.28515625" customWidth="1"/>
    <col min="2302" max="2302" width="1.5703125" customWidth="1"/>
    <col min="2303" max="2303" width="15.140625" customWidth="1"/>
    <col min="2304" max="2304" width="1.5703125" customWidth="1"/>
    <col min="2305" max="2305" width="13.5703125" customWidth="1"/>
    <col min="2306" max="2306" width="1.5703125" customWidth="1"/>
    <col min="2307" max="2307" width="4.7109375" customWidth="1"/>
    <col min="2308" max="2308" width="1.42578125" customWidth="1"/>
    <col min="2309" max="2309" width="3.28515625" customWidth="1"/>
    <col min="2310" max="2310" width="2" customWidth="1"/>
    <col min="2311" max="2311" width="5.5703125" customWidth="1"/>
    <col min="2312" max="2312" width="1.7109375" customWidth="1"/>
    <col min="2313" max="2313" width="1.5703125" customWidth="1"/>
    <col min="2314" max="2314" width="8.5703125" customWidth="1"/>
    <col min="2551" max="2551" width="4.5703125" customWidth="1"/>
    <col min="2552" max="2552" width="6.42578125" customWidth="1"/>
    <col min="2553" max="2553" width="2.7109375" customWidth="1"/>
    <col min="2554" max="2554" width="6.28515625" customWidth="1"/>
    <col min="2555" max="2555" width="6.5703125" customWidth="1"/>
    <col min="2556" max="2556" width="28.5703125" customWidth="1"/>
    <col min="2557" max="2557" width="3.28515625" customWidth="1"/>
    <col min="2558" max="2558" width="1.5703125" customWidth="1"/>
    <col min="2559" max="2559" width="15.140625" customWidth="1"/>
    <col min="2560" max="2560" width="1.5703125" customWidth="1"/>
    <col min="2561" max="2561" width="13.5703125" customWidth="1"/>
    <col min="2562" max="2562" width="1.5703125" customWidth="1"/>
    <col min="2563" max="2563" width="4.7109375" customWidth="1"/>
    <col min="2564" max="2564" width="1.42578125" customWidth="1"/>
    <col min="2565" max="2565" width="3.28515625" customWidth="1"/>
    <col min="2566" max="2566" width="2" customWidth="1"/>
    <col min="2567" max="2567" width="5.5703125" customWidth="1"/>
    <col min="2568" max="2568" width="1.7109375" customWidth="1"/>
    <col min="2569" max="2569" width="1.5703125" customWidth="1"/>
    <col min="2570" max="2570" width="8.5703125" customWidth="1"/>
    <col min="2807" max="2807" width="4.5703125" customWidth="1"/>
    <col min="2808" max="2808" width="6.42578125" customWidth="1"/>
    <col min="2809" max="2809" width="2.7109375" customWidth="1"/>
    <col min="2810" max="2810" width="6.28515625" customWidth="1"/>
    <col min="2811" max="2811" width="6.5703125" customWidth="1"/>
    <col min="2812" max="2812" width="28.5703125" customWidth="1"/>
    <col min="2813" max="2813" width="3.28515625" customWidth="1"/>
    <col min="2814" max="2814" width="1.5703125" customWidth="1"/>
    <col min="2815" max="2815" width="15.140625" customWidth="1"/>
    <col min="2816" max="2816" width="1.5703125" customWidth="1"/>
    <col min="2817" max="2817" width="13.5703125" customWidth="1"/>
    <col min="2818" max="2818" width="1.5703125" customWidth="1"/>
    <col min="2819" max="2819" width="4.7109375" customWidth="1"/>
    <col min="2820" max="2820" width="1.42578125" customWidth="1"/>
    <col min="2821" max="2821" width="3.28515625" customWidth="1"/>
    <col min="2822" max="2822" width="2" customWidth="1"/>
    <col min="2823" max="2823" width="5.5703125" customWidth="1"/>
    <col min="2824" max="2824" width="1.7109375" customWidth="1"/>
    <col min="2825" max="2825" width="1.5703125" customWidth="1"/>
    <col min="2826" max="2826" width="8.5703125" customWidth="1"/>
    <col min="3063" max="3063" width="4.5703125" customWidth="1"/>
    <col min="3064" max="3064" width="6.42578125" customWidth="1"/>
    <col min="3065" max="3065" width="2.7109375" customWidth="1"/>
    <col min="3066" max="3066" width="6.28515625" customWidth="1"/>
    <col min="3067" max="3067" width="6.5703125" customWidth="1"/>
    <col min="3068" max="3068" width="28.5703125" customWidth="1"/>
    <col min="3069" max="3069" width="3.28515625" customWidth="1"/>
    <col min="3070" max="3070" width="1.5703125" customWidth="1"/>
    <col min="3071" max="3071" width="15.140625" customWidth="1"/>
    <col min="3072" max="3072" width="1.5703125" customWidth="1"/>
    <col min="3073" max="3073" width="13.5703125" customWidth="1"/>
    <col min="3074" max="3074" width="1.5703125" customWidth="1"/>
    <col min="3075" max="3075" width="4.7109375" customWidth="1"/>
    <col min="3076" max="3076" width="1.42578125" customWidth="1"/>
    <col min="3077" max="3077" width="3.28515625" customWidth="1"/>
    <col min="3078" max="3078" width="2" customWidth="1"/>
    <col min="3079" max="3079" width="5.5703125" customWidth="1"/>
    <col min="3080" max="3080" width="1.7109375" customWidth="1"/>
    <col min="3081" max="3081" width="1.5703125" customWidth="1"/>
    <col min="3082" max="3082" width="8.5703125" customWidth="1"/>
    <col min="3319" max="3319" width="4.5703125" customWidth="1"/>
    <col min="3320" max="3320" width="6.42578125" customWidth="1"/>
    <col min="3321" max="3321" width="2.7109375" customWidth="1"/>
    <col min="3322" max="3322" width="6.28515625" customWidth="1"/>
    <col min="3323" max="3323" width="6.5703125" customWidth="1"/>
    <col min="3324" max="3324" width="28.5703125" customWidth="1"/>
    <col min="3325" max="3325" width="3.28515625" customWidth="1"/>
    <col min="3326" max="3326" width="1.5703125" customWidth="1"/>
    <col min="3327" max="3327" width="15.140625" customWidth="1"/>
    <col min="3328" max="3328" width="1.5703125" customWidth="1"/>
    <col min="3329" max="3329" width="13.5703125" customWidth="1"/>
    <col min="3330" max="3330" width="1.5703125" customWidth="1"/>
    <col min="3331" max="3331" width="4.7109375" customWidth="1"/>
    <col min="3332" max="3332" width="1.42578125" customWidth="1"/>
    <col min="3333" max="3333" width="3.28515625" customWidth="1"/>
    <col min="3334" max="3334" width="2" customWidth="1"/>
    <col min="3335" max="3335" width="5.5703125" customWidth="1"/>
    <col min="3336" max="3336" width="1.7109375" customWidth="1"/>
    <col min="3337" max="3337" width="1.5703125" customWidth="1"/>
    <col min="3338" max="3338" width="8.5703125" customWidth="1"/>
    <col min="3575" max="3575" width="4.5703125" customWidth="1"/>
    <col min="3576" max="3576" width="6.42578125" customWidth="1"/>
    <col min="3577" max="3577" width="2.7109375" customWidth="1"/>
    <col min="3578" max="3578" width="6.28515625" customWidth="1"/>
    <col min="3579" max="3579" width="6.5703125" customWidth="1"/>
    <col min="3580" max="3580" width="28.5703125" customWidth="1"/>
    <col min="3581" max="3581" width="3.28515625" customWidth="1"/>
    <col min="3582" max="3582" width="1.5703125" customWidth="1"/>
    <col min="3583" max="3583" width="15.140625" customWidth="1"/>
    <col min="3584" max="3584" width="1.5703125" customWidth="1"/>
    <col min="3585" max="3585" width="13.5703125" customWidth="1"/>
    <col min="3586" max="3586" width="1.5703125" customWidth="1"/>
    <col min="3587" max="3587" width="4.7109375" customWidth="1"/>
    <col min="3588" max="3588" width="1.42578125" customWidth="1"/>
    <col min="3589" max="3589" width="3.28515625" customWidth="1"/>
    <col min="3590" max="3590" width="2" customWidth="1"/>
    <col min="3591" max="3591" width="5.5703125" customWidth="1"/>
    <col min="3592" max="3592" width="1.7109375" customWidth="1"/>
    <col min="3593" max="3593" width="1.5703125" customWidth="1"/>
    <col min="3594" max="3594" width="8.5703125" customWidth="1"/>
    <col min="3831" max="3831" width="4.5703125" customWidth="1"/>
    <col min="3832" max="3832" width="6.42578125" customWidth="1"/>
    <col min="3833" max="3833" width="2.7109375" customWidth="1"/>
    <col min="3834" max="3834" width="6.28515625" customWidth="1"/>
    <col min="3835" max="3835" width="6.5703125" customWidth="1"/>
    <col min="3836" max="3836" width="28.5703125" customWidth="1"/>
    <col min="3837" max="3837" width="3.28515625" customWidth="1"/>
    <col min="3838" max="3838" width="1.5703125" customWidth="1"/>
    <col min="3839" max="3839" width="15.140625" customWidth="1"/>
    <col min="3840" max="3840" width="1.5703125" customWidth="1"/>
    <col min="3841" max="3841" width="13.5703125" customWidth="1"/>
    <col min="3842" max="3842" width="1.5703125" customWidth="1"/>
    <col min="3843" max="3843" width="4.7109375" customWidth="1"/>
    <col min="3844" max="3844" width="1.42578125" customWidth="1"/>
    <col min="3845" max="3845" width="3.28515625" customWidth="1"/>
    <col min="3846" max="3846" width="2" customWidth="1"/>
    <col min="3847" max="3847" width="5.5703125" customWidth="1"/>
    <col min="3848" max="3848" width="1.7109375" customWidth="1"/>
    <col min="3849" max="3849" width="1.5703125" customWidth="1"/>
    <col min="3850" max="3850" width="8.5703125" customWidth="1"/>
    <col min="4087" max="4087" width="4.5703125" customWidth="1"/>
    <col min="4088" max="4088" width="6.42578125" customWidth="1"/>
    <col min="4089" max="4089" width="2.7109375" customWidth="1"/>
    <col min="4090" max="4090" width="6.28515625" customWidth="1"/>
    <col min="4091" max="4091" width="6.5703125" customWidth="1"/>
    <col min="4092" max="4092" width="28.5703125" customWidth="1"/>
    <col min="4093" max="4093" width="3.28515625" customWidth="1"/>
    <col min="4094" max="4094" width="1.5703125" customWidth="1"/>
    <col min="4095" max="4095" width="15.140625" customWidth="1"/>
    <col min="4096" max="4096" width="1.5703125" customWidth="1"/>
    <col min="4097" max="4097" width="13.5703125" customWidth="1"/>
    <col min="4098" max="4098" width="1.5703125" customWidth="1"/>
    <col min="4099" max="4099" width="4.7109375" customWidth="1"/>
    <col min="4100" max="4100" width="1.42578125" customWidth="1"/>
    <col min="4101" max="4101" width="3.28515625" customWidth="1"/>
    <col min="4102" max="4102" width="2" customWidth="1"/>
    <col min="4103" max="4103" width="5.5703125" customWidth="1"/>
    <col min="4104" max="4104" width="1.7109375" customWidth="1"/>
    <col min="4105" max="4105" width="1.5703125" customWidth="1"/>
    <col min="4106" max="4106" width="8.5703125" customWidth="1"/>
    <col min="4343" max="4343" width="4.5703125" customWidth="1"/>
    <col min="4344" max="4344" width="6.42578125" customWidth="1"/>
    <col min="4345" max="4345" width="2.7109375" customWidth="1"/>
    <col min="4346" max="4346" width="6.28515625" customWidth="1"/>
    <col min="4347" max="4347" width="6.5703125" customWidth="1"/>
    <col min="4348" max="4348" width="28.5703125" customWidth="1"/>
    <col min="4349" max="4349" width="3.28515625" customWidth="1"/>
    <col min="4350" max="4350" width="1.5703125" customWidth="1"/>
    <col min="4351" max="4351" width="15.140625" customWidth="1"/>
    <col min="4352" max="4352" width="1.5703125" customWidth="1"/>
    <col min="4353" max="4353" width="13.5703125" customWidth="1"/>
    <col min="4354" max="4354" width="1.5703125" customWidth="1"/>
    <col min="4355" max="4355" width="4.7109375" customWidth="1"/>
    <col min="4356" max="4356" width="1.42578125" customWidth="1"/>
    <col min="4357" max="4357" width="3.28515625" customWidth="1"/>
    <col min="4358" max="4358" width="2" customWidth="1"/>
    <col min="4359" max="4359" width="5.5703125" customWidth="1"/>
    <col min="4360" max="4360" width="1.7109375" customWidth="1"/>
    <col min="4361" max="4361" width="1.5703125" customWidth="1"/>
    <col min="4362" max="4362" width="8.5703125" customWidth="1"/>
    <col min="4599" max="4599" width="4.5703125" customWidth="1"/>
    <col min="4600" max="4600" width="6.42578125" customWidth="1"/>
    <col min="4601" max="4601" width="2.7109375" customWidth="1"/>
    <col min="4602" max="4602" width="6.28515625" customWidth="1"/>
    <col min="4603" max="4603" width="6.5703125" customWidth="1"/>
    <col min="4604" max="4604" width="28.5703125" customWidth="1"/>
    <col min="4605" max="4605" width="3.28515625" customWidth="1"/>
    <col min="4606" max="4606" width="1.5703125" customWidth="1"/>
    <col min="4607" max="4607" width="15.140625" customWidth="1"/>
    <col min="4608" max="4608" width="1.5703125" customWidth="1"/>
    <col min="4609" max="4609" width="13.5703125" customWidth="1"/>
    <col min="4610" max="4610" width="1.5703125" customWidth="1"/>
    <col min="4611" max="4611" width="4.7109375" customWidth="1"/>
    <col min="4612" max="4612" width="1.42578125" customWidth="1"/>
    <col min="4613" max="4613" width="3.28515625" customWidth="1"/>
    <col min="4614" max="4614" width="2" customWidth="1"/>
    <col min="4615" max="4615" width="5.5703125" customWidth="1"/>
    <col min="4616" max="4616" width="1.7109375" customWidth="1"/>
    <col min="4617" max="4617" width="1.5703125" customWidth="1"/>
    <col min="4618" max="4618" width="8.5703125" customWidth="1"/>
    <col min="4855" max="4855" width="4.5703125" customWidth="1"/>
    <col min="4856" max="4856" width="6.42578125" customWidth="1"/>
    <col min="4857" max="4857" width="2.7109375" customWidth="1"/>
    <col min="4858" max="4858" width="6.28515625" customWidth="1"/>
    <col min="4859" max="4859" width="6.5703125" customWidth="1"/>
    <col min="4860" max="4860" width="28.5703125" customWidth="1"/>
    <col min="4861" max="4861" width="3.28515625" customWidth="1"/>
    <col min="4862" max="4862" width="1.5703125" customWidth="1"/>
    <col min="4863" max="4863" width="15.140625" customWidth="1"/>
    <col min="4864" max="4864" width="1.5703125" customWidth="1"/>
    <col min="4865" max="4865" width="13.5703125" customWidth="1"/>
    <col min="4866" max="4866" width="1.5703125" customWidth="1"/>
    <col min="4867" max="4867" width="4.7109375" customWidth="1"/>
    <col min="4868" max="4868" width="1.42578125" customWidth="1"/>
    <col min="4869" max="4869" width="3.28515625" customWidth="1"/>
    <col min="4870" max="4870" width="2" customWidth="1"/>
    <col min="4871" max="4871" width="5.5703125" customWidth="1"/>
    <col min="4872" max="4872" width="1.7109375" customWidth="1"/>
    <col min="4873" max="4873" width="1.5703125" customWidth="1"/>
    <col min="4874" max="4874" width="8.5703125" customWidth="1"/>
    <col min="5111" max="5111" width="4.5703125" customWidth="1"/>
    <col min="5112" max="5112" width="6.42578125" customWidth="1"/>
    <col min="5113" max="5113" width="2.7109375" customWidth="1"/>
    <col min="5114" max="5114" width="6.28515625" customWidth="1"/>
    <col min="5115" max="5115" width="6.5703125" customWidth="1"/>
    <col min="5116" max="5116" width="28.5703125" customWidth="1"/>
    <col min="5117" max="5117" width="3.28515625" customWidth="1"/>
    <col min="5118" max="5118" width="1.5703125" customWidth="1"/>
    <col min="5119" max="5119" width="15.140625" customWidth="1"/>
    <col min="5120" max="5120" width="1.5703125" customWidth="1"/>
    <col min="5121" max="5121" width="13.5703125" customWidth="1"/>
    <col min="5122" max="5122" width="1.5703125" customWidth="1"/>
    <col min="5123" max="5123" width="4.7109375" customWidth="1"/>
    <col min="5124" max="5124" width="1.42578125" customWidth="1"/>
    <col min="5125" max="5125" width="3.28515625" customWidth="1"/>
    <col min="5126" max="5126" width="2" customWidth="1"/>
    <col min="5127" max="5127" width="5.5703125" customWidth="1"/>
    <col min="5128" max="5128" width="1.7109375" customWidth="1"/>
    <col min="5129" max="5129" width="1.5703125" customWidth="1"/>
    <col min="5130" max="5130" width="8.5703125" customWidth="1"/>
    <col min="5367" max="5367" width="4.5703125" customWidth="1"/>
    <col min="5368" max="5368" width="6.42578125" customWidth="1"/>
    <col min="5369" max="5369" width="2.7109375" customWidth="1"/>
    <col min="5370" max="5370" width="6.28515625" customWidth="1"/>
    <col min="5371" max="5371" width="6.5703125" customWidth="1"/>
    <col min="5372" max="5372" width="28.5703125" customWidth="1"/>
    <col min="5373" max="5373" width="3.28515625" customWidth="1"/>
    <col min="5374" max="5374" width="1.5703125" customWidth="1"/>
    <col min="5375" max="5375" width="15.140625" customWidth="1"/>
    <col min="5376" max="5376" width="1.5703125" customWidth="1"/>
    <col min="5377" max="5377" width="13.5703125" customWidth="1"/>
    <col min="5378" max="5378" width="1.5703125" customWidth="1"/>
    <col min="5379" max="5379" width="4.7109375" customWidth="1"/>
    <col min="5380" max="5380" width="1.42578125" customWidth="1"/>
    <col min="5381" max="5381" width="3.28515625" customWidth="1"/>
    <col min="5382" max="5382" width="2" customWidth="1"/>
    <col min="5383" max="5383" width="5.5703125" customWidth="1"/>
    <col min="5384" max="5384" width="1.7109375" customWidth="1"/>
    <col min="5385" max="5385" width="1.5703125" customWidth="1"/>
    <col min="5386" max="5386" width="8.5703125" customWidth="1"/>
    <col min="5623" max="5623" width="4.5703125" customWidth="1"/>
    <col min="5624" max="5624" width="6.42578125" customWidth="1"/>
    <col min="5625" max="5625" width="2.7109375" customWidth="1"/>
    <col min="5626" max="5626" width="6.28515625" customWidth="1"/>
    <col min="5627" max="5627" width="6.5703125" customWidth="1"/>
    <col min="5628" max="5628" width="28.5703125" customWidth="1"/>
    <col min="5629" max="5629" width="3.28515625" customWidth="1"/>
    <col min="5630" max="5630" width="1.5703125" customWidth="1"/>
    <col min="5631" max="5631" width="15.140625" customWidth="1"/>
    <col min="5632" max="5632" width="1.5703125" customWidth="1"/>
    <col min="5633" max="5633" width="13.5703125" customWidth="1"/>
    <col min="5634" max="5634" width="1.5703125" customWidth="1"/>
    <col min="5635" max="5635" width="4.7109375" customWidth="1"/>
    <col min="5636" max="5636" width="1.42578125" customWidth="1"/>
    <col min="5637" max="5637" width="3.28515625" customWidth="1"/>
    <col min="5638" max="5638" width="2" customWidth="1"/>
    <col min="5639" max="5639" width="5.5703125" customWidth="1"/>
    <col min="5640" max="5640" width="1.7109375" customWidth="1"/>
    <col min="5641" max="5641" width="1.5703125" customWidth="1"/>
    <col min="5642" max="5642" width="8.5703125" customWidth="1"/>
    <col min="5879" max="5879" width="4.5703125" customWidth="1"/>
    <col min="5880" max="5880" width="6.42578125" customWidth="1"/>
    <col min="5881" max="5881" width="2.7109375" customWidth="1"/>
    <col min="5882" max="5882" width="6.28515625" customWidth="1"/>
    <col min="5883" max="5883" width="6.5703125" customWidth="1"/>
    <col min="5884" max="5884" width="28.5703125" customWidth="1"/>
    <col min="5885" max="5885" width="3.28515625" customWidth="1"/>
    <col min="5886" max="5886" width="1.5703125" customWidth="1"/>
    <col min="5887" max="5887" width="15.140625" customWidth="1"/>
    <col min="5888" max="5888" width="1.5703125" customWidth="1"/>
    <col min="5889" max="5889" width="13.5703125" customWidth="1"/>
    <col min="5890" max="5890" width="1.5703125" customWidth="1"/>
    <col min="5891" max="5891" width="4.7109375" customWidth="1"/>
    <col min="5892" max="5892" width="1.42578125" customWidth="1"/>
    <col min="5893" max="5893" width="3.28515625" customWidth="1"/>
    <col min="5894" max="5894" width="2" customWidth="1"/>
    <col min="5895" max="5895" width="5.5703125" customWidth="1"/>
    <col min="5896" max="5896" width="1.7109375" customWidth="1"/>
    <col min="5897" max="5897" width="1.5703125" customWidth="1"/>
    <col min="5898" max="5898" width="8.5703125" customWidth="1"/>
    <col min="6135" max="6135" width="4.5703125" customWidth="1"/>
    <col min="6136" max="6136" width="6.42578125" customWidth="1"/>
    <col min="6137" max="6137" width="2.7109375" customWidth="1"/>
    <col min="6138" max="6138" width="6.28515625" customWidth="1"/>
    <col min="6139" max="6139" width="6.5703125" customWidth="1"/>
    <col min="6140" max="6140" width="28.5703125" customWidth="1"/>
    <col min="6141" max="6141" width="3.28515625" customWidth="1"/>
    <col min="6142" max="6142" width="1.5703125" customWidth="1"/>
    <col min="6143" max="6143" width="15.140625" customWidth="1"/>
    <col min="6144" max="6144" width="1.5703125" customWidth="1"/>
    <col min="6145" max="6145" width="13.5703125" customWidth="1"/>
    <col min="6146" max="6146" width="1.5703125" customWidth="1"/>
    <col min="6147" max="6147" width="4.7109375" customWidth="1"/>
    <col min="6148" max="6148" width="1.42578125" customWidth="1"/>
    <col min="6149" max="6149" width="3.28515625" customWidth="1"/>
    <col min="6150" max="6150" width="2" customWidth="1"/>
    <col min="6151" max="6151" width="5.5703125" customWidth="1"/>
    <col min="6152" max="6152" width="1.7109375" customWidth="1"/>
    <col min="6153" max="6153" width="1.5703125" customWidth="1"/>
    <col min="6154" max="6154" width="8.5703125" customWidth="1"/>
    <col min="6391" max="6391" width="4.5703125" customWidth="1"/>
    <col min="6392" max="6392" width="6.42578125" customWidth="1"/>
    <col min="6393" max="6393" width="2.7109375" customWidth="1"/>
    <col min="6394" max="6394" width="6.28515625" customWidth="1"/>
    <col min="6395" max="6395" width="6.5703125" customWidth="1"/>
    <col min="6396" max="6396" width="28.5703125" customWidth="1"/>
    <col min="6397" max="6397" width="3.28515625" customWidth="1"/>
    <col min="6398" max="6398" width="1.5703125" customWidth="1"/>
    <col min="6399" max="6399" width="15.140625" customWidth="1"/>
    <col min="6400" max="6400" width="1.5703125" customWidth="1"/>
    <col min="6401" max="6401" width="13.5703125" customWidth="1"/>
    <col min="6402" max="6402" width="1.5703125" customWidth="1"/>
    <col min="6403" max="6403" width="4.7109375" customWidth="1"/>
    <col min="6404" max="6404" width="1.42578125" customWidth="1"/>
    <col min="6405" max="6405" width="3.28515625" customWidth="1"/>
    <col min="6406" max="6406" width="2" customWidth="1"/>
    <col min="6407" max="6407" width="5.5703125" customWidth="1"/>
    <col min="6408" max="6408" width="1.7109375" customWidth="1"/>
    <col min="6409" max="6409" width="1.5703125" customWidth="1"/>
    <col min="6410" max="6410" width="8.5703125" customWidth="1"/>
    <col min="6647" max="6647" width="4.5703125" customWidth="1"/>
    <col min="6648" max="6648" width="6.42578125" customWidth="1"/>
    <col min="6649" max="6649" width="2.7109375" customWidth="1"/>
    <col min="6650" max="6650" width="6.28515625" customWidth="1"/>
    <col min="6651" max="6651" width="6.5703125" customWidth="1"/>
    <col min="6652" max="6652" width="28.5703125" customWidth="1"/>
    <col min="6653" max="6653" width="3.28515625" customWidth="1"/>
    <col min="6654" max="6654" width="1.5703125" customWidth="1"/>
    <col min="6655" max="6655" width="15.140625" customWidth="1"/>
    <col min="6656" max="6656" width="1.5703125" customWidth="1"/>
    <col min="6657" max="6657" width="13.5703125" customWidth="1"/>
    <col min="6658" max="6658" width="1.5703125" customWidth="1"/>
    <col min="6659" max="6659" width="4.7109375" customWidth="1"/>
    <col min="6660" max="6660" width="1.42578125" customWidth="1"/>
    <col min="6661" max="6661" width="3.28515625" customWidth="1"/>
    <col min="6662" max="6662" width="2" customWidth="1"/>
    <col min="6663" max="6663" width="5.5703125" customWidth="1"/>
    <col min="6664" max="6664" width="1.7109375" customWidth="1"/>
    <col min="6665" max="6665" width="1.5703125" customWidth="1"/>
    <col min="6666" max="6666" width="8.5703125" customWidth="1"/>
    <col min="6903" max="6903" width="4.5703125" customWidth="1"/>
    <col min="6904" max="6904" width="6.42578125" customWidth="1"/>
    <col min="6905" max="6905" width="2.7109375" customWidth="1"/>
    <col min="6906" max="6906" width="6.28515625" customWidth="1"/>
    <col min="6907" max="6907" width="6.5703125" customWidth="1"/>
    <col min="6908" max="6908" width="28.5703125" customWidth="1"/>
    <col min="6909" max="6909" width="3.28515625" customWidth="1"/>
    <col min="6910" max="6910" width="1.5703125" customWidth="1"/>
    <col min="6911" max="6911" width="15.140625" customWidth="1"/>
    <col min="6912" max="6912" width="1.5703125" customWidth="1"/>
    <col min="6913" max="6913" width="13.5703125" customWidth="1"/>
    <col min="6914" max="6914" width="1.5703125" customWidth="1"/>
    <col min="6915" max="6915" width="4.7109375" customWidth="1"/>
    <col min="6916" max="6916" width="1.42578125" customWidth="1"/>
    <col min="6917" max="6917" width="3.28515625" customWidth="1"/>
    <col min="6918" max="6918" width="2" customWidth="1"/>
    <col min="6919" max="6919" width="5.5703125" customWidth="1"/>
    <col min="6920" max="6920" width="1.7109375" customWidth="1"/>
    <col min="6921" max="6921" width="1.5703125" customWidth="1"/>
    <col min="6922" max="6922" width="8.5703125" customWidth="1"/>
    <col min="7159" max="7159" width="4.5703125" customWidth="1"/>
    <col min="7160" max="7160" width="6.42578125" customWidth="1"/>
    <col min="7161" max="7161" width="2.7109375" customWidth="1"/>
    <col min="7162" max="7162" width="6.28515625" customWidth="1"/>
    <col min="7163" max="7163" width="6.5703125" customWidth="1"/>
    <col min="7164" max="7164" width="28.5703125" customWidth="1"/>
    <col min="7165" max="7165" width="3.28515625" customWidth="1"/>
    <col min="7166" max="7166" width="1.5703125" customWidth="1"/>
    <col min="7167" max="7167" width="15.140625" customWidth="1"/>
    <col min="7168" max="7168" width="1.5703125" customWidth="1"/>
    <col min="7169" max="7169" width="13.5703125" customWidth="1"/>
    <col min="7170" max="7170" width="1.5703125" customWidth="1"/>
    <col min="7171" max="7171" width="4.7109375" customWidth="1"/>
    <col min="7172" max="7172" width="1.42578125" customWidth="1"/>
    <col min="7173" max="7173" width="3.28515625" customWidth="1"/>
    <col min="7174" max="7174" width="2" customWidth="1"/>
    <col min="7175" max="7175" width="5.5703125" customWidth="1"/>
    <col min="7176" max="7176" width="1.7109375" customWidth="1"/>
    <col min="7177" max="7177" width="1.5703125" customWidth="1"/>
    <col min="7178" max="7178" width="8.5703125" customWidth="1"/>
    <col min="7415" max="7415" width="4.5703125" customWidth="1"/>
    <col min="7416" max="7416" width="6.42578125" customWidth="1"/>
    <col min="7417" max="7417" width="2.7109375" customWidth="1"/>
    <col min="7418" max="7418" width="6.28515625" customWidth="1"/>
    <col min="7419" max="7419" width="6.5703125" customWidth="1"/>
    <col min="7420" max="7420" width="28.5703125" customWidth="1"/>
    <col min="7421" max="7421" width="3.28515625" customWidth="1"/>
    <col min="7422" max="7422" width="1.5703125" customWidth="1"/>
    <col min="7423" max="7423" width="15.140625" customWidth="1"/>
    <col min="7424" max="7424" width="1.5703125" customWidth="1"/>
    <col min="7425" max="7425" width="13.5703125" customWidth="1"/>
    <col min="7426" max="7426" width="1.5703125" customWidth="1"/>
    <col min="7427" max="7427" width="4.7109375" customWidth="1"/>
    <col min="7428" max="7428" width="1.42578125" customWidth="1"/>
    <col min="7429" max="7429" width="3.28515625" customWidth="1"/>
    <col min="7430" max="7430" width="2" customWidth="1"/>
    <col min="7431" max="7431" width="5.5703125" customWidth="1"/>
    <col min="7432" max="7432" width="1.7109375" customWidth="1"/>
    <col min="7433" max="7433" width="1.5703125" customWidth="1"/>
    <col min="7434" max="7434" width="8.5703125" customWidth="1"/>
    <col min="7671" max="7671" width="4.5703125" customWidth="1"/>
    <col min="7672" max="7672" width="6.42578125" customWidth="1"/>
    <col min="7673" max="7673" width="2.7109375" customWidth="1"/>
    <col min="7674" max="7674" width="6.28515625" customWidth="1"/>
    <col min="7675" max="7675" width="6.5703125" customWidth="1"/>
    <col min="7676" max="7676" width="28.5703125" customWidth="1"/>
    <col min="7677" max="7677" width="3.28515625" customWidth="1"/>
    <col min="7678" max="7678" width="1.5703125" customWidth="1"/>
    <col min="7679" max="7679" width="15.140625" customWidth="1"/>
    <col min="7680" max="7680" width="1.5703125" customWidth="1"/>
    <col min="7681" max="7681" width="13.5703125" customWidth="1"/>
    <col min="7682" max="7682" width="1.5703125" customWidth="1"/>
    <col min="7683" max="7683" width="4.7109375" customWidth="1"/>
    <col min="7684" max="7684" width="1.42578125" customWidth="1"/>
    <col min="7685" max="7685" width="3.28515625" customWidth="1"/>
    <col min="7686" max="7686" width="2" customWidth="1"/>
    <col min="7687" max="7687" width="5.5703125" customWidth="1"/>
    <col min="7688" max="7688" width="1.7109375" customWidth="1"/>
    <col min="7689" max="7689" width="1.5703125" customWidth="1"/>
    <col min="7690" max="7690" width="8.5703125" customWidth="1"/>
    <col min="7927" max="7927" width="4.5703125" customWidth="1"/>
    <col min="7928" max="7928" width="6.42578125" customWidth="1"/>
    <col min="7929" max="7929" width="2.7109375" customWidth="1"/>
    <col min="7930" max="7930" width="6.28515625" customWidth="1"/>
    <col min="7931" max="7931" width="6.5703125" customWidth="1"/>
    <col min="7932" max="7932" width="28.5703125" customWidth="1"/>
    <col min="7933" max="7933" width="3.28515625" customWidth="1"/>
    <col min="7934" max="7934" width="1.5703125" customWidth="1"/>
    <col min="7935" max="7935" width="15.140625" customWidth="1"/>
    <col min="7936" max="7936" width="1.5703125" customWidth="1"/>
    <col min="7937" max="7937" width="13.5703125" customWidth="1"/>
    <col min="7938" max="7938" width="1.5703125" customWidth="1"/>
    <col min="7939" max="7939" width="4.7109375" customWidth="1"/>
    <col min="7940" max="7940" width="1.42578125" customWidth="1"/>
    <col min="7941" max="7941" width="3.28515625" customWidth="1"/>
    <col min="7942" max="7942" width="2" customWidth="1"/>
    <col min="7943" max="7943" width="5.5703125" customWidth="1"/>
    <col min="7944" max="7944" width="1.7109375" customWidth="1"/>
    <col min="7945" max="7945" width="1.5703125" customWidth="1"/>
    <col min="7946" max="7946" width="8.5703125" customWidth="1"/>
    <col min="8183" max="8183" width="4.5703125" customWidth="1"/>
    <col min="8184" max="8184" width="6.42578125" customWidth="1"/>
    <col min="8185" max="8185" width="2.7109375" customWidth="1"/>
    <col min="8186" max="8186" width="6.28515625" customWidth="1"/>
    <col min="8187" max="8187" width="6.5703125" customWidth="1"/>
    <col min="8188" max="8188" width="28.5703125" customWidth="1"/>
    <col min="8189" max="8189" width="3.28515625" customWidth="1"/>
    <col min="8190" max="8190" width="1.5703125" customWidth="1"/>
    <col min="8191" max="8191" width="15.140625" customWidth="1"/>
    <col min="8192" max="8192" width="1.5703125" customWidth="1"/>
    <col min="8193" max="8193" width="13.5703125" customWidth="1"/>
    <col min="8194" max="8194" width="1.5703125" customWidth="1"/>
    <col min="8195" max="8195" width="4.7109375" customWidth="1"/>
    <col min="8196" max="8196" width="1.42578125" customWidth="1"/>
    <col min="8197" max="8197" width="3.28515625" customWidth="1"/>
    <col min="8198" max="8198" width="2" customWidth="1"/>
    <col min="8199" max="8199" width="5.5703125" customWidth="1"/>
    <col min="8200" max="8200" width="1.7109375" customWidth="1"/>
    <col min="8201" max="8201" width="1.5703125" customWidth="1"/>
    <col min="8202" max="8202" width="8.5703125" customWidth="1"/>
    <col min="8439" max="8439" width="4.5703125" customWidth="1"/>
    <col min="8440" max="8440" width="6.42578125" customWidth="1"/>
    <col min="8441" max="8441" width="2.7109375" customWidth="1"/>
    <col min="8442" max="8442" width="6.28515625" customWidth="1"/>
    <col min="8443" max="8443" width="6.5703125" customWidth="1"/>
    <col min="8444" max="8444" width="28.5703125" customWidth="1"/>
    <col min="8445" max="8445" width="3.28515625" customWidth="1"/>
    <col min="8446" max="8446" width="1.5703125" customWidth="1"/>
    <col min="8447" max="8447" width="15.140625" customWidth="1"/>
    <col min="8448" max="8448" width="1.5703125" customWidth="1"/>
    <col min="8449" max="8449" width="13.5703125" customWidth="1"/>
    <col min="8450" max="8450" width="1.5703125" customWidth="1"/>
    <col min="8451" max="8451" width="4.7109375" customWidth="1"/>
    <col min="8452" max="8452" width="1.42578125" customWidth="1"/>
    <col min="8453" max="8453" width="3.28515625" customWidth="1"/>
    <col min="8454" max="8454" width="2" customWidth="1"/>
    <col min="8455" max="8455" width="5.5703125" customWidth="1"/>
    <col min="8456" max="8456" width="1.7109375" customWidth="1"/>
    <col min="8457" max="8457" width="1.5703125" customWidth="1"/>
    <col min="8458" max="8458" width="8.5703125" customWidth="1"/>
    <col min="8695" max="8695" width="4.5703125" customWidth="1"/>
    <col min="8696" max="8696" width="6.42578125" customWidth="1"/>
    <col min="8697" max="8697" width="2.7109375" customWidth="1"/>
    <col min="8698" max="8698" width="6.28515625" customWidth="1"/>
    <col min="8699" max="8699" width="6.5703125" customWidth="1"/>
    <col min="8700" max="8700" width="28.5703125" customWidth="1"/>
    <col min="8701" max="8701" width="3.28515625" customWidth="1"/>
    <col min="8702" max="8702" width="1.5703125" customWidth="1"/>
    <col min="8703" max="8703" width="15.140625" customWidth="1"/>
    <col min="8704" max="8704" width="1.5703125" customWidth="1"/>
    <col min="8705" max="8705" width="13.5703125" customWidth="1"/>
    <col min="8706" max="8706" width="1.5703125" customWidth="1"/>
    <col min="8707" max="8707" width="4.7109375" customWidth="1"/>
    <col min="8708" max="8708" width="1.42578125" customWidth="1"/>
    <col min="8709" max="8709" width="3.28515625" customWidth="1"/>
    <col min="8710" max="8710" width="2" customWidth="1"/>
    <col min="8711" max="8711" width="5.5703125" customWidth="1"/>
    <col min="8712" max="8712" width="1.7109375" customWidth="1"/>
    <col min="8713" max="8713" width="1.5703125" customWidth="1"/>
    <col min="8714" max="8714" width="8.5703125" customWidth="1"/>
    <col min="8951" max="8951" width="4.5703125" customWidth="1"/>
    <col min="8952" max="8952" width="6.42578125" customWidth="1"/>
    <col min="8953" max="8953" width="2.7109375" customWidth="1"/>
    <col min="8954" max="8954" width="6.28515625" customWidth="1"/>
    <col min="8955" max="8955" width="6.5703125" customWidth="1"/>
    <col min="8956" max="8956" width="28.5703125" customWidth="1"/>
    <col min="8957" max="8957" width="3.28515625" customWidth="1"/>
    <col min="8958" max="8958" width="1.5703125" customWidth="1"/>
    <col min="8959" max="8959" width="15.140625" customWidth="1"/>
    <col min="8960" max="8960" width="1.5703125" customWidth="1"/>
    <col min="8961" max="8961" width="13.5703125" customWidth="1"/>
    <col min="8962" max="8962" width="1.5703125" customWidth="1"/>
    <col min="8963" max="8963" width="4.7109375" customWidth="1"/>
    <col min="8964" max="8964" width="1.42578125" customWidth="1"/>
    <col min="8965" max="8965" width="3.28515625" customWidth="1"/>
    <col min="8966" max="8966" width="2" customWidth="1"/>
    <col min="8967" max="8967" width="5.5703125" customWidth="1"/>
    <col min="8968" max="8968" width="1.7109375" customWidth="1"/>
    <col min="8969" max="8969" width="1.5703125" customWidth="1"/>
    <col min="8970" max="8970" width="8.5703125" customWidth="1"/>
    <col min="9207" max="9207" width="4.5703125" customWidth="1"/>
    <col min="9208" max="9208" width="6.42578125" customWidth="1"/>
    <col min="9209" max="9209" width="2.7109375" customWidth="1"/>
    <col min="9210" max="9210" width="6.28515625" customWidth="1"/>
    <col min="9211" max="9211" width="6.5703125" customWidth="1"/>
    <col min="9212" max="9212" width="28.5703125" customWidth="1"/>
    <col min="9213" max="9213" width="3.28515625" customWidth="1"/>
    <col min="9214" max="9214" width="1.5703125" customWidth="1"/>
    <col min="9215" max="9215" width="15.140625" customWidth="1"/>
    <col min="9216" max="9216" width="1.5703125" customWidth="1"/>
    <col min="9217" max="9217" width="13.5703125" customWidth="1"/>
    <col min="9218" max="9218" width="1.5703125" customWidth="1"/>
    <col min="9219" max="9219" width="4.7109375" customWidth="1"/>
    <col min="9220" max="9220" width="1.42578125" customWidth="1"/>
    <col min="9221" max="9221" width="3.28515625" customWidth="1"/>
    <col min="9222" max="9222" width="2" customWidth="1"/>
    <col min="9223" max="9223" width="5.5703125" customWidth="1"/>
    <col min="9224" max="9224" width="1.7109375" customWidth="1"/>
    <col min="9225" max="9225" width="1.5703125" customWidth="1"/>
    <col min="9226" max="9226" width="8.5703125" customWidth="1"/>
    <col min="9463" max="9463" width="4.5703125" customWidth="1"/>
    <col min="9464" max="9464" width="6.42578125" customWidth="1"/>
    <col min="9465" max="9465" width="2.7109375" customWidth="1"/>
    <col min="9466" max="9466" width="6.28515625" customWidth="1"/>
    <col min="9467" max="9467" width="6.5703125" customWidth="1"/>
    <col min="9468" max="9468" width="28.5703125" customWidth="1"/>
    <col min="9469" max="9469" width="3.28515625" customWidth="1"/>
    <col min="9470" max="9470" width="1.5703125" customWidth="1"/>
    <col min="9471" max="9471" width="15.140625" customWidth="1"/>
    <col min="9472" max="9472" width="1.5703125" customWidth="1"/>
    <col min="9473" max="9473" width="13.5703125" customWidth="1"/>
    <col min="9474" max="9474" width="1.5703125" customWidth="1"/>
    <col min="9475" max="9475" width="4.7109375" customWidth="1"/>
    <col min="9476" max="9476" width="1.42578125" customWidth="1"/>
    <col min="9477" max="9477" width="3.28515625" customWidth="1"/>
    <col min="9478" max="9478" width="2" customWidth="1"/>
    <col min="9479" max="9479" width="5.5703125" customWidth="1"/>
    <col min="9480" max="9480" width="1.7109375" customWidth="1"/>
    <col min="9481" max="9481" width="1.5703125" customWidth="1"/>
    <col min="9482" max="9482" width="8.5703125" customWidth="1"/>
    <col min="9719" max="9719" width="4.5703125" customWidth="1"/>
    <col min="9720" max="9720" width="6.42578125" customWidth="1"/>
    <col min="9721" max="9721" width="2.7109375" customWidth="1"/>
    <col min="9722" max="9722" width="6.28515625" customWidth="1"/>
    <col min="9723" max="9723" width="6.5703125" customWidth="1"/>
    <col min="9724" max="9724" width="28.5703125" customWidth="1"/>
    <col min="9725" max="9725" width="3.28515625" customWidth="1"/>
    <col min="9726" max="9726" width="1.5703125" customWidth="1"/>
    <col min="9727" max="9727" width="15.140625" customWidth="1"/>
    <col min="9728" max="9728" width="1.5703125" customWidth="1"/>
    <col min="9729" max="9729" width="13.5703125" customWidth="1"/>
    <col min="9730" max="9730" width="1.5703125" customWidth="1"/>
    <col min="9731" max="9731" width="4.7109375" customWidth="1"/>
    <col min="9732" max="9732" width="1.42578125" customWidth="1"/>
    <col min="9733" max="9733" width="3.28515625" customWidth="1"/>
    <col min="9734" max="9734" width="2" customWidth="1"/>
    <col min="9735" max="9735" width="5.5703125" customWidth="1"/>
    <col min="9736" max="9736" width="1.7109375" customWidth="1"/>
    <col min="9737" max="9737" width="1.5703125" customWidth="1"/>
    <col min="9738" max="9738" width="8.5703125" customWidth="1"/>
    <col min="9975" max="9975" width="4.5703125" customWidth="1"/>
    <col min="9976" max="9976" width="6.42578125" customWidth="1"/>
    <col min="9977" max="9977" width="2.7109375" customWidth="1"/>
    <col min="9978" max="9978" width="6.28515625" customWidth="1"/>
    <col min="9979" max="9979" width="6.5703125" customWidth="1"/>
    <col min="9980" max="9980" width="28.5703125" customWidth="1"/>
    <col min="9981" max="9981" width="3.28515625" customWidth="1"/>
    <col min="9982" max="9982" width="1.5703125" customWidth="1"/>
    <col min="9983" max="9983" width="15.140625" customWidth="1"/>
    <col min="9984" max="9984" width="1.5703125" customWidth="1"/>
    <col min="9985" max="9985" width="13.5703125" customWidth="1"/>
    <col min="9986" max="9986" width="1.5703125" customWidth="1"/>
    <col min="9987" max="9987" width="4.7109375" customWidth="1"/>
    <col min="9988" max="9988" width="1.42578125" customWidth="1"/>
    <col min="9989" max="9989" width="3.28515625" customWidth="1"/>
    <col min="9990" max="9990" width="2" customWidth="1"/>
    <col min="9991" max="9991" width="5.5703125" customWidth="1"/>
    <col min="9992" max="9992" width="1.7109375" customWidth="1"/>
    <col min="9993" max="9993" width="1.5703125" customWidth="1"/>
    <col min="9994" max="9994" width="8.5703125" customWidth="1"/>
    <col min="10231" max="10231" width="4.5703125" customWidth="1"/>
    <col min="10232" max="10232" width="6.42578125" customWidth="1"/>
    <col min="10233" max="10233" width="2.7109375" customWidth="1"/>
    <col min="10234" max="10234" width="6.28515625" customWidth="1"/>
    <col min="10235" max="10235" width="6.5703125" customWidth="1"/>
    <col min="10236" max="10236" width="28.5703125" customWidth="1"/>
    <col min="10237" max="10237" width="3.28515625" customWidth="1"/>
    <col min="10238" max="10238" width="1.5703125" customWidth="1"/>
    <col min="10239" max="10239" width="15.140625" customWidth="1"/>
    <col min="10240" max="10240" width="1.5703125" customWidth="1"/>
    <col min="10241" max="10241" width="13.5703125" customWidth="1"/>
    <col min="10242" max="10242" width="1.5703125" customWidth="1"/>
    <col min="10243" max="10243" width="4.7109375" customWidth="1"/>
    <col min="10244" max="10244" width="1.42578125" customWidth="1"/>
    <col min="10245" max="10245" width="3.28515625" customWidth="1"/>
    <col min="10246" max="10246" width="2" customWidth="1"/>
    <col min="10247" max="10247" width="5.5703125" customWidth="1"/>
    <col min="10248" max="10248" width="1.7109375" customWidth="1"/>
    <col min="10249" max="10249" width="1.5703125" customWidth="1"/>
    <col min="10250" max="10250" width="8.5703125" customWidth="1"/>
    <col min="10487" max="10487" width="4.5703125" customWidth="1"/>
    <col min="10488" max="10488" width="6.42578125" customWidth="1"/>
    <col min="10489" max="10489" width="2.7109375" customWidth="1"/>
    <col min="10490" max="10490" width="6.28515625" customWidth="1"/>
    <col min="10491" max="10491" width="6.5703125" customWidth="1"/>
    <col min="10492" max="10492" width="28.5703125" customWidth="1"/>
    <col min="10493" max="10493" width="3.28515625" customWidth="1"/>
    <col min="10494" max="10494" width="1.5703125" customWidth="1"/>
    <col min="10495" max="10495" width="15.140625" customWidth="1"/>
    <col min="10496" max="10496" width="1.5703125" customWidth="1"/>
    <col min="10497" max="10497" width="13.5703125" customWidth="1"/>
    <col min="10498" max="10498" width="1.5703125" customWidth="1"/>
    <col min="10499" max="10499" width="4.7109375" customWidth="1"/>
    <col min="10500" max="10500" width="1.42578125" customWidth="1"/>
    <col min="10501" max="10501" width="3.28515625" customWidth="1"/>
    <col min="10502" max="10502" width="2" customWidth="1"/>
    <col min="10503" max="10503" width="5.5703125" customWidth="1"/>
    <col min="10504" max="10504" width="1.7109375" customWidth="1"/>
    <col min="10505" max="10505" width="1.5703125" customWidth="1"/>
    <col min="10506" max="10506" width="8.5703125" customWidth="1"/>
    <col min="10743" max="10743" width="4.5703125" customWidth="1"/>
    <col min="10744" max="10744" width="6.42578125" customWidth="1"/>
    <col min="10745" max="10745" width="2.7109375" customWidth="1"/>
    <col min="10746" max="10746" width="6.28515625" customWidth="1"/>
    <col min="10747" max="10747" width="6.5703125" customWidth="1"/>
    <col min="10748" max="10748" width="28.5703125" customWidth="1"/>
    <col min="10749" max="10749" width="3.28515625" customWidth="1"/>
    <col min="10750" max="10750" width="1.5703125" customWidth="1"/>
    <col min="10751" max="10751" width="15.140625" customWidth="1"/>
    <col min="10752" max="10752" width="1.5703125" customWidth="1"/>
    <col min="10753" max="10753" width="13.5703125" customWidth="1"/>
    <col min="10754" max="10754" width="1.5703125" customWidth="1"/>
    <col min="10755" max="10755" width="4.7109375" customWidth="1"/>
    <col min="10756" max="10756" width="1.42578125" customWidth="1"/>
    <col min="10757" max="10757" width="3.28515625" customWidth="1"/>
    <col min="10758" max="10758" width="2" customWidth="1"/>
    <col min="10759" max="10759" width="5.5703125" customWidth="1"/>
    <col min="10760" max="10760" width="1.7109375" customWidth="1"/>
    <col min="10761" max="10761" width="1.5703125" customWidth="1"/>
    <col min="10762" max="10762" width="8.5703125" customWidth="1"/>
    <col min="10999" max="10999" width="4.5703125" customWidth="1"/>
    <col min="11000" max="11000" width="6.42578125" customWidth="1"/>
    <col min="11001" max="11001" width="2.7109375" customWidth="1"/>
    <col min="11002" max="11002" width="6.28515625" customWidth="1"/>
    <col min="11003" max="11003" width="6.5703125" customWidth="1"/>
    <col min="11004" max="11004" width="28.5703125" customWidth="1"/>
    <col min="11005" max="11005" width="3.28515625" customWidth="1"/>
    <col min="11006" max="11006" width="1.5703125" customWidth="1"/>
    <col min="11007" max="11007" width="15.140625" customWidth="1"/>
    <col min="11008" max="11008" width="1.5703125" customWidth="1"/>
    <col min="11009" max="11009" width="13.5703125" customWidth="1"/>
    <col min="11010" max="11010" width="1.5703125" customWidth="1"/>
    <col min="11011" max="11011" width="4.7109375" customWidth="1"/>
    <col min="11012" max="11012" width="1.42578125" customWidth="1"/>
    <col min="11013" max="11013" width="3.28515625" customWidth="1"/>
    <col min="11014" max="11014" width="2" customWidth="1"/>
    <col min="11015" max="11015" width="5.5703125" customWidth="1"/>
    <col min="11016" max="11016" width="1.7109375" customWidth="1"/>
    <col min="11017" max="11017" width="1.5703125" customWidth="1"/>
    <col min="11018" max="11018" width="8.5703125" customWidth="1"/>
    <col min="11255" max="11255" width="4.5703125" customWidth="1"/>
    <col min="11256" max="11256" width="6.42578125" customWidth="1"/>
    <col min="11257" max="11257" width="2.7109375" customWidth="1"/>
    <col min="11258" max="11258" width="6.28515625" customWidth="1"/>
    <col min="11259" max="11259" width="6.5703125" customWidth="1"/>
    <col min="11260" max="11260" width="28.5703125" customWidth="1"/>
    <col min="11261" max="11261" width="3.28515625" customWidth="1"/>
    <col min="11262" max="11262" width="1.5703125" customWidth="1"/>
    <col min="11263" max="11263" width="15.140625" customWidth="1"/>
    <col min="11264" max="11264" width="1.5703125" customWidth="1"/>
    <col min="11265" max="11265" width="13.5703125" customWidth="1"/>
    <col min="11266" max="11266" width="1.5703125" customWidth="1"/>
    <col min="11267" max="11267" width="4.7109375" customWidth="1"/>
    <col min="11268" max="11268" width="1.42578125" customWidth="1"/>
    <col min="11269" max="11269" width="3.28515625" customWidth="1"/>
    <col min="11270" max="11270" width="2" customWidth="1"/>
    <col min="11271" max="11271" width="5.5703125" customWidth="1"/>
    <col min="11272" max="11272" width="1.7109375" customWidth="1"/>
    <col min="11273" max="11273" width="1.5703125" customWidth="1"/>
    <col min="11274" max="11274" width="8.5703125" customWidth="1"/>
    <col min="11511" max="11511" width="4.5703125" customWidth="1"/>
    <col min="11512" max="11512" width="6.42578125" customWidth="1"/>
    <col min="11513" max="11513" width="2.7109375" customWidth="1"/>
    <col min="11514" max="11514" width="6.28515625" customWidth="1"/>
    <col min="11515" max="11515" width="6.5703125" customWidth="1"/>
    <col min="11516" max="11516" width="28.5703125" customWidth="1"/>
    <col min="11517" max="11517" width="3.28515625" customWidth="1"/>
    <col min="11518" max="11518" width="1.5703125" customWidth="1"/>
    <col min="11519" max="11519" width="15.140625" customWidth="1"/>
    <col min="11520" max="11520" width="1.5703125" customWidth="1"/>
    <col min="11521" max="11521" width="13.5703125" customWidth="1"/>
    <col min="11522" max="11522" width="1.5703125" customWidth="1"/>
    <col min="11523" max="11523" width="4.7109375" customWidth="1"/>
    <col min="11524" max="11524" width="1.42578125" customWidth="1"/>
    <col min="11525" max="11525" width="3.28515625" customWidth="1"/>
    <col min="11526" max="11526" width="2" customWidth="1"/>
    <col min="11527" max="11527" width="5.5703125" customWidth="1"/>
    <col min="11528" max="11528" width="1.7109375" customWidth="1"/>
    <col min="11529" max="11529" width="1.5703125" customWidth="1"/>
    <col min="11530" max="11530" width="8.5703125" customWidth="1"/>
    <col min="11767" max="11767" width="4.5703125" customWidth="1"/>
    <col min="11768" max="11768" width="6.42578125" customWidth="1"/>
    <col min="11769" max="11769" width="2.7109375" customWidth="1"/>
    <col min="11770" max="11770" width="6.28515625" customWidth="1"/>
    <col min="11771" max="11771" width="6.5703125" customWidth="1"/>
    <col min="11772" max="11772" width="28.5703125" customWidth="1"/>
    <col min="11773" max="11773" width="3.28515625" customWidth="1"/>
    <col min="11774" max="11774" width="1.5703125" customWidth="1"/>
    <col min="11775" max="11775" width="15.140625" customWidth="1"/>
    <col min="11776" max="11776" width="1.5703125" customWidth="1"/>
    <col min="11777" max="11777" width="13.5703125" customWidth="1"/>
    <col min="11778" max="11778" width="1.5703125" customWidth="1"/>
    <col min="11779" max="11779" width="4.7109375" customWidth="1"/>
    <col min="11780" max="11780" width="1.42578125" customWidth="1"/>
    <col min="11781" max="11781" width="3.28515625" customWidth="1"/>
    <col min="11782" max="11782" width="2" customWidth="1"/>
    <col min="11783" max="11783" width="5.5703125" customWidth="1"/>
    <col min="11784" max="11784" width="1.7109375" customWidth="1"/>
    <col min="11785" max="11785" width="1.5703125" customWidth="1"/>
    <col min="11786" max="11786" width="8.5703125" customWidth="1"/>
    <col min="12023" max="12023" width="4.5703125" customWidth="1"/>
    <col min="12024" max="12024" width="6.42578125" customWidth="1"/>
    <col min="12025" max="12025" width="2.7109375" customWidth="1"/>
    <col min="12026" max="12026" width="6.28515625" customWidth="1"/>
    <col min="12027" max="12027" width="6.5703125" customWidth="1"/>
    <col min="12028" max="12028" width="28.5703125" customWidth="1"/>
    <col min="12029" max="12029" width="3.28515625" customWidth="1"/>
    <col min="12030" max="12030" width="1.5703125" customWidth="1"/>
    <col min="12031" max="12031" width="15.140625" customWidth="1"/>
    <col min="12032" max="12032" width="1.5703125" customWidth="1"/>
    <col min="12033" max="12033" width="13.5703125" customWidth="1"/>
    <col min="12034" max="12034" width="1.5703125" customWidth="1"/>
    <col min="12035" max="12035" width="4.7109375" customWidth="1"/>
    <col min="12036" max="12036" width="1.42578125" customWidth="1"/>
    <col min="12037" max="12037" width="3.28515625" customWidth="1"/>
    <col min="12038" max="12038" width="2" customWidth="1"/>
    <col min="12039" max="12039" width="5.5703125" customWidth="1"/>
    <col min="12040" max="12040" width="1.7109375" customWidth="1"/>
    <col min="12041" max="12041" width="1.5703125" customWidth="1"/>
    <col min="12042" max="12042" width="8.5703125" customWidth="1"/>
    <col min="12279" max="12279" width="4.5703125" customWidth="1"/>
    <col min="12280" max="12280" width="6.42578125" customWidth="1"/>
    <col min="12281" max="12281" width="2.7109375" customWidth="1"/>
    <col min="12282" max="12282" width="6.28515625" customWidth="1"/>
    <col min="12283" max="12283" width="6.5703125" customWidth="1"/>
    <col min="12284" max="12284" width="28.5703125" customWidth="1"/>
    <col min="12285" max="12285" width="3.28515625" customWidth="1"/>
    <col min="12286" max="12286" width="1.5703125" customWidth="1"/>
    <col min="12287" max="12287" width="15.140625" customWidth="1"/>
    <col min="12288" max="12288" width="1.5703125" customWidth="1"/>
    <col min="12289" max="12289" width="13.5703125" customWidth="1"/>
    <col min="12290" max="12290" width="1.5703125" customWidth="1"/>
    <col min="12291" max="12291" width="4.7109375" customWidth="1"/>
    <col min="12292" max="12292" width="1.42578125" customWidth="1"/>
    <col min="12293" max="12293" width="3.28515625" customWidth="1"/>
    <col min="12294" max="12294" width="2" customWidth="1"/>
    <col min="12295" max="12295" width="5.5703125" customWidth="1"/>
    <col min="12296" max="12296" width="1.7109375" customWidth="1"/>
    <col min="12297" max="12297" width="1.5703125" customWidth="1"/>
    <col min="12298" max="12298" width="8.5703125" customWidth="1"/>
    <col min="12535" max="12535" width="4.5703125" customWidth="1"/>
    <col min="12536" max="12536" width="6.42578125" customWidth="1"/>
    <col min="12537" max="12537" width="2.7109375" customWidth="1"/>
    <col min="12538" max="12538" width="6.28515625" customWidth="1"/>
    <col min="12539" max="12539" width="6.5703125" customWidth="1"/>
    <col min="12540" max="12540" width="28.5703125" customWidth="1"/>
    <col min="12541" max="12541" width="3.28515625" customWidth="1"/>
    <col min="12542" max="12542" width="1.5703125" customWidth="1"/>
    <col min="12543" max="12543" width="15.140625" customWidth="1"/>
    <col min="12544" max="12544" width="1.5703125" customWidth="1"/>
    <col min="12545" max="12545" width="13.5703125" customWidth="1"/>
    <col min="12546" max="12546" width="1.5703125" customWidth="1"/>
    <col min="12547" max="12547" width="4.7109375" customWidth="1"/>
    <col min="12548" max="12548" width="1.42578125" customWidth="1"/>
    <col min="12549" max="12549" width="3.28515625" customWidth="1"/>
    <col min="12550" max="12550" width="2" customWidth="1"/>
    <col min="12551" max="12551" width="5.5703125" customWidth="1"/>
    <col min="12552" max="12552" width="1.7109375" customWidth="1"/>
    <col min="12553" max="12553" width="1.5703125" customWidth="1"/>
    <col min="12554" max="12554" width="8.5703125" customWidth="1"/>
    <col min="12791" max="12791" width="4.5703125" customWidth="1"/>
    <col min="12792" max="12792" width="6.42578125" customWidth="1"/>
    <col min="12793" max="12793" width="2.7109375" customWidth="1"/>
    <col min="12794" max="12794" width="6.28515625" customWidth="1"/>
    <col min="12795" max="12795" width="6.5703125" customWidth="1"/>
    <col min="12796" max="12796" width="28.5703125" customWidth="1"/>
    <col min="12797" max="12797" width="3.28515625" customWidth="1"/>
    <col min="12798" max="12798" width="1.5703125" customWidth="1"/>
    <col min="12799" max="12799" width="15.140625" customWidth="1"/>
    <col min="12800" max="12800" width="1.5703125" customWidth="1"/>
    <col min="12801" max="12801" width="13.5703125" customWidth="1"/>
    <col min="12802" max="12802" width="1.5703125" customWidth="1"/>
    <col min="12803" max="12803" width="4.7109375" customWidth="1"/>
    <col min="12804" max="12804" width="1.42578125" customWidth="1"/>
    <col min="12805" max="12805" width="3.28515625" customWidth="1"/>
    <col min="12806" max="12806" width="2" customWidth="1"/>
    <col min="12807" max="12807" width="5.5703125" customWidth="1"/>
    <col min="12808" max="12808" width="1.7109375" customWidth="1"/>
    <col min="12809" max="12809" width="1.5703125" customWidth="1"/>
    <col min="12810" max="12810" width="8.5703125" customWidth="1"/>
    <col min="13047" max="13047" width="4.5703125" customWidth="1"/>
    <col min="13048" max="13048" width="6.42578125" customWidth="1"/>
    <col min="13049" max="13049" width="2.7109375" customWidth="1"/>
    <col min="13050" max="13050" width="6.28515625" customWidth="1"/>
    <col min="13051" max="13051" width="6.5703125" customWidth="1"/>
    <col min="13052" max="13052" width="28.5703125" customWidth="1"/>
    <col min="13053" max="13053" width="3.28515625" customWidth="1"/>
    <col min="13054" max="13054" width="1.5703125" customWidth="1"/>
    <col min="13055" max="13055" width="15.140625" customWidth="1"/>
    <col min="13056" max="13056" width="1.5703125" customWidth="1"/>
    <col min="13057" max="13057" width="13.5703125" customWidth="1"/>
    <col min="13058" max="13058" width="1.5703125" customWidth="1"/>
    <col min="13059" max="13059" width="4.7109375" customWidth="1"/>
    <col min="13060" max="13060" width="1.42578125" customWidth="1"/>
    <col min="13061" max="13061" width="3.28515625" customWidth="1"/>
    <col min="13062" max="13062" width="2" customWidth="1"/>
    <col min="13063" max="13063" width="5.5703125" customWidth="1"/>
    <col min="13064" max="13064" width="1.7109375" customWidth="1"/>
    <col min="13065" max="13065" width="1.5703125" customWidth="1"/>
    <col min="13066" max="13066" width="8.5703125" customWidth="1"/>
    <col min="13303" max="13303" width="4.5703125" customWidth="1"/>
    <col min="13304" max="13304" width="6.42578125" customWidth="1"/>
    <col min="13305" max="13305" width="2.7109375" customWidth="1"/>
    <col min="13306" max="13306" width="6.28515625" customWidth="1"/>
    <col min="13307" max="13307" width="6.5703125" customWidth="1"/>
    <col min="13308" max="13308" width="28.5703125" customWidth="1"/>
    <col min="13309" max="13309" width="3.28515625" customWidth="1"/>
    <col min="13310" max="13310" width="1.5703125" customWidth="1"/>
    <col min="13311" max="13311" width="15.140625" customWidth="1"/>
    <col min="13312" max="13312" width="1.5703125" customWidth="1"/>
    <col min="13313" max="13313" width="13.5703125" customWidth="1"/>
    <col min="13314" max="13314" width="1.5703125" customWidth="1"/>
    <col min="13315" max="13315" width="4.7109375" customWidth="1"/>
    <col min="13316" max="13316" width="1.42578125" customWidth="1"/>
    <col min="13317" max="13317" width="3.28515625" customWidth="1"/>
    <col min="13318" max="13318" width="2" customWidth="1"/>
    <col min="13319" max="13319" width="5.5703125" customWidth="1"/>
    <col min="13320" max="13320" width="1.7109375" customWidth="1"/>
    <col min="13321" max="13321" width="1.5703125" customWidth="1"/>
    <col min="13322" max="13322" width="8.5703125" customWidth="1"/>
    <col min="13559" max="13559" width="4.5703125" customWidth="1"/>
    <col min="13560" max="13560" width="6.42578125" customWidth="1"/>
    <col min="13561" max="13561" width="2.7109375" customWidth="1"/>
    <col min="13562" max="13562" width="6.28515625" customWidth="1"/>
    <col min="13563" max="13563" width="6.5703125" customWidth="1"/>
    <col min="13564" max="13564" width="28.5703125" customWidth="1"/>
    <col min="13565" max="13565" width="3.28515625" customWidth="1"/>
    <col min="13566" max="13566" width="1.5703125" customWidth="1"/>
    <col min="13567" max="13567" width="15.140625" customWidth="1"/>
    <col min="13568" max="13568" width="1.5703125" customWidth="1"/>
    <col min="13569" max="13569" width="13.5703125" customWidth="1"/>
    <col min="13570" max="13570" width="1.5703125" customWidth="1"/>
    <col min="13571" max="13571" width="4.7109375" customWidth="1"/>
    <col min="13572" max="13572" width="1.42578125" customWidth="1"/>
    <col min="13573" max="13573" width="3.28515625" customWidth="1"/>
    <col min="13574" max="13574" width="2" customWidth="1"/>
    <col min="13575" max="13575" width="5.5703125" customWidth="1"/>
    <col min="13576" max="13576" width="1.7109375" customWidth="1"/>
    <col min="13577" max="13577" width="1.5703125" customWidth="1"/>
    <col min="13578" max="13578" width="8.5703125" customWidth="1"/>
    <col min="13815" max="13815" width="4.5703125" customWidth="1"/>
    <col min="13816" max="13816" width="6.42578125" customWidth="1"/>
    <col min="13817" max="13817" width="2.7109375" customWidth="1"/>
    <col min="13818" max="13818" width="6.28515625" customWidth="1"/>
    <col min="13819" max="13819" width="6.5703125" customWidth="1"/>
    <col min="13820" max="13820" width="28.5703125" customWidth="1"/>
    <col min="13821" max="13821" width="3.28515625" customWidth="1"/>
    <col min="13822" max="13822" width="1.5703125" customWidth="1"/>
    <col min="13823" max="13823" width="15.140625" customWidth="1"/>
    <col min="13824" max="13824" width="1.5703125" customWidth="1"/>
    <col min="13825" max="13825" width="13.5703125" customWidth="1"/>
    <col min="13826" max="13826" width="1.5703125" customWidth="1"/>
    <col min="13827" max="13827" width="4.7109375" customWidth="1"/>
    <col min="13828" max="13828" width="1.42578125" customWidth="1"/>
    <col min="13829" max="13829" width="3.28515625" customWidth="1"/>
    <col min="13830" max="13830" width="2" customWidth="1"/>
    <col min="13831" max="13831" width="5.5703125" customWidth="1"/>
    <col min="13832" max="13832" width="1.7109375" customWidth="1"/>
    <col min="13833" max="13833" width="1.5703125" customWidth="1"/>
    <col min="13834" max="13834" width="8.5703125" customWidth="1"/>
    <col min="14071" max="14071" width="4.5703125" customWidth="1"/>
    <col min="14072" max="14072" width="6.42578125" customWidth="1"/>
    <col min="14073" max="14073" width="2.7109375" customWidth="1"/>
    <col min="14074" max="14074" width="6.28515625" customWidth="1"/>
    <col min="14075" max="14075" width="6.5703125" customWidth="1"/>
    <col min="14076" max="14076" width="28.5703125" customWidth="1"/>
    <col min="14077" max="14077" width="3.28515625" customWidth="1"/>
    <col min="14078" max="14078" width="1.5703125" customWidth="1"/>
    <col min="14079" max="14079" width="15.140625" customWidth="1"/>
    <col min="14080" max="14080" width="1.5703125" customWidth="1"/>
    <col min="14081" max="14081" width="13.5703125" customWidth="1"/>
    <col min="14082" max="14082" width="1.5703125" customWidth="1"/>
    <col min="14083" max="14083" width="4.7109375" customWidth="1"/>
    <col min="14084" max="14084" width="1.42578125" customWidth="1"/>
    <col min="14085" max="14085" width="3.28515625" customWidth="1"/>
    <col min="14086" max="14086" width="2" customWidth="1"/>
    <col min="14087" max="14087" width="5.5703125" customWidth="1"/>
    <col min="14088" max="14088" width="1.7109375" customWidth="1"/>
    <col min="14089" max="14089" width="1.5703125" customWidth="1"/>
    <col min="14090" max="14090" width="8.5703125" customWidth="1"/>
    <col min="14327" max="14327" width="4.5703125" customWidth="1"/>
    <col min="14328" max="14328" width="6.42578125" customWidth="1"/>
    <col min="14329" max="14329" width="2.7109375" customWidth="1"/>
    <col min="14330" max="14330" width="6.28515625" customWidth="1"/>
    <col min="14331" max="14331" width="6.5703125" customWidth="1"/>
    <col min="14332" max="14332" width="28.5703125" customWidth="1"/>
    <col min="14333" max="14333" width="3.28515625" customWidth="1"/>
    <col min="14334" max="14334" width="1.5703125" customWidth="1"/>
    <col min="14335" max="14335" width="15.140625" customWidth="1"/>
    <col min="14336" max="14336" width="1.5703125" customWidth="1"/>
    <col min="14337" max="14337" width="13.5703125" customWidth="1"/>
    <col min="14338" max="14338" width="1.5703125" customWidth="1"/>
    <col min="14339" max="14339" width="4.7109375" customWidth="1"/>
    <col min="14340" max="14340" width="1.42578125" customWidth="1"/>
    <col min="14341" max="14341" width="3.28515625" customWidth="1"/>
    <col min="14342" max="14342" width="2" customWidth="1"/>
    <col min="14343" max="14343" width="5.5703125" customWidth="1"/>
    <col min="14344" max="14344" width="1.7109375" customWidth="1"/>
    <col min="14345" max="14345" width="1.5703125" customWidth="1"/>
    <col min="14346" max="14346" width="8.5703125" customWidth="1"/>
    <col min="14583" max="14583" width="4.5703125" customWidth="1"/>
    <col min="14584" max="14584" width="6.42578125" customWidth="1"/>
    <col min="14585" max="14585" width="2.7109375" customWidth="1"/>
    <col min="14586" max="14586" width="6.28515625" customWidth="1"/>
    <col min="14587" max="14587" width="6.5703125" customWidth="1"/>
    <col min="14588" max="14588" width="28.5703125" customWidth="1"/>
    <col min="14589" max="14589" width="3.28515625" customWidth="1"/>
    <col min="14590" max="14590" width="1.5703125" customWidth="1"/>
    <col min="14591" max="14591" width="15.140625" customWidth="1"/>
    <col min="14592" max="14592" width="1.5703125" customWidth="1"/>
    <col min="14593" max="14593" width="13.5703125" customWidth="1"/>
    <col min="14594" max="14594" width="1.5703125" customWidth="1"/>
    <col min="14595" max="14595" width="4.7109375" customWidth="1"/>
    <col min="14596" max="14596" width="1.42578125" customWidth="1"/>
    <col min="14597" max="14597" width="3.28515625" customWidth="1"/>
    <col min="14598" max="14598" width="2" customWidth="1"/>
    <col min="14599" max="14599" width="5.5703125" customWidth="1"/>
    <col min="14600" max="14600" width="1.7109375" customWidth="1"/>
    <col min="14601" max="14601" width="1.5703125" customWidth="1"/>
    <col min="14602" max="14602" width="8.5703125" customWidth="1"/>
    <col min="14839" max="14839" width="4.5703125" customWidth="1"/>
    <col min="14840" max="14840" width="6.42578125" customWidth="1"/>
    <col min="14841" max="14841" width="2.7109375" customWidth="1"/>
    <col min="14842" max="14842" width="6.28515625" customWidth="1"/>
    <col min="14843" max="14843" width="6.5703125" customWidth="1"/>
    <col min="14844" max="14844" width="28.5703125" customWidth="1"/>
    <col min="14845" max="14845" width="3.28515625" customWidth="1"/>
    <col min="14846" max="14846" width="1.5703125" customWidth="1"/>
    <col min="14847" max="14847" width="15.140625" customWidth="1"/>
    <col min="14848" max="14848" width="1.5703125" customWidth="1"/>
    <col min="14849" max="14849" width="13.5703125" customWidth="1"/>
    <col min="14850" max="14850" width="1.5703125" customWidth="1"/>
    <col min="14851" max="14851" width="4.7109375" customWidth="1"/>
    <col min="14852" max="14852" width="1.42578125" customWidth="1"/>
    <col min="14853" max="14853" width="3.28515625" customWidth="1"/>
    <col min="14854" max="14854" width="2" customWidth="1"/>
    <col min="14855" max="14855" width="5.5703125" customWidth="1"/>
    <col min="14856" max="14856" width="1.7109375" customWidth="1"/>
    <col min="14857" max="14857" width="1.5703125" customWidth="1"/>
    <col min="14858" max="14858" width="8.5703125" customWidth="1"/>
    <col min="15095" max="15095" width="4.5703125" customWidth="1"/>
    <col min="15096" max="15096" width="6.42578125" customWidth="1"/>
    <col min="15097" max="15097" width="2.7109375" customWidth="1"/>
    <col min="15098" max="15098" width="6.28515625" customWidth="1"/>
    <col min="15099" max="15099" width="6.5703125" customWidth="1"/>
    <col min="15100" max="15100" width="28.5703125" customWidth="1"/>
    <col min="15101" max="15101" width="3.28515625" customWidth="1"/>
    <col min="15102" max="15102" width="1.5703125" customWidth="1"/>
    <col min="15103" max="15103" width="15.140625" customWidth="1"/>
    <col min="15104" max="15104" width="1.5703125" customWidth="1"/>
    <col min="15105" max="15105" width="13.5703125" customWidth="1"/>
    <col min="15106" max="15106" width="1.5703125" customWidth="1"/>
    <col min="15107" max="15107" width="4.7109375" customWidth="1"/>
    <col min="15108" max="15108" width="1.42578125" customWidth="1"/>
    <col min="15109" max="15109" width="3.28515625" customWidth="1"/>
    <col min="15110" max="15110" width="2" customWidth="1"/>
    <col min="15111" max="15111" width="5.5703125" customWidth="1"/>
    <col min="15112" max="15112" width="1.7109375" customWidth="1"/>
    <col min="15113" max="15113" width="1.5703125" customWidth="1"/>
    <col min="15114" max="15114" width="8.5703125" customWidth="1"/>
    <col min="15351" max="15351" width="4.5703125" customWidth="1"/>
    <col min="15352" max="15352" width="6.42578125" customWidth="1"/>
    <col min="15353" max="15353" width="2.7109375" customWidth="1"/>
    <col min="15354" max="15354" width="6.28515625" customWidth="1"/>
    <col min="15355" max="15355" width="6.5703125" customWidth="1"/>
    <col min="15356" max="15356" width="28.5703125" customWidth="1"/>
    <col min="15357" max="15357" width="3.28515625" customWidth="1"/>
    <col min="15358" max="15358" width="1.5703125" customWidth="1"/>
    <col min="15359" max="15359" width="15.140625" customWidth="1"/>
    <col min="15360" max="15360" width="1.5703125" customWidth="1"/>
    <col min="15361" max="15361" width="13.5703125" customWidth="1"/>
    <col min="15362" max="15362" width="1.5703125" customWidth="1"/>
    <col min="15363" max="15363" width="4.7109375" customWidth="1"/>
    <col min="15364" max="15364" width="1.42578125" customWidth="1"/>
    <col min="15365" max="15365" width="3.28515625" customWidth="1"/>
    <col min="15366" max="15366" width="2" customWidth="1"/>
    <col min="15367" max="15367" width="5.5703125" customWidth="1"/>
    <col min="15368" max="15368" width="1.7109375" customWidth="1"/>
    <col min="15369" max="15369" width="1.5703125" customWidth="1"/>
    <col min="15370" max="15370" width="8.5703125" customWidth="1"/>
    <col min="15607" max="15607" width="4.5703125" customWidth="1"/>
    <col min="15608" max="15608" width="6.42578125" customWidth="1"/>
    <col min="15609" max="15609" width="2.7109375" customWidth="1"/>
    <col min="15610" max="15610" width="6.28515625" customWidth="1"/>
    <col min="15611" max="15611" width="6.5703125" customWidth="1"/>
    <col min="15612" max="15612" width="28.5703125" customWidth="1"/>
    <col min="15613" max="15613" width="3.28515625" customWidth="1"/>
    <col min="15614" max="15614" width="1.5703125" customWidth="1"/>
    <col min="15615" max="15615" width="15.140625" customWidth="1"/>
    <col min="15616" max="15616" width="1.5703125" customWidth="1"/>
    <col min="15617" max="15617" width="13.5703125" customWidth="1"/>
    <col min="15618" max="15618" width="1.5703125" customWidth="1"/>
    <col min="15619" max="15619" width="4.7109375" customWidth="1"/>
    <col min="15620" max="15620" width="1.42578125" customWidth="1"/>
    <col min="15621" max="15621" width="3.28515625" customWidth="1"/>
    <col min="15622" max="15622" width="2" customWidth="1"/>
    <col min="15623" max="15623" width="5.5703125" customWidth="1"/>
    <col min="15624" max="15624" width="1.7109375" customWidth="1"/>
    <col min="15625" max="15625" width="1.5703125" customWidth="1"/>
    <col min="15626" max="15626" width="8.5703125" customWidth="1"/>
    <col min="15863" max="15863" width="4.5703125" customWidth="1"/>
    <col min="15864" max="15864" width="6.42578125" customWidth="1"/>
    <col min="15865" max="15865" width="2.7109375" customWidth="1"/>
    <col min="15866" max="15866" width="6.28515625" customWidth="1"/>
    <col min="15867" max="15867" width="6.5703125" customWidth="1"/>
    <col min="15868" max="15868" width="28.5703125" customWidth="1"/>
    <col min="15869" max="15869" width="3.28515625" customWidth="1"/>
    <col min="15870" max="15870" width="1.5703125" customWidth="1"/>
    <col min="15871" max="15871" width="15.140625" customWidth="1"/>
    <col min="15872" max="15872" width="1.5703125" customWidth="1"/>
    <col min="15873" max="15873" width="13.5703125" customWidth="1"/>
    <col min="15874" max="15874" width="1.5703125" customWidth="1"/>
    <col min="15875" max="15875" width="4.7109375" customWidth="1"/>
    <col min="15876" max="15876" width="1.42578125" customWidth="1"/>
    <col min="15877" max="15877" width="3.28515625" customWidth="1"/>
    <col min="15878" max="15878" width="2" customWidth="1"/>
    <col min="15879" max="15879" width="5.5703125" customWidth="1"/>
    <col min="15880" max="15880" width="1.7109375" customWidth="1"/>
    <col min="15881" max="15881" width="1.5703125" customWidth="1"/>
    <col min="15882" max="15882" width="8.5703125" customWidth="1"/>
    <col min="16119" max="16119" width="4.5703125" customWidth="1"/>
    <col min="16120" max="16120" width="6.42578125" customWidth="1"/>
    <col min="16121" max="16121" width="2.7109375" customWidth="1"/>
    <col min="16122" max="16122" width="6.28515625" customWidth="1"/>
    <col min="16123" max="16123" width="6.5703125" customWidth="1"/>
    <col min="16124" max="16124" width="28.5703125" customWidth="1"/>
    <col min="16125" max="16125" width="3.28515625" customWidth="1"/>
    <col min="16126" max="16126" width="1.5703125" customWidth="1"/>
    <col min="16127" max="16127" width="15.140625" customWidth="1"/>
    <col min="16128" max="16128" width="1.5703125" customWidth="1"/>
    <col min="16129" max="16129" width="13.5703125" customWidth="1"/>
    <col min="16130" max="16130" width="1.5703125" customWidth="1"/>
    <col min="16131" max="16131" width="4.7109375" customWidth="1"/>
    <col min="16132" max="16132" width="1.42578125" customWidth="1"/>
    <col min="16133" max="16133" width="3.28515625" customWidth="1"/>
    <col min="16134" max="16134" width="2" customWidth="1"/>
    <col min="16135" max="16135" width="5.5703125" customWidth="1"/>
    <col min="16136" max="16136" width="1.7109375" customWidth="1"/>
    <col min="16137" max="16137" width="1.5703125" customWidth="1"/>
    <col min="16138" max="16138" width="8.5703125" customWidth="1"/>
  </cols>
  <sheetData>
    <row r="1" spans="1:10" ht="12.6" customHeight="1" x14ac:dyDescent="0.25">
      <c r="A1" s="18" t="s">
        <v>54</v>
      </c>
      <c r="F1" s="18"/>
      <c r="G1" s="18"/>
      <c r="H1" s="23"/>
      <c r="I1" s="23"/>
      <c r="J1" s="23"/>
    </row>
    <row r="2" spans="1:10" ht="13.35" customHeight="1" x14ac:dyDescent="0.25">
      <c r="A2" s="22">
        <v>46174</v>
      </c>
    </row>
    <row r="3" spans="1:10" ht="11.85" customHeight="1" x14ac:dyDescent="0.25">
      <c r="A3" s="15" t="s">
        <v>104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1.85" customHeight="1" x14ac:dyDescent="0.25">
      <c r="A4" s="15" t="s">
        <v>56</v>
      </c>
      <c r="B4" s="10" t="s">
        <v>57</v>
      </c>
      <c r="C4" s="10" t="s">
        <v>58</v>
      </c>
      <c r="D4" s="15" t="s">
        <v>59</v>
      </c>
      <c r="E4" s="10" t="s">
        <v>60</v>
      </c>
      <c r="F4" s="15"/>
      <c r="G4" s="15"/>
      <c r="H4" s="15"/>
    </row>
    <row r="5" spans="1:10" ht="11.85" customHeight="1" x14ac:dyDescent="0.25">
      <c r="A5" s="15" t="s">
        <v>137</v>
      </c>
      <c r="B5" s="18"/>
      <c r="C5" s="18"/>
      <c r="D5" s="18"/>
      <c r="E5" s="18"/>
      <c r="F5" s="18"/>
      <c r="G5" s="18"/>
      <c r="H5" s="18"/>
      <c r="I5" s="18"/>
    </row>
    <row r="6" spans="1:10" ht="11.85" customHeight="1" x14ac:dyDescent="0.25">
      <c r="A6" s="18" t="s">
        <v>61</v>
      </c>
      <c r="B6" s="11">
        <v>5207029.91</v>
      </c>
      <c r="C6" s="12">
        <v>0.08</v>
      </c>
      <c r="D6" s="17">
        <v>416562.39</v>
      </c>
      <c r="E6" s="12">
        <v>0.15</v>
      </c>
      <c r="F6" s="17"/>
      <c r="G6" s="17"/>
      <c r="H6" s="17"/>
    </row>
    <row r="7" spans="1:10" ht="11.85" customHeight="1" x14ac:dyDescent="0.25">
      <c r="A7" s="18" t="s">
        <v>62</v>
      </c>
      <c r="B7" s="11">
        <v>-10656.78</v>
      </c>
      <c r="D7" s="17">
        <v>-852.54</v>
      </c>
      <c r="F7" s="17"/>
      <c r="G7" s="17"/>
      <c r="H7" s="17"/>
    </row>
    <row r="8" spans="1:10" ht="11.85" customHeight="1" x14ac:dyDescent="0.25">
      <c r="A8" s="15" t="s">
        <v>63</v>
      </c>
      <c r="B8" s="11">
        <v>5196373.13</v>
      </c>
      <c r="D8" s="17">
        <v>415709.85</v>
      </c>
      <c r="F8" s="17"/>
      <c r="G8" s="17"/>
      <c r="H8" s="17"/>
    </row>
    <row r="9" spans="1:10" ht="11.85" customHeight="1" x14ac:dyDescent="0.25">
      <c r="A9" s="18" t="s">
        <v>105</v>
      </c>
      <c r="B9" s="11">
        <v>-181716.84</v>
      </c>
      <c r="C9" s="12">
        <v>0.08</v>
      </c>
      <c r="D9" s="17">
        <v>-14537.35</v>
      </c>
      <c r="E9" s="12">
        <v>0.15</v>
      </c>
      <c r="F9" s="17"/>
      <c r="G9" s="17"/>
      <c r="H9" s="17"/>
    </row>
    <row r="10" spans="1:10" ht="11.85" customHeight="1" x14ac:dyDescent="0.25">
      <c r="A10" s="18" t="s">
        <v>62</v>
      </c>
      <c r="B10" s="11">
        <v>0.71</v>
      </c>
      <c r="D10" s="17">
        <v>0.06</v>
      </c>
      <c r="E10" s="17"/>
      <c r="F10" s="17"/>
      <c r="G10" s="17"/>
      <c r="H10" s="17"/>
    </row>
    <row r="11" spans="1:10" ht="11.85" customHeight="1" x14ac:dyDescent="0.25">
      <c r="A11" s="15" t="s">
        <v>63</v>
      </c>
      <c r="B11" s="11">
        <v>-181716.13</v>
      </c>
      <c r="D11" s="17">
        <v>-14537.29</v>
      </c>
      <c r="E11" s="17"/>
      <c r="F11" s="17"/>
      <c r="G11" s="17"/>
      <c r="H11" s="17"/>
    </row>
    <row r="12" spans="1:10" ht="11.85" customHeight="1" x14ac:dyDescent="0.25">
      <c r="A12" s="15" t="s">
        <v>106</v>
      </c>
      <c r="B12" s="11">
        <v>5014657</v>
      </c>
      <c r="D12" s="17">
        <v>401172.56</v>
      </c>
      <c r="E12" s="17"/>
      <c r="F12" s="17"/>
      <c r="G12" s="17"/>
      <c r="H12" s="17"/>
    </row>
    <row r="13" spans="1:10" ht="11.85" customHeight="1" x14ac:dyDescent="0.25">
      <c r="A13" s="15" t="s">
        <v>107</v>
      </c>
      <c r="B13" s="11">
        <v>5014657</v>
      </c>
      <c r="D13" s="17">
        <v>401172.56</v>
      </c>
      <c r="E13" s="17"/>
      <c r="F13" s="17"/>
      <c r="G13" s="17"/>
      <c r="H13" s="17"/>
    </row>
    <row r="14" spans="1:10" ht="11.85" customHeight="1" x14ac:dyDescent="0.25">
      <c r="A14" s="15" t="s">
        <v>66</v>
      </c>
      <c r="B14" s="17">
        <v>5014657</v>
      </c>
      <c r="C14" s="20"/>
      <c r="D14" s="17">
        <v>401172.56</v>
      </c>
      <c r="E14" s="17"/>
      <c r="F14" s="17"/>
      <c r="G14" s="17"/>
      <c r="H14" s="17"/>
      <c r="I14" s="20"/>
      <c r="J14" s="20"/>
    </row>
    <row r="15" spans="1:10" ht="11.85" customHeight="1" x14ac:dyDescent="0.25">
      <c r="A15" s="15" t="s">
        <v>67</v>
      </c>
      <c r="B15" s="15"/>
      <c r="C15" s="15"/>
      <c r="D15" s="15"/>
      <c r="E15" s="15" t="s">
        <v>59</v>
      </c>
      <c r="F15" s="15"/>
      <c r="G15" s="15"/>
      <c r="H15" s="15"/>
      <c r="I15" s="15"/>
      <c r="J15" s="15"/>
    </row>
    <row r="16" spans="1:10" ht="11.85" customHeight="1" x14ac:dyDescent="0.25">
      <c r="A16" s="15" t="s">
        <v>68</v>
      </c>
      <c r="B16" s="10" t="s">
        <v>57</v>
      </c>
      <c r="C16" s="10" t="s">
        <v>58</v>
      </c>
      <c r="E16" s="17">
        <v>100000</v>
      </c>
      <c r="H16" s="15"/>
      <c r="I16" s="15"/>
      <c r="J16" s="15"/>
    </row>
    <row r="17" spans="1:10" ht="11.85" customHeight="1" x14ac:dyDescent="0.25">
      <c r="A17" s="18" t="s">
        <v>108</v>
      </c>
      <c r="B17" s="11">
        <v>1250000</v>
      </c>
      <c r="C17" s="12">
        <v>0.08</v>
      </c>
      <c r="E17" s="17">
        <v>331289.82</v>
      </c>
      <c r="H17" s="17"/>
      <c r="I17" s="17"/>
      <c r="J17" s="17"/>
    </row>
    <row r="18" spans="1:10" ht="11.85" customHeight="1" x14ac:dyDescent="0.25">
      <c r="A18" s="18" t="s">
        <v>109</v>
      </c>
      <c r="B18" s="11">
        <v>3764657</v>
      </c>
      <c r="C18" s="12">
        <v>8.7999999999999995E-2</v>
      </c>
      <c r="E18" s="17">
        <v>431289.82</v>
      </c>
      <c r="H18" s="17"/>
      <c r="I18" s="17"/>
      <c r="J18" s="17"/>
    </row>
    <row r="19" spans="1:10" ht="11.85" customHeight="1" x14ac:dyDescent="0.25">
      <c r="A19" s="15" t="s">
        <v>110</v>
      </c>
      <c r="B19" s="17">
        <v>5014657</v>
      </c>
      <c r="C19" s="20"/>
      <c r="D19" s="20"/>
      <c r="E19" s="20"/>
      <c r="F19" s="20"/>
      <c r="H19" s="17"/>
      <c r="I19" s="17"/>
      <c r="J19" s="17"/>
    </row>
    <row r="20" spans="1:10" ht="11.85" customHeight="1" x14ac:dyDescent="0.25">
      <c r="A20" s="15" t="s">
        <v>111</v>
      </c>
      <c r="B20" s="15"/>
      <c r="C20" s="15"/>
      <c r="D20" s="15"/>
      <c r="E20" s="15"/>
      <c r="F20" s="15"/>
      <c r="G20" s="15"/>
      <c r="H20" s="15"/>
      <c r="I20" s="15"/>
      <c r="J20" s="15"/>
    </row>
    <row r="21" spans="1:10" ht="11.85" customHeight="1" x14ac:dyDescent="0.25">
      <c r="A21" s="15" t="s">
        <v>68</v>
      </c>
      <c r="B21" s="15"/>
      <c r="C21" s="15"/>
      <c r="D21" s="15"/>
      <c r="E21" s="15" t="s">
        <v>73</v>
      </c>
      <c r="F21" s="15"/>
      <c r="G21" s="15"/>
      <c r="H21" s="15"/>
      <c r="I21" s="15"/>
      <c r="J21" s="15"/>
    </row>
    <row r="22" spans="1:10" ht="11.85" customHeight="1" x14ac:dyDescent="0.25">
      <c r="A22" s="18" t="s">
        <v>112</v>
      </c>
      <c r="B22" s="18"/>
      <c r="C22" s="16" t="s">
        <v>75</v>
      </c>
      <c r="D22" s="16"/>
      <c r="E22" s="17">
        <v>431289.82</v>
      </c>
      <c r="F22" s="17"/>
      <c r="G22" s="17"/>
      <c r="H22" s="17"/>
      <c r="I22" s="17"/>
      <c r="J22" s="17"/>
    </row>
    <row r="23" spans="1:10" ht="11.85" customHeight="1" x14ac:dyDescent="0.25">
      <c r="A23" s="18" t="s">
        <v>113</v>
      </c>
      <c r="B23" s="18"/>
      <c r="C23" s="16" t="s">
        <v>75</v>
      </c>
      <c r="D23" s="16"/>
      <c r="E23" s="17">
        <v>60000</v>
      </c>
      <c r="F23" s="17"/>
      <c r="G23" s="17"/>
      <c r="H23" s="17"/>
      <c r="I23" s="17"/>
      <c r="J23" s="17"/>
    </row>
    <row r="24" spans="1:10" ht="11.85" customHeight="1" x14ac:dyDescent="0.25">
      <c r="A24" s="18" t="s">
        <v>114</v>
      </c>
      <c r="B24" s="18"/>
      <c r="C24" s="16" t="s">
        <v>75</v>
      </c>
      <c r="D24" s="16"/>
      <c r="E24" s="17">
        <v>371289.82</v>
      </c>
      <c r="F24" s="17"/>
      <c r="G24" s="17"/>
      <c r="H24" s="17"/>
      <c r="I24" s="17"/>
      <c r="J24" s="17"/>
    </row>
    <row r="25" spans="1:10" ht="11.85" customHeight="1" x14ac:dyDescent="0.25">
      <c r="A25" s="18" t="s">
        <v>115</v>
      </c>
      <c r="B25" s="18"/>
      <c r="C25" s="20"/>
      <c r="D25" s="20"/>
      <c r="E25" s="21">
        <v>0.1</v>
      </c>
      <c r="F25" s="20"/>
      <c r="G25" s="20"/>
      <c r="H25" s="20"/>
      <c r="I25" s="20"/>
    </row>
    <row r="26" spans="1:10" ht="11.85" customHeight="1" x14ac:dyDescent="0.25">
      <c r="A26" s="15" t="s">
        <v>116</v>
      </c>
      <c r="B26" s="15"/>
      <c r="C26" s="15"/>
      <c r="D26" s="15"/>
      <c r="E26" s="19">
        <v>37128.980000000003</v>
      </c>
      <c r="F26" s="19"/>
      <c r="G26" s="19"/>
      <c r="H26" s="19"/>
      <c r="I26" s="19"/>
      <c r="J26" s="19"/>
    </row>
    <row r="27" spans="1:10" ht="11.85" customHeight="1" x14ac:dyDescent="0.25">
      <c r="A27" s="15" t="s">
        <v>72</v>
      </c>
      <c r="B27" s="15"/>
      <c r="C27" s="15"/>
      <c r="D27" s="15"/>
      <c r="E27" s="15"/>
      <c r="F27" s="15"/>
      <c r="G27" s="15"/>
      <c r="H27" s="15"/>
      <c r="I27" s="15"/>
      <c r="J27" s="15"/>
    </row>
    <row r="28" spans="1:10" ht="11.85" customHeight="1" x14ac:dyDescent="0.25">
      <c r="A28" s="15" t="s">
        <v>68</v>
      </c>
      <c r="B28" s="15"/>
      <c r="C28" s="15"/>
      <c r="D28" s="15"/>
      <c r="E28" s="15" t="s">
        <v>73</v>
      </c>
      <c r="F28" s="15"/>
      <c r="G28" s="15"/>
      <c r="H28" s="15"/>
      <c r="I28" s="15"/>
      <c r="J28" s="15"/>
    </row>
    <row r="29" spans="1:10" ht="11.85" customHeight="1" x14ac:dyDescent="0.25">
      <c r="A29" s="18" t="s">
        <v>74</v>
      </c>
      <c r="B29" s="18"/>
      <c r="C29" s="16" t="s">
        <v>75</v>
      </c>
      <c r="D29" s="16"/>
      <c r="E29" s="17">
        <v>0</v>
      </c>
      <c r="F29" s="17"/>
      <c r="G29" s="17"/>
      <c r="H29" s="17"/>
      <c r="I29" s="17"/>
      <c r="J29" s="17"/>
    </row>
    <row r="30" spans="1:10" ht="11.85" customHeight="1" x14ac:dyDescent="0.25">
      <c r="A30" s="18" t="s">
        <v>117</v>
      </c>
      <c r="B30" s="18"/>
      <c r="C30" s="16" t="s">
        <v>75</v>
      </c>
      <c r="D30" s="16"/>
      <c r="E30" s="17">
        <v>0</v>
      </c>
      <c r="F30" s="17"/>
      <c r="G30" s="17"/>
      <c r="H30" s="17"/>
      <c r="I30" s="17"/>
      <c r="J30" s="17"/>
    </row>
    <row r="31" spans="1:10" ht="11.85" customHeight="1" x14ac:dyDescent="0.25">
      <c r="A31" s="18" t="s">
        <v>76</v>
      </c>
      <c r="B31" s="18"/>
      <c r="C31" s="16" t="s">
        <v>75</v>
      </c>
      <c r="D31" s="16"/>
      <c r="E31" s="17">
        <v>64693.47</v>
      </c>
      <c r="F31" s="17"/>
      <c r="G31" s="17"/>
      <c r="H31" s="17"/>
      <c r="I31" s="17"/>
      <c r="J31" s="17"/>
    </row>
    <row r="32" spans="1:10" ht="11.85" customHeight="1" x14ac:dyDescent="0.25">
      <c r="A32" s="18" t="s">
        <v>118</v>
      </c>
      <c r="B32" s="18"/>
      <c r="C32" s="16" t="s">
        <v>75</v>
      </c>
      <c r="D32" s="16"/>
      <c r="E32" s="17">
        <v>0</v>
      </c>
      <c r="F32" s="17"/>
      <c r="G32" s="17"/>
      <c r="H32" s="17"/>
      <c r="I32" s="17"/>
      <c r="J32" s="17"/>
    </row>
    <row r="33" spans="1:10" ht="11.85" customHeight="1" x14ac:dyDescent="0.25">
      <c r="A33" s="18" t="s">
        <v>119</v>
      </c>
      <c r="B33" s="18"/>
      <c r="C33" s="16" t="s">
        <v>75</v>
      </c>
      <c r="D33" s="16"/>
      <c r="E33" s="17">
        <v>0</v>
      </c>
      <c r="F33" s="17"/>
      <c r="G33" s="17"/>
      <c r="H33" s="17"/>
      <c r="I33" s="17"/>
      <c r="J33" s="17"/>
    </row>
    <row r="34" spans="1:10" ht="11.85" customHeight="1" x14ac:dyDescent="0.25">
      <c r="A34" s="18" t="s">
        <v>77</v>
      </c>
      <c r="B34" s="18"/>
      <c r="C34" s="16" t="s">
        <v>75</v>
      </c>
      <c r="D34" s="16"/>
      <c r="E34" s="17">
        <v>0</v>
      </c>
      <c r="F34" s="17"/>
      <c r="G34" s="17"/>
      <c r="H34" s="17"/>
      <c r="I34" s="17"/>
      <c r="J34" s="17"/>
    </row>
    <row r="35" spans="1:10" ht="11.85" customHeight="1" x14ac:dyDescent="0.25">
      <c r="A35" s="18" t="s">
        <v>85</v>
      </c>
      <c r="B35" s="18"/>
      <c r="C35" s="16" t="s">
        <v>75</v>
      </c>
      <c r="D35" s="16"/>
      <c r="E35" s="17">
        <v>0</v>
      </c>
      <c r="F35" s="17"/>
      <c r="G35" s="17"/>
      <c r="H35" s="17"/>
      <c r="I35" s="17"/>
      <c r="J35" s="17"/>
    </row>
    <row r="36" spans="1:10" ht="11.85" customHeight="1" x14ac:dyDescent="0.25">
      <c r="A36" s="18" t="s">
        <v>120</v>
      </c>
      <c r="B36" s="18"/>
      <c r="C36" s="16" t="s">
        <v>75</v>
      </c>
      <c r="D36" s="16"/>
      <c r="E36" s="17">
        <v>0</v>
      </c>
      <c r="F36" s="17"/>
      <c r="G36" s="17"/>
      <c r="H36" s="17"/>
      <c r="I36" s="17"/>
      <c r="J36" s="17"/>
    </row>
    <row r="37" spans="1:10" ht="11.85" customHeight="1" x14ac:dyDescent="0.25">
      <c r="A37" s="18" t="s">
        <v>121</v>
      </c>
      <c r="B37" s="18"/>
      <c r="C37" s="16" t="s">
        <v>75</v>
      </c>
      <c r="D37" s="16"/>
      <c r="E37" s="17">
        <v>0</v>
      </c>
      <c r="F37" s="17"/>
      <c r="G37" s="17"/>
      <c r="H37" s="17"/>
      <c r="I37" s="17"/>
      <c r="J37" s="17"/>
    </row>
    <row r="38" spans="1:10" ht="11.85" customHeight="1" x14ac:dyDescent="0.25">
      <c r="A38" s="18" t="s">
        <v>122</v>
      </c>
      <c r="B38" s="18"/>
      <c r="C38" s="16" t="s">
        <v>75</v>
      </c>
      <c r="D38" s="16"/>
      <c r="E38" s="17">
        <v>0</v>
      </c>
      <c r="F38" s="17"/>
      <c r="G38" s="17"/>
      <c r="H38" s="17"/>
      <c r="I38" s="17"/>
      <c r="J38" s="17"/>
    </row>
    <row r="39" spans="1:10" ht="11.85" customHeight="1" x14ac:dyDescent="0.25">
      <c r="A39" s="18" t="s">
        <v>123</v>
      </c>
      <c r="B39" s="18"/>
      <c r="C39" s="16" t="s">
        <v>75</v>
      </c>
      <c r="D39" s="16"/>
      <c r="E39" s="17">
        <v>0</v>
      </c>
      <c r="F39" s="17"/>
      <c r="G39" s="17"/>
      <c r="H39" s="17"/>
      <c r="I39" s="17"/>
      <c r="J39" s="17"/>
    </row>
    <row r="40" spans="1:10" ht="11.85" customHeight="1" x14ac:dyDescent="0.25">
      <c r="A40" s="18" t="s">
        <v>124</v>
      </c>
      <c r="B40" s="18"/>
      <c r="C40" s="16" t="s">
        <v>75</v>
      </c>
      <c r="D40" s="16"/>
      <c r="E40" s="17">
        <v>0</v>
      </c>
      <c r="F40" s="17"/>
      <c r="G40" s="17"/>
      <c r="H40" s="17"/>
      <c r="I40" s="17"/>
      <c r="J40" s="17"/>
    </row>
    <row r="41" spans="1:10" ht="11.85" customHeight="1" x14ac:dyDescent="0.25">
      <c r="A41" s="18" t="s">
        <v>125</v>
      </c>
      <c r="B41" s="18"/>
      <c r="C41" s="16" t="s">
        <v>75</v>
      </c>
      <c r="D41" s="16"/>
      <c r="E41" s="17">
        <v>0</v>
      </c>
      <c r="F41" s="17"/>
      <c r="G41" s="17"/>
      <c r="H41" s="17"/>
      <c r="I41" s="17"/>
      <c r="J41" s="17"/>
    </row>
    <row r="42" spans="1:10" ht="11.85" customHeight="1" x14ac:dyDescent="0.25">
      <c r="A42" s="18" t="s">
        <v>91</v>
      </c>
      <c r="B42" s="18"/>
      <c r="C42" s="16" t="s">
        <v>75</v>
      </c>
      <c r="D42" s="16"/>
      <c r="E42" s="17">
        <v>0</v>
      </c>
      <c r="F42" s="17"/>
      <c r="G42" s="17"/>
      <c r="H42" s="17"/>
      <c r="I42" s="17"/>
      <c r="J42" s="17"/>
    </row>
    <row r="43" spans="1:10" ht="11.85" customHeight="1" x14ac:dyDescent="0.25">
      <c r="A43" s="18" t="s">
        <v>92</v>
      </c>
      <c r="B43" s="18"/>
      <c r="C43" s="16" t="s">
        <v>75</v>
      </c>
      <c r="D43" s="16"/>
      <c r="E43" s="17">
        <v>0</v>
      </c>
      <c r="F43" s="17"/>
      <c r="G43" s="17"/>
      <c r="H43" s="17"/>
      <c r="I43" s="17"/>
      <c r="J43" s="17"/>
    </row>
    <row r="44" spans="1:10" ht="11.85" customHeight="1" x14ac:dyDescent="0.25">
      <c r="A44" s="18" t="s">
        <v>126</v>
      </c>
      <c r="B44" s="18"/>
      <c r="C44" s="16" t="s">
        <v>75</v>
      </c>
      <c r="D44" s="16"/>
      <c r="E44" s="17">
        <v>0</v>
      </c>
      <c r="F44" s="17"/>
      <c r="G44" s="17"/>
      <c r="H44" s="17"/>
      <c r="I44" s="17"/>
      <c r="J44" s="17"/>
    </row>
    <row r="45" spans="1:10" ht="11.85" customHeight="1" x14ac:dyDescent="0.25">
      <c r="A45" s="18" t="s">
        <v>127</v>
      </c>
      <c r="B45" s="18"/>
      <c r="C45" s="16" t="s">
        <v>75</v>
      </c>
      <c r="D45" s="16"/>
      <c r="E45" s="17">
        <v>0</v>
      </c>
      <c r="F45" s="17"/>
      <c r="G45" s="17"/>
      <c r="H45" s="17"/>
      <c r="I45" s="17"/>
      <c r="J45" s="17"/>
    </row>
    <row r="46" spans="1:10" ht="11.85" customHeight="1" x14ac:dyDescent="0.25">
      <c r="A46" s="18" t="s">
        <v>128</v>
      </c>
      <c r="B46" s="18"/>
      <c r="C46" s="16" t="s">
        <v>75</v>
      </c>
      <c r="D46" s="16"/>
      <c r="E46" s="17">
        <v>0</v>
      </c>
      <c r="F46" s="17"/>
      <c r="G46" s="17"/>
      <c r="H46" s="17"/>
      <c r="I46" s="17"/>
      <c r="J46" s="17"/>
    </row>
    <row r="47" spans="1:10" ht="11.85" customHeight="1" x14ac:dyDescent="0.25">
      <c r="A47" s="18" t="s">
        <v>129</v>
      </c>
      <c r="B47" s="18"/>
      <c r="C47" s="16" t="s">
        <v>75</v>
      </c>
      <c r="D47" s="16"/>
      <c r="E47" s="17">
        <v>0</v>
      </c>
      <c r="F47" s="17"/>
      <c r="G47" s="17"/>
      <c r="H47" s="17"/>
      <c r="I47" s="17"/>
      <c r="J47" s="17"/>
    </row>
    <row r="48" spans="1:10" ht="11.85" customHeight="1" x14ac:dyDescent="0.25">
      <c r="A48" s="18" t="s">
        <v>130</v>
      </c>
      <c r="B48" s="18"/>
      <c r="C48" s="16" t="s">
        <v>75</v>
      </c>
      <c r="D48" s="16"/>
      <c r="E48" s="17">
        <v>0</v>
      </c>
      <c r="F48" s="17"/>
      <c r="G48" s="17"/>
      <c r="H48" s="17"/>
      <c r="I48" s="17"/>
      <c r="J48" s="17"/>
    </row>
    <row r="49" spans="1:10" ht="11.85" customHeight="1" x14ac:dyDescent="0.25">
      <c r="A49" s="18" t="s">
        <v>92</v>
      </c>
      <c r="B49" s="18"/>
      <c r="C49" s="16" t="s">
        <v>75</v>
      </c>
      <c r="D49" s="16"/>
      <c r="E49" s="17">
        <v>0</v>
      </c>
      <c r="F49" s="17"/>
      <c r="G49" s="17"/>
      <c r="H49" s="17"/>
      <c r="I49" s="17"/>
      <c r="J49" s="17"/>
    </row>
    <row r="50" spans="1:10" ht="11.85" customHeight="1" x14ac:dyDescent="0.25">
      <c r="A50" s="15" t="s">
        <v>131</v>
      </c>
      <c r="B50" s="15"/>
      <c r="C50" s="15"/>
      <c r="D50" s="15"/>
      <c r="E50" s="16">
        <v>37128.980000000003</v>
      </c>
      <c r="F50" s="16"/>
      <c r="G50" s="16"/>
      <c r="H50" s="16"/>
      <c r="I50" s="16"/>
      <c r="J50" s="16"/>
    </row>
    <row r="51" spans="1:10" ht="11.85" customHeight="1" x14ac:dyDescent="0.25">
      <c r="A51" s="15" t="s">
        <v>132</v>
      </c>
      <c r="B51" s="15"/>
      <c r="C51" s="15"/>
      <c r="D51" s="15"/>
      <c r="E51" s="16">
        <v>0</v>
      </c>
      <c r="F51" s="16"/>
      <c r="G51" s="16"/>
      <c r="H51" s="16"/>
      <c r="I51" s="16"/>
      <c r="J51" s="16"/>
    </row>
    <row r="52" spans="1:10" ht="11.85" customHeight="1" x14ac:dyDescent="0.25">
      <c r="A52" s="15" t="s">
        <v>133</v>
      </c>
      <c r="B52" s="15"/>
      <c r="C52" s="15"/>
      <c r="D52" s="15"/>
      <c r="E52" s="16">
        <v>0</v>
      </c>
      <c r="F52" s="16"/>
      <c r="G52" s="16"/>
      <c r="H52" s="16"/>
      <c r="I52" s="16"/>
      <c r="J52" s="16"/>
    </row>
    <row r="53" spans="1:10" ht="11.85" customHeight="1" x14ac:dyDescent="0.25">
      <c r="A53" s="15" t="s">
        <v>134</v>
      </c>
      <c r="B53" s="15"/>
      <c r="C53" s="15"/>
      <c r="D53" s="15"/>
      <c r="E53" s="16">
        <v>0</v>
      </c>
      <c r="F53" s="16"/>
      <c r="G53" s="16"/>
      <c r="H53" s="16"/>
      <c r="I53" s="16"/>
      <c r="J53" s="16"/>
    </row>
    <row r="54" spans="1:10" ht="11.85" customHeight="1" x14ac:dyDescent="0.25">
      <c r="A54" s="15" t="s">
        <v>135</v>
      </c>
      <c r="B54" s="15"/>
      <c r="C54" s="15"/>
      <c r="D54" s="15"/>
      <c r="E54" s="16">
        <v>101822.45</v>
      </c>
      <c r="F54" s="16"/>
      <c r="G54" s="16"/>
      <c r="H54" s="16"/>
      <c r="I54" s="16"/>
      <c r="J54" s="16"/>
    </row>
    <row r="55" spans="1:10" ht="11.85" customHeight="1" x14ac:dyDescent="0.25">
      <c r="A55" s="15" t="s">
        <v>136</v>
      </c>
      <c r="B55" s="15"/>
      <c r="C55" s="15"/>
      <c r="D55" s="15"/>
      <c r="E55" s="16">
        <v>0</v>
      </c>
      <c r="F55" s="16"/>
      <c r="G55" s="16"/>
      <c r="H55" s="16"/>
      <c r="I55" s="16"/>
      <c r="J55" s="16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2B1D-2D51-45E1-A4FC-6E15311F0061}">
  <dimension ref="A1:J48"/>
  <sheetViews>
    <sheetView topLeftCell="A20" workbookViewId="0">
      <selection activeCell="B18" sqref="B18:B46"/>
    </sheetView>
  </sheetViews>
  <sheetFormatPr defaultRowHeight="15" x14ac:dyDescent="0.25"/>
  <cols>
    <col min="1" max="1" width="67.5703125" customWidth="1"/>
    <col min="2" max="2" width="15.140625" customWidth="1"/>
    <col min="3" max="3" width="13.5703125" customWidth="1"/>
    <col min="4" max="4" width="15.85546875" customWidth="1"/>
    <col min="5" max="5" width="26.85546875" customWidth="1"/>
    <col min="6" max="6" width="12.42578125" customWidth="1"/>
    <col min="7" max="7" width="10" customWidth="1"/>
    <col min="8" max="8" width="22.5703125" customWidth="1"/>
    <col min="9" max="9" width="7.42578125" customWidth="1"/>
    <col min="10" max="10" width="8.5703125" customWidth="1"/>
    <col min="247" max="247" width="4.5703125" customWidth="1"/>
    <col min="248" max="248" width="6.42578125" customWidth="1"/>
    <col min="249" max="249" width="2.7109375" customWidth="1"/>
    <col min="250" max="250" width="6.28515625" customWidth="1"/>
    <col min="251" max="251" width="6.5703125" customWidth="1"/>
    <col min="252" max="252" width="28.5703125" customWidth="1"/>
    <col min="253" max="253" width="3.28515625" customWidth="1"/>
    <col min="254" max="254" width="1.5703125" customWidth="1"/>
    <col min="255" max="255" width="15.140625" customWidth="1"/>
    <col min="256" max="256" width="1.5703125" customWidth="1"/>
    <col min="257" max="257" width="13.5703125" customWidth="1"/>
    <col min="258" max="258" width="1.5703125" customWidth="1"/>
    <col min="259" max="259" width="4.7109375" customWidth="1"/>
    <col min="260" max="260" width="1.42578125" customWidth="1"/>
    <col min="261" max="261" width="3.28515625" customWidth="1"/>
    <col min="262" max="262" width="2" customWidth="1"/>
    <col min="263" max="263" width="5.5703125" customWidth="1"/>
    <col min="264" max="264" width="1.7109375" customWidth="1"/>
    <col min="265" max="265" width="1.5703125" customWidth="1"/>
    <col min="266" max="266" width="8.5703125" customWidth="1"/>
    <col min="503" max="503" width="4.5703125" customWidth="1"/>
    <col min="504" max="504" width="6.42578125" customWidth="1"/>
    <col min="505" max="505" width="2.7109375" customWidth="1"/>
    <col min="506" max="506" width="6.28515625" customWidth="1"/>
    <col min="507" max="507" width="6.5703125" customWidth="1"/>
    <col min="508" max="508" width="28.5703125" customWidth="1"/>
    <col min="509" max="509" width="3.28515625" customWidth="1"/>
    <col min="510" max="510" width="1.5703125" customWidth="1"/>
    <col min="511" max="511" width="15.140625" customWidth="1"/>
    <col min="512" max="512" width="1.5703125" customWidth="1"/>
    <col min="513" max="513" width="13.5703125" customWidth="1"/>
    <col min="514" max="514" width="1.5703125" customWidth="1"/>
    <col min="515" max="515" width="4.7109375" customWidth="1"/>
    <col min="516" max="516" width="1.42578125" customWidth="1"/>
    <col min="517" max="517" width="3.28515625" customWidth="1"/>
    <col min="518" max="518" width="2" customWidth="1"/>
    <col min="519" max="519" width="5.5703125" customWidth="1"/>
    <col min="520" max="520" width="1.7109375" customWidth="1"/>
    <col min="521" max="521" width="1.5703125" customWidth="1"/>
    <col min="522" max="522" width="8.5703125" customWidth="1"/>
    <col min="759" max="759" width="4.5703125" customWidth="1"/>
    <col min="760" max="760" width="6.42578125" customWidth="1"/>
    <col min="761" max="761" width="2.7109375" customWidth="1"/>
    <col min="762" max="762" width="6.28515625" customWidth="1"/>
    <col min="763" max="763" width="6.5703125" customWidth="1"/>
    <col min="764" max="764" width="28.5703125" customWidth="1"/>
    <col min="765" max="765" width="3.28515625" customWidth="1"/>
    <col min="766" max="766" width="1.5703125" customWidth="1"/>
    <col min="767" max="767" width="15.140625" customWidth="1"/>
    <col min="768" max="768" width="1.5703125" customWidth="1"/>
    <col min="769" max="769" width="13.5703125" customWidth="1"/>
    <col min="770" max="770" width="1.5703125" customWidth="1"/>
    <col min="771" max="771" width="4.7109375" customWidth="1"/>
    <col min="772" max="772" width="1.42578125" customWidth="1"/>
    <col min="773" max="773" width="3.28515625" customWidth="1"/>
    <col min="774" max="774" width="2" customWidth="1"/>
    <col min="775" max="775" width="5.5703125" customWidth="1"/>
    <col min="776" max="776" width="1.7109375" customWidth="1"/>
    <col min="777" max="777" width="1.5703125" customWidth="1"/>
    <col min="778" max="778" width="8.5703125" customWidth="1"/>
    <col min="1015" max="1015" width="4.5703125" customWidth="1"/>
    <col min="1016" max="1016" width="6.42578125" customWidth="1"/>
    <col min="1017" max="1017" width="2.7109375" customWidth="1"/>
    <col min="1018" max="1018" width="6.28515625" customWidth="1"/>
    <col min="1019" max="1019" width="6.5703125" customWidth="1"/>
    <col min="1020" max="1020" width="28.5703125" customWidth="1"/>
    <col min="1021" max="1021" width="3.28515625" customWidth="1"/>
    <col min="1022" max="1022" width="1.5703125" customWidth="1"/>
    <col min="1023" max="1023" width="15.140625" customWidth="1"/>
    <col min="1024" max="1024" width="1.5703125" customWidth="1"/>
    <col min="1025" max="1025" width="13.5703125" customWidth="1"/>
    <col min="1026" max="1026" width="1.5703125" customWidth="1"/>
    <col min="1027" max="1027" width="4.7109375" customWidth="1"/>
    <col min="1028" max="1028" width="1.42578125" customWidth="1"/>
    <col min="1029" max="1029" width="3.28515625" customWidth="1"/>
    <col min="1030" max="1030" width="2" customWidth="1"/>
    <col min="1031" max="1031" width="5.5703125" customWidth="1"/>
    <col min="1032" max="1032" width="1.7109375" customWidth="1"/>
    <col min="1033" max="1033" width="1.5703125" customWidth="1"/>
    <col min="1034" max="1034" width="8.5703125" customWidth="1"/>
    <col min="1271" max="1271" width="4.5703125" customWidth="1"/>
    <col min="1272" max="1272" width="6.42578125" customWidth="1"/>
    <col min="1273" max="1273" width="2.7109375" customWidth="1"/>
    <col min="1274" max="1274" width="6.28515625" customWidth="1"/>
    <col min="1275" max="1275" width="6.5703125" customWidth="1"/>
    <col min="1276" max="1276" width="28.5703125" customWidth="1"/>
    <col min="1277" max="1277" width="3.28515625" customWidth="1"/>
    <col min="1278" max="1278" width="1.5703125" customWidth="1"/>
    <col min="1279" max="1279" width="15.140625" customWidth="1"/>
    <col min="1280" max="1280" width="1.5703125" customWidth="1"/>
    <col min="1281" max="1281" width="13.5703125" customWidth="1"/>
    <col min="1282" max="1282" width="1.5703125" customWidth="1"/>
    <col min="1283" max="1283" width="4.7109375" customWidth="1"/>
    <col min="1284" max="1284" width="1.42578125" customWidth="1"/>
    <col min="1285" max="1285" width="3.28515625" customWidth="1"/>
    <col min="1286" max="1286" width="2" customWidth="1"/>
    <col min="1287" max="1287" width="5.5703125" customWidth="1"/>
    <col min="1288" max="1288" width="1.7109375" customWidth="1"/>
    <col min="1289" max="1289" width="1.5703125" customWidth="1"/>
    <col min="1290" max="1290" width="8.5703125" customWidth="1"/>
    <col min="1527" max="1527" width="4.5703125" customWidth="1"/>
    <col min="1528" max="1528" width="6.42578125" customWidth="1"/>
    <col min="1529" max="1529" width="2.7109375" customWidth="1"/>
    <col min="1530" max="1530" width="6.28515625" customWidth="1"/>
    <col min="1531" max="1531" width="6.5703125" customWidth="1"/>
    <col min="1532" max="1532" width="28.5703125" customWidth="1"/>
    <col min="1533" max="1533" width="3.28515625" customWidth="1"/>
    <col min="1534" max="1534" width="1.5703125" customWidth="1"/>
    <col min="1535" max="1535" width="15.140625" customWidth="1"/>
    <col min="1536" max="1536" width="1.5703125" customWidth="1"/>
    <col min="1537" max="1537" width="13.5703125" customWidth="1"/>
    <col min="1538" max="1538" width="1.5703125" customWidth="1"/>
    <col min="1539" max="1539" width="4.7109375" customWidth="1"/>
    <col min="1540" max="1540" width="1.42578125" customWidth="1"/>
    <col min="1541" max="1541" width="3.28515625" customWidth="1"/>
    <col min="1542" max="1542" width="2" customWidth="1"/>
    <col min="1543" max="1543" width="5.5703125" customWidth="1"/>
    <col min="1544" max="1544" width="1.7109375" customWidth="1"/>
    <col min="1545" max="1545" width="1.5703125" customWidth="1"/>
    <col min="1546" max="1546" width="8.5703125" customWidth="1"/>
    <col min="1783" max="1783" width="4.5703125" customWidth="1"/>
    <col min="1784" max="1784" width="6.42578125" customWidth="1"/>
    <col min="1785" max="1785" width="2.7109375" customWidth="1"/>
    <col min="1786" max="1786" width="6.28515625" customWidth="1"/>
    <col min="1787" max="1787" width="6.5703125" customWidth="1"/>
    <col min="1788" max="1788" width="28.5703125" customWidth="1"/>
    <col min="1789" max="1789" width="3.28515625" customWidth="1"/>
    <col min="1790" max="1790" width="1.5703125" customWidth="1"/>
    <col min="1791" max="1791" width="15.140625" customWidth="1"/>
    <col min="1792" max="1792" width="1.5703125" customWidth="1"/>
    <col min="1793" max="1793" width="13.5703125" customWidth="1"/>
    <col min="1794" max="1794" width="1.5703125" customWidth="1"/>
    <col min="1795" max="1795" width="4.7109375" customWidth="1"/>
    <col min="1796" max="1796" width="1.42578125" customWidth="1"/>
    <col min="1797" max="1797" width="3.28515625" customWidth="1"/>
    <col min="1798" max="1798" width="2" customWidth="1"/>
    <col min="1799" max="1799" width="5.5703125" customWidth="1"/>
    <col min="1800" max="1800" width="1.7109375" customWidth="1"/>
    <col min="1801" max="1801" width="1.5703125" customWidth="1"/>
    <col min="1802" max="1802" width="8.5703125" customWidth="1"/>
    <col min="2039" max="2039" width="4.5703125" customWidth="1"/>
    <col min="2040" max="2040" width="6.42578125" customWidth="1"/>
    <col min="2041" max="2041" width="2.7109375" customWidth="1"/>
    <col min="2042" max="2042" width="6.28515625" customWidth="1"/>
    <col min="2043" max="2043" width="6.5703125" customWidth="1"/>
    <col min="2044" max="2044" width="28.5703125" customWidth="1"/>
    <col min="2045" max="2045" width="3.28515625" customWidth="1"/>
    <col min="2046" max="2046" width="1.5703125" customWidth="1"/>
    <col min="2047" max="2047" width="15.140625" customWidth="1"/>
    <col min="2048" max="2048" width="1.5703125" customWidth="1"/>
    <col min="2049" max="2049" width="13.5703125" customWidth="1"/>
    <col min="2050" max="2050" width="1.5703125" customWidth="1"/>
    <col min="2051" max="2051" width="4.7109375" customWidth="1"/>
    <col min="2052" max="2052" width="1.42578125" customWidth="1"/>
    <col min="2053" max="2053" width="3.28515625" customWidth="1"/>
    <col min="2054" max="2054" width="2" customWidth="1"/>
    <col min="2055" max="2055" width="5.5703125" customWidth="1"/>
    <col min="2056" max="2056" width="1.7109375" customWidth="1"/>
    <col min="2057" max="2057" width="1.5703125" customWidth="1"/>
    <col min="2058" max="2058" width="8.5703125" customWidth="1"/>
    <col min="2295" max="2295" width="4.5703125" customWidth="1"/>
    <col min="2296" max="2296" width="6.42578125" customWidth="1"/>
    <col min="2297" max="2297" width="2.7109375" customWidth="1"/>
    <col min="2298" max="2298" width="6.28515625" customWidth="1"/>
    <col min="2299" max="2299" width="6.5703125" customWidth="1"/>
    <col min="2300" max="2300" width="28.5703125" customWidth="1"/>
    <col min="2301" max="2301" width="3.28515625" customWidth="1"/>
    <col min="2302" max="2302" width="1.5703125" customWidth="1"/>
    <col min="2303" max="2303" width="15.140625" customWidth="1"/>
    <col min="2304" max="2304" width="1.5703125" customWidth="1"/>
    <col min="2305" max="2305" width="13.5703125" customWidth="1"/>
    <col min="2306" max="2306" width="1.5703125" customWidth="1"/>
    <col min="2307" max="2307" width="4.7109375" customWidth="1"/>
    <col min="2308" max="2308" width="1.42578125" customWidth="1"/>
    <col min="2309" max="2309" width="3.28515625" customWidth="1"/>
    <col min="2310" max="2310" width="2" customWidth="1"/>
    <col min="2311" max="2311" width="5.5703125" customWidth="1"/>
    <col min="2312" max="2312" width="1.7109375" customWidth="1"/>
    <col min="2313" max="2313" width="1.5703125" customWidth="1"/>
    <col min="2314" max="2314" width="8.5703125" customWidth="1"/>
    <col min="2551" max="2551" width="4.5703125" customWidth="1"/>
    <col min="2552" max="2552" width="6.42578125" customWidth="1"/>
    <col min="2553" max="2553" width="2.7109375" customWidth="1"/>
    <col min="2554" max="2554" width="6.28515625" customWidth="1"/>
    <col min="2555" max="2555" width="6.5703125" customWidth="1"/>
    <col min="2556" max="2556" width="28.5703125" customWidth="1"/>
    <col min="2557" max="2557" width="3.28515625" customWidth="1"/>
    <col min="2558" max="2558" width="1.5703125" customWidth="1"/>
    <col min="2559" max="2559" width="15.140625" customWidth="1"/>
    <col min="2560" max="2560" width="1.5703125" customWidth="1"/>
    <col min="2561" max="2561" width="13.5703125" customWidth="1"/>
    <col min="2562" max="2562" width="1.5703125" customWidth="1"/>
    <col min="2563" max="2563" width="4.7109375" customWidth="1"/>
    <col min="2564" max="2564" width="1.42578125" customWidth="1"/>
    <col min="2565" max="2565" width="3.28515625" customWidth="1"/>
    <col min="2566" max="2566" width="2" customWidth="1"/>
    <col min="2567" max="2567" width="5.5703125" customWidth="1"/>
    <col min="2568" max="2568" width="1.7109375" customWidth="1"/>
    <col min="2569" max="2569" width="1.5703125" customWidth="1"/>
    <col min="2570" max="2570" width="8.5703125" customWidth="1"/>
    <col min="2807" max="2807" width="4.5703125" customWidth="1"/>
    <col min="2808" max="2808" width="6.42578125" customWidth="1"/>
    <col min="2809" max="2809" width="2.7109375" customWidth="1"/>
    <col min="2810" max="2810" width="6.28515625" customWidth="1"/>
    <col min="2811" max="2811" width="6.5703125" customWidth="1"/>
    <col min="2812" max="2812" width="28.5703125" customWidth="1"/>
    <col min="2813" max="2813" width="3.28515625" customWidth="1"/>
    <col min="2814" max="2814" width="1.5703125" customWidth="1"/>
    <col min="2815" max="2815" width="15.140625" customWidth="1"/>
    <col min="2816" max="2816" width="1.5703125" customWidth="1"/>
    <col min="2817" max="2817" width="13.5703125" customWidth="1"/>
    <col min="2818" max="2818" width="1.5703125" customWidth="1"/>
    <col min="2819" max="2819" width="4.7109375" customWidth="1"/>
    <col min="2820" max="2820" width="1.42578125" customWidth="1"/>
    <col min="2821" max="2821" width="3.28515625" customWidth="1"/>
    <col min="2822" max="2822" width="2" customWidth="1"/>
    <col min="2823" max="2823" width="5.5703125" customWidth="1"/>
    <col min="2824" max="2824" width="1.7109375" customWidth="1"/>
    <col min="2825" max="2825" width="1.5703125" customWidth="1"/>
    <col min="2826" max="2826" width="8.5703125" customWidth="1"/>
    <col min="3063" max="3063" width="4.5703125" customWidth="1"/>
    <col min="3064" max="3064" width="6.42578125" customWidth="1"/>
    <col min="3065" max="3065" width="2.7109375" customWidth="1"/>
    <col min="3066" max="3066" width="6.28515625" customWidth="1"/>
    <col min="3067" max="3067" width="6.5703125" customWidth="1"/>
    <col min="3068" max="3068" width="28.5703125" customWidth="1"/>
    <col min="3069" max="3069" width="3.28515625" customWidth="1"/>
    <col min="3070" max="3070" width="1.5703125" customWidth="1"/>
    <col min="3071" max="3071" width="15.140625" customWidth="1"/>
    <col min="3072" max="3072" width="1.5703125" customWidth="1"/>
    <col min="3073" max="3073" width="13.5703125" customWidth="1"/>
    <col min="3074" max="3074" width="1.5703125" customWidth="1"/>
    <col min="3075" max="3075" width="4.7109375" customWidth="1"/>
    <col min="3076" max="3076" width="1.42578125" customWidth="1"/>
    <col min="3077" max="3077" width="3.28515625" customWidth="1"/>
    <col min="3078" max="3078" width="2" customWidth="1"/>
    <col min="3079" max="3079" width="5.5703125" customWidth="1"/>
    <col min="3080" max="3080" width="1.7109375" customWidth="1"/>
    <col min="3081" max="3081" width="1.5703125" customWidth="1"/>
    <col min="3082" max="3082" width="8.5703125" customWidth="1"/>
    <col min="3319" max="3319" width="4.5703125" customWidth="1"/>
    <col min="3320" max="3320" width="6.42578125" customWidth="1"/>
    <col min="3321" max="3321" width="2.7109375" customWidth="1"/>
    <col min="3322" max="3322" width="6.28515625" customWidth="1"/>
    <col min="3323" max="3323" width="6.5703125" customWidth="1"/>
    <col min="3324" max="3324" width="28.5703125" customWidth="1"/>
    <col min="3325" max="3325" width="3.28515625" customWidth="1"/>
    <col min="3326" max="3326" width="1.5703125" customWidth="1"/>
    <col min="3327" max="3327" width="15.140625" customWidth="1"/>
    <col min="3328" max="3328" width="1.5703125" customWidth="1"/>
    <col min="3329" max="3329" width="13.5703125" customWidth="1"/>
    <col min="3330" max="3330" width="1.5703125" customWidth="1"/>
    <col min="3331" max="3331" width="4.7109375" customWidth="1"/>
    <col min="3332" max="3332" width="1.42578125" customWidth="1"/>
    <col min="3333" max="3333" width="3.28515625" customWidth="1"/>
    <col min="3334" max="3334" width="2" customWidth="1"/>
    <col min="3335" max="3335" width="5.5703125" customWidth="1"/>
    <col min="3336" max="3336" width="1.7109375" customWidth="1"/>
    <col min="3337" max="3337" width="1.5703125" customWidth="1"/>
    <col min="3338" max="3338" width="8.5703125" customWidth="1"/>
    <col min="3575" max="3575" width="4.5703125" customWidth="1"/>
    <col min="3576" max="3576" width="6.42578125" customWidth="1"/>
    <col min="3577" max="3577" width="2.7109375" customWidth="1"/>
    <col min="3578" max="3578" width="6.28515625" customWidth="1"/>
    <col min="3579" max="3579" width="6.5703125" customWidth="1"/>
    <col min="3580" max="3580" width="28.5703125" customWidth="1"/>
    <col min="3581" max="3581" width="3.28515625" customWidth="1"/>
    <col min="3582" max="3582" width="1.5703125" customWidth="1"/>
    <col min="3583" max="3583" width="15.140625" customWidth="1"/>
    <col min="3584" max="3584" width="1.5703125" customWidth="1"/>
    <col min="3585" max="3585" width="13.5703125" customWidth="1"/>
    <col min="3586" max="3586" width="1.5703125" customWidth="1"/>
    <col min="3587" max="3587" width="4.7109375" customWidth="1"/>
    <col min="3588" max="3588" width="1.42578125" customWidth="1"/>
    <col min="3589" max="3589" width="3.28515625" customWidth="1"/>
    <col min="3590" max="3590" width="2" customWidth="1"/>
    <col min="3591" max="3591" width="5.5703125" customWidth="1"/>
    <col min="3592" max="3592" width="1.7109375" customWidth="1"/>
    <col min="3593" max="3593" width="1.5703125" customWidth="1"/>
    <col min="3594" max="3594" width="8.5703125" customWidth="1"/>
    <col min="3831" max="3831" width="4.5703125" customWidth="1"/>
    <col min="3832" max="3832" width="6.42578125" customWidth="1"/>
    <col min="3833" max="3833" width="2.7109375" customWidth="1"/>
    <col min="3834" max="3834" width="6.28515625" customWidth="1"/>
    <col min="3835" max="3835" width="6.5703125" customWidth="1"/>
    <col min="3836" max="3836" width="28.5703125" customWidth="1"/>
    <col min="3837" max="3837" width="3.28515625" customWidth="1"/>
    <col min="3838" max="3838" width="1.5703125" customWidth="1"/>
    <col min="3839" max="3839" width="15.140625" customWidth="1"/>
    <col min="3840" max="3840" width="1.5703125" customWidth="1"/>
    <col min="3841" max="3841" width="13.5703125" customWidth="1"/>
    <col min="3842" max="3842" width="1.5703125" customWidth="1"/>
    <col min="3843" max="3843" width="4.7109375" customWidth="1"/>
    <col min="3844" max="3844" width="1.42578125" customWidth="1"/>
    <col min="3845" max="3845" width="3.28515625" customWidth="1"/>
    <col min="3846" max="3846" width="2" customWidth="1"/>
    <col min="3847" max="3847" width="5.5703125" customWidth="1"/>
    <col min="3848" max="3848" width="1.7109375" customWidth="1"/>
    <col min="3849" max="3849" width="1.5703125" customWidth="1"/>
    <col min="3850" max="3850" width="8.5703125" customWidth="1"/>
    <col min="4087" max="4087" width="4.5703125" customWidth="1"/>
    <col min="4088" max="4088" width="6.42578125" customWidth="1"/>
    <col min="4089" max="4089" width="2.7109375" customWidth="1"/>
    <col min="4090" max="4090" width="6.28515625" customWidth="1"/>
    <col min="4091" max="4091" width="6.5703125" customWidth="1"/>
    <col min="4092" max="4092" width="28.5703125" customWidth="1"/>
    <col min="4093" max="4093" width="3.28515625" customWidth="1"/>
    <col min="4094" max="4094" width="1.5703125" customWidth="1"/>
    <col min="4095" max="4095" width="15.140625" customWidth="1"/>
    <col min="4096" max="4096" width="1.5703125" customWidth="1"/>
    <col min="4097" max="4097" width="13.5703125" customWidth="1"/>
    <col min="4098" max="4098" width="1.5703125" customWidth="1"/>
    <col min="4099" max="4099" width="4.7109375" customWidth="1"/>
    <col min="4100" max="4100" width="1.42578125" customWidth="1"/>
    <col min="4101" max="4101" width="3.28515625" customWidth="1"/>
    <col min="4102" max="4102" width="2" customWidth="1"/>
    <col min="4103" max="4103" width="5.5703125" customWidth="1"/>
    <col min="4104" max="4104" width="1.7109375" customWidth="1"/>
    <col min="4105" max="4105" width="1.5703125" customWidth="1"/>
    <col min="4106" max="4106" width="8.5703125" customWidth="1"/>
    <col min="4343" max="4343" width="4.5703125" customWidth="1"/>
    <col min="4344" max="4344" width="6.42578125" customWidth="1"/>
    <col min="4345" max="4345" width="2.7109375" customWidth="1"/>
    <col min="4346" max="4346" width="6.28515625" customWidth="1"/>
    <col min="4347" max="4347" width="6.5703125" customWidth="1"/>
    <col min="4348" max="4348" width="28.5703125" customWidth="1"/>
    <col min="4349" max="4349" width="3.28515625" customWidth="1"/>
    <col min="4350" max="4350" width="1.5703125" customWidth="1"/>
    <col min="4351" max="4351" width="15.140625" customWidth="1"/>
    <col min="4352" max="4352" width="1.5703125" customWidth="1"/>
    <col min="4353" max="4353" width="13.5703125" customWidth="1"/>
    <col min="4354" max="4354" width="1.5703125" customWidth="1"/>
    <col min="4355" max="4355" width="4.7109375" customWidth="1"/>
    <col min="4356" max="4356" width="1.42578125" customWidth="1"/>
    <col min="4357" max="4357" width="3.28515625" customWidth="1"/>
    <col min="4358" max="4358" width="2" customWidth="1"/>
    <col min="4359" max="4359" width="5.5703125" customWidth="1"/>
    <col min="4360" max="4360" width="1.7109375" customWidth="1"/>
    <col min="4361" max="4361" width="1.5703125" customWidth="1"/>
    <col min="4362" max="4362" width="8.5703125" customWidth="1"/>
    <col min="4599" max="4599" width="4.5703125" customWidth="1"/>
    <col min="4600" max="4600" width="6.42578125" customWidth="1"/>
    <col min="4601" max="4601" width="2.7109375" customWidth="1"/>
    <col min="4602" max="4602" width="6.28515625" customWidth="1"/>
    <col min="4603" max="4603" width="6.5703125" customWidth="1"/>
    <col min="4604" max="4604" width="28.5703125" customWidth="1"/>
    <col min="4605" max="4605" width="3.28515625" customWidth="1"/>
    <col min="4606" max="4606" width="1.5703125" customWidth="1"/>
    <col min="4607" max="4607" width="15.140625" customWidth="1"/>
    <col min="4608" max="4608" width="1.5703125" customWidth="1"/>
    <col min="4609" max="4609" width="13.5703125" customWidth="1"/>
    <col min="4610" max="4610" width="1.5703125" customWidth="1"/>
    <col min="4611" max="4611" width="4.7109375" customWidth="1"/>
    <col min="4612" max="4612" width="1.42578125" customWidth="1"/>
    <col min="4613" max="4613" width="3.28515625" customWidth="1"/>
    <col min="4614" max="4614" width="2" customWidth="1"/>
    <col min="4615" max="4615" width="5.5703125" customWidth="1"/>
    <col min="4616" max="4616" width="1.7109375" customWidth="1"/>
    <col min="4617" max="4617" width="1.5703125" customWidth="1"/>
    <col min="4618" max="4618" width="8.5703125" customWidth="1"/>
    <col min="4855" max="4855" width="4.5703125" customWidth="1"/>
    <col min="4856" max="4856" width="6.42578125" customWidth="1"/>
    <col min="4857" max="4857" width="2.7109375" customWidth="1"/>
    <col min="4858" max="4858" width="6.28515625" customWidth="1"/>
    <col min="4859" max="4859" width="6.5703125" customWidth="1"/>
    <col min="4860" max="4860" width="28.5703125" customWidth="1"/>
    <col min="4861" max="4861" width="3.28515625" customWidth="1"/>
    <col min="4862" max="4862" width="1.5703125" customWidth="1"/>
    <col min="4863" max="4863" width="15.140625" customWidth="1"/>
    <col min="4864" max="4864" width="1.5703125" customWidth="1"/>
    <col min="4865" max="4865" width="13.5703125" customWidth="1"/>
    <col min="4866" max="4866" width="1.5703125" customWidth="1"/>
    <col min="4867" max="4867" width="4.7109375" customWidth="1"/>
    <col min="4868" max="4868" width="1.42578125" customWidth="1"/>
    <col min="4869" max="4869" width="3.28515625" customWidth="1"/>
    <col min="4870" max="4870" width="2" customWidth="1"/>
    <col min="4871" max="4871" width="5.5703125" customWidth="1"/>
    <col min="4872" max="4872" width="1.7109375" customWidth="1"/>
    <col min="4873" max="4873" width="1.5703125" customWidth="1"/>
    <col min="4874" max="4874" width="8.5703125" customWidth="1"/>
    <col min="5111" max="5111" width="4.5703125" customWidth="1"/>
    <col min="5112" max="5112" width="6.42578125" customWidth="1"/>
    <col min="5113" max="5113" width="2.7109375" customWidth="1"/>
    <col min="5114" max="5114" width="6.28515625" customWidth="1"/>
    <col min="5115" max="5115" width="6.5703125" customWidth="1"/>
    <col min="5116" max="5116" width="28.5703125" customWidth="1"/>
    <col min="5117" max="5117" width="3.28515625" customWidth="1"/>
    <col min="5118" max="5118" width="1.5703125" customWidth="1"/>
    <col min="5119" max="5119" width="15.140625" customWidth="1"/>
    <col min="5120" max="5120" width="1.5703125" customWidth="1"/>
    <col min="5121" max="5121" width="13.5703125" customWidth="1"/>
    <col min="5122" max="5122" width="1.5703125" customWidth="1"/>
    <col min="5123" max="5123" width="4.7109375" customWidth="1"/>
    <col min="5124" max="5124" width="1.42578125" customWidth="1"/>
    <col min="5125" max="5125" width="3.28515625" customWidth="1"/>
    <col min="5126" max="5126" width="2" customWidth="1"/>
    <col min="5127" max="5127" width="5.5703125" customWidth="1"/>
    <col min="5128" max="5128" width="1.7109375" customWidth="1"/>
    <col min="5129" max="5129" width="1.5703125" customWidth="1"/>
    <col min="5130" max="5130" width="8.5703125" customWidth="1"/>
    <col min="5367" max="5367" width="4.5703125" customWidth="1"/>
    <col min="5368" max="5368" width="6.42578125" customWidth="1"/>
    <col min="5369" max="5369" width="2.7109375" customWidth="1"/>
    <col min="5370" max="5370" width="6.28515625" customWidth="1"/>
    <col min="5371" max="5371" width="6.5703125" customWidth="1"/>
    <col min="5372" max="5372" width="28.5703125" customWidth="1"/>
    <col min="5373" max="5373" width="3.28515625" customWidth="1"/>
    <col min="5374" max="5374" width="1.5703125" customWidth="1"/>
    <col min="5375" max="5375" width="15.140625" customWidth="1"/>
    <col min="5376" max="5376" width="1.5703125" customWidth="1"/>
    <col min="5377" max="5377" width="13.5703125" customWidth="1"/>
    <col min="5378" max="5378" width="1.5703125" customWidth="1"/>
    <col min="5379" max="5379" width="4.7109375" customWidth="1"/>
    <col min="5380" max="5380" width="1.42578125" customWidth="1"/>
    <col min="5381" max="5381" width="3.28515625" customWidth="1"/>
    <col min="5382" max="5382" width="2" customWidth="1"/>
    <col min="5383" max="5383" width="5.5703125" customWidth="1"/>
    <col min="5384" max="5384" width="1.7109375" customWidth="1"/>
    <col min="5385" max="5385" width="1.5703125" customWidth="1"/>
    <col min="5386" max="5386" width="8.5703125" customWidth="1"/>
    <col min="5623" max="5623" width="4.5703125" customWidth="1"/>
    <col min="5624" max="5624" width="6.42578125" customWidth="1"/>
    <col min="5625" max="5625" width="2.7109375" customWidth="1"/>
    <col min="5626" max="5626" width="6.28515625" customWidth="1"/>
    <col min="5627" max="5627" width="6.5703125" customWidth="1"/>
    <col min="5628" max="5628" width="28.5703125" customWidth="1"/>
    <col min="5629" max="5629" width="3.28515625" customWidth="1"/>
    <col min="5630" max="5630" width="1.5703125" customWidth="1"/>
    <col min="5631" max="5631" width="15.140625" customWidth="1"/>
    <col min="5632" max="5632" width="1.5703125" customWidth="1"/>
    <col min="5633" max="5633" width="13.5703125" customWidth="1"/>
    <col min="5634" max="5634" width="1.5703125" customWidth="1"/>
    <col min="5635" max="5635" width="4.7109375" customWidth="1"/>
    <col min="5636" max="5636" width="1.42578125" customWidth="1"/>
    <col min="5637" max="5637" width="3.28515625" customWidth="1"/>
    <col min="5638" max="5638" width="2" customWidth="1"/>
    <col min="5639" max="5639" width="5.5703125" customWidth="1"/>
    <col min="5640" max="5640" width="1.7109375" customWidth="1"/>
    <col min="5641" max="5641" width="1.5703125" customWidth="1"/>
    <col min="5642" max="5642" width="8.5703125" customWidth="1"/>
    <col min="5879" max="5879" width="4.5703125" customWidth="1"/>
    <col min="5880" max="5880" width="6.42578125" customWidth="1"/>
    <col min="5881" max="5881" width="2.7109375" customWidth="1"/>
    <col min="5882" max="5882" width="6.28515625" customWidth="1"/>
    <col min="5883" max="5883" width="6.5703125" customWidth="1"/>
    <col min="5884" max="5884" width="28.5703125" customWidth="1"/>
    <col min="5885" max="5885" width="3.28515625" customWidth="1"/>
    <col min="5886" max="5886" width="1.5703125" customWidth="1"/>
    <col min="5887" max="5887" width="15.140625" customWidth="1"/>
    <col min="5888" max="5888" width="1.5703125" customWidth="1"/>
    <col min="5889" max="5889" width="13.5703125" customWidth="1"/>
    <col min="5890" max="5890" width="1.5703125" customWidth="1"/>
    <col min="5891" max="5891" width="4.7109375" customWidth="1"/>
    <col min="5892" max="5892" width="1.42578125" customWidth="1"/>
    <col min="5893" max="5893" width="3.28515625" customWidth="1"/>
    <col min="5894" max="5894" width="2" customWidth="1"/>
    <col min="5895" max="5895" width="5.5703125" customWidth="1"/>
    <col min="5896" max="5896" width="1.7109375" customWidth="1"/>
    <col min="5897" max="5897" width="1.5703125" customWidth="1"/>
    <col min="5898" max="5898" width="8.5703125" customWidth="1"/>
    <col min="6135" max="6135" width="4.5703125" customWidth="1"/>
    <col min="6136" max="6136" width="6.42578125" customWidth="1"/>
    <col min="6137" max="6137" width="2.7109375" customWidth="1"/>
    <col min="6138" max="6138" width="6.28515625" customWidth="1"/>
    <col min="6139" max="6139" width="6.5703125" customWidth="1"/>
    <col min="6140" max="6140" width="28.5703125" customWidth="1"/>
    <col min="6141" max="6141" width="3.28515625" customWidth="1"/>
    <col min="6142" max="6142" width="1.5703125" customWidth="1"/>
    <col min="6143" max="6143" width="15.140625" customWidth="1"/>
    <col min="6144" max="6144" width="1.5703125" customWidth="1"/>
    <col min="6145" max="6145" width="13.5703125" customWidth="1"/>
    <col min="6146" max="6146" width="1.5703125" customWidth="1"/>
    <col min="6147" max="6147" width="4.7109375" customWidth="1"/>
    <col min="6148" max="6148" width="1.42578125" customWidth="1"/>
    <col min="6149" max="6149" width="3.28515625" customWidth="1"/>
    <col min="6150" max="6150" width="2" customWidth="1"/>
    <col min="6151" max="6151" width="5.5703125" customWidth="1"/>
    <col min="6152" max="6152" width="1.7109375" customWidth="1"/>
    <col min="6153" max="6153" width="1.5703125" customWidth="1"/>
    <col min="6154" max="6154" width="8.5703125" customWidth="1"/>
    <col min="6391" max="6391" width="4.5703125" customWidth="1"/>
    <col min="6392" max="6392" width="6.42578125" customWidth="1"/>
    <col min="6393" max="6393" width="2.7109375" customWidth="1"/>
    <col min="6394" max="6394" width="6.28515625" customWidth="1"/>
    <col min="6395" max="6395" width="6.5703125" customWidth="1"/>
    <col min="6396" max="6396" width="28.5703125" customWidth="1"/>
    <col min="6397" max="6397" width="3.28515625" customWidth="1"/>
    <col min="6398" max="6398" width="1.5703125" customWidth="1"/>
    <col min="6399" max="6399" width="15.140625" customWidth="1"/>
    <col min="6400" max="6400" width="1.5703125" customWidth="1"/>
    <col min="6401" max="6401" width="13.5703125" customWidth="1"/>
    <col min="6402" max="6402" width="1.5703125" customWidth="1"/>
    <col min="6403" max="6403" width="4.7109375" customWidth="1"/>
    <col min="6404" max="6404" width="1.42578125" customWidth="1"/>
    <col min="6405" max="6405" width="3.28515625" customWidth="1"/>
    <col min="6406" max="6406" width="2" customWidth="1"/>
    <col min="6407" max="6407" width="5.5703125" customWidth="1"/>
    <col min="6408" max="6408" width="1.7109375" customWidth="1"/>
    <col min="6409" max="6409" width="1.5703125" customWidth="1"/>
    <col min="6410" max="6410" width="8.5703125" customWidth="1"/>
    <col min="6647" max="6647" width="4.5703125" customWidth="1"/>
    <col min="6648" max="6648" width="6.42578125" customWidth="1"/>
    <col min="6649" max="6649" width="2.7109375" customWidth="1"/>
    <col min="6650" max="6650" width="6.28515625" customWidth="1"/>
    <col min="6651" max="6651" width="6.5703125" customWidth="1"/>
    <col min="6652" max="6652" width="28.5703125" customWidth="1"/>
    <col min="6653" max="6653" width="3.28515625" customWidth="1"/>
    <col min="6654" max="6654" width="1.5703125" customWidth="1"/>
    <col min="6655" max="6655" width="15.140625" customWidth="1"/>
    <col min="6656" max="6656" width="1.5703125" customWidth="1"/>
    <col min="6657" max="6657" width="13.5703125" customWidth="1"/>
    <col min="6658" max="6658" width="1.5703125" customWidth="1"/>
    <col min="6659" max="6659" width="4.7109375" customWidth="1"/>
    <col min="6660" max="6660" width="1.42578125" customWidth="1"/>
    <col min="6661" max="6661" width="3.28515625" customWidth="1"/>
    <col min="6662" max="6662" width="2" customWidth="1"/>
    <col min="6663" max="6663" width="5.5703125" customWidth="1"/>
    <col min="6664" max="6664" width="1.7109375" customWidth="1"/>
    <col min="6665" max="6665" width="1.5703125" customWidth="1"/>
    <col min="6666" max="6666" width="8.5703125" customWidth="1"/>
    <col min="6903" max="6903" width="4.5703125" customWidth="1"/>
    <col min="6904" max="6904" width="6.42578125" customWidth="1"/>
    <col min="6905" max="6905" width="2.7109375" customWidth="1"/>
    <col min="6906" max="6906" width="6.28515625" customWidth="1"/>
    <col min="6907" max="6907" width="6.5703125" customWidth="1"/>
    <col min="6908" max="6908" width="28.5703125" customWidth="1"/>
    <col min="6909" max="6909" width="3.28515625" customWidth="1"/>
    <col min="6910" max="6910" width="1.5703125" customWidth="1"/>
    <col min="6911" max="6911" width="15.140625" customWidth="1"/>
    <col min="6912" max="6912" width="1.5703125" customWidth="1"/>
    <col min="6913" max="6913" width="13.5703125" customWidth="1"/>
    <col min="6914" max="6914" width="1.5703125" customWidth="1"/>
    <col min="6915" max="6915" width="4.7109375" customWidth="1"/>
    <col min="6916" max="6916" width="1.42578125" customWidth="1"/>
    <col min="6917" max="6917" width="3.28515625" customWidth="1"/>
    <col min="6918" max="6918" width="2" customWidth="1"/>
    <col min="6919" max="6919" width="5.5703125" customWidth="1"/>
    <col min="6920" max="6920" width="1.7109375" customWidth="1"/>
    <col min="6921" max="6921" width="1.5703125" customWidth="1"/>
    <col min="6922" max="6922" width="8.5703125" customWidth="1"/>
    <col min="7159" max="7159" width="4.5703125" customWidth="1"/>
    <col min="7160" max="7160" width="6.42578125" customWidth="1"/>
    <col min="7161" max="7161" width="2.7109375" customWidth="1"/>
    <col min="7162" max="7162" width="6.28515625" customWidth="1"/>
    <col min="7163" max="7163" width="6.5703125" customWidth="1"/>
    <col min="7164" max="7164" width="28.5703125" customWidth="1"/>
    <col min="7165" max="7165" width="3.28515625" customWidth="1"/>
    <col min="7166" max="7166" width="1.5703125" customWidth="1"/>
    <col min="7167" max="7167" width="15.140625" customWidth="1"/>
    <col min="7168" max="7168" width="1.5703125" customWidth="1"/>
    <col min="7169" max="7169" width="13.5703125" customWidth="1"/>
    <col min="7170" max="7170" width="1.5703125" customWidth="1"/>
    <col min="7171" max="7171" width="4.7109375" customWidth="1"/>
    <col min="7172" max="7172" width="1.42578125" customWidth="1"/>
    <col min="7173" max="7173" width="3.28515625" customWidth="1"/>
    <col min="7174" max="7174" width="2" customWidth="1"/>
    <col min="7175" max="7175" width="5.5703125" customWidth="1"/>
    <col min="7176" max="7176" width="1.7109375" customWidth="1"/>
    <col min="7177" max="7177" width="1.5703125" customWidth="1"/>
    <col min="7178" max="7178" width="8.5703125" customWidth="1"/>
    <col min="7415" max="7415" width="4.5703125" customWidth="1"/>
    <col min="7416" max="7416" width="6.42578125" customWidth="1"/>
    <col min="7417" max="7417" width="2.7109375" customWidth="1"/>
    <col min="7418" max="7418" width="6.28515625" customWidth="1"/>
    <col min="7419" max="7419" width="6.5703125" customWidth="1"/>
    <col min="7420" max="7420" width="28.5703125" customWidth="1"/>
    <col min="7421" max="7421" width="3.28515625" customWidth="1"/>
    <col min="7422" max="7422" width="1.5703125" customWidth="1"/>
    <col min="7423" max="7423" width="15.140625" customWidth="1"/>
    <col min="7424" max="7424" width="1.5703125" customWidth="1"/>
    <col min="7425" max="7425" width="13.5703125" customWidth="1"/>
    <col min="7426" max="7426" width="1.5703125" customWidth="1"/>
    <col min="7427" max="7427" width="4.7109375" customWidth="1"/>
    <col min="7428" max="7428" width="1.42578125" customWidth="1"/>
    <col min="7429" max="7429" width="3.28515625" customWidth="1"/>
    <col min="7430" max="7430" width="2" customWidth="1"/>
    <col min="7431" max="7431" width="5.5703125" customWidth="1"/>
    <col min="7432" max="7432" width="1.7109375" customWidth="1"/>
    <col min="7433" max="7433" width="1.5703125" customWidth="1"/>
    <col min="7434" max="7434" width="8.5703125" customWidth="1"/>
    <col min="7671" max="7671" width="4.5703125" customWidth="1"/>
    <col min="7672" max="7672" width="6.42578125" customWidth="1"/>
    <col min="7673" max="7673" width="2.7109375" customWidth="1"/>
    <col min="7674" max="7674" width="6.28515625" customWidth="1"/>
    <col min="7675" max="7675" width="6.5703125" customWidth="1"/>
    <col min="7676" max="7676" width="28.5703125" customWidth="1"/>
    <col min="7677" max="7677" width="3.28515625" customWidth="1"/>
    <col min="7678" max="7678" width="1.5703125" customWidth="1"/>
    <col min="7679" max="7679" width="15.140625" customWidth="1"/>
    <col min="7680" max="7680" width="1.5703125" customWidth="1"/>
    <col min="7681" max="7681" width="13.5703125" customWidth="1"/>
    <col min="7682" max="7682" width="1.5703125" customWidth="1"/>
    <col min="7683" max="7683" width="4.7109375" customWidth="1"/>
    <col min="7684" max="7684" width="1.42578125" customWidth="1"/>
    <col min="7685" max="7685" width="3.28515625" customWidth="1"/>
    <col min="7686" max="7686" width="2" customWidth="1"/>
    <col min="7687" max="7687" width="5.5703125" customWidth="1"/>
    <col min="7688" max="7688" width="1.7109375" customWidth="1"/>
    <col min="7689" max="7689" width="1.5703125" customWidth="1"/>
    <col min="7690" max="7690" width="8.5703125" customWidth="1"/>
    <col min="7927" max="7927" width="4.5703125" customWidth="1"/>
    <col min="7928" max="7928" width="6.42578125" customWidth="1"/>
    <col min="7929" max="7929" width="2.7109375" customWidth="1"/>
    <col min="7930" max="7930" width="6.28515625" customWidth="1"/>
    <col min="7931" max="7931" width="6.5703125" customWidth="1"/>
    <col min="7932" max="7932" width="28.5703125" customWidth="1"/>
    <col min="7933" max="7933" width="3.28515625" customWidth="1"/>
    <col min="7934" max="7934" width="1.5703125" customWidth="1"/>
    <col min="7935" max="7935" width="15.140625" customWidth="1"/>
    <col min="7936" max="7936" width="1.5703125" customWidth="1"/>
    <col min="7937" max="7937" width="13.5703125" customWidth="1"/>
    <col min="7938" max="7938" width="1.5703125" customWidth="1"/>
    <col min="7939" max="7939" width="4.7109375" customWidth="1"/>
    <col min="7940" max="7940" width="1.42578125" customWidth="1"/>
    <col min="7941" max="7941" width="3.28515625" customWidth="1"/>
    <col min="7942" max="7942" width="2" customWidth="1"/>
    <col min="7943" max="7943" width="5.5703125" customWidth="1"/>
    <col min="7944" max="7944" width="1.7109375" customWidth="1"/>
    <col min="7945" max="7945" width="1.5703125" customWidth="1"/>
    <col min="7946" max="7946" width="8.5703125" customWidth="1"/>
    <col min="8183" max="8183" width="4.5703125" customWidth="1"/>
    <col min="8184" max="8184" width="6.42578125" customWidth="1"/>
    <col min="8185" max="8185" width="2.7109375" customWidth="1"/>
    <col min="8186" max="8186" width="6.28515625" customWidth="1"/>
    <col min="8187" max="8187" width="6.5703125" customWidth="1"/>
    <col min="8188" max="8188" width="28.5703125" customWidth="1"/>
    <col min="8189" max="8189" width="3.28515625" customWidth="1"/>
    <col min="8190" max="8190" width="1.5703125" customWidth="1"/>
    <col min="8191" max="8191" width="15.140625" customWidth="1"/>
    <col min="8192" max="8192" width="1.5703125" customWidth="1"/>
    <col min="8193" max="8193" width="13.5703125" customWidth="1"/>
    <col min="8194" max="8194" width="1.5703125" customWidth="1"/>
    <col min="8195" max="8195" width="4.7109375" customWidth="1"/>
    <col min="8196" max="8196" width="1.42578125" customWidth="1"/>
    <col min="8197" max="8197" width="3.28515625" customWidth="1"/>
    <col min="8198" max="8198" width="2" customWidth="1"/>
    <col min="8199" max="8199" width="5.5703125" customWidth="1"/>
    <col min="8200" max="8200" width="1.7109375" customWidth="1"/>
    <col min="8201" max="8201" width="1.5703125" customWidth="1"/>
    <col min="8202" max="8202" width="8.5703125" customWidth="1"/>
    <col min="8439" max="8439" width="4.5703125" customWidth="1"/>
    <col min="8440" max="8440" width="6.42578125" customWidth="1"/>
    <col min="8441" max="8441" width="2.7109375" customWidth="1"/>
    <col min="8442" max="8442" width="6.28515625" customWidth="1"/>
    <col min="8443" max="8443" width="6.5703125" customWidth="1"/>
    <col min="8444" max="8444" width="28.5703125" customWidth="1"/>
    <col min="8445" max="8445" width="3.28515625" customWidth="1"/>
    <col min="8446" max="8446" width="1.5703125" customWidth="1"/>
    <col min="8447" max="8447" width="15.140625" customWidth="1"/>
    <col min="8448" max="8448" width="1.5703125" customWidth="1"/>
    <col min="8449" max="8449" width="13.5703125" customWidth="1"/>
    <col min="8450" max="8450" width="1.5703125" customWidth="1"/>
    <col min="8451" max="8451" width="4.7109375" customWidth="1"/>
    <col min="8452" max="8452" width="1.42578125" customWidth="1"/>
    <col min="8453" max="8453" width="3.28515625" customWidth="1"/>
    <col min="8454" max="8454" width="2" customWidth="1"/>
    <col min="8455" max="8455" width="5.5703125" customWidth="1"/>
    <col min="8456" max="8456" width="1.7109375" customWidth="1"/>
    <col min="8457" max="8457" width="1.5703125" customWidth="1"/>
    <col min="8458" max="8458" width="8.5703125" customWidth="1"/>
    <col min="8695" max="8695" width="4.5703125" customWidth="1"/>
    <col min="8696" max="8696" width="6.42578125" customWidth="1"/>
    <col min="8697" max="8697" width="2.7109375" customWidth="1"/>
    <col min="8698" max="8698" width="6.28515625" customWidth="1"/>
    <col min="8699" max="8699" width="6.5703125" customWidth="1"/>
    <col min="8700" max="8700" width="28.5703125" customWidth="1"/>
    <col min="8701" max="8701" width="3.28515625" customWidth="1"/>
    <col min="8702" max="8702" width="1.5703125" customWidth="1"/>
    <col min="8703" max="8703" width="15.140625" customWidth="1"/>
    <col min="8704" max="8704" width="1.5703125" customWidth="1"/>
    <col min="8705" max="8705" width="13.5703125" customWidth="1"/>
    <col min="8706" max="8706" width="1.5703125" customWidth="1"/>
    <col min="8707" max="8707" width="4.7109375" customWidth="1"/>
    <col min="8708" max="8708" width="1.42578125" customWidth="1"/>
    <col min="8709" max="8709" width="3.28515625" customWidth="1"/>
    <col min="8710" max="8710" width="2" customWidth="1"/>
    <col min="8711" max="8711" width="5.5703125" customWidth="1"/>
    <col min="8712" max="8712" width="1.7109375" customWidth="1"/>
    <col min="8713" max="8713" width="1.5703125" customWidth="1"/>
    <col min="8714" max="8714" width="8.5703125" customWidth="1"/>
    <col min="8951" max="8951" width="4.5703125" customWidth="1"/>
    <col min="8952" max="8952" width="6.42578125" customWidth="1"/>
    <col min="8953" max="8953" width="2.7109375" customWidth="1"/>
    <col min="8954" max="8954" width="6.28515625" customWidth="1"/>
    <col min="8955" max="8955" width="6.5703125" customWidth="1"/>
    <col min="8956" max="8956" width="28.5703125" customWidth="1"/>
    <col min="8957" max="8957" width="3.28515625" customWidth="1"/>
    <col min="8958" max="8958" width="1.5703125" customWidth="1"/>
    <col min="8959" max="8959" width="15.140625" customWidth="1"/>
    <col min="8960" max="8960" width="1.5703125" customWidth="1"/>
    <col min="8961" max="8961" width="13.5703125" customWidth="1"/>
    <col min="8962" max="8962" width="1.5703125" customWidth="1"/>
    <col min="8963" max="8963" width="4.7109375" customWidth="1"/>
    <col min="8964" max="8964" width="1.42578125" customWidth="1"/>
    <col min="8965" max="8965" width="3.28515625" customWidth="1"/>
    <col min="8966" max="8966" width="2" customWidth="1"/>
    <col min="8967" max="8967" width="5.5703125" customWidth="1"/>
    <col min="8968" max="8968" width="1.7109375" customWidth="1"/>
    <col min="8969" max="8969" width="1.5703125" customWidth="1"/>
    <col min="8970" max="8970" width="8.5703125" customWidth="1"/>
    <col min="9207" max="9207" width="4.5703125" customWidth="1"/>
    <col min="9208" max="9208" width="6.42578125" customWidth="1"/>
    <col min="9209" max="9209" width="2.7109375" customWidth="1"/>
    <col min="9210" max="9210" width="6.28515625" customWidth="1"/>
    <col min="9211" max="9211" width="6.5703125" customWidth="1"/>
    <col min="9212" max="9212" width="28.5703125" customWidth="1"/>
    <col min="9213" max="9213" width="3.28515625" customWidth="1"/>
    <col min="9214" max="9214" width="1.5703125" customWidth="1"/>
    <col min="9215" max="9215" width="15.140625" customWidth="1"/>
    <col min="9216" max="9216" width="1.5703125" customWidth="1"/>
    <col min="9217" max="9217" width="13.5703125" customWidth="1"/>
    <col min="9218" max="9218" width="1.5703125" customWidth="1"/>
    <col min="9219" max="9219" width="4.7109375" customWidth="1"/>
    <col min="9220" max="9220" width="1.42578125" customWidth="1"/>
    <col min="9221" max="9221" width="3.28515625" customWidth="1"/>
    <col min="9222" max="9222" width="2" customWidth="1"/>
    <col min="9223" max="9223" width="5.5703125" customWidth="1"/>
    <col min="9224" max="9224" width="1.7109375" customWidth="1"/>
    <col min="9225" max="9225" width="1.5703125" customWidth="1"/>
    <col min="9226" max="9226" width="8.5703125" customWidth="1"/>
    <col min="9463" max="9463" width="4.5703125" customWidth="1"/>
    <col min="9464" max="9464" width="6.42578125" customWidth="1"/>
    <col min="9465" max="9465" width="2.7109375" customWidth="1"/>
    <col min="9466" max="9466" width="6.28515625" customWidth="1"/>
    <col min="9467" max="9467" width="6.5703125" customWidth="1"/>
    <col min="9468" max="9468" width="28.5703125" customWidth="1"/>
    <col min="9469" max="9469" width="3.28515625" customWidth="1"/>
    <col min="9470" max="9470" width="1.5703125" customWidth="1"/>
    <col min="9471" max="9471" width="15.140625" customWidth="1"/>
    <col min="9472" max="9472" width="1.5703125" customWidth="1"/>
    <col min="9473" max="9473" width="13.5703125" customWidth="1"/>
    <col min="9474" max="9474" width="1.5703125" customWidth="1"/>
    <col min="9475" max="9475" width="4.7109375" customWidth="1"/>
    <col min="9476" max="9476" width="1.42578125" customWidth="1"/>
    <col min="9477" max="9477" width="3.28515625" customWidth="1"/>
    <col min="9478" max="9478" width="2" customWidth="1"/>
    <col min="9479" max="9479" width="5.5703125" customWidth="1"/>
    <col min="9480" max="9480" width="1.7109375" customWidth="1"/>
    <col min="9481" max="9481" width="1.5703125" customWidth="1"/>
    <col min="9482" max="9482" width="8.5703125" customWidth="1"/>
    <col min="9719" max="9719" width="4.5703125" customWidth="1"/>
    <col min="9720" max="9720" width="6.42578125" customWidth="1"/>
    <col min="9721" max="9721" width="2.7109375" customWidth="1"/>
    <col min="9722" max="9722" width="6.28515625" customWidth="1"/>
    <col min="9723" max="9723" width="6.5703125" customWidth="1"/>
    <col min="9724" max="9724" width="28.5703125" customWidth="1"/>
    <col min="9725" max="9725" width="3.28515625" customWidth="1"/>
    <col min="9726" max="9726" width="1.5703125" customWidth="1"/>
    <col min="9727" max="9727" width="15.140625" customWidth="1"/>
    <col min="9728" max="9728" width="1.5703125" customWidth="1"/>
    <col min="9729" max="9729" width="13.5703125" customWidth="1"/>
    <col min="9730" max="9730" width="1.5703125" customWidth="1"/>
    <col min="9731" max="9731" width="4.7109375" customWidth="1"/>
    <col min="9732" max="9732" width="1.42578125" customWidth="1"/>
    <col min="9733" max="9733" width="3.28515625" customWidth="1"/>
    <col min="9734" max="9734" width="2" customWidth="1"/>
    <col min="9735" max="9735" width="5.5703125" customWidth="1"/>
    <col min="9736" max="9736" width="1.7109375" customWidth="1"/>
    <col min="9737" max="9737" width="1.5703125" customWidth="1"/>
    <col min="9738" max="9738" width="8.5703125" customWidth="1"/>
    <col min="9975" max="9975" width="4.5703125" customWidth="1"/>
    <col min="9976" max="9976" width="6.42578125" customWidth="1"/>
    <col min="9977" max="9977" width="2.7109375" customWidth="1"/>
    <col min="9978" max="9978" width="6.28515625" customWidth="1"/>
    <col min="9979" max="9979" width="6.5703125" customWidth="1"/>
    <col min="9980" max="9980" width="28.5703125" customWidth="1"/>
    <col min="9981" max="9981" width="3.28515625" customWidth="1"/>
    <col min="9982" max="9982" width="1.5703125" customWidth="1"/>
    <col min="9983" max="9983" width="15.140625" customWidth="1"/>
    <col min="9984" max="9984" width="1.5703125" customWidth="1"/>
    <col min="9985" max="9985" width="13.5703125" customWidth="1"/>
    <col min="9986" max="9986" width="1.5703125" customWidth="1"/>
    <col min="9987" max="9987" width="4.7109375" customWidth="1"/>
    <col min="9988" max="9988" width="1.42578125" customWidth="1"/>
    <col min="9989" max="9989" width="3.28515625" customWidth="1"/>
    <col min="9990" max="9990" width="2" customWidth="1"/>
    <col min="9991" max="9991" width="5.5703125" customWidth="1"/>
    <col min="9992" max="9992" width="1.7109375" customWidth="1"/>
    <col min="9993" max="9993" width="1.5703125" customWidth="1"/>
    <col min="9994" max="9994" width="8.5703125" customWidth="1"/>
    <col min="10231" max="10231" width="4.5703125" customWidth="1"/>
    <col min="10232" max="10232" width="6.42578125" customWidth="1"/>
    <col min="10233" max="10233" width="2.7109375" customWidth="1"/>
    <col min="10234" max="10234" width="6.28515625" customWidth="1"/>
    <col min="10235" max="10235" width="6.5703125" customWidth="1"/>
    <col min="10236" max="10236" width="28.5703125" customWidth="1"/>
    <col min="10237" max="10237" width="3.28515625" customWidth="1"/>
    <col min="10238" max="10238" width="1.5703125" customWidth="1"/>
    <col min="10239" max="10239" width="15.140625" customWidth="1"/>
    <col min="10240" max="10240" width="1.5703125" customWidth="1"/>
    <col min="10241" max="10241" width="13.5703125" customWidth="1"/>
    <col min="10242" max="10242" width="1.5703125" customWidth="1"/>
    <col min="10243" max="10243" width="4.7109375" customWidth="1"/>
    <col min="10244" max="10244" width="1.42578125" customWidth="1"/>
    <col min="10245" max="10245" width="3.28515625" customWidth="1"/>
    <col min="10246" max="10246" width="2" customWidth="1"/>
    <col min="10247" max="10247" width="5.5703125" customWidth="1"/>
    <col min="10248" max="10248" width="1.7109375" customWidth="1"/>
    <col min="10249" max="10249" width="1.5703125" customWidth="1"/>
    <col min="10250" max="10250" width="8.5703125" customWidth="1"/>
    <col min="10487" max="10487" width="4.5703125" customWidth="1"/>
    <col min="10488" max="10488" width="6.42578125" customWidth="1"/>
    <col min="10489" max="10489" width="2.7109375" customWidth="1"/>
    <col min="10490" max="10490" width="6.28515625" customWidth="1"/>
    <col min="10491" max="10491" width="6.5703125" customWidth="1"/>
    <col min="10492" max="10492" width="28.5703125" customWidth="1"/>
    <col min="10493" max="10493" width="3.28515625" customWidth="1"/>
    <col min="10494" max="10494" width="1.5703125" customWidth="1"/>
    <col min="10495" max="10495" width="15.140625" customWidth="1"/>
    <col min="10496" max="10496" width="1.5703125" customWidth="1"/>
    <col min="10497" max="10497" width="13.5703125" customWidth="1"/>
    <col min="10498" max="10498" width="1.5703125" customWidth="1"/>
    <col min="10499" max="10499" width="4.7109375" customWidth="1"/>
    <col min="10500" max="10500" width="1.42578125" customWidth="1"/>
    <col min="10501" max="10501" width="3.28515625" customWidth="1"/>
    <col min="10502" max="10502" width="2" customWidth="1"/>
    <col min="10503" max="10503" width="5.5703125" customWidth="1"/>
    <col min="10504" max="10504" width="1.7109375" customWidth="1"/>
    <col min="10505" max="10505" width="1.5703125" customWidth="1"/>
    <col min="10506" max="10506" width="8.5703125" customWidth="1"/>
    <col min="10743" max="10743" width="4.5703125" customWidth="1"/>
    <col min="10744" max="10744" width="6.42578125" customWidth="1"/>
    <col min="10745" max="10745" width="2.7109375" customWidth="1"/>
    <col min="10746" max="10746" width="6.28515625" customWidth="1"/>
    <col min="10747" max="10747" width="6.5703125" customWidth="1"/>
    <col min="10748" max="10748" width="28.5703125" customWidth="1"/>
    <col min="10749" max="10749" width="3.28515625" customWidth="1"/>
    <col min="10750" max="10750" width="1.5703125" customWidth="1"/>
    <col min="10751" max="10751" width="15.140625" customWidth="1"/>
    <col min="10752" max="10752" width="1.5703125" customWidth="1"/>
    <col min="10753" max="10753" width="13.5703125" customWidth="1"/>
    <col min="10754" max="10754" width="1.5703125" customWidth="1"/>
    <col min="10755" max="10755" width="4.7109375" customWidth="1"/>
    <col min="10756" max="10756" width="1.42578125" customWidth="1"/>
    <col min="10757" max="10757" width="3.28515625" customWidth="1"/>
    <col min="10758" max="10758" width="2" customWidth="1"/>
    <col min="10759" max="10759" width="5.5703125" customWidth="1"/>
    <col min="10760" max="10760" width="1.7109375" customWidth="1"/>
    <col min="10761" max="10761" width="1.5703125" customWidth="1"/>
    <col min="10762" max="10762" width="8.5703125" customWidth="1"/>
    <col min="10999" max="10999" width="4.5703125" customWidth="1"/>
    <col min="11000" max="11000" width="6.42578125" customWidth="1"/>
    <col min="11001" max="11001" width="2.7109375" customWidth="1"/>
    <col min="11002" max="11002" width="6.28515625" customWidth="1"/>
    <col min="11003" max="11003" width="6.5703125" customWidth="1"/>
    <col min="11004" max="11004" width="28.5703125" customWidth="1"/>
    <col min="11005" max="11005" width="3.28515625" customWidth="1"/>
    <col min="11006" max="11006" width="1.5703125" customWidth="1"/>
    <col min="11007" max="11007" width="15.140625" customWidth="1"/>
    <col min="11008" max="11008" width="1.5703125" customWidth="1"/>
    <col min="11009" max="11009" width="13.5703125" customWidth="1"/>
    <col min="11010" max="11010" width="1.5703125" customWidth="1"/>
    <col min="11011" max="11011" width="4.7109375" customWidth="1"/>
    <col min="11012" max="11012" width="1.42578125" customWidth="1"/>
    <col min="11013" max="11013" width="3.28515625" customWidth="1"/>
    <col min="11014" max="11014" width="2" customWidth="1"/>
    <col min="11015" max="11015" width="5.5703125" customWidth="1"/>
    <col min="11016" max="11016" width="1.7109375" customWidth="1"/>
    <col min="11017" max="11017" width="1.5703125" customWidth="1"/>
    <col min="11018" max="11018" width="8.5703125" customWidth="1"/>
    <col min="11255" max="11255" width="4.5703125" customWidth="1"/>
    <col min="11256" max="11256" width="6.42578125" customWidth="1"/>
    <col min="11257" max="11257" width="2.7109375" customWidth="1"/>
    <col min="11258" max="11258" width="6.28515625" customWidth="1"/>
    <col min="11259" max="11259" width="6.5703125" customWidth="1"/>
    <col min="11260" max="11260" width="28.5703125" customWidth="1"/>
    <col min="11261" max="11261" width="3.28515625" customWidth="1"/>
    <col min="11262" max="11262" width="1.5703125" customWidth="1"/>
    <col min="11263" max="11263" width="15.140625" customWidth="1"/>
    <col min="11264" max="11264" width="1.5703125" customWidth="1"/>
    <col min="11265" max="11265" width="13.5703125" customWidth="1"/>
    <col min="11266" max="11266" width="1.5703125" customWidth="1"/>
    <col min="11267" max="11267" width="4.7109375" customWidth="1"/>
    <col min="11268" max="11268" width="1.42578125" customWidth="1"/>
    <col min="11269" max="11269" width="3.28515625" customWidth="1"/>
    <col min="11270" max="11270" width="2" customWidth="1"/>
    <col min="11271" max="11271" width="5.5703125" customWidth="1"/>
    <col min="11272" max="11272" width="1.7109375" customWidth="1"/>
    <col min="11273" max="11273" width="1.5703125" customWidth="1"/>
    <col min="11274" max="11274" width="8.5703125" customWidth="1"/>
    <col min="11511" max="11511" width="4.5703125" customWidth="1"/>
    <col min="11512" max="11512" width="6.42578125" customWidth="1"/>
    <col min="11513" max="11513" width="2.7109375" customWidth="1"/>
    <col min="11514" max="11514" width="6.28515625" customWidth="1"/>
    <col min="11515" max="11515" width="6.5703125" customWidth="1"/>
    <col min="11516" max="11516" width="28.5703125" customWidth="1"/>
    <col min="11517" max="11517" width="3.28515625" customWidth="1"/>
    <col min="11518" max="11518" width="1.5703125" customWidth="1"/>
    <col min="11519" max="11519" width="15.140625" customWidth="1"/>
    <col min="11520" max="11520" width="1.5703125" customWidth="1"/>
    <col min="11521" max="11521" width="13.5703125" customWidth="1"/>
    <col min="11522" max="11522" width="1.5703125" customWidth="1"/>
    <col min="11523" max="11523" width="4.7109375" customWidth="1"/>
    <col min="11524" max="11524" width="1.42578125" customWidth="1"/>
    <col min="11525" max="11525" width="3.28515625" customWidth="1"/>
    <col min="11526" max="11526" width="2" customWidth="1"/>
    <col min="11527" max="11527" width="5.5703125" customWidth="1"/>
    <col min="11528" max="11528" width="1.7109375" customWidth="1"/>
    <col min="11529" max="11529" width="1.5703125" customWidth="1"/>
    <col min="11530" max="11530" width="8.5703125" customWidth="1"/>
    <col min="11767" max="11767" width="4.5703125" customWidth="1"/>
    <col min="11768" max="11768" width="6.42578125" customWidth="1"/>
    <col min="11769" max="11769" width="2.7109375" customWidth="1"/>
    <col min="11770" max="11770" width="6.28515625" customWidth="1"/>
    <col min="11771" max="11771" width="6.5703125" customWidth="1"/>
    <col min="11772" max="11772" width="28.5703125" customWidth="1"/>
    <col min="11773" max="11773" width="3.28515625" customWidth="1"/>
    <col min="11774" max="11774" width="1.5703125" customWidth="1"/>
    <col min="11775" max="11775" width="15.140625" customWidth="1"/>
    <col min="11776" max="11776" width="1.5703125" customWidth="1"/>
    <col min="11777" max="11777" width="13.5703125" customWidth="1"/>
    <col min="11778" max="11778" width="1.5703125" customWidth="1"/>
    <col min="11779" max="11779" width="4.7109375" customWidth="1"/>
    <col min="11780" max="11780" width="1.42578125" customWidth="1"/>
    <col min="11781" max="11781" width="3.28515625" customWidth="1"/>
    <col min="11782" max="11782" width="2" customWidth="1"/>
    <col min="11783" max="11783" width="5.5703125" customWidth="1"/>
    <col min="11784" max="11784" width="1.7109375" customWidth="1"/>
    <col min="11785" max="11785" width="1.5703125" customWidth="1"/>
    <col min="11786" max="11786" width="8.5703125" customWidth="1"/>
    <col min="12023" max="12023" width="4.5703125" customWidth="1"/>
    <col min="12024" max="12024" width="6.42578125" customWidth="1"/>
    <col min="12025" max="12025" width="2.7109375" customWidth="1"/>
    <col min="12026" max="12026" width="6.28515625" customWidth="1"/>
    <col min="12027" max="12027" width="6.5703125" customWidth="1"/>
    <col min="12028" max="12028" width="28.5703125" customWidth="1"/>
    <col min="12029" max="12029" width="3.28515625" customWidth="1"/>
    <col min="12030" max="12030" width="1.5703125" customWidth="1"/>
    <col min="12031" max="12031" width="15.140625" customWidth="1"/>
    <col min="12032" max="12032" width="1.5703125" customWidth="1"/>
    <col min="12033" max="12033" width="13.5703125" customWidth="1"/>
    <col min="12034" max="12034" width="1.5703125" customWidth="1"/>
    <col min="12035" max="12035" width="4.7109375" customWidth="1"/>
    <col min="12036" max="12036" width="1.42578125" customWidth="1"/>
    <col min="12037" max="12037" width="3.28515625" customWidth="1"/>
    <col min="12038" max="12038" width="2" customWidth="1"/>
    <col min="12039" max="12039" width="5.5703125" customWidth="1"/>
    <col min="12040" max="12040" width="1.7109375" customWidth="1"/>
    <col min="12041" max="12041" width="1.5703125" customWidth="1"/>
    <col min="12042" max="12042" width="8.5703125" customWidth="1"/>
    <col min="12279" max="12279" width="4.5703125" customWidth="1"/>
    <col min="12280" max="12280" width="6.42578125" customWidth="1"/>
    <col min="12281" max="12281" width="2.7109375" customWidth="1"/>
    <col min="12282" max="12282" width="6.28515625" customWidth="1"/>
    <col min="12283" max="12283" width="6.5703125" customWidth="1"/>
    <col min="12284" max="12284" width="28.5703125" customWidth="1"/>
    <col min="12285" max="12285" width="3.28515625" customWidth="1"/>
    <col min="12286" max="12286" width="1.5703125" customWidth="1"/>
    <col min="12287" max="12287" width="15.140625" customWidth="1"/>
    <col min="12288" max="12288" width="1.5703125" customWidth="1"/>
    <col min="12289" max="12289" width="13.5703125" customWidth="1"/>
    <col min="12290" max="12290" width="1.5703125" customWidth="1"/>
    <col min="12291" max="12291" width="4.7109375" customWidth="1"/>
    <col min="12292" max="12292" width="1.42578125" customWidth="1"/>
    <col min="12293" max="12293" width="3.28515625" customWidth="1"/>
    <col min="12294" max="12294" width="2" customWidth="1"/>
    <col min="12295" max="12295" width="5.5703125" customWidth="1"/>
    <col min="12296" max="12296" width="1.7109375" customWidth="1"/>
    <col min="12297" max="12297" width="1.5703125" customWidth="1"/>
    <col min="12298" max="12298" width="8.5703125" customWidth="1"/>
    <col min="12535" max="12535" width="4.5703125" customWidth="1"/>
    <col min="12536" max="12536" width="6.42578125" customWidth="1"/>
    <col min="12537" max="12537" width="2.7109375" customWidth="1"/>
    <col min="12538" max="12538" width="6.28515625" customWidth="1"/>
    <col min="12539" max="12539" width="6.5703125" customWidth="1"/>
    <col min="12540" max="12540" width="28.5703125" customWidth="1"/>
    <col min="12541" max="12541" width="3.28515625" customWidth="1"/>
    <col min="12542" max="12542" width="1.5703125" customWidth="1"/>
    <col min="12543" max="12543" width="15.140625" customWidth="1"/>
    <col min="12544" max="12544" width="1.5703125" customWidth="1"/>
    <col min="12545" max="12545" width="13.5703125" customWidth="1"/>
    <col min="12546" max="12546" width="1.5703125" customWidth="1"/>
    <col min="12547" max="12547" width="4.7109375" customWidth="1"/>
    <col min="12548" max="12548" width="1.42578125" customWidth="1"/>
    <col min="12549" max="12549" width="3.28515625" customWidth="1"/>
    <col min="12550" max="12550" width="2" customWidth="1"/>
    <col min="12551" max="12551" width="5.5703125" customWidth="1"/>
    <col min="12552" max="12552" width="1.7109375" customWidth="1"/>
    <col min="12553" max="12553" width="1.5703125" customWidth="1"/>
    <col min="12554" max="12554" width="8.5703125" customWidth="1"/>
    <col min="12791" max="12791" width="4.5703125" customWidth="1"/>
    <col min="12792" max="12792" width="6.42578125" customWidth="1"/>
    <col min="12793" max="12793" width="2.7109375" customWidth="1"/>
    <col min="12794" max="12794" width="6.28515625" customWidth="1"/>
    <col min="12795" max="12795" width="6.5703125" customWidth="1"/>
    <col min="12796" max="12796" width="28.5703125" customWidth="1"/>
    <col min="12797" max="12797" width="3.28515625" customWidth="1"/>
    <col min="12798" max="12798" width="1.5703125" customWidth="1"/>
    <col min="12799" max="12799" width="15.140625" customWidth="1"/>
    <col min="12800" max="12800" width="1.5703125" customWidth="1"/>
    <col min="12801" max="12801" width="13.5703125" customWidth="1"/>
    <col min="12802" max="12802" width="1.5703125" customWidth="1"/>
    <col min="12803" max="12803" width="4.7109375" customWidth="1"/>
    <col min="12804" max="12804" width="1.42578125" customWidth="1"/>
    <col min="12805" max="12805" width="3.28515625" customWidth="1"/>
    <col min="12806" max="12806" width="2" customWidth="1"/>
    <col min="12807" max="12807" width="5.5703125" customWidth="1"/>
    <col min="12808" max="12808" width="1.7109375" customWidth="1"/>
    <col min="12809" max="12809" width="1.5703125" customWidth="1"/>
    <col min="12810" max="12810" width="8.5703125" customWidth="1"/>
    <col min="13047" max="13047" width="4.5703125" customWidth="1"/>
    <col min="13048" max="13048" width="6.42578125" customWidth="1"/>
    <col min="13049" max="13049" width="2.7109375" customWidth="1"/>
    <col min="13050" max="13050" width="6.28515625" customWidth="1"/>
    <col min="13051" max="13051" width="6.5703125" customWidth="1"/>
    <col min="13052" max="13052" width="28.5703125" customWidth="1"/>
    <col min="13053" max="13053" width="3.28515625" customWidth="1"/>
    <col min="13054" max="13054" width="1.5703125" customWidth="1"/>
    <col min="13055" max="13055" width="15.140625" customWidth="1"/>
    <col min="13056" max="13056" width="1.5703125" customWidth="1"/>
    <col min="13057" max="13057" width="13.5703125" customWidth="1"/>
    <col min="13058" max="13058" width="1.5703125" customWidth="1"/>
    <col min="13059" max="13059" width="4.7109375" customWidth="1"/>
    <col min="13060" max="13060" width="1.42578125" customWidth="1"/>
    <col min="13061" max="13061" width="3.28515625" customWidth="1"/>
    <col min="13062" max="13062" width="2" customWidth="1"/>
    <col min="13063" max="13063" width="5.5703125" customWidth="1"/>
    <col min="13064" max="13064" width="1.7109375" customWidth="1"/>
    <col min="13065" max="13065" width="1.5703125" customWidth="1"/>
    <col min="13066" max="13066" width="8.5703125" customWidth="1"/>
    <col min="13303" max="13303" width="4.5703125" customWidth="1"/>
    <col min="13304" max="13304" width="6.42578125" customWidth="1"/>
    <col min="13305" max="13305" width="2.7109375" customWidth="1"/>
    <col min="13306" max="13306" width="6.28515625" customWidth="1"/>
    <col min="13307" max="13307" width="6.5703125" customWidth="1"/>
    <col min="13308" max="13308" width="28.5703125" customWidth="1"/>
    <col min="13309" max="13309" width="3.28515625" customWidth="1"/>
    <col min="13310" max="13310" width="1.5703125" customWidth="1"/>
    <col min="13311" max="13311" width="15.140625" customWidth="1"/>
    <col min="13312" max="13312" width="1.5703125" customWidth="1"/>
    <col min="13313" max="13313" width="13.5703125" customWidth="1"/>
    <col min="13314" max="13314" width="1.5703125" customWidth="1"/>
    <col min="13315" max="13315" width="4.7109375" customWidth="1"/>
    <col min="13316" max="13316" width="1.42578125" customWidth="1"/>
    <col min="13317" max="13317" width="3.28515625" customWidth="1"/>
    <col min="13318" max="13318" width="2" customWidth="1"/>
    <col min="13319" max="13319" width="5.5703125" customWidth="1"/>
    <col min="13320" max="13320" width="1.7109375" customWidth="1"/>
    <col min="13321" max="13321" width="1.5703125" customWidth="1"/>
    <col min="13322" max="13322" width="8.5703125" customWidth="1"/>
    <col min="13559" max="13559" width="4.5703125" customWidth="1"/>
    <col min="13560" max="13560" width="6.42578125" customWidth="1"/>
    <col min="13561" max="13561" width="2.7109375" customWidth="1"/>
    <col min="13562" max="13562" width="6.28515625" customWidth="1"/>
    <col min="13563" max="13563" width="6.5703125" customWidth="1"/>
    <col min="13564" max="13564" width="28.5703125" customWidth="1"/>
    <col min="13565" max="13565" width="3.28515625" customWidth="1"/>
    <col min="13566" max="13566" width="1.5703125" customWidth="1"/>
    <col min="13567" max="13567" width="15.140625" customWidth="1"/>
    <col min="13568" max="13568" width="1.5703125" customWidth="1"/>
    <col min="13569" max="13569" width="13.5703125" customWidth="1"/>
    <col min="13570" max="13570" width="1.5703125" customWidth="1"/>
    <col min="13571" max="13571" width="4.7109375" customWidth="1"/>
    <col min="13572" max="13572" width="1.42578125" customWidth="1"/>
    <col min="13573" max="13573" width="3.28515625" customWidth="1"/>
    <col min="13574" max="13574" width="2" customWidth="1"/>
    <col min="13575" max="13575" width="5.5703125" customWidth="1"/>
    <col min="13576" max="13576" width="1.7109375" customWidth="1"/>
    <col min="13577" max="13577" width="1.5703125" customWidth="1"/>
    <col min="13578" max="13578" width="8.5703125" customWidth="1"/>
    <col min="13815" max="13815" width="4.5703125" customWidth="1"/>
    <col min="13816" max="13816" width="6.42578125" customWidth="1"/>
    <col min="13817" max="13817" width="2.7109375" customWidth="1"/>
    <col min="13818" max="13818" width="6.28515625" customWidth="1"/>
    <col min="13819" max="13819" width="6.5703125" customWidth="1"/>
    <col min="13820" max="13820" width="28.5703125" customWidth="1"/>
    <col min="13821" max="13821" width="3.28515625" customWidth="1"/>
    <col min="13822" max="13822" width="1.5703125" customWidth="1"/>
    <col min="13823" max="13823" width="15.140625" customWidth="1"/>
    <col min="13824" max="13824" width="1.5703125" customWidth="1"/>
    <col min="13825" max="13825" width="13.5703125" customWidth="1"/>
    <col min="13826" max="13826" width="1.5703125" customWidth="1"/>
    <col min="13827" max="13827" width="4.7109375" customWidth="1"/>
    <col min="13828" max="13828" width="1.42578125" customWidth="1"/>
    <col min="13829" max="13829" width="3.28515625" customWidth="1"/>
    <col min="13830" max="13830" width="2" customWidth="1"/>
    <col min="13831" max="13831" width="5.5703125" customWidth="1"/>
    <col min="13832" max="13832" width="1.7109375" customWidth="1"/>
    <col min="13833" max="13833" width="1.5703125" customWidth="1"/>
    <col min="13834" max="13834" width="8.5703125" customWidth="1"/>
    <col min="14071" max="14071" width="4.5703125" customWidth="1"/>
    <col min="14072" max="14072" width="6.42578125" customWidth="1"/>
    <col min="14073" max="14073" width="2.7109375" customWidth="1"/>
    <col min="14074" max="14074" width="6.28515625" customWidth="1"/>
    <col min="14075" max="14075" width="6.5703125" customWidth="1"/>
    <col min="14076" max="14076" width="28.5703125" customWidth="1"/>
    <col min="14077" max="14077" width="3.28515625" customWidth="1"/>
    <col min="14078" max="14078" width="1.5703125" customWidth="1"/>
    <col min="14079" max="14079" width="15.140625" customWidth="1"/>
    <col min="14080" max="14080" width="1.5703125" customWidth="1"/>
    <col min="14081" max="14081" width="13.5703125" customWidth="1"/>
    <col min="14082" max="14082" width="1.5703125" customWidth="1"/>
    <col min="14083" max="14083" width="4.7109375" customWidth="1"/>
    <col min="14084" max="14084" width="1.42578125" customWidth="1"/>
    <col min="14085" max="14085" width="3.28515625" customWidth="1"/>
    <col min="14086" max="14086" width="2" customWidth="1"/>
    <col min="14087" max="14087" width="5.5703125" customWidth="1"/>
    <col min="14088" max="14088" width="1.7109375" customWidth="1"/>
    <col min="14089" max="14089" width="1.5703125" customWidth="1"/>
    <col min="14090" max="14090" width="8.5703125" customWidth="1"/>
    <col min="14327" max="14327" width="4.5703125" customWidth="1"/>
    <col min="14328" max="14328" width="6.42578125" customWidth="1"/>
    <col min="14329" max="14329" width="2.7109375" customWidth="1"/>
    <col min="14330" max="14330" width="6.28515625" customWidth="1"/>
    <col min="14331" max="14331" width="6.5703125" customWidth="1"/>
    <col min="14332" max="14332" width="28.5703125" customWidth="1"/>
    <col min="14333" max="14333" width="3.28515625" customWidth="1"/>
    <col min="14334" max="14334" width="1.5703125" customWidth="1"/>
    <col min="14335" max="14335" width="15.140625" customWidth="1"/>
    <col min="14336" max="14336" width="1.5703125" customWidth="1"/>
    <col min="14337" max="14337" width="13.5703125" customWidth="1"/>
    <col min="14338" max="14338" width="1.5703125" customWidth="1"/>
    <col min="14339" max="14339" width="4.7109375" customWidth="1"/>
    <col min="14340" max="14340" width="1.42578125" customWidth="1"/>
    <col min="14341" max="14341" width="3.28515625" customWidth="1"/>
    <col min="14342" max="14342" width="2" customWidth="1"/>
    <col min="14343" max="14343" width="5.5703125" customWidth="1"/>
    <col min="14344" max="14344" width="1.7109375" customWidth="1"/>
    <col min="14345" max="14345" width="1.5703125" customWidth="1"/>
    <col min="14346" max="14346" width="8.5703125" customWidth="1"/>
    <col min="14583" max="14583" width="4.5703125" customWidth="1"/>
    <col min="14584" max="14584" width="6.42578125" customWidth="1"/>
    <col min="14585" max="14585" width="2.7109375" customWidth="1"/>
    <col min="14586" max="14586" width="6.28515625" customWidth="1"/>
    <col min="14587" max="14587" width="6.5703125" customWidth="1"/>
    <col min="14588" max="14588" width="28.5703125" customWidth="1"/>
    <col min="14589" max="14589" width="3.28515625" customWidth="1"/>
    <col min="14590" max="14590" width="1.5703125" customWidth="1"/>
    <col min="14591" max="14591" width="15.140625" customWidth="1"/>
    <col min="14592" max="14592" width="1.5703125" customWidth="1"/>
    <col min="14593" max="14593" width="13.5703125" customWidth="1"/>
    <col min="14594" max="14594" width="1.5703125" customWidth="1"/>
    <col min="14595" max="14595" width="4.7109375" customWidth="1"/>
    <col min="14596" max="14596" width="1.42578125" customWidth="1"/>
    <col min="14597" max="14597" width="3.28515625" customWidth="1"/>
    <col min="14598" max="14598" width="2" customWidth="1"/>
    <col min="14599" max="14599" width="5.5703125" customWidth="1"/>
    <col min="14600" max="14600" width="1.7109375" customWidth="1"/>
    <col min="14601" max="14601" width="1.5703125" customWidth="1"/>
    <col min="14602" max="14602" width="8.5703125" customWidth="1"/>
    <col min="14839" max="14839" width="4.5703125" customWidth="1"/>
    <col min="14840" max="14840" width="6.42578125" customWidth="1"/>
    <col min="14841" max="14841" width="2.7109375" customWidth="1"/>
    <col min="14842" max="14842" width="6.28515625" customWidth="1"/>
    <col min="14843" max="14843" width="6.5703125" customWidth="1"/>
    <col min="14844" max="14844" width="28.5703125" customWidth="1"/>
    <col min="14845" max="14845" width="3.28515625" customWidth="1"/>
    <col min="14846" max="14846" width="1.5703125" customWidth="1"/>
    <col min="14847" max="14847" width="15.140625" customWidth="1"/>
    <col min="14848" max="14848" width="1.5703125" customWidth="1"/>
    <col min="14849" max="14849" width="13.5703125" customWidth="1"/>
    <col min="14850" max="14850" width="1.5703125" customWidth="1"/>
    <col min="14851" max="14851" width="4.7109375" customWidth="1"/>
    <col min="14852" max="14852" width="1.42578125" customWidth="1"/>
    <col min="14853" max="14853" width="3.28515625" customWidth="1"/>
    <col min="14854" max="14854" width="2" customWidth="1"/>
    <col min="14855" max="14855" width="5.5703125" customWidth="1"/>
    <col min="14856" max="14856" width="1.7109375" customWidth="1"/>
    <col min="14857" max="14857" width="1.5703125" customWidth="1"/>
    <col min="14858" max="14858" width="8.5703125" customWidth="1"/>
    <col min="15095" max="15095" width="4.5703125" customWidth="1"/>
    <col min="15096" max="15096" width="6.42578125" customWidth="1"/>
    <col min="15097" max="15097" width="2.7109375" customWidth="1"/>
    <col min="15098" max="15098" width="6.28515625" customWidth="1"/>
    <col min="15099" max="15099" width="6.5703125" customWidth="1"/>
    <col min="15100" max="15100" width="28.5703125" customWidth="1"/>
    <col min="15101" max="15101" width="3.28515625" customWidth="1"/>
    <col min="15102" max="15102" width="1.5703125" customWidth="1"/>
    <col min="15103" max="15103" width="15.140625" customWidth="1"/>
    <col min="15104" max="15104" width="1.5703125" customWidth="1"/>
    <col min="15105" max="15105" width="13.5703125" customWidth="1"/>
    <col min="15106" max="15106" width="1.5703125" customWidth="1"/>
    <col min="15107" max="15107" width="4.7109375" customWidth="1"/>
    <col min="15108" max="15108" width="1.42578125" customWidth="1"/>
    <col min="15109" max="15109" width="3.28515625" customWidth="1"/>
    <col min="15110" max="15110" width="2" customWidth="1"/>
    <col min="15111" max="15111" width="5.5703125" customWidth="1"/>
    <col min="15112" max="15112" width="1.7109375" customWidth="1"/>
    <col min="15113" max="15113" width="1.5703125" customWidth="1"/>
    <col min="15114" max="15114" width="8.5703125" customWidth="1"/>
    <col min="15351" max="15351" width="4.5703125" customWidth="1"/>
    <col min="15352" max="15352" width="6.42578125" customWidth="1"/>
    <col min="15353" max="15353" width="2.7109375" customWidth="1"/>
    <col min="15354" max="15354" width="6.28515625" customWidth="1"/>
    <col min="15355" max="15355" width="6.5703125" customWidth="1"/>
    <col min="15356" max="15356" width="28.5703125" customWidth="1"/>
    <col min="15357" max="15357" width="3.28515625" customWidth="1"/>
    <col min="15358" max="15358" width="1.5703125" customWidth="1"/>
    <col min="15359" max="15359" width="15.140625" customWidth="1"/>
    <col min="15360" max="15360" width="1.5703125" customWidth="1"/>
    <col min="15361" max="15361" width="13.5703125" customWidth="1"/>
    <col min="15362" max="15362" width="1.5703125" customWidth="1"/>
    <col min="15363" max="15363" width="4.7109375" customWidth="1"/>
    <col min="15364" max="15364" width="1.42578125" customWidth="1"/>
    <col min="15365" max="15365" width="3.28515625" customWidth="1"/>
    <col min="15366" max="15366" width="2" customWidth="1"/>
    <col min="15367" max="15367" width="5.5703125" customWidth="1"/>
    <col min="15368" max="15368" width="1.7109375" customWidth="1"/>
    <col min="15369" max="15369" width="1.5703125" customWidth="1"/>
    <col min="15370" max="15370" width="8.5703125" customWidth="1"/>
    <col min="15607" max="15607" width="4.5703125" customWidth="1"/>
    <col min="15608" max="15608" width="6.42578125" customWidth="1"/>
    <col min="15609" max="15609" width="2.7109375" customWidth="1"/>
    <col min="15610" max="15610" width="6.28515625" customWidth="1"/>
    <col min="15611" max="15611" width="6.5703125" customWidth="1"/>
    <col min="15612" max="15612" width="28.5703125" customWidth="1"/>
    <col min="15613" max="15613" width="3.28515625" customWidth="1"/>
    <col min="15614" max="15614" width="1.5703125" customWidth="1"/>
    <col min="15615" max="15615" width="15.140625" customWidth="1"/>
    <col min="15616" max="15616" width="1.5703125" customWidth="1"/>
    <col min="15617" max="15617" width="13.5703125" customWidth="1"/>
    <col min="15618" max="15618" width="1.5703125" customWidth="1"/>
    <col min="15619" max="15619" width="4.7109375" customWidth="1"/>
    <col min="15620" max="15620" width="1.42578125" customWidth="1"/>
    <col min="15621" max="15621" width="3.28515625" customWidth="1"/>
    <col min="15622" max="15622" width="2" customWidth="1"/>
    <col min="15623" max="15623" width="5.5703125" customWidth="1"/>
    <col min="15624" max="15624" width="1.7109375" customWidth="1"/>
    <col min="15625" max="15625" width="1.5703125" customWidth="1"/>
    <col min="15626" max="15626" width="8.5703125" customWidth="1"/>
    <col min="15863" max="15863" width="4.5703125" customWidth="1"/>
    <col min="15864" max="15864" width="6.42578125" customWidth="1"/>
    <col min="15865" max="15865" width="2.7109375" customWidth="1"/>
    <col min="15866" max="15866" width="6.28515625" customWidth="1"/>
    <col min="15867" max="15867" width="6.5703125" customWidth="1"/>
    <col min="15868" max="15868" width="28.5703125" customWidth="1"/>
    <col min="15869" max="15869" width="3.28515625" customWidth="1"/>
    <col min="15870" max="15870" width="1.5703125" customWidth="1"/>
    <col min="15871" max="15871" width="15.140625" customWidth="1"/>
    <col min="15872" max="15872" width="1.5703125" customWidth="1"/>
    <col min="15873" max="15873" width="13.5703125" customWidth="1"/>
    <col min="15874" max="15874" width="1.5703125" customWidth="1"/>
    <col min="15875" max="15875" width="4.7109375" customWidth="1"/>
    <col min="15876" max="15876" width="1.42578125" customWidth="1"/>
    <col min="15877" max="15877" width="3.28515625" customWidth="1"/>
    <col min="15878" max="15878" width="2" customWidth="1"/>
    <col min="15879" max="15879" width="5.5703125" customWidth="1"/>
    <col min="15880" max="15880" width="1.7109375" customWidth="1"/>
    <col min="15881" max="15881" width="1.5703125" customWidth="1"/>
    <col min="15882" max="15882" width="8.5703125" customWidth="1"/>
    <col min="16119" max="16119" width="4.5703125" customWidth="1"/>
    <col min="16120" max="16120" width="6.42578125" customWidth="1"/>
    <col min="16121" max="16121" width="2.7109375" customWidth="1"/>
    <col min="16122" max="16122" width="6.28515625" customWidth="1"/>
    <col min="16123" max="16123" width="6.5703125" customWidth="1"/>
    <col min="16124" max="16124" width="28.5703125" customWidth="1"/>
    <col min="16125" max="16125" width="3.28515625" customWidth="1"/>
    <col min="16126" max="16126" width="1.5703125" customWidth="1"/>
    <col min="16127" max="16127" width="15.140625" customWidth="1"/>
    <col min="16128" max="16128" width="1.5703125" customWidth="1"/>
    <col min="16129" max="16129" width="13.5703125" customWidth="1"/>
    <col min="16130" max="16130" width="1.5703125" customWidth="1"/>
    <col min="16131" max="16131" width="4.7109375" customWidth="1"/>
    <col min="16132" max="16132" width="1.42578125" customWidth="1"/>
    <col min="16133" max="16133" width="3.28515625" customWidth="1"/>
    <col min="16134" max="16134" width="2" customWidth="1"/>
    <col min="16135" max="16135" width="5.5703125" customWidth="1"/>
    <col min="16136" max="16136" width="1.7109375" customWidth="1"/>
    <col min="16137" max="16137" width="1.5703125" customWidth="1"/>
    <col min="16138" max="16138" width="8.5703125" customWidth="1"/>
  </cols>
  <sheetData>
    <row r="1" spans="1:10" x14ac:dyDescent="0.25">
      <c r="A1" s="15" t="s">
        <v>55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 t="s">
        <v>56</v>
      </c>
      <c r="B2" s="10" t="s">
        <v>57</v>
      </c>
      <c r="C2" s="10" t="s">
        <v>58</v>
      </c>
      <c r="D2" s="15" t="s">
        <v>59</v>
      </c>
      <c r="E2" s="10" t="s">
        <v>60</v>
      </c>
      <c r="F2" s="15"/>
      <c r="G2" s="15"/>
      <c r="H2" s="15"/>
    </row>
    <row r="3" spans="1:10" ht="21" x14ac:dyDescent="0.25">
      <c r="A3" s="15" t="s">
        <v>137</v>
      </c>
      <c r="B3" s="18"/>
      <c r="C3" s="18"/>
      <c r="D3" s="18"/>
      <c r="E3" s="18"/>
      <c r="F3" s="18"/>
      <c r="G3" s="18"/>
      <c r="H3" s="18"/>
      <c r="I3" s="18"/>
    </row>
    <row r="4" spans="1:10" x14ac:dyDescent="0.25">
      <c r="A4" s="18" t="s">
        <v>61</v>
      </c>
      <c r="B4" s="11">
        <v>5207029.91</v>
      </c>
      <c r="C4" s="12">
        <v>0.12</v>
      </c>
      <c r="D4" s="17">
        <v>624843.59</v>
      </c>
      <c r="E4" s="12">
        <v>0.09</v>
      </c>
      <c r="F4" s="17"/>
      <c r="G4" s="17"/>
      <c r="H4" s="17"/>
    </row>
    <row r="5" spans="1:10" x14ac:dyDescent="0.25">
      <c r="A5" s="18" t="s">
        <v>62</v>
      </c>
      <c r="B5" s="11">
        <v>-10656.78</v>
      </c>
      <c r="D5" s="17">
        <v>-1278.81</v>
      </c>
      <c r="F5" s="17"/>
      <c r="G5" s="17"/>
      <c r="H5" s="17"/>
    </row>
    <row r="6" spans="1:10" x14ac:dyDescent="0.25">
      <c r="A6" s="15" t="s">
        <v>63</v>
      </c>
      <c r="B6" s="11">
        <v>5196373.13</v>
      </c>
      <c r="D6" s="17">
        <v>623564.78</v>
      </c>
      <c r="F6" s="17"/>
      <c r="G6" s="17"/>
      <c r="H6" s="17"/>
    </row>
    <row r="7" spans="1:10" x14ac:dyDescent="0.25">
      <c r="A7" s="18" t="s">
        <v>64</v>
      </c>
      <c r="B7" s="11">
        <v>-181716.84</v>
      </c>
      <c r="C7" s="12">
        <v>0.12</v>
      </c>
      <c r="D7" s="17">
        <v>-21806.02</v>
      </c>
      <c r="E7" s="12">
        <v>0.09</v>
      </c>
      <c r="F7" s="17"/>
      <c r="G7" s="17"/>
      <c r="H7" s="17"/>
    </row>
    <row r="8" spans="1:10" x14ac:dyDescent="0.25">
      <c r="A8" s="18" t="s">
        <v>62</v>
      </c>
      <c r="B8" s="11">
        <v>0.71</v>
      </c>
      <c r="D8" s="17">
        <v>0.09</v>
      </c>
      <c r="E8" s="17"/>
      <c r="F8" s="17"/>
      <c r="G8" s="17"/>
      <c r="H8" s="17"/>
    </row>
    <row r="9" spans="1:10" x14ac:dyDescent="0.25">
      <c r="A9" s="15" t="s">
        <v>63</v>
      </c>
      <c r="B9" s="11">
        <v>-181716.13</v>
      </c>
      <c r="D9" s="17">
        <v>-21805.94</v>
      </c>
      <c r="E9" s="17"/>
      <c r="F9" s="17"/>
      <c r="G9" s="17"/>
      <c r="H9" s="17"/>
    </row>
    <row r="10" spans="1:10" x14ac:dyDescent="0.25">
      <c r="A10" s="15" t="s">
        <v>65</v>
      </c>
      <c r="B10" s="11">
        <v>5014657</v>
      </c>
      <c r="D10" s="17">
        <v>601758.84</v>
      </c>
      <c r="E10" s="17"/>
      <c r="F10" s="17"/>
      <c r="G10" s="17"/>
      <c r="H10" s="17"/>
    </row>
    <row r="11" spans="1:10" x14ac:dyDescent="0.25">
      <c r="A11" s="15" t="s">
        <v>66</v>
      </c>
      <c r="B11" s="11">
        <v>5014657</v>
      </c>
      <c r="D11" s="17">
        <v>601758.84</v>
      </c>
      <c r="E11" s="17"/>
      <c r="F11" s="17"/>
      <c r="G11" s="17"/>
      <c r="H11" s="17"/>
    </row>
    <row r="12" spans="1:10" x14ac:dyDescent="0.25">
      <c r="A12" s="15" t="s">
        <v>67</v>
      </c>
      <c r="B12" s="15"/>
      <c r="C12" s="15"/>
      <c r="D12" s="15"/>
      <c r="E12" s="15"/>
      <c r="F12" s="15"/>
      <c r="G12" s="15"/>
      <c r="H12" s="15"/>
      <c r="I12" s="15"/>
      <c r="J12" s="15"/>
    </row>
    <row r="13" spans="1:10" x14ac:dyDescent="0.25">
      <c r="A13" s="15" t="s">
        <v>68</v>
      </c>
      <c r="B13" s="10" t="s">
        <v>57</v>
      </c>
      <c r="C13" s="10" t="s">
        <v>58</v>
      </c>
      <c r="D13" s="15" t="s">
        <v>59</v>
      </c>
      <c r="H13" s="15"/>
      <c r="I13" s="15"/>
      <c r="J13" s="15"/>
    </row>
    <row r="14" spans="1:10" x14ac:dyDescent="0.25">
      <c r="A14" s="18" t="s">
        <v>69</v>
      </c>
      <c r="B14" s="11">
        <v>1250000</v>
      </c>
      <c r="C14" s="12">
        <v>0.12</v>
      </c>
      <c r="D14" s="17">
        <v>150000</v>
      </c>
      <c r="H14" s="17"/>
      <c r="I14" s="17"/>
      <c r="J14" s="17"/>
    </row>
    <row r="15" spans="1:10" x14ac:dyDescent="0.25">
      <c r="A15" s="18" t="s">
        <v>70</v>
      </c>
      <c r="B15" s="11">
        <v>3764657</v>
      </c>
      <c r="C15" s="12">
        <v>0.13200000000000001</v>
      </c>
      <c r="D15" s="17">
        <v>496934.72</v>
      </c>
      <c r="H15" s="17"/>
      <c r="I15" s="17"/>
      <c r="J15" s="17"/>
    </row>
    <row r="16" spans="1:10" x14ac:dyDescent="0.25">
      <c r="A16" s="15" t="s">
        <v>71</v>
      </c>
      <c r="B16" s="11">
        <v>5014657</v>
      </c>
      <c r="D16" s="17">
        <v>646934.72</v>
      </c>
      <c r="H16" s="17"/>
      <c r="I16" s="17"/>
      <c r="J16" s="17"/>
    </row>
    <row r="17" spans="1:10" x14ac:dyDescent="0.25">
      <c r="A17" s="15" t="s">
        <v>72</v>
      </c>
      <c r="B17" s="15"/>
      <c r="C17" s="15"/>
      <c r="D17" s="15"/>
      <c r="E17" s="15"/>
      <c r="F17" s="15"/>
      <c r="G17" s="15"/>
      <c r="H17" s="15"/>
      <c r="I17" s="15"/>
      <c r="J17" s="15"/>
    </row>
    <row r="18" spans="1:10" x14ac:dyDescent="0.25">
      <c r="A18" s="15" t="s">
        <v>68</v>
      </c>
      <c r="B18" s="15" t="s">
        <v>73</v>
      </c>
      <c r="C18" s="15"/>
      <c r="D18" s="15"/>
      <c r="F18" s="15"/>
      <c r="G18" s="15"/>
      <c r="H18" s="15"/>
      <c r="I18" s="15"/>
      <c r="J18" s="15"/>
    </row>
    <row r="19" spans="1:10" x14ac:dyDescent="0.25">
      <c r="A19" s="18" t="s">
        <v>74</v>
      </c>
      <c r="B19" s="17">
        <v>0</v>
      </c>
      <c r="C19" s="16" t="s">
        <v>75</v>
      </c>
      <c r="D19" s="16"/>
      <c r="F19" s="17"/>
      <c r="G19" s="17"/>
      <c r="H19" s="17"/>
      <c r="I19" s="17"/>
      <c r="J19" s="17"/>
    </row>
    <row r="20" spans="1:10" x14ac:dyDescent="0.25">
      <c r="A20" s="18" t="s">
        <v>76</v>
      </c>
      <c r="B20" s="17">
        <v>58224.12</v>
      </c>
      <c r="C20" s="16" t="s">
        <v>75</v>
      </c>
      <c r="D20" s="16"/>
      <c r="F20" s="17"/>
      <c r="G20" s="17"/>
      <c r="H20" s="17"/>
      <c r="I20" s="17"/>
      <c r="J20" s="17"/>
    </row>
    <row r="21" spans="1:10" x14ac:dyDescent="0.25">
      <c r="A21" s="18" t="s">
        <v>77</v>
      </c>
      <c r="B21" s="17">
        <v>0</v>
      </c>
      <c r="C21" s="16" t="s">
        <v>75</v>
      </c>
      <c r="D21" s="16"/>
      <c r="F21" s="17"/>
      <c r="G21" s="17"/>
      <c r="H21" s="17"/>
      <c r="I21" s="17"/>
      <c r="J21" s="17"/>
    </row>
    <row r="22" spans="1:10" x14ac:dyDescent="0.25">
      <c r="A22" s="18" t="s">
        <v>78</v>
      </c>
      <c r="B22" s="17">
        <v>0</v>
      </c>
      <c r="C22" s="16" t="s">
        <v>75</v>
      </c>
      <c r="D22" s="16"/>
      <c r="F22" s="17"/>
      <c r="G22" s="17"/>
      <c r="H22" s="17"/>
      <c r="I22" s="17"/>
      <c r="J22" s="17"/>
    </row>
    <row r="23" spans="1:10" x14ac:dyDescent="0.25">
      <c r="A23" s="18" t="s">
        <v>79</v>
      </c>
      <c r="B23" s="17">
        <v>0</v>
      </c>
      <c r="C23" s="16" t="s">
        <v>75</v>
      </c>
      <c r="D23" s="16"/>
      <c r="F23" s="17"/>
      <c r="G23" s="17"/>
      <c r="H23" s="17"/>
      <c r="I23" s="17"/>
      <c r="J23" s="17"/>
    </row>
    <row r="24" spans="1:10" x14ac:dyDescent="0.25">
      <c r="A24" s="18" t="s">
        <v>80</v>
      </c>
      <c r="B24" s="17">
        <v>0</v>
      </c>
      <c r="C24" s="16" t="s">
        <v>75</v>
      </c>
      <c r="D24" s="16"/>
      <c r="F24" s="17"/>
      <c r="G24" s="17"/>
      <c r="H24" s="17"/>
      <c r="I24" s="17"/>
      <c r="J24" s="17"/>
    </row>
    <row r="25" spans="1:10" x14ac:dyDescent="0.25">
      <c r="A25" s="18" t="s">
        <v>81</v>
      </c>
      <c r="B25" s="17">
        <v>0</v>
      </c>
      <c r="C25" s="16" t="s">
        <v>75</v>
      </c>
      <c r="D25" s="16"/>
      <c r="F25" s="17"/>
      <c r="G25" s="17"/>
      <c r="H25" s="17"/>
      <c r="I25" s="17"/>
      <c r="J25" s="17"/>
    </row>
    <row r="26" spans="1:10" x14ac:dyDescent="0.25">
      <c r="A26" s="18" t="s">
        <v>82</v>
      </c>
      <c r="B26" s="17">
        <v>0</v>
      </c>
      <c r="C26" s="16" t="s">
        <v>75</v>
      </c>
      <c r="D26" s="16"/>
      <c r="F26" s="17"/>
      <c r="G26" s="17"/>
      <c r="H26" s="17"/>
      <c r="I26" s="17"/>
      <c r="J26" s="17"/>
    </row>
    <row r="27" spans="1:10" x14ac:dyDescent="0.25">
      <c r="A27" s="18" t="s">
        <v>83</v>
      </c>
      <c r="B27" s="17">
        <v>0</v>
      </c>
      <c r="C27" s="16" t="s">
        <v>75</v>
      </c>
      <c r="D27" s="16"/>
      <c r="F27" s="17"/>
      <c r="G27" s="17"/>
      <c r="H27" s="17"/>
      <c r="I27" s="17"/>
      <c r="J27" s="17"/>
    </row>
    <row r="28" spans="1:10" x14ac:dyDescent="0.25">
      <c r="A28" s="18" t="s">
        <v>84</v>
      </c>
      <c r="B28" s="17">
        <v>0</v>
      </c>
      <c r="C28" s="16" t="s">
        <v>75</v>
      </c>
      <c r="D28" s="16"/>
      <c r="F28" s="17"/>
      <c r="G28" s="17"/>
      <c r="H28" s="17"/>
      <c r="I28" s="17"/>
      <c r="J28" s="17"/>
    </row>
    <row r="29" spans="1:10" x14ac:dyDescent="0.25">
      <c r="A29" s="18" t="s">
        <v>85</v>
      </c>
      <c r="B29" s="17">
        <v>0</v>
      </c>
      <c r="C29" s="16" t="s">
        <v>75</v>
      </c>
      <c r="D29" s="16"/>
      <c r="F29" s="17"/>
      <c r="G29" s="17"/>
      <c r="H29" s="17"/>
      <c r="I29" s="17"/>
      <c r="J29" s="17"/>
    </row>
    <row r="30" spans="1:10" x14ac:dyDescent="0.25">
      <c r="A30" s="18" t="s">
        <v>86</v>
      </c>
      <c r="B30" s="17">
        <v>0</v>
      </c>
      <c r="C30" s="16" t="s">
        <v>75</v>
      </c>
      <c r="D30" s="16"/>
      <c r="F30" s="17"/>
      <c r="G30" s="17"/>
      <c r="H30" s="17"/>
      <c r="I30" s="17"/>
      <c r="J30" s="17"/>
    </row>
    <row r="31" spans="1:10" x14ac:dyDescent="0.25">
      <c r="A31" s="18" t="s">
        <v>87</v>
      </c>
      <c r="B31" s="17">
        <v>0</v>
      </c>
      <c r="C31" s="16" t="s">
        <v>75</v>
      </c>
      <c r="D31" s="16"/>
      <c r="F31" s="17"/>
      <c r="G31" s="17"/>
      <c r="H31" s="17"/>
      <c r="I31" s="17"/>
      <c r="J31" s="17"/>
    </row>
    <row r="32" spans="1:10" x14ac:dyDescent="0.25">
      <c r="A32" s="18" t="s">
        <v>88</v>
      </c>
      <c r="B32" s="17">
        <v>0</v>
      </c>
      <c r="C32" s="16" t="s">
        <v>75</v>
      </c>
      <c r="D32" s="16"/>
      <c r="F32" s="17"/>
      <c r="G32" s="17"/>
      <c r="H32" s="17"/>
      <c r="I32" s="17"/>
      <c r="J32" s="17"/>
    </row>
    <row r="33" spans="1:10" x14ac:dyDescent="0.25">
      <c r="A33" s="18" t="s">
        <v>89</v>
      </c>
      <c r="B33" s="17">
        <v>0</v>
      </c>
      <c r="C33" s="16" t="s">
        <v>75</v>
      </c>
      <c r="D33" s="16"/>
      <c r="F33" s="17"/>
      <c r="G33" s="17"/>
      <c r="H33" s="17"/>
      <c r="I33" s="17"/>
      <c r="J33" s="17"/>
    </row>
    <row r="34" spans="1:10" x14ac:dyDescent="0.25">
      <c r="A34" s="18" t="s">
        <v>90</v>
      </c>
      <c r="B34" s="17">
        <v>0</v>
      </c>
      <c r="C34" s="16" t="s">
        <v>75</v>
      </c>
      <c r="D34" s="16"/>
      <c r="F34" s="17"/>
      <c r="G34" s="17"/>
      <c r="H34" s="17"/>
      <c r="I34" s="17"/>
      <c r="J34" s="17"/>
    </row>
    <row r="35" spans="1:10" x14ac:dyDescent="0.25">
      <c r="A35" s="18" t="s">
        <v>91</v>
      </c>
      <c r="B35" s="17">
        <v>0</v>
      </c>
      <c r="C35" s="16" t="s">
        <v>75</v>
      </c>
      <c r="D35" s="16"/>
      <c r="F35" s="17"/>
      <c r="G35" s="17"/>
      <c r="H35" s="17"/>
      <c r="I35" s="17"/>
      <c r="J35" s="17"/>
    </row>
    <row r="36" spans="1:10" x14ac:dyDescent="0.25">
      <c r="A36" s="18" t="s">
        <v>92</v>
      </c>
      <c r="B36" s="17">
        <v>0</v>
      </c>
      <c r="C36" s="16" t="s">
        <v>75</v>
      </c>
      <c r="D36" s="16"/>
      <c r="F36" s="17"/>
      <c r="G36" s="17"/>
      <c r="H36" s="17"/>
      <c r="I36" s="17"/>
      <c r="J36" s="17"/>
    </row>
    <row r="37" spans="1:10" x14ac:dyDescent="0.25">
      <c r="A37" s="18" t="s">
        <v>93</v>
      </c>
      <c r="B37" s="17">
        <v>0</v>
      </c>
      <c r="C37" s="16" t="s">
        <v>75</v>
      </c>
      <c r="D37" s="16"/>
      <c r="F37" s="17"/>
      <c r="G37" s="17"/>
      <c r="H37" s="17"/>
      <c r="I37" s="17"/>
      <c r="J37" s="17"/>
    </row>
    <row r="38" spans="1:10" x14ac:dyDescent="0.25">
      <c r="A38" s="18" t="s">
        <v>94</v>
      </c>
      <c r="B38" s="17">
        <v>0</v>
      </c>
      <c r="C38" s="16" t="s">
        <v>75</v>
      </c>
      <c r="D38" s="16"/>
      <c r="F38" s="17"/>
      <c r="G38" s="17"/>
      <c r="H38" s="17"/>
      <c r="I38" s="17"/>
      <c r="J38" s="17"/>
    </row>
    <row r="39" spans="1:10" x14ac:dyDescent="0.25">
      <c r="A39" s="18" t="s">
        <v>95</v>
      </c>
      <c r="B39" s="17">
        <v>0</v>
      </c>
      <c r="C39" s="16" t="s">
        <v>75</v>
      </c>
      <c r="D39" s="16"/>
      <c r="F39" s="17"/>
      <c r="G39" s="17"/>
      <c r="H39" s="17"/>
      <c r="I39" s="17"/>
      <c r="J39" s="17"/>
    </row>
    <row r="40" spans="1:10" x14ac:dyDescent="0.25">
      <c r="A40" s="18" t="s">
        <v>96</v>
      </c>
      <c r="B40" s="17">
        <v>0</v>
      </c>
      <c r="C40" s="16" t="s">
        <v>75</v>
      </c>
      <c r="D40" s="16"/>
      <c r="F40" s="17"/>
      <c r="G40" s="17"/>
      <c r="H40" s="17"/>
      <c r="I40" s="17"/>
      <c r="J40" s="17"/>
    </row>
    <row r="41" spans="1:10" x14ac:dyDescent="0.25">
      <c r="A41" s="18" t="s">
        <v>97</v>
      </c>
      <c r="B41" s="17">
        <v>0</v>
      </c>
      <c r="C41" s="16" t="s">
        <v>75</v>
      </c>
      <c r="D41" s="16"/>
      <c r="F41" s="17"/>
      <c r="G41" s="17"/>
      <c r="H41" s="17"/>
      <c r="I41" s="17"/>
      <c r="J41" s="17"/>
    </row>
    <row r="42" spans="1:10" x14ac:dyDescent="0.25">
      <c r="A42" s="18" t="s">
        <v>98</v>
      </c>
      <c r="B42" s="17">
        <v>0</v>
      </c>
      <c r="C42" s="16" t="s">
        <v>75</v>
      </c>
      <c r="D42" s="16"/>
      <c r="F42" s="17"/>
      <c r="G42" s="17"/>
      <c r="H42" s="17"/>
      <c r="I42" s="17"/>
      <c r="J42" s="17"/>
    </row>
    <row r="43" spans="1:10" x14ac:dyDescent="0.25">
      <c r="A43" s="15" t="s">
        <v>99</v>
      </c>
      <c r="B43" s="16">
        <v>0</v>
      </c>
      <c r="C43" s="15"/>
      <c r="D43" s="15"/>
      <c r="F43" s="16"/>
      <c r="G43" s="16"/>
      <c r="H43" s="16"/>
      <c r="I43" s="16"/>
      <c r="J43" s="16"/>
    </row>
    <row r="44" spans="1:10" x14ac:dyDescent="0.25">
      <c r="A44" s="15" t="s">
        <v>100</v>
      </c>
      <c r="B44" s="16">
        <v>0</v>
      </c>
      <c r="C44" s="15"/>
      <c r="D44" s="15"/>
      <c r="F44" s="16"/>
      <c r="G44" s="16"/>
      <c r="H44" s="16"/>
      <c r="I44" s="16"/>
      <c r="J44" s="16"/>
    </row>
    <row r="45" spans="1:10" x14ac:dyDescent="0.25">
      <c r="A45" s="15" t="s">
        <v>101</v>
      </c>
      <c r="B45" s="16">
        <v>58224.12</v>
      </c>
      <c r="C45" s="15"/>
      <c r="D45" s="15"/>
      <c r="F45" s="16"/>
      <c r="G45" s="16"/>
      <c r="H45" s="16"/>
      <c r="I45" s="16"/>
      <c r="J45" s="16"/>
    </row>
    <row r="46" spans="1:10" x14ac:dyDescent="0.25">
      <c r="A46" s="15" t="s">
        <v>102</v>
      </c>
      <c r="B46" s="16">
        <v>0</v>
      </c>
      <c r="C46" s="15"/>
      <c r="D46" s="15"/>
      <c r="F46" s="16"/>
      <c r="G46" s="16"/>
      <c r="H46" s="16"/>
      <c r="I46" s="16"/>
      <c r="J46" s="16"/>
    </row>
    <row r="48" spans="1:10" x14ac:dyDescent="0.25">
      <c r="A48" s="14"/>
      <c r="B48" s="14"/>
      <c r="C48" s="14"/>
      <c r="D48" s="14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5DFF-EE67-4CBA-B40E-9219530023E3}">
  <dimension ref="B3:C30"/>
  <sheetViews>
    <sheetView workbookViewId="0">
      <selection activeCell="C17" sqref="C17"/>
    </sheetView>
  </sheetViews>
  <sheetFormatPr defaultRowHeight="15" x14ac:dyDescent="0.25"/>
  <cols>
    <col min="3" max="3" width="13.28515625" style="48" bestFit="1" customWidth="1"/>
  </cols>
  <sheetData>
    <row r="3" spans="2:3" x14ac:dyDescent="0.25">
      <c r="B3" s="8" t="s">
        <v>24</v>
      </c>
      <c r="C3" s="47" t="s">
        <v>25</v>
      </c>
    </row>
    <row r="4" spans="2:3" x14ac:dyDescent="0.25">
      <c r="B4" s="8" t="s">
        <v>27</v>
      </c>
    </row>
    <row r="5" spans="2:3" x14ac:dyDescent="0.25">
      <c r="B5" t="s">
        <v>28</v>
      </c>
    </row>
    <row r="6" spans="2:3" x14ac:dyDescent="0.25">
      <c r="B6" s="8" t="s">
        <v>29</v>
      </c>
    </row>
    <row r="7" spans="2:3" x14ac:dyDescent="0.25">
      <c r="B7" t="s">
        <v>30</v>
      </c>
    </row>
    <row r="8" spans="2:3" x14ac:dyDescent="0.25">
      <c r="B8" t="s">
        <v>31</v>
      </c>
      <c r="C8" s="48">
        <v>481.5</v>
      </c>
    </row>
    <row r="9" spans="2:3" x14ac:dyDescent="0.25">
      <c r="B9" t="s">
        <v>32</v>
      </c>
    </row>
    <row r="10" spans="2:3" x14ac:dyDescent="0.25">
      <c r="B10" t="s">
        <v>26</v>
      </c>
      <c r="C10" s="48">
        <v>42447.74</v>
      </c>
    </row>
    <row r="11" spans="2:3" x14ac:dyDescent="0.25">
      <c r="B11" t="s">
        <v>33</v>
      </c>
    </row>
    <row r="12" spans="2:3" x14ac:dyDescent="0.25">
      <c r="B12" t="s">
        <v>34</v>
      </c>
      <c r="C12" s="48">
        <v>11155.02</v>
      </c>
    </row>
    <row r="13" spans="2:3" x14ac:dyDescent="0.25">
      <c r="B13" t="s">
        <v>35</v>
      </c>
    </row>
    <row r="14" spans="2:3" x14ac:dyDescent="0.25">
      <c r="B14" t="s">
        <v>36</v>
      </c>
    </row>
    <row r="15" spans="2:3" x14ac:dyDescent="0.25">
      <c r="B15" t="s">
        <v>37</v>
      </c>
    </row>
    <row r="16" spans="2:3" x14ac:dyDescent="0.25">
      <c r="B16" t="s">
        <v>38</v>
      </c>
      <c r="C16" s="48">
        <v>17666.86</v>
      </c>
    </row>
    <row r="17" spans="2:2" x14ac:dyDescent="0.25">
      <c r="B17" t="s">
        <v>39</v>
      </c>
    </row>
    <row r="18" spans="2:2" x14ac:dyDescent="0.25">
      <c r="B18" t="s">
        <v>40</v>
      </c>
    </row>
    <row r="19" spans="2:2" x14ac:dyDescent="0.25">
      <c r="B19" t="s">
        <v>41</v>
      </c>
    </row>
    <row r="20" spans="2:2" x14ac:dyDescent="0.25">
      <c r="B20" t="s">
        <v>42</v>
      </c>
    </row>
    <row r="21" spans="2:2" x14ac:dyDescent="0.25">
      <c r="B21" t="s">
        <v>43</v>
      </c>
    </row>
    <row r="22" spans="2:2" x14ac:dyDescent="0.25">
      <c r="B22" t="s">
        <v>44</v>
      </c>
    </row>
    <row r="23" spans="2:2" x14ac:dyDescent="0.25">
      <c r="B23" t="s">
        <v>45</v>
      </c>
    </row>
    <row r="24" spans="2:2" x14ac:dyDescent="0.25">
      <c r="B24" t="s">
        <v>46</v>
      </c>
    </row>
    <row r="25" spans="2:2" x14ac:dyDescent="0.25">
      <c r="B25" t="s">
        <v>47</v>
      </c>
    </row>
    <row r="26" spans="2:2" x14ac:dyDescent="0.25">
      <c r="B26" t="s">
        <v>48</v>
      </c>
    </row>
    <row r="27" spans="2:2" x14ac:dyDescent="0.25">
      <c r="B27" t="s">
        <v>49</v>
      </c>
    </row>
    <row r="28" spans="2:2" x14ac:dyDescent="0.25">
      <c r="B28" t="s">
        <v>50</v>
      </c>
    </row>
    <row r="29" spans="2:2" x14ac:dyDescent="0.25">
      <c r="B29" t="s">
        <v>51</v>
      </c>
    </row>
    <row r="30" spans="2:2" x14ac:dyDescent="0.25">
      <c r="B30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3DD2-CAAA-4A3B-9D5C-391C3EDDB543}">
  <dimension ref="B2:C29"/>
  <sheetViews>
    <sheetView workbookViewId="0">
      <selection activeCell="F7" sqref="F7"/>
    </sheetView>
  </sheetViews>
  <sheetFormatPr defaultRowHeight="15" x14ac:dyDescent="0.25"/>
  <sheetData>
    <row r="2" spans="2:3" x14ac:dyDescent="0.25">
      <c r="B2" s="8" t="s">
        <v>24</v>
      </c>
      <c r="C2" s="8" t="s">
        <v>25</v>
      </c>
    </row>
    <row r="3" spans="2:3" x14ac:dyDescent="0.25">
      <c r="B3" s="8" t="s">
        <v>27</v>
      </c>
    </row>
    <row r="4" spans="2:3" x14ac:dyDescent="0.25">
      <c r="B4" t="s">
        <v>28</v>
      </c>
    </row>
    <row r="5" spans="2:3" x14ac:dyDescent="0.25">
      <c r="B5" s="8" t="s">
        <v>29</v>
      </c>
    </row>
    <row r="6" spans="2:3" x14ac:dyDescent="0.25">
      <c r="B6" t="s">
        <v>30</v>
      </c>
    </row>
    <row r="7" spans="2:3" x14ac:dyDescent="0.25">
      <c r="B7" t="s">
        <v>31</v>
      </c>
    </row>
    <row r="8" spans="2:3" x14ac:dyDescent="0.25">
      <c r="B8" t="s">
        <v>32</v>
      </c>
    </row>
    <row r="9" spans="2:3" x14ac:dyDescent="0.25">
      <c r="B9" t="s">
        <v>26</v>
      </c>
    </row>
    <row r="10" spans="2:3" x14ac:dyDescent="0.25">
      <c r="B10" t="s">
        <v>33</v>
      </c>
    </row>
    <row r="11" spans="2:3" x14ac:dyDescent="0.25">
      <c r="B11" t="s">
        <v>34</v>
      </c>
    </row>
    <row r="12" spans="2:3" x14ac:dyDescent="0.25">
      <c r="B12" t="s">
        <v>35</v>
      </c>
    </row>
    <row r="13" spans="2:3" x14ac:dyDescent="0.25">
      <c r="B13" t="s">
        <v>36</v>
      </c>
    </row>
    <row r="14" spans="2:3" x14ac:dyDescent="0.25">
      <c r="B14" t="s">
        <v>37</v>
      </c>
    </row>
    <row r="15" spans="2:3" x14ac:dyDescent="0.25">
      <c r="B15" t="s">
        <v>38</v>
      </c>
    </row>
    <row r="16" spans="2:3" x14ac:dyDescent="0.25">
      <c r="B16" t="s">
        <v>39</v>
      </c>
    </row>
    <row r="17" spans="2:2" x14ac:dyDescent="0.25">
      <c r="B17" t="s">
        <v>40</v>
      </c>
    </row>
    <row r="18" spans="2:2" x14ac:dyDescent="0.25">
      <c r="B18" t="s">
        <v>41</v>
      </c>
    </row>
    <row r="19" spans="2:2" x14ac:dyDescent="0.25">
      <c r="B19" t="s">
        <v>42</v>
      </c>
    </row>
    <row r="20" spans="2:2" x14ac:dyDescent="0.25">
      <c r="B20" t="s">
        <v>43</v>
      </c>
    </row>
    <row r="21" spans="2:2" x14ac:dyDescent="0.25">
      <c r="B21" t="s">
        <v>44</v>
      </c>
    </row>
    <row r="22" spans="2:2" x14ac:dyDescent="0.25">
      <c r="B22" t="s">
        <v>45</v>
      </c>
    </row>
    <row r="23" spans="2:2" x14ac:dyDescent="0.25">
      <c r="B23" t="s">
        <v>46</v>
      </c>
    </row>
    <row r="24" spans="2:2" x14ac:dyDescent="0.25">
      <c r="B24" t="s">
        <v>47</v>
      </c>
    </row>
    <row r="25" spans="2:2" x14ac:dyDescent="0.25">
      <c r="B25" t="s">
        <v>48</v>
      </c>
    </row>
    <row r="26" spans="2:2" x14ac:dyDescent="0.25">
      <c r="B26" t="s">
        <v>49</v>
      </c>
    </row>
    <row r="27" spans="2:2" x14ac:dyDescent="0.25">
      <c r="B27" t="s">
        <v>50</v>
      </c>
    </row>
    <row r="28" spans="2:2" x14ac:dyDescent="0.25">
      <c r="B28" t="s">
        <v>51</v>
      </c>
    </row>
    <row r="29" spans="2:2" x14ac:dyDescent="0.25">
      <c r="B29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ACC5-5BD0-4068-B1FA-C2178EA8E09D}">
  <dimension ref="A1:F10"/>
  <sheetViews>
    <sheetView workbookViewId="0">
      <selection activeCell="E25" sqref="E25"/>
    </sheetView>
  </sheetViews>
  <sheetFormatPr defaultRowHeight="15" x14ac:dyDescent="0.25"/>
  <cols>
    <col min="2" max="2" width="19.28515625" bestFit="1" customWidth="1"/>
    <col min="3" max="3" width="16.42578125" bestFit="1" customWidth="1"/>
    <col min="4" max="4" width="17.28515625" bestFit="1" customWidth="1"/>
    <col min="5" max="5" width="26.5703125" bestFit="1" customWidth="1"/>
    <col min="6" max="6" width="15" bestFit="1" customWidth="1"/>
    <col min="7" max="7" width="10.140625" bestFit="1" customWidth="1"/>
    <col min="8" max="8" width="15.85546875" bestFit="1" customWidth="1"/>
  </cols>
  <sheetData>
    <row r="1" spans="1:6" x14ac:dyDescent="0.25">
      <c r="B1" t="s">
        <v>17</v>
      </c>
    </row>
    <row r="2" spans="1:6" x14ac:dyDescent="0.25">
      <c r="A2" s="7"/>
      <c r="B2" s="7" t="s">
        <v>10</v>
      </c>
      <c r="C2" s="7" t="s">
        <v>11</v>
      </c>
      <c r="D2" s="7" t="s">
        <v>12</v>
      </c>
      <c r="E2" s="7" t="s">
        <v>15</v>
      </c>
      <c r="F2" s="7" t="s">
        <v>16</v>
      </c>
    </row>
    <row r="3" spans="1:6" x14ac:dyDescent="0.25">
      <c r="A3" s="9" t="s">
        <v>53</v>
      </c>
      <c r="B3" s="7"/>
      <c r="C3" s="7"/>
      <c r="D3" s="7"/>
      <c r="E3" s="7"/>
      <c r="F3" s="7"/>
    </row>
    <row r="4" spans="1:6" x14ac:dyDescent="0.25">
      <c r="B4" t="s">
        <v>18</v>
      </c>
    </row>
    <row r="5" spans="1:6" x14ac:dyDescent="0.25">
      <c r="A5" s="7"/>
      <c r="B5" s="7" t="s">
        <v>10</v>
      </c>
      <c r="C5" s="7" t="s">
        <v>11</v>
      </c>
      <c r="D5" s="7" t="s">
        <v>12</v>
      </c>
      <c r="E5" s="7" t="s">
        <v>15</v>
      </c>
      <c r="F5" s="7" t="s">
        <v>16</v>
      </c>
    </row>
    <row r="6" spans="1:6" x14ac:dyDescent="0.25">
      <c r="A6" s="7" t="s">
        <v>20</v>
      </c>
      <c r="B6" s="7"/>
      <c r="C6" s="7"/>
      <c r="D6" s="7"/>
      <c r="E6" s="7"/>
      <c r="F6" s="7"/>
    </row>
    <row r="7" spans="1:6" x14ac:dyDescent="0.25">
      <c r="B7" t="s">
        <v>19</v>
      </c>
    </row>
    <row r="9" spans="1:6" x14ac:dyDescent="0.25">
      <c r="B9" s="6"/>
      <c r="C9" s="6" t="s">
        <v>17</v>
      </c>
      <c r="D9" s="6" t="s">
        <v>18</v>
      </c>
      <c r="E9" s="6" t="s">
        <v>21</v>
      </c>
      <c r="F9" s="6" t="s">
        <v>22</v>
      </c>
    </row>
    <row r="10" spans="1:6" x14ac:dyDescent="0.25">
      <c r="B10" s="6" t="s">
        <v>53</v>
      </c>
      <c r="C10" s="6"/>
      <c r="D10" s="6"/>
      <c r="E10" s="6"/>
      <c r="F10" s="6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77E1-37B9-4DAA-B953-8389ADB43CAF}">
  <dimension ref="A1:Q538"/>
  <sheetViews>
    <sheetView tabSelected="1" workbookViewId="0">
      <selection activeCell="D45" sqref="D45"/>
    </sheetView>
  </sheetViews>
  <sheetFormatPr defaultRowHeight="15" x14ac:dyDescent="0.25"/>
  <cols>
    <col min="1" max="1" width="13.5703125" customWidth="1"/>
    <col min="2" max="2" width="7.5703125" customWidth="1"/>
    <col min="3" max="3" width="15.140625" customWidth="1"/>
    <col min="4" max="4" width="5.140625" bestFit="1" customWidth="1"/>
    <col min="5" max="5" width="6.85546875" customWidth="1"/>
    <col min="6" max="6" width="6.42578125" customWidth="1"/>
    <col min="7" max="7" width="17.5703125" customWidth="1"/>
    <col min="8" max="8" width="6.85546875" customWidth="1"/>
    <col min="9" max="9" width="4" customWidth="1"/>
    <col min="10" max="10" width="3" customWidth="1"/>
    <col min="11" max="11" width="9.85546875" customWidth="1"/>
    <col min="12" max="12" width="6.28515625" customWidth="1"/>
    <col min="13" max="13" width="11.7109375" customWidth="1"/>
    <col min="14" max="14" width="4.5703125" customWidth="1"/>
    <col min="15" max="15" width="11.5703125" customWidth="1"/>
    <col min="16" max="16" width="4.140625" customWidth="1"/>
    <col min="17" max="17" width="9.7109375" customWidth="1"/>
    <col min="240" max="240" width="7" customWidth="1"/>
    <col min="241" max="241" width="1" customWidth="1"/>
    <col min="242" max="242" width="7.5703125" customWidth="1"/>
    <col min="243" max="243" width="1" customWidth="1"/>
    <col min="244" max="244" width="15.140625" customWidth="1"/>
    <col min="245" max="245" width="1" customWidth="1"/>
    <col min="246" max="246" width="5" customWidth="1"/>
    <col min="247" max="247" width="1" customWidth="1"/>
    <col min="248" max="248" width="6.85546875" customWidth="1"/>
    <col min="249" max="249" width="1" customWidth="1"/>
    <col min="250" max="250" width="6.42578125" customWidth="1"/>
    <col min="251" max="251" width="1" customWidth="1"/>
    <col min="252" max="252" width="17.5703125" customWidth="1"/>
    <col min="253" max="253" width="1" customWidth="1"/>
    <col min="254" max="254" width="6.85546875" customWidth="1"/>
    <col min="255" max="255" width="1" customWidth="1"/>
    <col min="256" max="256" width="4" customWidth="1"/>
    <col min="257" max="257" width="1" customWidth="1"/>
    <col min="258" max="258" width="3" customWidth="1"/>
    <col min="259" max="259" width="1" customWidth="1"/>
    <col min="260" max="260" width="3.7109375" customWidth="1"/>
    <col min="261" max="261" width="7.140625" customWidth="1"/>
    <col min="262" max="262" width="2.42578125" customWidth="1"/>
    <col min="263" max="263" width="6.28515625" customWidth="1"/>
    <col min="264" max="264" width="1" customWidth="1"/>
    <col min="265" max="265" width="11.7109375" customWidth="1"/>
    <col min="266" max="266" width="1" customWidth="1"/>
    <col min="267" max="267" width="4.5703125" customWidth="1"/>
    <col min="268" max="268" width="11.5703125" customWidth="1"/>
    <col min="269" max="269" width="4.140625" customWidth="1"/>
    <col min="270" max="270" width="7.5703125" customWidth="1"/>
    <col min="271" max="272" width="1" customWidth="1"/>
    <col min="273" max="273" width="9.7109375" customWidth="1"/>
    <col min="496" max="496" width="7" customWidth="1"/>
    <col min="497" max="497" width="1" customWidth="1"/>
    <col min="498" max="498" width="7.5703125" customWidth="1"/>
    <col min="499" max="499" width="1" customWidth="1"/>
    <col min="500" max="500" width="15.140625" customWidth="1"/>
    <col min="501" max="501" width="1" customWidth="1"/>
    <col min="502" max="502" width="5" customWidth="1"/>
    <col min="503" max="503" width="1" customWidth="1"/>
    <col min="504" max="504" width="6.85546875" customWidth="1"/>
    <col min="505" max="505" width="1" customWidth="1"/>
    <col min="506" max="506" width="6.42578125" customWidth="1"/>
    <col min="507" max="507" width="1" customWidth="1"/>
    <col min="508" max="508" width="17.5703125" customWidth="1"/>
    <col min="509" max="509" width="1" customWidth="1"/>
    <col min="510" max="510" width="6.85546875" customWidth="1"/>
    <col min="511" max="511" width="1" customWidth="1"/>
    <col min="512" max="512" width="4" customWidth="1"/>
    <col min="513" max="513" width="1" customWidth="1"/>
    <col min="514" max="514" width="3" customWidth="1"/>
    <col min="515" max="515" width="1" customWidth="1"/>
    <col min="516" max="516" width="3.7109375" customWidth="1"/>
    <col min="517" max="517" width="7.140625" customWidth="1"/>
    <col min="518" max="518" width="2.42578125" customWidth="1"/>
    <col min="519" max="519" width="6.28515625" customWidth="1"/>
    <col min="520" max="520" width="1" customWidth="1"/>
    <col min="521" max="521" width="11.7109375" customWidth="1"/>
    <col min="522" max="522" width="1" customWidth="1"/>
    <col min="523" max="523" width="4.5703125" customWidth="1"/>
    <col min="524" max="524" width="11.5703125" customWidth="1"/>
    <col min="525" max="525" width="4.140625" customWidth="1"/>
    <col min="526" max="526" width="7.5703125" customWidth="1"/>
    <col min="527" max="528" width="1" customWidth="1"/>
    <col min="529" max="529" width="9.7109375" customWidth="1"/>
    <col min="752" max="752" width="7" customWidth="1"/>
    <col min="753" max="753" width="1" customWidth="1"/>
    <col min="754" max="754" width="7.5703125" customWidth="1"/>
    <col min="755" max="755" width="1" customWidth="1"/>
    <col min="756" max="756" width="15.140625" customWidth="1"/>
    <col min="757" max="757" width="1" customWidth="1"/>
    <col min="758" max="758" width="5" customWidth="1"/>
    <col min="759" max="759" width="1" customWidth="1"/>
    <col min="760" max="760" width="6.85546875" customWidth="1"/>
    <col min="761" max="761" width="1" customWidth="1"/>
    <col min="762" max="762" width="6.42578125" customWidth="1"/>
    <col min="763" max="763" width="1" customWidth="1"/>
    <col min="764" max="764" width="17.5703125" customWidth="1"/>
    <col min="765" max="765" width="1" customWidth="1"/>
    <col min="766" max="766" width="6.85546875" customWidth="1"/>
    <col min="767" max="767" width="1" customWidth="1"/>
    <col min="768" max="768" width="4" customWidth="1"/>
    <col min="769" max="769" width="1" customWidth="1"/>
    <col min="770" max="770" width="3" customWidth="1"/>
    <col min="771" max="771" width="1" customWidth="1"/>
    <col min="772" max="772" width="3.7109375" customWidth="1"/>
    <col min="773" max="773" width="7.140625" customWidth="1"/>
    <col min="774" max="774" width="2.42578125" customWidth="1"/>
    <col min="775" max="775" width="6.28515625" customWidth="1"/>
    <col min="776" max="776" width="1" customWidth="1"/>
    <col min="777" max="777" width="11.7109375" customWidth="1"/>
    <col min="778" max="778" width="1" customWidth="1"/>
    <col min="779" max="779" width="4.5703125" customWidth="1"/>
    <col min="780" max="780" width="11.5703125" customWidth="1"/>
    <col min="781" max="781" width="4.140625" customWidth="1"/>
    <col min="782" max="782" width="7.5703125" customWidth="1"/>
    <col min="783" max="784" width="1" customWidth="1"/>
    <col min="785" max="785" width="9.7109375" customWidth="1"/>
    <col min="1008" max="1008" width="7" customWidth="1"/>
    <col min="1009" max="1009" width="1" customWidth="1"/>
    <col min="1010" max="1010" width="7.5703125" customWidth="1"/>
    <col min="1011" max="1011" width="1" customWidth="1"/>
    <col min="1012" max="1012" width="15.140625" customWidth="1"/>
    <col min="1013" max="1013" width="1" customWidth="1"/>
    <col min="1014" max="1014" width="5" customWidth="1"/>
    <col min="1015" max="1015" width="1" customWidth="1"/>
    <col min="1016" max="1016" width="6.85546875" customWidth="1"/>
    <col min="1017" max="1017" width="1" customWidth="1"/>
    <col min="1018" max="1018" width="6.42578125" customWidth="1"/>
    <col min="1019" max="1019" width="1" customWidth="1"/>
    <col min="1020" max="1020" width="17.5703125" customWidth="1"/>
    <col min="1021" max="1021" width="1" customWidth="1"/>
    <col min="1022" max="1022" width="6.85546875" customWidth="1"/>
    <col min="1023" max="1023" width="1" customWidth="1"/>
    <col min="1024" max="1024" width="4" customWidth="1"/>
    <col min="1025" max="1025" width="1" customWidth="1"/>
    <col min="1026" max="1026" width="3" customWidth="1"/>
    <col min="1027" max="1027" width="1" customWidth="1"/>
    <col min="1028" max="1028" width="3.7109375" customWidth="1"/>
    <col min="1029" max="1029" width="7.140625" customWidth="1"/>
    <col min="1030" max="1030" width="2.42578125" customWidth="1"/>
    <col min="1031" max="1031" width="6.28515625" customWidth="1"/>
    <col min="1032" max="1032" width="1" customWidth="1"/>
    <col min="1033" max="1033" width="11.7109375" customWidth="1"/>
    <col min="1034" max="1034" width="1" customWidth="1"/>
    <col min="1035" max="1035" width="4.5703125" customWidth="1"/>
    <col min="1036" max="1036" width="11.5703125" customWidth="1"/>
    <col min="1037" max="1037" width="4.140625" customWidth="1"/>
    <col min="1038" max="1038" width="7.5703125" customWidth="1"/>
    <col min="1039" max="1040" width="1" customWidth="1"/>
    <col min="1041" max="1041" width="9.7109375" customWidth="1"/>
    <col min="1264" max="1264" width="7" customWidth="1"/>
    <col min="1265" max="1265" width="1" customWidth="1"/>
    <col min="1266" max="1266" width="7.5703125" customWidth="1"/>
    <col min="1267" max="1267" width="1" customWidth="1"/>
    <col min="1268" max="1268" width="15.140625" customWidth="1"/>
    <col min="1269" max="1269" width="1" customWidth="1"/>
    <col min="1270" max="1270" width="5" customWidth="1"/>
    <col min="1271" max="1271" width="1" customWidth="1"/>
    <col min="1272" max="1272" width="6.85546875" customWidth="1"/>
    <col min="1273" max="1273" width="1" customWidth="1"/>
    <col min="1274" max="1274" width="6.42578125" customWidth="1"/>
    <col min="1275" max="1275" width="1" customWidth="1"/>
    <col min="1276" max="1276" width="17.5703125" customWidth="1"/>
    <col min="1277" max="1277" width="1" customWidth="1"/>
    <col min="1278" max="1278" width="6.85546875" customWidth="1"/>
    <col min="1279" max="1279" width="1" customWidth="1"/>
    <col min="1280" max="1280" width="4" customWidth="1"/>
    <col min="1281" max="1281" width="1" customWidth="1"/>
    <col min="1282" max="1282" width="3" customWidth="1"/>
    <col min="1283" max="1283" width="1" customWidth="1"/>
    <col min="1284" max="1284" width="3.7109375" customWidth="1"/>
    <col min="1285" max="1285" width="7.140625" customWidth="1"/>
    <col min="1286" max="1286" width="2.42578125" customWidth="1"/>
    <col min="1287" max="1287" width="6.28515625" customWidth="1"/>
    <col min="1288" max="1288" width="1" customWidth="1"/>
    <col min="1289" max="1289" width="11.7109375" customWidth="1"/>
    <col min="1290" max="1290" width="1" customWidth="1"/>
    <col min="1291" max="1291" width="4.5703125" customWidth="1"/>
    <col min="1292" max="1292" width="11.5703125" customWidth="1"/>
    <col min="1293" max="1293" width="4.140625" customWidth="1"/>
    <col min="1294" max="1294" width="7.5703125" customWidth="1"/>
    <col min="1295" max="1296" width="1" customWidth="1"/>
    <col min="1297" max="1297" width="9.7109375" customWidth="1"/>
    <col min="1520" max="1520" width="7" customWidth="1"/>
    <col min="1521" max="1521" width="1" customWidth="1"/>
    <col min="1522" max="1522" width="7.5703125" customWidth="1"/>
    <col min="1523" max="1523" width="1" customWidth="1"/>
    <col min="1524" max="1524" width="15.140625" customWidth="1"/>
    <col min="1525" max="1525" width="1" customWidth="1"/>
    <col min="1526" max="1526" width="5" customWidth="1"/>
    <col min="1527" max="1527" width="1" customWidth="1"/>
    <col min="1528" max="1528" width="6.85546875" customWidth="1"/>
    <col min="1529" max="1529" width="1" customWidth="1"/>
    <col min="1530" max="1530" width="6.42578125" customWidth="1"/>
    <col min="1531" max="1531" width="1" customWidth="1"/>
    <col min="1532" max="1532" width="17.5703125" customWidth="1"/>
    <col min="1533" max="1533" width="1" customWidth="1"/>
    <col min="1534" max="1534" width="6.85546875" customWidth="1"/>
    <col min="1535" max="1535" width="1" customWidth="1"/>
    <col min="1536" max="1536" width="4" customWidth="1"/>
    <col min="1537" max="1537" width="1" customWidth="1"/>
    <col min="1538" max="1538" width="3" customWidth="1"/>
    <col min="1539" max="1539" width="1" customWidth="1"/>
    <col min="1540" max="1540" width="3.7109375" customWidth="1"/>
    <col min="1541" max="1541" width="7.140625" customWidth="1"/>
    <col min="1542" max="1542" width="2.42578125" customWidth="1"/>
    <col min="1543" max="1543" width="6.28515625" customWidth="1"/>
    <col min="1544" max="1544" width="1" customWidth="1"/>
    <col min="1545" max="1545" width="11.7109375" customWidth="1"/>
    <col min="1546" max="1546" width="1" customWidth="1"/>
    <col min="1547" max="1547" width="4.5703125" customWidth="1"/>
    <col min="1548" max="1548" width="11.5703125" customWidth="1"/>
    <col min="1549" max="1549" width="4.140625" customWidth="1"/>
    <col min="1550" max="1550" width="7.5703125" customWidth="1"/>
    <col min="1551" max="1552" width="1" customWidth="1"/>
    <col min="1553" max="1553" width="9.7109375" customWidth="1"/>
    <col min="1776" max="1776" width="7" customWidth="1"/>
    <col min="1777" max="1777" width="1" customWidth="1"/>
    <col min="1778" max="1778" width="7.5703125" customWidth="1"/>
    <col min="1779" max="1779" width="1" customWidth="1"/>
    <col min="1780" max="1780" width="15.140625" customWidth="1"/>
    <col min="1781" max="1781" width="1" customWidth="1"/>
    <col min="1782" max="1782" width="5" customWidth="1"/>
    <col min="1783" max="1783" width="1" customWidth="1"/>
    <col min="1784" max="1784" width="6.85546875" customWidth="1"/>
    <col min="1785" max="1785" width="1" customWidth="1"/>
    <col min="1786" max="1786" width="6.42578125" customWidth="1"/>
    <col min="1787" max="1787" width="1" customWidth="1"/>
    <col min="1788" max="1788" width="17.5703125" customWidth="1"/>
    <col min="1789" max="1789" width="1" customWidth="1"/>
    <col min="1790" max="1790" width="6.85546875" customWidth="1"/>
    <col min="1791" max="1791" width="1" customWidth="1"/>
    <col min="1792" max="1792" width="4" customWidth="1"/>
    <col min="1793" max="1793" width="1" customWidth="1"/>
    <col min="1794" max="1794" width="3" customWidth="1"/>
    <col min="1795" max="1795" width="1" customWidth="1"/>
    <col min="1796" max="1796" width="3.7109375" customWidth="1"/>
    <col min="1797" max="1797" width="7.140625" customWidth="1"/>
    <col min="1798" max="1798" width="2.42578125" customWidth="1"/>
    <col min="1799" max="1799" width="6.28515625" customWidth="1"/>
    <col min="1800" max="1800" width="1" customWidth="1"/>
    <col min="1801" max="1801" width="11.7109375" customWidth="1"/>
    <col min="1802" max="1802" width="1" customWidth="1"/>
    <col min="1803" max="1803" width="4.5703125" customWidth="1"/>
    <col min="1804" max="1804" width="11.5703125" customWidth="1"/>
    <col min="1805" max="1805" width="4.140625" customWidth="1"/>
    <col min="1806" max="1806" width="7.5703125" customWidth="1"/>
    <col min="1807" max="1808" width="1" customWidth="1"/>
    <col min="1809" max="1809" width="9.7109375" customWidth="1"/>
    <col min="2032" max="2032" width="7" customWidth="1"/>
    <col min="2033" max="2033" width="1" customWidth="1"/>
    <col min="2034" max="2034" width="7.5703125" customWidth="1"/>
    <col min="2035" max="2035" width="1" customWidth="1"/>
    <col min="2036" max="2036" width="15.140625" customWidth="1"/>
    <col min="2037" max="2037" width="1" customWidth="1"/>
    <col min="2038" max="2038" width="5" customWidth="1"/>
    <col min="2039" max="2039" width="1" customWidth="1"/>
    <col min="2040" max="2040" width="6.85546875" customWidth="1"/>
    <col min="2041" max="2041" width="1" customWidth="1"/>
    <col min="2042" max="2042" width="6.42578125" customWidth="1"/>
    <col min="2043" max="2043" width="1" customWidth="1"/>
    <col min="2044" max="2044" width="17.5703125" customWidth="1"/>
    <col min="2045" max="2045" width="1" customWidth="1"/>
    <col min="2046" max="2046" width="6.85546875" customWidth="1"/>
    <col min="2047" max="2047" width="1" customWidth="1"/>
    <col min="2048" max="2048" width="4" customWidth="1"/>
    <col min="2049" max="2049" width="1" customWidth="1"/>
    <col min="2050" max="2050" width="3" customWidth="1"/>
    <col min="2051" max="2051" width="1" customWidth="1"/>
    <col min="2052" max="2052" width="3.7109375" customWidth="1"/>
    <col min="2053" max="2053" width="7.140625" customWidth="1"/>
    <col min="2054" max="2054" width="2.42578125" customWidth="1"/>
    <col min="2055" max="2055" width="6.28515625" customWidth="1"/>
    <col min="2056" max="2056" width="1" customWidth="1"/>
    <col min="2057" max="2057" width="11.7109375" customWidth="1"/>
    <col min="2058" max="2058" width="1" customWidth="1"/>
    <col min="2059" max="2059" width="4.5703125" customWidth="1"/>
    <col min="2060" max="2060" width="11.5703125" customWidth="1"/>
    <col min="2061" max="2061" width="4.140625" customWidth="1"/>
    <col min="2062" max="2062" width="7.5703125" customWidth="1"/>
    <col min="2063" max="2064" width="1" customWidth="1"/>
    <col min="2065" max="2065" width="9.7109375" customWidth="1"/>
    <col min="2288" max="2288" width="7" customWidth="1"/>
    <col min="2289" max="2289" width="1" customWidth="1"/>
    <col min="2290" max="2290" width="7.5703125" customWidth="1"/>
    <col min="2291" max="2291" width="1" customWidth="1"/>
    <col min="2292" max="2292" width="15.140625" customWidth="1"/>
    <col min="2293" max="2293" width="1" customWidth="1"/>
    <col min="2294" max="2294" width="5" customWidth="1"/>
    <col min="2295" max="2295" width="1" customWidth="1"/>
    <col min="2296" max="2296" width="6.85546875" customWidth="1"/>
    <col min="2297" max="2297" width="1" customWidth="1"/>
    <col min="2298" max="2298" width="6.42578125" customWidth="1"/>
    <col min="2299" max="2299" width="1" customWidth="1"/>
    <col min="2300" max="2300" width="17.5703125" customWidth="1"/>
    <col min="2301" max="2301" width="1" customWidth="1"/>
    <col min="2302" max="2302" width="6.85546875" customWidth="1"/>
    <col min="2303" max="2303" width="1" customWidth="1"/>
    <col min="2304" max="2304" width="4" customWidth="1"/>
    <col min="2305" max="2305" width="1" customWidth="1"/>
    <col min="2306" max="2306" width="3" customWidth="1"/>
    <col min="2307" max="2307" width="1" customWidth="1"/>
    <col min="2308" max="2308" width="3.7109375" customWidth="1"/>
    <col min="2309" max="2309" width="7.140625" customWidth="1"/>
    <col min="2310" max="2310" width="2.42578125" customWidth="1"/>
    <col min="2311" max="2311" width="6.28515625" customWidth="1"/>
    <col min="2312" max="2312" width="1" customWidth="1"/>
    <col min="2313" max="2313" width="11.7109375" customWidth="1"/>
    <col min="2314" max="2314" width="1" customWidth="1"/>
    <col min="2315" max="2315" width="4.5703125" customWidth="1"/>
    <col min="2316" max="2316" width="11.5703125" customWidth="1"/>
    <col min="2317" max="2317" width="4.140625" customWidth="1"/>
    <col min="2318" max="2318" width="7.5703125" customWidth="1"/>
    <col min="2319" max="2320" width="1" customWidth="1"/>
    <col min="2321" max="2321" width="9.7109375" customWidth="1"/>
    <col min="2544" max="2544" width="7" customWidth="1"/>
    <col min="2545" max="2545" width="1" customWidth="1"/>
    <col min="2546" max="2546" width="7.5703125" customWidth="1"/>
    <col min="2547" max="2547" width="1" customWidth="1"/>
    <col min="2548" max="2548" width="15.140625" customWidth="1"/>
    <col min="2549" max="2549" width="1" customWidth="1"/>
    <col min="2550" max="2550" width="5" customWidth="1"/>
    <col min="2551" max="2551" width="1" customWidth="1"/>
    <col min="2552" max="2552" width="6.85546875" customWidth="1"/>
    <col min="2553" max="2553" width="1" customWidth="1"/>
    <col min="2554" max="2554" width="6.42578125" customWidth="1"/>
    <col min="2555" max="2555" width="1" customWidth="1"/>
    <col min="2556" max="2556" width="17.5703125" customWidth="1"/>
    <col min="2557" max="2557" width="1" customWidth="1"/>
    <col min="2558" max="2558" width="6.85546875" customWidth="1"/>
    <col min="2559" max="2559" width="1" customWidth="1"/>
    <col min="2560" max="2560" width="4" customWidth="1"/>
    <col min="2561" max="2561" width="1" customWidth="1"/>
    <col min="2562" max="2562" width="3" customWidth="1"/>
    <col min="2563" max="2563" width="1" customWidth="1"/>
    <col min="2564" max="2564" width="3.7109375" customWidth="1"/>
    <col min="2565" max="2565" width="7.140625" customWidth="1"/>
    <col min="2566" max="2566" width="2.42578125" customWidth="1"/>
    <col min="2567" max="2567" width="6.28515625" customWidth="1"/>
    <col min="2568" max="2568" width="1" customWidth="1"/>
    <col min="2569" max="2569" width="11.7109375" customWidth="1"/>
    <col min="2570" max="2570" width="1" customWidth="1"/>
    <col min="2571" max="2571" width="4.5703125" customWidth="1"/>
    <col min="2572" max="2572" width="11.5703125" customWidth="1"/>
    <col min="2573" max="2573" width="4.140625" customWidth="1"/>
    <col min="2574" max="2574" width="7.5703125" customWidth="1"/>
    <col min="2575" max="2576" width="1" customWidth="1"/>
    <col min="2577" max="2577" width="9.7109375" customWidth="1"/>
    <col min="2800" max="2800" width="7" customWidth="1"/>
    <col min="2801" max="2801" width="1" customWidth="1"/>
    <col min="2802" max="2802" width="7.5703125" customWidth="1"/>
    <col min="2803" max="2803" width="1" customWidth="1"/>
    <col min="2804" max="2804" width="15.140625" customWidth="1"/>
    <col min="2805" max="2805" width="1" customWidth="1"/>
    <col min="2806" max="2806" width="5" customWidth="1"/>
    <col min="2807" max="2807" width="1" customWidth="1"/>
    <col min="2808" max="2808" width="6.85546875" customWidth="1"/>
    <col min="2809" max="2809" width="1" customWidth="1"/>
    <col min="2810" max="2810" width="6.42578125" customWidth="1"/>
    <col min="2811" max="2811" width="1" customWidth="1"/>
    <col min="2812" max="2812" width="17.5703125" customWidth="1"/>
    <col min="2813" max="2813" width="1" customWidth="1"/>
    <col min="2814" max="2814" width="6.85546875" customWidth="1"/>
    <col min="2815" max="2815" width="1" customWidth="1"/>
    <col min="2816" max="2816" width="4" customWidth="1"/>
    <col min="2817" max="2817" width="1" customWidth="1"/>
    <col min="2818" max="2818" width="3" customWidth="1"/>
    <col min="2819" max="2819" width="1" customWidth="1"/>
    <col min="2820" max="2820" width="3.7109375" customWidth="1"/>
    <col min="2821" max="2821" width="7.140625" customWidth="1"/>
    <col min="2822" max="2822" width="2.42578125" customWidth="1"/>
    <col min="2823" max="2823" width="6.28515625" customWidth="1"/>
    <col min="2824" max="2824" width="1" customWidth="1"/>
    <col min="2825" max="2825" width="11.7109375" customWidth="1"/>
    <col min="2826" max="2826" width="1" customWidth="1"/>
    <col min="2827" max="2827" width="4.5703125" customWidth="1"/>
    <col min="2828" max="2828" width="11.5703125" customWidth="1"/>
    <col min="2829" max="2829" width="4.140625" customWidth="1"/>
    <col min="2830" max="2830" width="7.5703125" customWidth="1"/>
    <col min="2831" max="2832" width="1" customWidth="1"/>
    <col min="2833" max="2833" width="9.7109375" customWidth="1"/>
    <col min="3056" max="3056" width="7" customWidth="1"/>
    <col min="3057" max="3057" width="1" customWidth="1"/>
    <col min="3058" max="3058" width="7.5703125" customWidth="1"/>
    <col min="3059" max="3059" width="1" customWidth="1"/>
    <col min="3060" max="3060" width="15.140625" customWidth="1"/>
    <col min="3061" max="3061" width="1" customWidth="1"/>
    <col min="3062" max="3062" width="5" customWidth="1"/>
    <col min="3063" max="3063" width="1" customWidth="1"/>
    <col min="3064" max="3064" width="6.85546875" customWidth="1"/>
    <col min="3065" max="3065" width="1" customWidth="1"/>
    <col min="3066" max="3066" width="6.42578125" customWidth="1"/>
    <col min="3067" max="3067" width="1" customWidth="1"/>
    <col min="3068" max="3068" width="17.5703125" customWidth="1"/>
    <col min="3069" max="3069" width="1" customWidth="1"/>
    <col min="3070" max="3070" width="6.85546875" customWidth="1"/>
    <col min="3071" max="3071" width="1" customWidth="1"/>
    <col min="3072" max="3072" width="4" customWidth="1"/>
    <col min="3073" max="3073" width="1" customWidth="1"/>
    <col min="3074" max="3074" width="3" customWidth="1"/>
    <col min="3075" max="3075" width="1" customWidth="1"/>
    <col min="3076" max="3076" width="3.7109375" customWidth="1"/>
    <col min="3077" max="3077" width="7.140625" customWidth="1"/>
    <col min="3078" max="3078" width="2.42578125" customWidth="1"/>
    <col min="3079" max="3079" width="6.28515625" customWidth="1"/>
    <col min="3080" max="3080" width="1" customWidth="1"/>
    <col min="3081" max="3081" width="11.7109375" customWidth="1"/>
    <col min="3082" max="3082" width="1" customWidth="1"/>
    <col min="3083" max="3083" width="4.5703125" customWidth="1"/>
    <col min="3084" max="3084" width="11.5703125" customWidth="1"/>
    <col min="3085" max="3085" width="4.140625" customWidth="1"/>
    <col min="3086" max="3086" width="7.5703125" customWidth="1"/>
    <col min="3087" max="3088" width="1" customWidth="1"/>
    <col min="3089" max="3089" width="9.7109375" customWidth="1"/>
    <col min="3312" max="3312" width="7" customWidth="1"/>
    <col min="3313" max="3313" width="1" customWidth="1"/>
    <col min="3314" max="3314" width="7.5703125" customWidth="1"/>
    <col min="3315" max="3315" width="1" customWidth="1"/>
    <col min="3316" max="3316" width="15.140625" customWidth="1"/>
    <col min="3317" max="3317" width="1" customWidth="1"/>
    <col min="3318" max="3318" width="5" customWidth="1"/>
    <col min="3319" max="3319" width="1" customWidth="1"/>
    <col min="3320" max="3320" width="6.85546875" customWidth="1"/>
    <col min="3321" max="3321" width="1" customWidth="1"/>
    <col min="3322" max="3322" width="6.42578125" customWidth="1"/>
    <col min="3323" max="3323" width="1" customWidth="1"/>
    <col min="3324" max="3324" width="17.5703125" customWidth="1"/>
    <col min="3325" max="3325" width="1" customWidth="1"/>
    <col min="3326" max="3326" width="6.85546875" customWidth="1"/>
    <col min="3327" max="3327" width="1" customWidth="1"/>
    <col min="3328" max="3328" width="4" customWidth="1"/>
    <col min="3329" max="3329" width="1" customWidth="1"/>
    <col min="3330" max="3330" width="3" customWidth="1"/>
    <col min="3331" max="3331" width="1" customWidth="1"/>
    <col min="3332" max="3332" width="3.7109375" customWidth="1"/>
    <col min="3333" max="3333" width="7.140625" customWidth="1"/>
    <col min="3334" max="3334" width="2.42578125" customWidth="1"/>
    <col min="3335" max="3335" width="6.28515625" customWidth="1"/>
    <col min="3336" max="3336" width="1" customWidth="1"/>
    <col min="3337" max="3337" width="11.7109375" customWidth="1"/>
    <col min="3338" max="3338" width="1" customWidth="1"/>
    <col min="3339" max="3339" width="4.5703125" customWidth="1"/>
    <col min="3340" max="3340" width="11.5703125" customWidth="1"/>
    <col min="3341" max="3341" width="4.140625" customWidth="1"/>
    <col min="3342" max="3342" width="7.5703125" customWidth="1"/>
    <col min="3343" max="3344" width="1" customWidth="1"/>
    <col min="3345" max="3345" width="9.7109375" customWidth="1"/>
    <col min="3568" max="3568" width="7" customWidth="1"/>
    <col min="3569" max="3569" width="1" customWidth="1"/>
    <col min="3570" max="3570" width="7.5703125" customWidth="1"/>
    <col min="3571" max="3571" width="1" customWidth="1"/>
    <col min="3572" max="3572" width="15.140625" customWidth="1"/>
    <col min="3573" max="3573" width="1" customWidth="1"/>
    <col min="3574" max="3574" width="5" customWidth="1"/>
    <col min="3575" max="3575" width="1" customWidth="1"/>
    <col min="3576" max="3576" width="6.85546875" customWidth="1"/>
    <col min="3577" max="3577" width="1" customWidth="1"/>
    <col min="3578" max="3578" width="6.42578125" customWidth="1"/>
    <col min="3579" max="3579" width="1" customWidth="1"/>
    <col min="3580" max="3580" width="17.5703125" customWidth="1"/>
    <col min="3581" max="3581" width="1" customWidth="1"/>
    <col min="3582" max="3582" width="6.85546875" customWidth="1"/>
    <col min="3583" max="3583" width="1" customWidth="1"/>
    <col min="3584" max="3584" width="4" customWidth="1"/>
    <col min="3585" max="3585" width="1" customWidth="1"/>
    <col min="3586" max="3586" width="3" customWidth="1"/>
    <col min="3587" max="3587" width="1" customWidth="1"/>
    <col min="3588" max="3588" width="3.7109375" customWidth="1"/>
    <col min="3589" max="3589" width="7.140625" customWidth="1"/>
    <col min="3590" max="3590" width="2.42578125" customWidth="1"/>
    <col min="3591" max="3591" width="6.28515625" customWidth="1"/>
    <col min="3592" max="3592" width="1" customWidth="1"/>
    <col min="3593" max="3593" width="11.7109375" customWidth="1"/>
    <col min="3594" max="3594" width="1" customWidth="1"/>
    <col min="3595" max="3595" width="4.5703125" customWidth="1"/>
    <col min="3596" max="3596" width="11.5703125" customWidth="1"/>
    <col min="3597" max="3597" width="4.140625" customWidth="1"/>
    <col min="3598" max="3598" width="7.5703125" customWidth="1"/>
    <col min="3599" max="3600" width="1" customWidth="1"/>
    <col min="3601" max="3601" width="9.7109375" customWidth="1"/>
    <col min="3824" max="3824" width="7" customWidth="1"/>
    <col min="3825" max="3825" width="1" customWidth="1"/>
    <col min="3826" max="3826" width="7.5703125" customWidth="1"/>
    <col min="3827" max="3827" width="1" customWidth="1"/>
    <col min="3828" max="3828" width="15.140625" customWidth="1"/>
    <col min="3829" max="3829" width="1" customWidth="1"/>
    <col min="3830" max="3830" width="5" customWidth="1"/>
    <col min="3831" max="3831" width="1" customWidth="1"/>
    <col min="3832" max="3832" width="6.85546875" customWidth="1"/>
    <col min="3833" max="3833" width="1" customWidth="1"/>
    <col min="3834" max="3834" width="6.42578125" customWidth="1"/>
    <col min="3835" max="3835" width="1" customWidth="1"/>
    <col min="3836" max="3836" width="17.5703125" customWidth="1"/>
    <col min="3837" max="3837" width="1" customWidth="1"/>
    <col min="3838" max="3838" width="6.85546875" customWidth="1"/>
    <col min="3839" max="3839" width="1" customWidth="1"/>
    <col min="3840" max="3840" width="4" customWidth="1"/>
    <col min="3841" max="3841" width="1" customWidth="1"/>
    <col min="3842" max="3842" width="3" customWidth="1"/>
    <col min="3843" max="3843" width="1" customWidth="1"/>
    <col min="3844" max="3844" width="3.7109375" customWidth="1"/>
    <col min="3845" max="3845" width="7.140625" customWidth="1"/>
    <col min="3846" max="3846" width="2.42578125" customWidth="1"/>
    <col min="3847" max="3847" width="6.28515625" customWidth="1"/>
    <col min="3848" max="3848" width="1" customWidth="1"/>
    <col min="3849" max="3849" width="11.7109375" customWidth="1"/>
    <col min="3850" max="3850" width="1" customWidth="1"/>
    <col min="3851" max="3851" width="4.5703125" customWidth="1"/>
    <col min="3852" max="3852" width="11.5703125" customWidth="1"/>
    <col min="3853" max="3853" width="4.140625" customWidth="1"/>
    <col min="3854" max="3854" width="7.5703125" customWidth="1"/>
    <col min="3855" max="3856" width="1" customWidth="1"/>
    <col min="3857" max="3857" width="9.7109375" customWidth="1"/>
    <col min="4080" max="4080" width="7" customWidth="1"/>
    <col min="4081" max="4081" width="1" customWidth="1"/>
    <col min="4082" max="4082" width="7.5703125" customWidth="1"/>
    <col min="4083" max="4083" width="1" customWidth="1"/>
    <col min="4084" max="4084" width="15.140625" customWidth="1"/>
    <col min="4085" max="4085" width="1" customWidth="1"/>
    <col min="4086" max="4086" width="5" customWidth="1"/>
    <col min="4087" max="4087" width="1" customWidth="1"/>
    <col min="4088" max="4088" width="6.85546875" customWidth="1"/>
    <col min="4089" max="4089" width="1" customWidth="1"/>
    <col min="4090" max="4090" width="6.42578125" customWidth="1"/>
    <col min="4091" max="4091" width="1" customWidth="1"/>
    <col min="4092" max="4092" width="17.5703125" customWidth="1"/>
    <col min="4093" max="4093" width="1" customWidth="1"/>
    <col min="4094" max="4094" width="6.85546875" customWidth="1"/>
    <col min="4095" max="4095" width="1" customWidth="1"/>
    <col min="4096" max="4096" width="4" customWidth="1"/>
    <col min="4097" max="4097" width="1" customWidth="1"/>
    <col min="4098" max="4098" width="3" customWidth="1"/>
    <col min="4099" max="4099" width="1" customWidth="1"/>
    <col min="4100" max="4100" width="3.7109375" customWidth="1"/>
    <col min="4101" max="4101" width="7.140625" customWidth="1"/>
    <col min="4102" max="4102" width="2.42578125" customWidth="1"/>
    <col min="4103" max="4103" width="6.28515625" customWidth="1"/>
    <col min="4104" max="4104" width="1" customWidth="1"/>
    <col min="4105" max="4105" width="11.7109375" customWidth="1"/>
    <col min="4106" max="4106" width="1" customWidth="1"/>
    <col min="4107" max="4107" width="4.5703125" customWidth="1"/>
    <col min="4108" max="4108" width="11.5703125" customWidth="1"/>
    <col min="4109" max="4109" width="4.140625" customWidth="1"/>
    <col min="4110" max="4110" width="7.5703125" customWidth="1"/>
    <col min="4111" max="4112" width="1" customWidth="1"/>
    <col min="4113" max="4113" width="9.7109375" customWidth="1"/>
    <col min="4336" max="4336" width="7" customWidth="1"/>
    <col min="4337" max="4337" width="1" customWidth="1"/>
    <col min="4338" max="4338" width="7.5703125" customWidth="1"/>
    <col min="4339" max="4339" width="1" customWidth="1"/>
    <col min="4340" max="4340" width="15.140625" customWidth="1"/>
    <col min="4341" max="4341" width="1" customWidth="1"/>
    <col min="4342" max="4342" width="5" customWidth="1"/>
    <col min="4343" max="4343" width="1" customWidth="1"/>
    <col min="4344" max="4344" width="6.85546875" customWidth="1"/>
    <col min="4345" max="4345" width="1" customWidth="1"/>
    <col min="4346" max="4346" width="6.42578125" customWidth="1"/>
    <col min="4347" max="4347" width="1" customWidth="1"/>
    <col min="4348" max="4348" width="17.5703125" customWidth="1"/>
    <col min="4349" max="4349" width="1" customWidth="1"/>
    <col min="4350" max="4350" width="6.85546875" customWidth="1"/>
    <col min="4351" max="4351" width="1" customWidth="1"/>
    <col min="4352" max="4352" width="4" customWidth="1"/>
    <col min="4353" max="4353" width="1" customWidth="1"/>
    <col min="4354" max="4354" width="3" customWidth="1"/>
    <col min="4355" max="4355" width="1" customWidth="1"/>
    <col min="4356" max="4356" width="3.7109375" customWidth="1"/>
    <col min="4357" max="4357" width="7.140625" customWidth="1"/>
    <col min="4358" max="4358" width="2.42578125" customWidth="1"/>
    <col min="4359" max="4359" width="6.28515625" customWidth="1"/>
    <col min="4360" max="4360" width="1" customWidth="1"/>
    <col min="4361" max="4361" width="11.7109375" customWidth="1"/>
    <col min="4362" max="4362" width="1" customWidth="1"/>
    <col min="4363" max="4363" width="4.5703125" customWidth="1"/>
    <col min="4364" max="4364" width="11.5703125" customWidth="1"/>
    <col min="4365" max="4365" width="4.140625" customWidth="1"/>
    <col min="4366" max="4366" width="7.5703125" customWidth="1"/>
    <col min="4367" max="4368" width="1" customWidth="1"/>
    <col min="4369" max="4369" width="9.7109375" customWidth="1"/>
    <col min="4592" max="4592" width="7" customWidth="1"/>
    <col min="4593" max="4593" width="1" customWidth="1"/>
    <col min="4594" max="4594" width="7.5703125" customWidth="1"/>
    <col min="4595" max="4595" width="1" customWidth="1"/>
    <col min="4596" max="4596" width="15.140625" customWidth="1"/>
    <col min="4597" max="4597" width="1" customWidth="1"/>
    <col min="4598" max="4598" width="5" customWidth="1"/>
    <col min="4599" max="4599" width="1" customWidth="1"/>
    <col min="4600" max="4600" width="6.85546875" customWidth="1"/>
    <col min="4601" max="4601" width="1" customWidth="1"/>
    <col min="4602" max="4602" width="6.42578125" customWidth="1"/>
    <col min="4603" max="4603" width="1" customWidth="1"/>
    <col min="4604" max="4604" width="17.5703125" customWidth="1"/>
    <col min="4605" max="4605" width="1" customWidth="1"/>
    <col min="4606" max="4606" width="6.85546875" customWidth="1"/>
    <col min="4607" max="4607" width="1" customWidth="1"/>
    <col min="4608" max="4608" width="4" customWidth="1"/>
    <col min="4609" max="4609" width="1" customWidth="1"/>
    <col min="4610" max="4610" width="3" customWidth="1"/>
    <col min="4611" max="4611" width="1" customWidth="1"/>
    <col min="4612" max="4612" width="3.7109375" customWidth="1"/>
    <col min="4613" max="4613" width="7.140625" customWidth="1"/>
    <col min="4614" max="4614" width="2.42578125" customWidth="1"/>
    <col min="4615" max="4615" width="6.28515625" customWidth="1"/>
    <col min="4616" max="4616" width="1" customWidth="1"/>
    <col min="4617" max="4617" width="11.7109375" customWidth="1"/>
    <col min="4618" max="4618" width="1" customWidth="1"/>
    <col min="4619" max="4619" width="4.5703125" customWidth="1"/>
    <col min="4620" max="4620" width="11.5703125" customWidth="1"/>
    <col min="4621" max="4621" width="4.140625" customWidth="1"/>
    <col min="4622" max="4622" width="7.5703125" customWidth="1"/>
    <col min="4623" max="4624" width="1" customWidth="1"/>
    <col min="4625" max="4625" width="9.7109375" customWidth="1"/>
    <col min="4848" max="4848" width="7" customWidth="1"/>
    <col min="4849" max="4849" width="1" customWidth="1"/>
    <col min="4850" max="4850" width="7.5703125" customWidth="1"/>
    <col min="4851" max="4851" width="1" customWidth="1"/>
    <col min="4852" max="4852" width="15.140625" customWidth="1"/>
    <col min="4853" max="4853" width="1" customWidth="1"/>
    <col min="4854" max="4854" width="5" customWidth="1"/>
    <col min="4855" max="4855" width="1" customWidth="1"/>
    <col min="4856" max="4856" width="6.85546875" customWidth="1"/>
    <col min="4857" max="4857" width="1" customWidth="1"/>
    <col min="4858" max="4858" width="6.42578125" customWidth="1"/>
    <col min="4859" max="4859" width="1" customWidth="1"/>
    <col min="4860" max="4860" width="17.5703125" customWidth="1"/>
    <col min="4861" max="4861" width="1" customWidth="1"/>
    <col min="4862" max="4862" width="6.85546875" customWidth="1"/>
    <col min="4863" max="4863" width="1" customWidth="1"/>
    <col min="4864" max="4864" width="4" customWidth="1"/>
    <col min="4865" max="4865" width="1" customWidth="1"/>
    <col min="4866" max="4866" width="3" customWidth="1"/>
    <col min="4867" max="4867" width="1" customWidth="1"/>
    <col min="4868" max="4868" width="3.7109375" customWidth="1"/>
    <col min="4869" max="4869" width="7.140625" customWidth="1"/>
    <col min="4870" max="4870" width="2.42578125" customWidth="1"/>
    <col min="4871" max="4871" width="6.28515625" customWidth="1"/>
    <col min="4872" max="4872" width="1" customWidth="1"/>
    <col min="4873" max="4873" width="11.7109375" customWidth="1"/>
    <col min="4874" max="4874" width="1" customWidth="1"/>
    <col min="4875" max="4875" width="4.5703125" customWidth="1"/>
    <col min="4876" max="4876" width="11.5703125" customWidth="1"/>
    <col min="4877" max="4877" width="4.140625" customWidth="1"/>
    <col min="4878" max="4878" width="7.5703125" customWidth="1"/>
    <col min="4879" max="4880" width="1" customWidth="1"/>
    <col min="4881" max="4881" width="9.7109375" customWidth="1"/>
    <col min="5104" max="5104" width="7" customWidth="1"/>
    <col min="5105" max="5105" width="1" customWidth="1"/>
    <col min="5106" max="5106" width="7.5703125" customWidth="1"/>
    <col min="5107" max="5107" width="1" customWidth="1"/>
    <col min="5108" max="5108" width="15.140625" customWidth="1"/>
    <col min="5109" max="5109" width="1" customWidth="1"/>
    <col min="5110" max="5110" width="5" customWidth="1"/>
    <col min="5111" max="5111" width="1" customWidth="1"/>
    <col min="5112" max="5112" width="6.85546875" customWidth="1"/>
    <col min="5113" max="5113" width="1" customWidth="1"/>
    <col min="5114" max="5114" width="6.42578125" customWidth="1"/>
    <col min="5115" max="5115" width="1" customWidth="1"/>
    <col min="5116" max="5116" width="17.5703125" customWidth="1"/>
    <col min="5117" max="5117" width="1" customWidth="1"/>
    <col min="5118" max="5118" width="6.85546875" customWidth="1"/>
    <col min="5119" max="5119" width="1" customWidth="1"/>
    <col min="5120" max="5120" width="4" customWidth="1"/>
    <col min="5121" max="5121" width="1" customWidth="1"/>
    <col min="5122" max="5122" width="3" customWidth="1"/>
    <col min="5123" max="5123" width="1" customWidth="1"/>
    <col min="5124" max="5124" width="3.7109375" customWidth="1"/>
    <col min="5125" max="5125" width="7.140625" customWidth="1"/>
    <col min="5126" max="5126" width="2.42578125" customWidth="1"/>
    <col min="5127" max="5127" width="6.28515625" customWidth="1"/>
    <col min="5128" max="5128" width="1" customWidth="1"/>
    <col min="5129" max="5129" width="11.7109375" customWidth="1"/>
    <col min="5130" max="5130" width="1" customWidth="1"/>
    <col min="5131" max="5131" width="4.5703125" customWidth="1"/>
    <col min="5132" max="5132" width="11.5703125" customWidth="1"/>
    <col min="5133" max="5133" width="4.140625" customWidth="1"/>
    <col min="5134" max="5134" width="7.5703125" customWidth="1"/>
    <col min="5135" max="5136" width="1" customWidth="1"/>
    <col min="5137" max="5137" width="9.7109375" customWidth="1"/>
    <col min="5360" max="5360" width="7" customWidth="1"/>
    <col min="5361" max="5361" width="1" customWidth="1"/>
    <col min="5362" max="5362" width="7.5703125" customWidth="1"/>
    <col min="5363" max="5363" width="1" customWidth="1"/>
    <col min="5364" max="5364" width="15.140625" customWidth="1"/>
    <col min="5365" max="5365" width="1" customWidth="1"/>
    <col min="5366" max="5366" width="5" customWidth="1"/>
    <col min="5367" max="5367" width="1" customWidth="1"/>
    <col min="5368" max="5368" width="6.85546875" customWidth="1"/>
    <col min="5369" max="5369" width="1" customWidth="1"/>
    <col min="5370" max="5370" width="6.42578125" customWidth="1"/>
    <col min="5371" max="5371" width="1" customWidth="1"/>
    <col min="5372" max="5372" width="17.5703125" customWidth="1"/>
    <col min="5373" max="5373" width="1" customWidth="1"/>
    <col min="5374" max="5374" width="6.85546875" customWidth="1"/>
    <col min="5375" max="5375" width="1" customWidth="1"/>
    <col min="5376" max="5376" width="4" customWidth="1"/>
    <col min="5377" max="5377" width="1" customWidth="1"/>
    <col min="5378" max="5378" width="3" customWidth="1"/>
    <col min="5379" max="5379" width="1" customWidth="1"/>
    <col min="5380" max="5380" width="3.7109375" customWidth="1"/>
    <col min="5381" max="5381" width="7.140625" customWidth="1"/>
    <col min="5382" max="5382" width="2.42578125" customWidth="1"/>
    <col min="5383" max="5383" width="6.28515625" customWidth="1"/>
    <col min="5384" max="5384" width="1" customWidth="1"/>
    <col min="5385" max="5385" width="11.7109375" customWidth="1"/>
    <col min="5386" max="5386" width="1" customWidth="1"/>
    <col min="5387" max="5387" width="4.5703125" customWidth="1"/>
    <col min="5388" max="5388" width="11.5703125" customWidth="1"/>
    <col min="5389" max="5389" width="4.140625" customWidth="1"/>
    <col min="5390" max="5390" width="7.5703125" customWidth="1"/>
    <col min="5391" max="5392" width="1" customWidth="1"/>
    <col min="5393" max="5393" width="9.7109375" customWidth="1"/>
    <col min="5616" max="5616" width="7" customWidth="1"/>
    <col min="5617" max="5617" width="1" customWidth="1"/>
    <col min="5618" max="5618" width="7.5703125" customWidth="1"/>
    <col min="5619" max="5619" width="1" customWidth="1"/>
    <col min="5620" max="5620" width="15.140625" customWidth="1"/>
    <col min="5621" max="5621" width="1" customWidth="1"/>
    <col min="5622" max="5622" width="5" customWidth="1"/>
    <col min="5623" max="5623" width="1" customWidth="1"/>
    <col min="5624" max="5624" width="6.85546875" customWidth="1"/>
    <col min="5625" max="5625" width="1" customWidth="1"/>
    <col min="5626" max="5626" width="6.42578125" customWidth="1"/>
    <col min="5627" max="5627" width="1" customWidth="1"/>
    <col min="5628" max="5628" width="17.5703125" customWidth="1"/>
    <col min="5629" max="5629" width="1" customWidth="1"/>
    <col min="5630" max="5630" width="6.85546875" customWidth="1"/>
    <col min="5631" max="5631" width="1" customWidth="1"/>
    <col min="5632" max="5632" width="4" customWidth="1"/>
    <col min="5633" max="5633" width="1" customWidth="1"/>
    <col min="5634" max="5634" width="3" customWidth="1"/>
    <col min="5635" max="5635" width="1" customWidth="1"/>
    <col min="5636" max="5636" width="3.7109375" customWidth="1"/>
    <col min="5637" max="5637" width="7.140625" customWidth="1"/>
    <col min="5638" max="5638" width="2.42578125" customWidth="1"/>
    <col min="5639" max="5639" width="6.28515625" customWidth="1"/>
    <col min="5640" max="5640" width="1" customWidth="1"/>
    <col min="5641" max="5641" width="11.7109375" customWidth="1"/>
    <col min="5642" max="5642" width="1" customWidth="1"/>
    <col min="5643" max="5643" width="4.5703125" customWidth="1"/>
    <col min="5644" max="5644" width="11.5703125" customWidth="1"/>
    <col min="5645" max="5645" width="4.140625" customWidth="1"/>
    <col min="5646" max="5646" width="7.5703125" customWidth="1"/>
    <col min="5647" max="5648" width="1" customWidth="1"/>
    <col min="5649" max="5649" width="9.7109375" customWidth="1"/>
    <col min="5872" max="5872" width="7" customWidth="1"/>
    <col min="5873" max="5873" width="1" customWidth="1"/>
    <col min="5874" max="5874" width="7.5703125" customWidth="1"/>
    <col min="5875" max="5875" width="1" customWidth="1"/>
    <col min="5876" max="5876" width="15.140625" customWidth="1"/>
    <col min="5877" max="5877" width="1" customWidth="1"/>
    <col min="5878" max="5878" width="5" customWidth="1"/>
    <col min="5879" max="5879" width="1" customWidth="1"/>
    <col min="5880" max="5880" width="6.85546875" customWidth="1"/>
    <col min="5881" max="5881" width="1" customWidth="1"/>
    <col min="5882" max="5882" width="6.42578125" customWidth="1"/>
    <col min="5883" max="5883" width="1" customWidth="1"/>
    <col min="5884" max="5884" width="17.5703125" customWidth="1"/>
    <col min="5885" max="5885" width="1" customWidth="1"/>
    <col min="5886" max="5886" width="6.85546875" customWidth="1"/>
    <col min="5887" max="5887" width="1" customWidth="1"/>
    <col min="5888" max="5888" width="4" customWidth="1"/>
    <col min="5889" max="5889" width="1" customWidth="1"/>
    <col min="5890" max="5890" width="3" customWidth="1"/>
    <col min="5891" max="5891" width="1" customWidth="1"/>
    <col min="5892" max="5892" width="3.7109375" customWidth="1"/>
    <col min="5893" max="5893" width="7.140625" customWidth="1"/>
    <col min="5894" max="5894" width="2.42578125" customWidth="1"/>
    <col min="5895" max="5895" width="6.28515625" customWidth="1"/>
    <col min="5896" max="5896" width="1" customWidth="1"/>
    <col min="5897" max="5897" width="11.7109375" customWidth="1"/>
    <col min="5898" max="5898" width="1" customWidth="1"/>
    <col min="5899" max="5899" width="4.5703125" customWidth="1"/>
    <col min="5900" max="5900" width="11.5703125" customWidth="1"/>
    <col min="5901" max="5901" width="4.140625" customWidth="1"/>
    <col min="5902" max="5902" width="7.5703125" customWidth="1"/>
    <col min="5903" max="5904" width="1" customWidth="1"/>
    <col min="5905" max="5905" width="9.7109375" customWidth="1"/>
    <col min="6128" max="6128" width="7" customWidth="1"/>
    <col min="6129" max="6129" width="1" customWidth="1"/>
    <col min="6130" max="6130" width="7.5703125" customWidth="1"/>
    <col min="6131" max="6131" width="1" customWidth="1"/>
    <col min="6132" max="6132" width="15.140625" customWidth="1"/>
    <col min="6133" max="6133" width="1" customWidth="1"/>
    <col min="6134" max="6134" width="5" customWidth="1"/>
    <col min="6135" max="6135" width="1" customWidth="1"/>
    <col min="6136" max="6136" width="6.85546875" customWidth="1"/>
    <col min="6137" max="6137" width="1" customWidth="1"/>
    <col min="6138" max="6138" width="6.42578125" customWidth="1"/>
    <col min="6139" max="6139" width="1" customWidth="1"/>
    <col min="6140" max="6140" width="17.5703125" customWidth="1"/>
    <col min="6141" max="6141" width="1" customWidth="1"/>
    <col min="6142" max="6142" width="6.85546875" customWidth="1"/>
    <col min="6143" max="6143" width="1" customWidth="1"/>
    <col min="6144" max="6144" width="4" customWidth="1"/>
    <col min="6145" max="6145" width="1" customWidth="1"/>
    <col min="6146" max="6146" width="3" customWidth="1"/>
    <col min="6147" max="6147" width="1" customWidth="1"/>
    <col min="6148" max="6148" width="3.7109375" customWidth="1"/>
    <col min="6149" max="6149" width="7.140625" customWidth="1"/>
    <col min="6150" max="6150" width="2.42578125" customWidth="1"/>
    <col min="6151" max="6151" width="6.28515625" customWidth="1"/>
    <col min="6152" max="6152" width="1" customWidth="1"/>
    <col min="6153" max="6153" width="11.7109375" customWidth="1"/>
    <col min="6154" max="6154" width="1" customWidth="1"/>
    <col min="6155" max="6155" width="4.5703125" customWidth="1"/>
    <col min="6156" max="6156" width="11.5703125" customWidth="1"/>
    <col min="6157" max="6157" width="4.140625" customWidth="1"/>
    <col min="6158" max="6158" width="7.5703125" customWidth="1"/>
    <col min="6159" max="6160" width="1" customWidth="1"/>
    <col min="6161" max="6161" width="9.7109375" customWidth="1"/>
    <col min="6384" max="6384" width="7" customWidth="1"/>
    <col min="6385" max="6385" width="1" customWidth="1"/>
    <col min="6386" max="6386" width="7.5703125" customWidth="1"/>
    <col min="6387" max="6387" width="1" customWidth="1"/>
    <col min="6388" max="6388" width="15.140625" customWidth="1"/>
    <col min="6389" max="6389" width="1" customWidth="1"/>
    <col min="6390" max="6390" width="5" customWidth="1"/>
    <col min="6391" max="6391" width="1" customWidth="1"/>
    <col min="6392" max="6392" width="6.85546875" customWidth="1"/>
    <col min="6393" max="6393" width="1" customWidth="1"/>
    <col min="6394" max="6394" width="6.42578125" customWidth="1"/>
    <col min="6395" max="6395" width="1" customWidth="1"/>
    <col min="6396" max="6396" width="17.5703125" customWidth="1"/>
    <col min="6397" max="6397" width="1" customWidth="1"/>
    <col min="6398" max="6398" width="6.85546875" customWidth="1"/>
    <col min="6399" max="6399" width="1" customWidth="1"/>
    <col min="6400" max="6400" width="4" customWidth="1"/>
    <col min="6401" max="6401" width="1" customWidth="1"/>
    <col min="6402" max="6402" width="3" customWidth="1"/>
    <col min="6403" max="6403" width="1" customWidth="1"/>
    <col min="6404" max="6404" width="3.7109375" customWidth="1"/>
    <col min="6405" max="6405" width="7.140625" customWidth="1"/>
    <col min="6406" max="6406" width="2.42578125" customWidth="1"/>
    <col min="6407" max="6407" width="6.28515625" customWidth="1"/>
    <col min="6408" max="6408" width="1" customWidth="1"/>
    <col min="6409" max="6409" width="11.7109375" customWidth="1"/>
    <col min="6410" max="6410" width="1" customWidth="1"/>
    <col min="6411" max="6411" width="4.5703125" customWidth="1"/>
    <col min="6412" max="6412" width="11.5703125" customWidth="1"/>
    <col min="6413" max="6413" width="4.140625" customWidth="1"/>
    <col min="6414" max="6414" width="7.5703125" customWidth="1"/>
    <col min="6415" max="6416" width="1" customWidth="1"/>
    <col min="6417" max="6417" width="9.7109375" customWidth="1"/>
    <col min="6640" max="6640" width="7" customWidth="1"/>
    <col min="6641" max="6641" width="1" customWidth="1"/>
    <col min="6642" max="6642" width="7.5703125" customWidth="1"/>
    <col min="6643" max="6643" width="1" customWidth="1"/>
    <col min="6644" max="6644" width="15.140625" customWidth="1"/>
    <col min="6645" max="6645" width="1" customWidth="1"/>
    <col min="6646" max="6646" width="5" customWidth="1"/>
    <col min="6647" max="6647" width="1" customWidth="1"/>
    <col min="6648" max="6648" width="6.85546875" customWidth="1"/>
    <col min="6649" max="6649" width="1" customWidth="1"/>
    <col min="6650" max="6650" width="6.42578125" customWidth="1"/>
    <col min="6651" max="6651" width="1" customWidth="1"/>
    <col min="6652" max="6652" width="17.5703125" customWidth="1"/>
    <col min="6653" max="6653" width="1" customWidth="1"/>
    <col min="6654" max="6654" width="6.85546875" customWidth="1"/>
    <col min="6655" max="6655" width="1" customWidth="1"/>
    <col min="6656" max="6656" width="4" customWidth="1"/>
    <col min="6657" max="6657" width="1" customWidth="1"/>
    <col min="6658" max="6658" width="3" customWidth="1"/>
    <col min="6659" max="6659" width="1" customWidth="1"/>
    <col min="6660" max="6660" width="3.7109375" customWidth="1"/>
    <col min="6661" max="6661" width="7.140625" customWidth="1"/>
    <col min="6662" max="6662" width="2.42578125" customWidth="1"/>
    <col min="6663" max="6663" width="6.28515625" customWidth="1"/>
    <col min="6664" max="6664" width="1" customWidth="1"/>
    <col min="6665" max="6665" width="11.7109375" customWidth="1"/>
    <col min="6666" max="6666" width="1" customWidth="1"/>
    <col min="6667" max="6667" width="4.5703125" customWidth="1"/>
    <col min="6668" max="6668" width="11.5703125" customWidth="1"/>
    <col min="6669" max="6669" width="4.140625" customWidth="1"/>
    <col min="6670" max="6670" width="7.5703125" customWidth="1"/>
    <col min="6671" max="6672" width="1" customWidth="1"/>
    <col min="6673" max="6673" width="9.7109375" customWidth="1"/>
    <col min="6896" max="6896" width="7" customWidth="1"/>
    <col min="6897" max="6897" width="1" customWidth="1"/>
    <col min="6898" max="6898" width="7.5703125" customWidth="1"/>
    <col min="6899" max="6899" width="1" customWidth="1"/>
    <col min="6900" max="6900" width="15.140625" customWidth="1"/>
    <col min="6901" max="6901" width="1" customWidth="1"/>
    <col min="6902" max="6902" width="5" customWidth="1"/>
    <col min="6903" max="6903" width="1" customWidth="1"/>
    <col min="6904" max="6904" width="6.85546875" customWidth="1"/>
    <col min="6905" max="6905" width="1" customWidth="1"/>
    <col min="6906" max="6906" width="6.42578125" customWidth="1"/>
    <col min="6907" max="6907" width="1" customWidth="1"/>
    <col min="6908" max="6908" width="17.5703125" customWidth="1"/>
    <col min="6909" max="6909" width="1" customWidth="1"/>
    <col min="6910" max="6910" width="6.85546875" customWidth="1"/>
    <col min="6911" max="6911" width="1" customWidth="1"/>
    <col min="6912" max="6912" width="4" customWidth="1"/>
    <col min="6913" max="6913" width="1" customWidth="1"/>
    <col min="6914" max="6914" width="3" customWidth="1"/>
    <col min="6915" max="6915" width="1" customWidth="1"/>
    <col min="6916" max="6916" width="3.7109375" customWidth="1"/>
    <col min="6917" max="6917" width="7.140625" customWidth="1"/>
    <col min="6918" max="6918" width="2.42578125" customWidth="1"/>
    <col min="6919" max="6919" width="6.28515625" customWidth="1"/>
    <col min="6920" max="6920" width="1" customWidth="1"/>
    <col min="6921" max="6921" width="11.7109375" customWidth="1"/>
    <col min="6922" max="6922" width="1" customWidth="1"/>
    <col min="6923" max="6923" width="4.5703125" customWidth="1"/>
    <col min="6924" max="6924" width="11.5703125" customWidth="1"/>
    <col min="6925" max="6925" width="4.140625" customWidth="1"/>
    <col min="6926" max="6926" width="7.5703125" customWidth="1"/>
    <col min="6927" max="6928" width="1" customWidth="1"/>
    <col min="6929" max="6929" width="9.7109375" customWidth="1"/>
    <col min="7152" max="7152" width="7" customWidth="1"/>
    <col min="7153" max="7153" width="1" customWidth="1"/>
    <col min="7154" max="7154" width="7.5703125" customWidth="1"/>
    <col min="7155" max="7155" width="1" customWidth="1"/>
    <col min="7156" max="7156" width="15.140625" customWidth="1"/>
    <col min="7157" max="7157" width="1" customWidth="1"/>
    <col min="7158" max="7158" width="5" customWidth="1"/>
    <col min="7159" max="7159" width="1" customWidth="1"/>
    <col min="7160" max="7160" width="6.85546875" customWidth="1"/>
    <col min="7161" max="7161" width="1" customWidth="1"/>
    <col min="7162" max="7162" width="6.42578125" customWidth="1"/>
    <col min="7163" max="7163" width="1" customWidth="1"/>
    <col min="7164" max="7164" width="17.5703125" customWidth="1"/>
    <col min="7165" max="7165" width="1" customWidth="1"/>
    <col min="7166" max="7166" width="6.85546875" customWidth="1"/>
    <col min="7167" max="7167" width="1" customWidth="1"/>
    <col min="7168" max="7168" width="4" customWidth="1"/>
    <col min="7169" max="7169" width="1" customWidth="1"/>
    <col min="7170" max="7170" width="3" customWidth="1"/>
    <col min="7171" max="7171" width="1" customWidth="1"/>
    <col min="7172" max="7172" width="3.7109375" customWidth="1"/>
    <col min="7173" max="7173" width="7.140625" customWidth="1"/>
    <col min="7174" max="7174" width="2.42578125" customWidth="1"/>
    <col min="7175" max="7175" width="6.28515625" customWidth="1"/>
    <col min="7176" max="7176" width="1" customWidth="1"/>
    <col min="7177" max="7177" width="11.7109375" customWidth="1"/>
    <col min="7178" max="7178" width="1" customWidth="1"/>
    <col min="7179" max="7179" width="4.5703125" customWidth="1"/>
    <col min="7180" max="7180" width="11.5703125" customWidth="1"/>
    <col min="7181" max="7181" width="4.140625" customWidth="1"/>
    <col min="7182" max="7182" width="7.5703125" customWidth="1"/>
    <col min="7183" max="7184" width="1" customWidth="1"/>
    <col min="7185" max="7185" width="9.7109375" customWidth="1"/>
    <col min="7408" max="7408" width="7" customWidth="1"/>
    <col min="7409" max="7409" width="1" customWidth="1"/>
    <col min="7410" max="7410" width="7.5703125" customWidth="1"/>
    <col min="7411" max="7411" width="1" customWidth="1"/>
    <col min="7412" max="7412" width="15.140625" customWidth="1"/>
    <col min="7413" max="7413" width="1" customWidth="1"/>
    <col min="7414" max="7414" width="5" customWidth="1"/>
    <col min="7415" max="7415" width="1" customWidth="1"/>
    <col min="7416" max="7416" width="6.85546875" customWidth="1"/>
    <col min="7417" max="7417" width="1" customWidth="1"/>
    <col min="7418" max="7418" width="6.42578125" customWidth="1"/>
    <col min="7419" max="7419" width="1" customWidth="1"/>
    <col min="7420" max="7420" width="17.5703125" customWidth="1"/>
    <col min="7421" max="7421" width="1" customWidth="1"/>
    <col min="7422" max="7422" width="6.85546875" customWidth="1"/>
    <col min="7423" max="7423" width="1" customWidth="1"/>
    <col min="7424" max="7424" width="4" customWidth="1"/>
    <col min="7425" max="7425" width="1" customWidth="1"/>
    <col min="7426" max="7426" width="3" customWidth="1"/>
    <col min="7427" max="7427" width="1" customWidth="1"/>
    <col min="7428" max="7428" width="3.7109375" customWidth="1"/>
    <col min="7429" max="7429" width="7.140625" customWidth="1"/>
    <col min="7430" max="7430" width="2.42578125" customWidth="1"/>
    <col min="7431" max="7431" width="6.28515625" customWidth="1"/>
    <col min="7432" max="7432" width="1" customWidth="1"/>
    <col min="7433" max="7433" width="11.7109375" customWidth="1"/>
    <col min="7434" max="7434" width="1" customWidth="1"/>
    <col min="7435" max="7435" width="4.5703125" customWidth="1"/>
    <col min="7436" max="7436" width="11.5703125" customWidth="1"/>
    <col min="7437" max="7437" width="4.140625" customWidth="1"/>
    <col min="7438" max="7438" width="7.5703125" customWidth="1"/>
    <col min="7439" max="7440" width="1" customWidth="1"/>
    <col min="7441" max="7441" width="9.7109375" customWidth="1"/>
    <col min="7664" max="7664" width="7" customWidth="1"/>
    <col min="7665" max="7665" width="1" customWidth="1"/>
    <col min="7666" max="7666" width="7.5703125" customWidth="1"/>
    <col min="7667" max="7667" width="1" customWidth="1"/>
    <col min="7668" max="7668" width="15.140625" customWidth="1"/>
    <col min="7669" max="7669" width="1" customWidth="1"/>
    <col min="7670" max="7670" width="5" customWidth="1"/>
    <col min="7671" max="7671" width="1" customWidth="1"/>
    <col min="7672" max="7672" width="6.85546875" customWidth="1"/>
    <col min="7673" max="7673" width="1" customWidth="1"/>
    <col min="7674" max="7674" width="6.42578125" customWidth="1"/>
    <col min="7675" max="7675" width="1" customWidth="1"/>
    <col min="7676" max="7676" width="17.5703125" customWidth="1"/>
    <col min="7677" max="7677" width="1" customWidth="1"/>
    <col min="7678" max="7678" width="6.85546875" customWidth="1"/>
    <col min="7679" max="7679" width="1" customWidth="1"/>
    <col min="7680" max="7680" width="4" customWidth="1"/>
    <col min="7681" max="7681" width="1" customWidth="1"/>
    <col min="7682" max="7682" width="3" customWidth="1"/>
    <col min="7683" max="7683" width="1" customWidth="1"/>
    <col min="7684" max="7684" width="3.7109375" customWidth="1"/>
    <col min="7685" max="7685" width="7.140625" customWidth="1"/>
    <col min="7686" max="7686" width="2.42578125" customWidth="1"/>
    <col min="7687" max="7687" width="6.28515625" customWidth="1"/>
    <col min="7688" max="7688" width="1" customWidth="1"/>
    <col min="7689" max="7689" width="11.7109375" customWidth="1"/>
    <col min="7690" max="7690" width="1" customWidth="1"/>
    <col min="7691" max="7691" width="4.5703125" customWidth="1"/>
    <col min="7692" max="7692" width="11.5703125" customWidth="1"/>
    <col min="7693" max="7693" width="4.140625" customWidth="1"/>
    <col min="7694" max="7694" width="7.5703125" customWidth="1"/>
    <col min="7695" max="7696" width="1" customWidth="1"/>
    <col min="7697" max="7697" width="9.7109375" customWidth="1"/>
    <col min="7920" max="7920" width="7" customWidth="1"/>
    <col min="7921" max="7921" width="1" customWidth="1"/>
    <col min="7922" max="7922" width="7.5703125" customWidth="1"/>
    <col min="7923" max="7923" width="1" customWidth="1"/>
    <col min="7924" max="7924" width="15.140625" customWidth="1"/>
    <col min="7925" max="7925" width="1" customWidth="1"/>
    <col min="7926" max="7926" width="5" customWidth="1"/>
    <col min="7927" max="7927" width="1" customWidth="1"/>
    <col min="7928" max="7928" width="6.85546875" customWidth="1"/>
    <col min="7929" max="7929" width="1" customWidth="1"/>
    <col min="7930" max="7930" width="6.42578125" customWidth="1"/>
    <col min="7931" max="7931" width="1" customWidth="1"/>
    <col min="7932" max="7932" width="17.5703125" customWidth="1"/>
    <col min="7933" max="7933" width="1" customWidth="1"/>
    <col min="7934" max="7934" width="6.85546875" customWidth="1"/>
    <col min="7935" max="7935" width="1" customWidth="1"/>
    <col min="7936" max="7936" width="4" customWidth="1"/>
    <col min="7937" max="7937" width="1" customWidth="1"/>
    <col min="7938" max="7938" width="3" customWidth="1"/>
    <col min="7939" max="7939" width="1" customWidth="1"/>
    <col min="7940" max="7940" width="3.7109375" customWidth="1"/>
    <col min="7941" max="7941" width="7.140625" customWidth="1"/>
    <col min="7942" max="7942" width="2.42578125" customWidth="1"/>
    <col min="7943" max="7943" width="6.28515625" customWidth="1"/>
    <col min="7944" max="7944" width="1" customWidth="1"/>
    <col min="7945" max="7945" width="11.7109375" customWidth="1"/>
    <col min="7946" max="7946" width="1" customWidth="1"/>
    <col min="7947" max="7947" width="4.5703125" customWidth="1"/>
    <col min="7948" max="7948" width="11.5703125" customWidth="1"/>
    <col min="7949" max="7949" width="4.140625" customWidth="1"/>
    <col min="7950" max="7950" width="7.5703125" customWidth="1"/>
    <col min="7951" max="7952" width="1" customWidth="1"/>
    <col min="7953" max="7953" width="9.7109375" customWidth="1"/>
    <col min="8176" max="8176" width="7" customWidth="1"/>
    <col min="8177" max="8177" width="1" customWidth="1"/>
    <col min="8178" max="8178" width="7.5703125" customWidth="1"/>
    <col min="8179" max="8179" width="1" customWidth="1"/>
    <col min="8180" max="8180" width="15.140625" customWidth="1"/>
    <col min="8181" max="8181" width="1" customWidth="1"/>
    <col min="8182" max="8182" width="5" customWidth="1"/>
    <col min="8183" max="8183" width="1" customWidth="1"/>
    <col min="8184" max="8184" width="6.85546875" customWidth="1"/>
    <col min="8185" max="8185" width="1" customWidth="1"/>
    <col min="8186" max="8186" width="6.42578125" customWidth="1"/>
    <col min="8187" max="8187" width="1" customWidth="1"/>
    <col min="8188" max="8188" width="17.5703125" customWidth="1"/>
    <col min="8189" max="8189" width="1" customWidth="1"/>
    <col min="8190" max="8190" width="6.85546875" customWidth="1"/>
    <col min="8191" max="8191" width="1" customWidth="1"/>
    <col min="8192" max="8192" width="4" customWidth="1"/>
    <col min="8193" max="8193" width="1" customWidth="1"/>
    <col min="8194" max="8194" width="3" customWidth="1"/>
    <col min="8195" max="8195" width="1" customWidth="1"/>
    <col min="8196" max="8196" width="3.7109375" customWidth="1"/>
    <col min="8197" max="8197" width="7.140625" customWidth="1"/>
    <col min="8198" max="8198" width="2.42578125" customWidth="1"/>
    <col min="8199" max="8199" width="6.28515625" customWidth="1"/>
    <col min="8200" max="8200" width="1" customWidth="1"/>
    <col min="8201" max="8201" width="11.7109375" customWidth="1"/>
    <col min="8202" max="8202" width="1" customWidth="1"/>
    <col min="8203" max="8203" width="4.5703125" customWidth="1"/>
    <col min="8204" max="8204" width="11.5703125" customWidth="1"/>
    <col min="8205" max="8205" width="4.140625" customWidth="1"/>
    <col min="8206" max="8206" width="7.5703125" customWidth="1"/>
    <col min="8207" max="8208" width="1" customWidth="1"/>
    <col min="8209" max="8209" width="9.7109375" customWidth="1"/>
    <col min="8432" max="8432" width="7" customWidth="1"/>
    <col min="8433" max="8433" width="1" customWidth="1"/>
    <col min="8434" max="8434" width="7.5703125" customWidth="1"/>
    <col min="8435" max="8435" width="1" customWidth="1"/>
    <col min="8436" max="8436" width="15.140625" customWidth="1"/>
    <col min="8437" max="8437" width="1" customWidth="1"/>
    <col min="8438" max="8438" width="5" customWidth="1"/>
    <col min="8439" max="8439" width="1" customWidth="1"/>
    <col min="8440" max="8440" width="6.85546875" customWidth="1"/>
    <col min="8441" max="8441" width="1" customWidth="1"/>
    <col min="8442" max="8442" width="6.42578125" customWidth="1"/>
    <col min="8443" max="8443" width="1" customWidth="1"/>
    <col min="8444" max="8444" width="17.5703125" customWidth="1"/>
    <col min="8445" max="8445" width="1" customWidth="1"/>
    <col min="8446" max="8446" width="6.85546875" customWidth="1"/>
    <col min="8447" max="8447" width="1" customWidth="1"/>
    <col min="8448" max="8448" width="4" customWidth="1"/>
    <col min="8449" max="8449" width="1" customWidth="1"/>
    <col min="8450" max="8450" width="3" customWidth="1"/>
    <col min="8451" max="8451" width="1" customWidth="1"/>
    <col min="8452" max="8452" width="3.7109375" customWidth="1"/>
    <col min="8453" max="8453" width="7.140625" customWidth="1"/>
    <col min="8454" max="8454" width="2.42578125" customWidth="1"/>
    <col min="8455" max="8455" width="6.28515625" customWidth="1"/>
    <col min="8456" max="8456" width="1" customWidth="1"/>
    <col min="8457" max="8457" width="11.7109375" customWidth="1"/>
    <col min="8458" max="8458" width="1" customWidth="1"/>
    <col min="8459" max="8459" width="4.5703125" customWidth="1"/>
    <col min="8460" max="8460" width="11.5703125" customWidth="1"/>
    <col min="8461" max="8461" width="4.140625" customWidth="1"/>
    <col min="8462" max="8462" width="7.5703125" customWidth="1"/>
    <col min="8463" max="8464" width="1" customWidth="1"/>
    <col min="8465" max="8465" width="9.7109375" customWidth="1"/>
    <col min="8688" max="8688" width="7" customWidth="1"/>
    <col min="8689" max="8689" width="1" customWidth="1"/>
    <col min="8690" max="8690" width="7.5703125" customWidth="1"/>
    <col min="8691" max="8691" width="1" customWidth="1"/>
    <col min="8692" max="8692" width="15.140625" customWidth="1"/>
    <col min="8693" max="8693" width="1" customWidth="1"/>
    <col min="8694" max="8694" width="5" customWidth="1"/>
    <col min="8695" max="8695" width="1" customWidth="1"/>
    <col min="8696" max="8696" width="6.85546875" customWidth="1"/>
    <col min="8697" max="8697" width="1" customWidth="1"/>
    <col min="8698" max="8698" width="6.42578125" customWidth="1"/>
    <col min="8699" max="8699" width="1" customWidth="1"/>
    <col min="8700" max="8700" width="17.5703125" customWidth="1"/>
    <col min="8701" max="8701" width="1" customWidth="1"/>
    <col min="8702" max="8702" width="6.85546875" customWidth="1"/>
    <col min="8703" max="8703" width="1" customWidth="1"/>
    <col min="8704" max="8704" width="4" customWidth="1"/>
    <col min="8705" max="8705" width="1" customWidth="1"/>
    <col min="8706" max="8706" width="3" customWidth="1"/>
    <col min="8707" max="8707" width="1" customWidth="1"/>
    <col min="8708" max="8708" width="3.7109375" customWidth="1"/>
    <col min="8709" max="8709" width="7.140625" customWidth="1"/>
    <col min="8710" max="8710" width="2.42578125" customWidth="1"/>
    <col min="8711" max="8711" width="6.28515625" customWidth="1"/>
    <col min="8712" max="8712" width="1" customWidth="1"/>
    <col min="8713" max="8713" width="11.7109375" customWidth="1"/>
    <col min="8714" max="8714" width="1" customWidth="1"/>
    <col min="8715" max="8715" width="4.5703125" customWidth="1"/>
    <col min="8716" max="8716" width="11.5703125" customWidth="1"/>
    <col min="8717" max="8717" width="4.140625" customWidth="1"/>
    <col min="8718" max="8718" width="7.5703125" customWidth="1"/>
    <col min="8719" max="8720" width="1" customWidth="1"/>
    <col min="8721" max="8721" width="9.7109375" customWidth="1"/>
    <col min="8944" max="8944" width="7" customWidth="1"/>
    <col min="8945" max="8945" width="1" customWidth="1"/>
    <col min="8946" max="8946" width="7.5703125" customWidth="1"/>
    <col min="8947" max="8947" width="1" customWidth="1"/>
    <col min="8948" max="8948" width="15.140625" customWidth="1"/>
    <col min="8949" max="8949" width="1" customWidth="1"/>
    <col min="8950" max="8950" width="5" customWidth="1"/>
    <col min="8951" max="8951" width="1" customWidth="1"/>
    <col min="8952" max="8952" width="6.85546875" customWidth="1"/>
    <col min="8953" max="8953" width="1" customWidth="1"/>
    <col min="8954" max="8954" width="6.42578125" customWidth="1"/>
    <col min="8955" max="8955" width="1" customWidth="1"/>
    <col min="8956" max="8956" width="17.5703125" customWidth="1"/>
    <col min="8957" max="8957" width="1" customWidth="1"/>
    <col min="8958" max="8958" width="6.85546875" customWidth="1"/>
    <col min="8959" max="8959" width="1" customWidth="1"/>
    <col min="8960" max="8960" width="4" customWidth="1"/>
    <col min="8961" max="8961" width="1" customWidth="1"/>
    <col min="8962" max="8962" width="3" customWidth="1"/>
    <col min="8963" max="8963" width="1" customWidth="1"/>
    <col min="8964" max="8964" width="3.7109375" customWidth="1"/>
    <col min="8965" max="8965" width="7.140625" customWidth="1"/>
    <col min="8966" max="8966" width="2.42578125" customWidth="1"/>
    <col min="8967" max="8967" width="6.28515625" customWidth="1"/>
    <col min="8968" max="8968" width="1" customWidth="1"/>
    <col min="8969" max="8969" width="11.7109375" customWidth="1"/>
    <col min="8970" max="8970" width="1" customWidth="1"/>
    <col min="8971" max="8971" width="4.5703125" customWidth="1"/>
    <col min="8972" max="8972" width="11.5703125" customWidth="1"/>
    <col min="8973" max="8973" width="4.140625" customWidth="1"/>
    <col min="8974" max="8974" width="7.5703125" customWidth="1"/>
    <col min="8975" max="8976" width="1" customWidth="1"/>
    <col min="8977" max="8977" width="9.7109375" customWidth="1"/>
    <col min="9200" max="9200" width="7" customWidth="1"/>
    <col min="9201" max="9201" width="1" customWidth="1"/>
    <col min="9202" max="9202" width="7.5703125" customWidth="1"/>
    <col min="9203" max="9203" width="1" customWidth="1"/>
    <col min="9204" max="9204" width="15.140625" customWidth="1"/>
    <col min="9205" max="9205" width="1" customWidth="1"/>
    <col min="9206" max="9206" width="5" customWidth="1"/>
    <col min="9207" max="9207" width="1" customWidth="1"/>
    <col min="9208" max="9208" width="6.85546875" customWidth="1"/>
    <col min="9209" max="9209" width="1" customWidth="1"/>
    <col min="9210" max="9210" width="6.42578125" customWidth="1"/>
    <col min="9211" max="9211" width="1" customWidth="1"/>
    <col min="9212" max="9212" width="17.5703125" customWidth="1"/>
    <col min="9213" max="9213" width="1" customWidth="1"/>
    <col min="9214" max="9214" width="6.85546875" customWidth="1"/>
    <col min="9215" max="9215" width="1" customWidth="1"/>
    <col min="9216" max="9216" width="4" customWidth="1"/>
    <col min="9217" max="9217" width="1" customWidth="1"/>
    <col min="9218" max="9218" width="3" customWidth="1"/>
    <col min="9219" max="9219" width="1" customWidth="1"/>
    <col min="9220" max="9220" width="3.7109375" customWidth="1"/>
    <col min="9221" max="9221" width="7.140625" customWidth="1"/>
    <col min="9222" max="9222" width="2.42578125" customWidth="1"/>
    <col min="9223" max="9223" width="6.28515625" customWidth="1"/>
    <col min="9224" max="9224" width="1" customWidth="1"/>
    <col min="9225" max="9225" width="11.7109375" customWidth="1"/>
    <col min="9226" max="9226" width="1" customWidth="1"/>
    <col min="9227" max="9227" width="4.5703125" customWidth="1"/>
    <col min="9228" max="9228" width="11.5703125" customWidth="1"/>
    <col min="9229" max="9229" width="4.140625" customWidth="1"/>
    <col min="9230" max="9230" width="7.5703125" customWidth="1"/>
    <col min="9231" max="9232" width="1" customWidth="1"/>
    <col min="9233" max="9233" width="9.7109375" customWidth="1"/>
    <col min="9456" max="9456" width="7" customWidth="1"/>
    <col min="9457" max="9457" width="1" customWidth="1"/>
    <col min="9458" max="9458" width="7.5703125" customWidth="1"/>
    <col min="9459" max="9459" width="1" customWidth="1"/>
    <col min="9460" max="9460" width="15.140625" customWidth="1"/>
    <col min="9461" max="9461" width="1" customWidth="1"/>
    <col min="9462" max="9462" width="5" customWidth="1"/>
    <col min="9463" max="9463" width="1" customWidth="1"/>
    <col min="9464" max="9464" width="6.85546875" customWidth="1"/>
    <col min="9465" max="9465" width="1" customWidth="1"/>
    <col min="9466" max="9466" width="6.42578125" customWidth="1"/>
    <col min="9467" max="9467" width="1" customWidth="1"/>
    <col min="9468" max="9468" width="17.5703125" customWidth="1"/>
    <col min="9469" max="9469" width="1" customWidth="1"/>
    <col min="9470" max="9470" width="6.85546875" customWidth="1"/>
    <col min="9471" max="9471" width="1" customWidth="1"/>
    <col min="9472" max="9472" width="4" customWidth="1"/>
    <col min="9473" max="9473" width="1" customWidth="1"/>
    <col min="9474" max="9474" width="3" customWidth="1"/>
    <col min="9475" max="9475" width="1" customWidth="1"/>
    <col min="9476" max="9476" width="3.7109375" customWidth="1"/>
    <col min="9477" max="9477" width="7.140625" customWidth="1"/>
    <col min="9478" max="9478" width="2.42578125" customWidth="1"/>
    <col min="9479" max="9479" width="6.28515625" customWidth="1"/>
    <col min="9480" max="9480" width="1" customWidth="1"/>
    <col min="9481" max="9481" width="11.7109375" customWidth="1"/>
    <col min="9482" max="9482" width="1" customWidth="1"/>
    <col min="9483" max="9483" width="4.5703125" customWidth="1"/>
    <col min="9484" max="9484" width="11.5703125" customWidth="1"/>
    <col min="9485" max="9485" width="4.140625" customWidth="1"/>
    <col min="9486" max="9486" width="7.5703125" customWidth="1"/>
    <col min="9487" max="9488" width="1" customWidth="1"/>
    <col min="9489" max="9489" width="9.7109375" customWidth="1"/>
    <col min="9712" max="9712" width="7" customWidth="1"/>
    <col min="9713" max="9713" width="1" customWidth="1"/>
    <col min="9714" max="9714" width="7.5703125" customWidth="1"/>
    <col min="9715" max="9715" width="1" customWidth="1"/>
    <col min="9716" max="9716" width="15.140625" customWidth="1"/>
    <col min="9717" max="9717" width="1" customWidth="1"/>
    <col min="9718" max="9718" width="5" customWidth="1"/>
    <col min="9719" max="9719" width="1" customWidth="1"/>
    <col min="9720" max="9720" width="6.85546875" customWidth="1"/>
    <col min="9721" max="9721" width="1" customWidth="1"/>
    <col min="9722" max="9722" width="6.42578125" customWidth="1"/>
    <col min="9723" max="9723" width="1" customWidth="1"/>
    <col min="9724" max="9724" width="17.5703125" customWidth="1"/>
    <col min="9725" max="9725" width="1" customWidth="1"/>
    <col min="9726" max="9726" width="6.85546875" customWidth="1"/>
    <col min="9727" max="9727" width="1" customWidth="1"/>
    <col min="9728" max="9728" width="4" customWidth="1"/>
    <col min="9729" max="9729" width="1" customWidth="1"/>
    <col min="9730" max="9730" width="3" customWidth="1"/>
    <col min="9731" max="9731" width="1" customWidth="1"/>
    <col min="9732" max="9732" width="3.7109375" customWidth="1"/>
    <col min="9733" max="9733" width="7.140625" customWidth="1"/>
    <col min="9734" max="9734" width="2.42578125" customWidth="1"/>
    <col min="9735" max="9735" width="6.28515625" customWidth="1"/>
    <col min="9736" max="9736" width="1" customWidth="1"/>
    <col min="9737" max="9737" width="11.7109375" customWidth="1"/>
    <col min="9738" max="9738" width="1" customWidth="1"/>
    <col min="9739" max="9739" width="4.5703125" customWidth="1"/>
    <col min="9740" max="9740" width="11.5703125" customWidth="1"/>
    <col min="9741" max="9741" width="4.140625" customWidth="1"/>
    <col min="9742" max="9742" width="7.5703125" customWidth="1"/>
    <col min="9743" max="9744" width="1" customWidth="1"/>
    <col min="9745" max="9745" width="9.7109375" customWidth="1"/>
    <col min="9968" max="9968" width="7" customWidth="1"/>
    <col min="9969" max="9969" width="1" customWidth="1"/>
    <col min="9970" max="9970" width="7.5703125" customWidth="1"/>
    <col min="9971" max="9971" width="1" customWidth="1"/>
    <col min="9972" max="9972" width="15.140625" customWidth="1"/>
    <col min="9973" max="9973" width="1" customWidth="1"/>
    <col min="9974" max="9974" width="5" customWidth="1"/>
    <col min="9975" max="9975" width="1" customWidth="1"/>
    <col min="9976" max="9976" width="6.85546875" customWidth="1"/>
    <col min="9977" max="9977" width="1" customWidth="1"/>
    <col min="9978" max="9978" width="6.42578125" customWidth="1"/>
    <col min="9979" max="9979" width="1" customWidth="1"/>
    <col min="9980" max="9980" width="17.5703125" customWidth="1"/>
    <col min="9981" max="9981" width="1" customWidth="1"/>
    <col min="9982" max="9982" width="6.85546875" customWidth="1"/>
    <col min="9983" max="9983" width="1" customWidth="1"/>
    <col min="9984" max="9984" width="4" customWidth="1"/>
    <col min="9985" max="9985" width="1" customWidth="1"/>
    <col min="9986" max="9986" width="3" customWidth="1"/>
    <col min="9987" max="9987" width="1" customWidth="1"/>
    <col min="9988" max="9988" width="3.7109375" customWidth="1"/>
    <col min="9989" max="9989" width="7.140625" customWidth="1"/>
    <col min="9990" max="9990" width="2.42578125" customWidth="1"/>
    <col min="9991" max="9991" width="6.28515625" customWidth="1"/>
    <col min="9992" max="9992" width="1" customWidth="1"/>
    <col min="9993" max="9993" width="11.7109375" customWidth="1"/>
    <col min="9994" max="9994" width="1" customWidth="1"/>
    <col min="9995" max="9995" width="4.5703125" customWidth="1"/>
    <col min="9996" max="9996" width="11.5703125" customWidth="1"/>
    <col min="9997" max="9997" width="4.140625" customWidth="1"/>
    <col min="9998" max="9998" width="7.5703125" customWidth="1"/>
    <col min="9999" max="10000" width="1" customWidth="1"/>
    <col min="10001" max="10001" width="9.7109375" customWidth="1"/>
    <col min="10224" max="10224" width="7" customWidth="1"/>
    <col min="10225" max="10225" width="1" customWidth="1"/>
    <col min="10226" max="10226" width="7.5703125" customWidth="1"/>
    <col min="10227" max="10227" width="1" customWidth="1"/>
    <col min="10228" max="10228" width="15.140625" customWidth="1"/>
    <col min="10229" max="10229" width="1" customWidth="1"/>
    <col min="10230" max="10230" width="5" customWidth="1"/>
    <col min="10231" max="10231" width="1" customWidth="1"/>
    <col min="10232" max="10232" width="6.85546875" customWidth="1"/>
    <col min="10233" max="10233" width="1" customWidth="1"/>
    <col min="10234" max="10234" width="6.42578125" customWidth="1"/>
    <col min="10235" max="10235" width="1" customWidth="1"/>
    <col min="10236" max="10236" width="17.5703125" customWidth="1"/>
    <col min="10237" max="10237" width="1" customWidth="1"/>
    <col min="10238" max="10238" width="6.85546875" customWidth="1"/>
    <col min="10239" max="10239" width="1" customWidth="1"/>
    <col min="10240" max="10240" width="4" customWidth="1"/>
    <col min="10241" max="10241" width="1" customWidth="1"/>
    <col min="10242" max="10242" width="3" customWidth="1"/>
    <col min="10243" max="10243" width="1" customWidth="1"/>
    <col min="10244" max="10244" width="3.7109375" customWidth="1"/>
    <col min="10245" max="10245" width="7.140625" customWidth="1"/>
    <col min="10246" max="10246" width="2.42578125" customWidth="1"/>
    <col min="10247" max="10247" width="6.28515625" customWidth="1"/>
    <col min="10248" max="10248" width="1" customWidth="1"/>
    <col min="10249" max="10249" width="11.7109375" customWidth="1"/>
    <col min="10250" max="10250" width="1" customWidth="1"/>
    <col min="10251" max="10251" width="4.5703125" customWidth="1"/>
    <col min="10252" max="10252" width="11.5703125" customWidth="1"/>
    <col min="10253" max="10253" width="4.140625" customWidth="1"/>
    <col min="10254" max="10254" width="7.5703125" customWidth="1"/>
    <col min="10255" max="10256" width="1" customWidth="1"/>
    <col min="10257" max="10257" width="9.7109375" customWidth="1"/>
    <col min="10480" max="10480" width="7" customWidth="1"/>
    <col min="10481" max="10481" width="1" customWidth="1"/>
    <col min="10482" max="10482" width="7.5703125" customWidth="1"/>
    <col min="10483" max="10483" width="1" customWidth="1"/>
    <col min="10484" max="10484" width="15.140625" customWidth="1"/>
    <col min="10485" max="10485" width="1" customWidth="1"/>
    <col min="10486" max="10486" width="5" customWidth="1"/>
    <col min="10487" max="10487" width="1" customWidth="1"/>
    <col min="10488" max="10488" width="6.85546875" customWidth="1"/>
    <col min="10489" max="10489" width="1" customWidth="1"/>
    <col min="10490" max="10490" width="6.42578125" customWidth="1"/>
    <col min="10491" max="10491" width="1" customWidth="1"/>
    <col min="10492" max="10492" width="17.5703125" customWidth="1"/>
    <col min="10493" max="10493" width="1" customWidth="1"/>
    <col min="10494" max="10494" width="6.85546875" customWidth="1"/>
    <col min="10495" max="10495" width="1" customWidth="1"/>
    <col min="10496" max="10496" width="4" customWidth="1"/>
    <col min="10497" max="10497" width="1" customWidth="1"/>
    <col min="10498" max="10498" width="3" customWidth="1"/>
    <col min="10499" max="10499" width="1" customWidth="1"/>
    <col min="10500" max="10500" width="3.7109375" customWidth="1"/>
    <col min="10501" max="10501" width="7.140625" customWidth="1"/>
    <col min="10502" max="10502" width="2.42578125" customWidth="1"/>
    <col min="10503" max="10503" width="6.28515625" customWidth="1"/>
    <col min="10504" max="10504" width="1" customWidth="1"/>
    <col min="10505" max="10505" width="11.7109375" customWidth="1"/>
    <col min="10506" max="10506" width="1" customWidth="1"/>
    <col min="10507" max="10507" width="4.5703125" customWidth="1"/>
    <col min="10508" max="10508" width="11.5703125" customWidth="1"/>
    <col min="10509" max="10509" width="4.140625" customWidth="1"/>
    <col min="10510" max="10510" width="7.5703125" customWidth="1"/>
    <col min="10511" max="10512" width="1" customWidth="1"/>
    <col min="10513" max="10513" width="9.7109375" customWidth="1"/>
    <col min="10736" max="10736" width="7" customWidth="1"/>
    <col min="10737" max="10737" width="1" customWidth="1"/>
    <col min="10738" max="10738" width="7.5703125" customWidth="1"/>
    <col min="10739" max="10739" width="1" customWidth="1"/>
    <col min="10740" max="10740" width="15.140625" customWidth="1"/>
    <col min="10741" max="10741" width="1" customWidth="1"/>
    <col min="10742" max="10742" width="5" customWidth="1"/>
    <col min="10743" max="10743" width="1" customWidth="1"/>
    <col min="10744" max="10744" width="6.85546875" customWidth="1"/>
    <col min="10745" max="10745" width="1" customWidth="1"/>
    <col min="10746" max="10746" width="6.42578125" customWidth="1"/>
    <col min="10747" max="10747" width="1" customWidth="1"/>
    <col min="10748" max="10748" width="17.5703125" customWidth="1"/>
    <col min="10749" max="10749" width="1" customWidth="1"/>
    <col min="10750" max="10750" width="6.85546875" customWidth="1"/>
    <col min="10751" max="10751" width="1" customWidth="1"/>
    <col min="10752" max="10752" width="4" customWidth="1"/>
    <col min="10753" max="10753" width="1" customWidth="1"/>
    <col min="10754" max="10754" width="3" customWidth="1"/>
    <col min="10755" max="10755" width="1" customWidth="1"/>
    <col min="10756" max="10756" width="3.7109375" customWidth="1"/>
    <col min="10757" max="10757" width="7.140625" customWidth="1"/>
    <col min="10758" max="10758" width="2.42578125" customWidth="1"/>
    <col min="10759" max="10759" width="6.28515625" customWidth="1"/>
    <col min="10760" max="10760" width="1" customWidth="1"/>
    <col min="10761" max="10761" width="11.7109375" customWidth="1"/>
    <col min="10762" max="10762" width="1" customWidth="1"/>
    <col min="10763" max="10763" width="4.5703125" customWidth="1"/>
    <col min="10764" max="10764" width="11.5703125" customWidth="1"/>
    <col min="10765" max="10765" width="4.140625" customWidth="1"/>
    <col min="10766" max="10766" width="7.5703125" customWidth="1"/>
    <col min="10767" max="10768" width="1" customWidth="1"/>
    <col min="10769" max="10769" width="9.7109375" customWidth="1"/>
    <col min="10992" max="10992" width="7" customWidth="1"/>
    <col min="10993" max="10993" width="1" customWidth="1"/>
    <col min="10994" max="10994" width="7.5703125" customWidth="1"/>
    <col min="10995" max="10995" width="1" customWidth="1"/>
    <col min="10996" max="10996" width="15.140625" customWidth="1"/>
    <col min="10997" max="10997" width="1" customWidth="1"/>
    <col min="10998" max="10998" width="5" customWidth="1"/>
    <col min="10999" max="10999" width="1" customWidth="1"/>
    <col min="11000" max="11000" width="6.85546875" customWidth="1"/>
    <col min="11001" max="11001" width="1" customWidth="1"/>
    <col min="11002" max="11002" width="6.42578125" customWidth="1"/>
    <col min="11003" max="11003" width="1" customWidth="1"/>
    <col min="11004" max="11004" width="17.5703125" customWidth="1"/>
    <col min="11005" max="11005" width="1" customWidth="1"/>
    <col min="11006" max="11006" width="6.85546875" customWidth="1"/>
    <col min="11007" max="11007" width="1" customWidth="1"/>
    <col min="11008" max="11008" width="4" customWidth="1"/>
    <col min="11009" max="11009" width="1" customWidth="1"/>
    <col min="11010" max="11010" width="3" customWidth="1"/>
    <col min="11011" max="11011" width="1" customWidth="1"/>
    <col min="11012" max="11012" width="3.7109375" customWidth="1"/>
    <col min="11013" max="11013" width="7.140625" customWidth="1"/>
    <col min="11014" max="11014" width="2.42578125" customWidth="1"/>
    <col min="11015" max="11015" width="6.28515625" customWidth="1"/>
    <col min="11016" max="11016" width="1" customWidth="1"/>
    <col min="11017" max="11017" width="11.7109375" customWidth="1"/>
    <col min="11018" max="11018" width="1" customWidth="1"/>
    <col min="11019" max="11019" width="4.5703125" customWidth="1"/>
    <col min="11020" max="11020" width="11.5703125" customWidth="1"/>
    <col min="11021" max="11021" width="4.140625" customWidth="1"/>
    <col min="11022" max="11022" width="7.5703125" customWidth="1"/>
    <col min="11023" max="11024" width="1" customWidth="1"/>
    <col min="11025" max="11025" width="9.7109375" customWidth="1"/>
    <col min="11248" max="11248" width="7" customWidth="1"/>
    <col min="11249" max="11249" width="1" customWidth="1"/>
    <col min="11250" max="11250" width="7.5703125" customWidth="1"/>
    <col min="11251" max="11251" width="1" customWidth="1"/>
    <col min="11252" max="11252" width="15.140625" customWidth="1"/>
    <col min="11253" max="11253" width="1" customWidth="1"/>
    <col min="11254" max="11254" width="5" customWidth="1"/>
    <col min="11255" max="11255" width="1" customWidth="1"/>
    <col min="11256" max="11256" width="6.85546875" customWidth="1"/>
    <col min="11257" max="11257" width="1" customWidth="1"/>
    <col min="11258" max="11258" width="6.42578125" customWidth="1"/>
    <col min="11259" max="11259" width="1" customWidth="1"/>
    <col min="11260" max="11260" width="17.5703125" customWidth="1"/>
    <col min="11261" max="11261" width="1" customWidth="1"/>
    <col min="11262" max="11262" width="6.85546875" customWidth="1"/>
    <col min="11263" max="11263" width="1" customWidth="1"/>
    <col min="11264" max="11264" width="4" customWidth="1"/>
    <col min="11265" max="11265" width="1" customWidth="1"/>
    <col min="11266" max="11266" width="3" customWidth="1"/>
    <col min="11267" max="11267" width="1" customWidth="1"/>
    <col min="11268" max="11268" width="3.7109375" customWidth="1"/>
    <col min="11269" max="11269" width="7.140625" customWidth="1"/>
    <col min="11270" max="11270" width="2.42578125" customWidth="1"/>
    <col min="11271" max="11271" width="6.28515625" customWidth="1"/>
    <col min="11272" max="11272" width="1" customWidth="1"/>
    <col min="11273" max="11273" width="11.7109375" customWidth="1"/>
    <col min="11274" max="11274" width="1" customWidth="1"/>
    <col min="11275" max="11275" width="4.5703125" customWidth="1"/>
    <col min="11276" max="11276" width="11.5703125" customWidth="1"/>
    <col min="11277" max="11277" width="4.140625" customWidth="1"/>
    <col min="11278" max="11278" width="7.5703125" customWidth="1"/>
    <col min="11279" max="11280" width="1" customWidth="1"/>
    <col min="11281" max="11281" width="9.7109375" customWidth="1"/>
    <col min="11504" max="11504" width="7" customWidth="1"/>
    <col min="11505" max="11505" width="1" customWidth="1"/>
    <col min="11506" max="11506" width="7.5703125" customWidth="1"/>
    <col min="11507" max="11507" width="1" customWidth="1"/>
    <col min="11508" max="11508" width="15.140625" customWidth="1"/>
    <col min="11509" max="11509" width="1" customWidth="1"/>
    <col min="11510" max="11510" width="5" customWidth="1"/>
    <col min="11511" max="11511" width="1" customWidth="1"/>
    <col min="11512" max="11512" width="6.85546875" customWidth="1"/>
    <col min="11513" max="11513" width="1" customWidth="1"/>
    <col min="11514" max="11514" width="6.42578125" customWidth="1"/>
    <col min="11515" max="11515" width="1" customWidth="1"/>
    <col min="11516" max="11516" width="17.5703125" customWidth="1"/>
    <col min="11517" max="11517" width="1" customWidth="1"/>
    <col min="11518" max="11518" width="6.85546875" customWidth="1"/>
    <col min="11519" max="11519" width="1" customWidth="1"/>
    <col min="11520" max="11520" width="4" customWidth="1"/>
    <col min="11521" max="11521" width="1" customWidth="1"/>
    <col min="11522" max="11522" width="3" customWidth="1"/>
    <col min="11523" max="11523" width="1" customWidth="1"/>
    <col min="11524" max="11524" width="3.7109375" customWidth="1"/>
    <col min="11525" max="11525" width="7.140625" customWidth="1"/>
    <col min="11526" max="11526" width="2.42578125" customWidth="1"/>
    <col min="11527" max="11527" width="6.28515625" customWidth="1"/>
    <col min="11528" max="11528" width="1" customWidth="1"/>
    <col min="11529" max="11529" width="11.7109375" customWidth="1"/>
    <col min="11530" max="11530" width="1" customWidth="1"/>
    <col min="11531" max="11531" width="4.5703125" customWidth="1"/>
    <col min="11532" max="11532" width="11.5703125" customWidth="1"/>
    <col min="11533" max="11533" width="4.140625" customWidth="1"/>
    <col min="11534" max="11534" width="7.5703125" customWidth="1"/>
    <col min="11535" max="11536" width="1" customWidth="1"/>
    <col min="11537" max="11537" width="9.7109375" customWidth="1"/>
    <col min="11760" max="11760" width="7" customWidth="1"/>
    <col min="11761" max="11761" width="1" customWidth="1"/>
    <col min="11762" max="11762" width="7.5703125" customWidth="1"/>
    <col min="11763" max="11763" width="1" customWidth="1"/>
    <col min="11764" max="11764" width="15.140625" customWidth="1"/>
    <col min="11765" max="11765" width="1" customWidth="1"/>
    <col min="11766" max="11766" width="5" customWidth="1"/>
    <col min="11767" max="11767" width="1" customWidth="1"/>
    <col min="11768" max="11768" width="6.85546875" customWidth="1"/>
    <col min="11769" max="11769" width="1" customWidth="1"/>
    <col min="11770" max="11770" width="6.42578125" customWidth="1"/>
    <col min="11771" max="11771" width="1" customWidth="1"/>
    <col min="11772" max="11772" width="17.5703125" customWidth="1"/>
    <col min="11773" max="11773" width="1" customWidth="1"/>
    <col min="11774" max="11774" width="6.85546875" customWidth="1"/>
    <col min="11775" max="11775" width="1" customWidth="1"/>
    <col min="11776" max="11776" width="4" customWidth="1"/>
    <col min="11777" max="11777" width="1" customWidth="1"/>
    <col min="11778" max="11778" width="3" customWidth="1"/>
    <col min="11779" max="11779" width="1" customWidth="1"/>
    <col min="11780" max="11780" width="3.7109375" customWidth="1"/>
    <col min="11781" max="11781" width="7.140625" customWidth="1"/>
    <col min="11782" max="11782" width="2.42578125" customWidth="1"/>
    <col min="11783" max="11783" width="6.28515625" customWidth="1"/>
    <col min="11784" max="11784" width="1" customWidth="1"/>
    <col min="11785" max="11785" width="11.7109375" customWidth="1"/>
    <col min="11786" max="11786" width="1" customWidth="1"/>
    <col min="11787" max="11787" width="4.5703125" customWidth="1"/>
    <col min="11788" max="11788" width="11.5703125" customWidth="1"/>
    <col min="11789" max="11789" width="4.140625" customWidth="1"/>
    <col min="11790" max="11790" width="7.5703125" customWidth="1"/>
    <col min="11791" max="11792" width="1" customWidth="1"/>
    <col min="11793" max="11793" width="9.7109375" customWidth="1"/>
    <col min="12016" max="12016" width="7" customWidth="1"/>
    <col min="12017" max="12017" width="1" customWidth="1"/>
    <col min="12018" max="12018" width="7.5703125" customWidth="1"/>
    <col min="12019" max="12019" width="1" customWidth="1"/>
    <col min="12020" max="12020" width="15.140625" customWidth="1"/>
    <col min="12021" max="12021" width="1" customWidth="1"/>
    <col min="12022" max="12022" width="5" customWidth="1"/>
    <col min="12023" max="12023" width="1" customWidth="1"/>
    <col min="12024" max="12024" width="6.85546875" customWidth="1"/>
    <col min="12025" max="12025" width="1" customWidth="1"/>
    <col min="12026" max="12026" width="6.42578125" customWidth="1"/>
    <col min="12027" max="12027" width="1" customWidth="1"/>
    <col min="12028" max="12028" width="17.5703125" customWidth="1"/>
    <col min="12029" max="12029" width="1" customWidth="1"/>
    <col min="12030" max="12030" width="6.85546875" customWidth="1"/>
    <col min="12031" max="12031" width="1" customWidth="1"/>
    <col min="12032" max="12032" width="4" customWidth="1"/>
    <col min="12033" max="12033" width="1" customWidth="1"/>
    <col min="12034" max="12034" width="3" customWidth="1"/>
    <col min="12035" max="12035" width="1" customWidth="1"/>
    <col min="12036" max="12036" width="3.7109375" customWidth="1"/>
    <col min="12037" max="12037" width="7.140625" customWidth="1"/>
    <col min="12038" max="12038" width="2.42578125" customWidth="1"/>
    <col min="12039" max="12039" width="6.28515625" customWidth="1"/>
    <col min="12040" max="12040" width="1" customWidth="1"/>
    <col min="12041" max="12041" width="11.7109375" customWidth="1"/>
    <col min="12042" max="12042" width="1" customWidth="1"/>
    <col min="12043" max="12043" width="4.5703125" customWidth="1"/>
    <col min="12044" max="12044" width="11.5703125" customWidth="1"/>
    <col min="12045" max="12045" width="4.140625" customWidth="1"/>
    <col min="12046" max="12046" width="7.5703125" customWidth="1"/>
    <col min="12047" max="12048" width="1" customWidth="1"/>
    <col min="12049" max="12049" width="9.7109375" customWidth="1"/>
    <col min="12272" max="12272" width="7" customWidth="1"/>
    <col min="12273" max="12273" width="1" customWidth="1"/>
    <col min="12274" max="12274" width="7.5703125" customWidth="1"/>
    <col min="12275" max="12275" width="1" customWidth="1"/>
    <col min="12276" max="12276" width="15.140625" customWidth="1"/>
    <col min="12277" max="12277" width="1" customWidth="1"/>
    <col min="12278" max="12278" width="5" customWidth="1"/>
    <col min="12279" max="12279" width="1" customWidth="1"/>
    <col min="12280" max="12280" width="6.85546875" customWidth="1"/>
    <col min="12281" max="12281" width="1" customWidth="1"/>
    <col min="12282" max="12282" width="6.42578125" customWidth="1"/>
    <col min="12283" max="12283" width="1" customWidth="1"/>
    <col min="12284" max="12284" width="17.5703125" customWidth="1"/>
    <col min="12285" max="12285" width="1" customWidth="1"/>
    <col min="12286" max="12286" width="6.85546875" customWidth="1"/>
    <col min="12287" max="12287" width="1" customWidth="1"/>
    <col min="12288" max="12288" width="4" customWidth="1"/>
    <col min="12289" max="12289" width="1" customWidth="1"/>
    <col min="12290" max="12290" width="3" customWidth="1"/>
    <col min="12291" max="12291" width="1" customWidth="1"/>
    <col min="12292" max="12292" width="3.7109375" customWidth="1"/>
    <col min="12293" max="12293" width="7.140625" customWidth="1"/>
    <col min="12294" max="12294" width="2.42578125" customWidth="1"/>
    <col min="12295" max="12295" width="6.28515625" customWidth="1"/>
    <col min="12296" max="12296" width="1" customWidth="1"/>
    <col min="12297" max="12297" width="11.7109375" customWidth="1"/>
    <col min="12298" max="12298" width="1" customWidth="1"/>
    <col min="12299" max="12299" width="4.5703125" customWidth="1"/>
    <col min="12300" max="12300" width="11.5703125" customWidth="1"/>
    <col min="12301" max="12301" width="4.140625" customWidth="1"/>
    <col min="12302" max="12302" width="7.5703125" customWidth="1"/>
    <col min="12303" max="12304" width="1" customWidth="1"/>
    <col min="12305" max="12305" width="9.7109375" customWidth="1"/>
    <col min="12528" max="12528" width="7" customWidth="1"/>
    <col min="12529" max="12529" width="1" customWidth="1"/>
    <col min="12530" max="12530" width="7.5703125" customWidth="1"/>
    <col min="12531" max="12531" width="1" customWidth="1"/>
    <col min="12532" max="12532" width="15.140625" customWidth="1"/>
    <col min="12533" max="12533" width="1" customWidth="1"/>
    <col min="12534" max="12534" width="5" customWidth="1"/>
    <col min="12535" max="12535" width="1" customWidth="1"/>
    <col min="12536" max="12536" width="6.85546875" customWidth="1"/>
    <col min="12537" max="12537" width="1" customWidth="1"/>
    <col min="12538" max="12538" width="6.42578125" customWidth="1"/>
    <col min="12539" max="12539" width="1" customWidth="1"/>
    <col min="12540" max="12540" width="17.5703125" customWidth="1"/>
    <col min="12541" max="12541" width="1" customWidth="1"/>
    <col min="12542" max="12542" width="6.85546875" customWidth="1"/>
    <col min="12543" max="12543" width="1" customWidth="1"/>
    <col min="12544" max="12544" width="4" customWidth="1"/>
    <col min="12545" max="12545" width="1" customWidth="1"/>
    <col min="12546" max="12546" width="3" customWidth="1"/>
    <col min="12547" max="12547" width="1" customWidth="1"/>
    <col min="12548" max="12548" width="3.7109375" customWidth="1"/>
    <col min="12549" max="12549" width="7.140625" customWidth="1"/>
    <col min="12550" max="12550" width="2.42578125" customWidth="1"/>
    <col min="12551" max="12551" width="6.28515625" customWidth="1"/>
    <col min="12552" max="12552" width="1" customWidth="1"/>
    <col min="12553" max="12553" width="11.7109375" customWidth="1"/>
    <col min="12554" max="12554" width="1" customWidth="1"/>
    <col min="12555" max="12555" width="4.5703125" customWidth="1"/>
    <col min="12556" max="12556" width="11.5703125" customWidth="1"/>
    <col min="12557" max="12557" width="4.140625" customWidth="1"/>
    <col min="12558" max="12558" width="7.5703125" customWidth="1"/>
    <col min="12559" max="12560" width="1" customWidth="1"/>
    <col min="12561" max="12561" width="9.7109375" customWidth="1"/>
    <col min="12784" max="12784" width="7" customWidth="1"/>
    <col min="12785" max="12785" width="1" customWidth="1"/>
    <col min="12786" max="12786" width="7.5703125" customWidth="1"/>
    <col min="12787" max="12787" width="1" customWidth="1"/>
    <col min="12788" max="12788" width="15.140625" customWidth="1"/>
    <col min="12789" max="12789" width="1" customWidth="1"/>
    <col min="12790" max="12790" width="5" customWidth="1"/>
    <col min="12791" max="12791" width="1" customWidth="1"/>
    <col min="12792" max="12792" width="6.85546875" customWidth="1"/>
    <col min="12793" max="12793" width="1" customWidth="1"/>
    <col min="12794" max="12794" width="6.42578125" customWidth="1"/>
    <col min="12795" max="12795" width="1" customWidth="1"/>
    <col min="12796" max="12796" width="17.5703125" customWidth="1"/>
    <col min="12797" max="12797" width="1" customWidth="1"/>
    <col min="12798" max="12798" width="6.85546875" customWidth="1"/>
    <col min="12799" max="12799" width="1" customWidth="1"/>
    <col min="12800" max="12800" width="4" customWidth="1"/>
    <col min="12801" max="12801" width="1" customWidth="1"/>
    <col min="12802" max="12802" width="3" customWidth="1"/>
    <col min="12803" max="12803" width="1" customWidth="1"/>
    <col min="12804" max="12804" width="3.7109375" customWidth="1"/>
    <col min="12805" max="12805" width="7.140625" customWidth="1"/>
    <col min="12806" max="12806" width="2.42578125" customWidth="1"/>
    <col min="12807" max="12807" width="6.28515625" customWidth="1"/>
    <col min="12808" max="12808" width="1" customWidth="1"/>
    <col min="12809" max="12809" width="11.7109375" customWidth="1"/>
    <col min="12810" max="12810" width="1" customWidth="1"/>
    <col min="12811" max="12811" width="4.5703125" customWidth="1"/>
    <col min="12812" max="12812" width="11.5703125" customWidth="1"/>
    <col min="12813" max="12813" width="4.140625" customWidth="1"/>
    <col min="12814" max="12814" width="7.5703125" customWidth="1"/>
    <col min="12815" max="12816" width="1" customWidth="1"/>
    <col min="12817" max="12817" width="9.7109375" customWidth="1"/>
    <col min="13040" max="13040" width="7" customWidth="1"/>
    <col min="13041" max="13041" width="1" customWidth="1"/>
    <col min="13042" max="13042" width="7.5703125" customWidth="1"/>
    <col min="13043" max="13043" width="1" customWidth="1"/>
    <col min="13044" max="13044" width="15.140625" customWidth="1"/>
    <col min="13045" max="13045" width="1" customWidth="1"/>
    <col min="13046" max="13046" width="5" customWidth="1"/>
    <col min="13047" max="13047" width="1" customWidth="1"/>
    <col min="13048" max="13048" width="6.85546875" customWidth="1"/>
    <col min="13049" max="13049" width="1" customWidth="1"/>
    <col min="13050" max="13050" width="6.42578125" customWidth="1"/>
    <col min="13051" max="13051" width="1" customWidth="1"/>
    <col min="13052" max="13052" width="17.5703125" customWidth="1"/>
    <col min="13053" max="13053" width="1" customWidth="1"/>
    <col min="13054" max="13054" width="6.85546875" customWidth="1"/>
    <col min="13055" max="13055" width="1" customWidth="1"/>
    <col min="13056" max="13056" width="4" customWidth="1"/>
    <col min="13057" max="13057" width="1" customWidth="1"/>
    <col min="13058" max="13058" width="3" customWidth="1"/>
    <col min="13059" max="13059" width="1" customWidth="1"/>
    <col min="13060" max="13060" width="3.7109375" customWidth="1"/>
    <col min="13061" max="13061" width="7.140625" customWidth="1"/>
    <col min="13062" max="13062" width="2.42578125" customWidth="1"/>
    <col min="13063" max="13063" width="6.28515625" customWidth="1"/>
    <col min="13064" max="13064" width="1" customWidth="1"/>
    <col min="13065" max="13065" width="11.7109375" customWidth="1"/>
    <col min="13066" max="13066" width="1" customWidth="1"/>
    <col min="13067" max="13067" width="4.5703125" customWidth="1"/>
    <col min="13068" max="13068" width="11.5703125" customWidth="1"/>
    <col min="13069" max="13069" width="4.140625" customWidth="1"/>
    <col min="13070" max="13070" width="7.5703125" customWidth="1"/>
    <col min="13071" max="13072" width="1" customWidth="1"/>
    <col min="13073" max="13073" width="9.7109375" customWidth="1"/>
    <col min="13296" max="13296" width="7" customWidth="1"/>
    <col min="13297" max="13297" width="1" customWidth="1"/>
    <col min="13298" max="13298" width="7.5703125" customWidth="1"/>
    <col min="13299" max="13299" width="1" customWidth="1"/>
    <col min="13300" max="13300" width="15.140625" customWidth="1"/>
    <col min="13301" max="13301" width="1" customWidth="1"/>
    <col min="13302" max="13302" width="5" customWidth="1"/>
    <col min="13303" max="13303" width="1" customWidth="1"/>
    <col min="13304" max="13304" width="6.85546875" customWidth="1"/>
    <col min="13305" max="13305" width="1" customWidth="1"/>
    <col min="13306" max="13306" width="6.42578125" customWidth="1"/>
    <col min="13307" max="13307" width="1" customWidth="1"/>
    <col min="13308" max="13308" width="17.5703125" customWidth="1"/>
    <col min="13309" max="13309" width="1" customWidth="1"/>
    <col min="13310" max="13310" width="6.85546875" customWidth="1"/>
    <col min="13311" max="13311" width="1" customWidth="1"/>
    <col min="13312" max="13312" width="4" customWidth="1"/>
    <col min="13313" max="13313" width="1" customWidth="1"/>
    <col min="13314" max="13314" width="3" customWidth="1"/>
    <col min="13315" max="13315" width="1" customWidth="1"/>
    <col min="13316" max="13316" width="3.7109375" customWidth="1"/>
    <col min="13317" max="13317" width="7.140625" customWidth="1"/>
    <col min="13318" max="13318" width="2.42578125" customWidth="1"/>
    <col min="13319" max="13319" width="6.28515625" customWidth="1"/>
    <col min="13320" max="13320" width="1" customWidth="1"/>
    <col min="13321" max="13321" width="11.7109375" customWidth="1"/>
    <col min="13322" max="13322" width="1" customWidth="1"/>
    <col min="13323" max="13323" width="4.5703125" customWidth="1"/>
    <col min="13324" max="13324" width="11.5703125" customWidth="1"/>
    <col min="13325" max="13325" width="4.140625" customWidth="1"/>
    <col min="13326" max="13326" width="7.5703125" customWidth="1"/>
    <col min="13327" max="13328" width="1" customWidth="1"/>
    <col min="13329" max="13329" width="9.7109375" customWidth="1"/>
    <col min="13552" max="13552" width="7" customWidth="1"/>
    <col min="13553" max="13553" width="1" customWidth="1"/>
    <col min="13554" max="13554" width="7.5703125" customWidth="1"/>
    <col min="13555" max="13555" width="1" customWidth="1"/>
    <col min="13556" max="13556" width="15.140625" customWidth="1"/>
    <col min="13557" max="13557" width="1" customWidth="1"/>
    <col min="13558" max="13558" width="5" customWidth="1"/>
    <col min="13559" max="13559" width="1" customWidth="1"/>
    <col min="13560" max="13560" width="6.85546875" customWidth="1"/>
    <col min="13561" max="13561" width="1" customWidth="1"/>
    <col min="13562" max="13562" width="6.42578125" customWidth="1"/>
    <col min="13563" max="13563" width="1" customWidth="1"/>
    <col min="13564" max="13564" width="17.5703125" customWidth="1"/>
    <col min="13565" max="13565" width="1" customWidth="1"/>
    <col min="13566" max="13566" width="6.85546875" customWidth="1"/>
    <col min="13567" max="13567" width="1" customWidth="1"/>
    <col min="13568" max="13568" width="4" customWidth="1"/>
    <col min="13569" max="13569" width="1" customWidth="1"/>
    <col min="13570" max="13570" width="3" customWidth="1"/>
    <col min="13571" max="13571" width="1" customWidth="1"/>
    <col min="13572" max="13572" width="3.7109375" customWidth="1"/>
    <col min="13573" max="13573" width="7.140625" customWidth="1"/>
    <col min="13574" max="13574" width="2.42578125" customWidth="1"/>
    <col min="13575" max="13575" width="6.28515625" customWidth="1"/>
    <col min="13576" max="13576" width="1" customWidth="1"/>
    <col min="13577" max="13577" width="11.7109375" customWidth="1"/>
    <col min="13578" max="13578" width="1" customWidth="1"/>
    <col min="13579" max="13579" width="4.5703125" customWidth="1"/>
    <col min="13580" max="13580" width="11.5703125" customWidth="1"/>
    <col min="13581" max="13581" width="4.140625" customWidth="1"/>
    <col min="13582" max="13582" width="7.5703125" customWidth="1"/>
    <col min="13583" max="13584" width="1" customWidth="1"/>
    <col min="13585" max="13585" width="9.7109375" customWidth="1"/>
    <col min="13808" max="13808" width="7" customWidth="1"/>
    <col min="13809" max="13809" width="1" customWidth="1"/>
    <col min="13810" max="13810" width="7.5703125" customWidth="1"/>
    <col min="13811" max="13811" width="1" customWidth="1"/>
    <col min="13812" max="13812" width="15.140625" customWidth="1"/>
    <col min="13813" max="13813" width="1" customWidth="1"/>
    <col min="13814" max="13814" width="5" customWidth="1"/>
    <col min="13815" max="13815" width="1" customWidth="1"/>
    <col min="13816" max="13816" width="6.85546875" customWidth="1"/>
    <col min="13817" max="13817" width="1" customWidth="1"/>
    <col min="13818" max="13818" width="6.42578125" customWidth="1"/>
    <col min="13819" max="13819" width="1" customWidth="1"/>
    <col min="13820" max="13820" width="17.5703125" customWidth="1"/>
    <col min="13821" max="13821" width="1" customWidth="1"/>
    <col min="13822" max="13822" width="6.85546875" customWidth="1"/>
    <col min="13823" max="13823" width="1" customWidth="1"/>
    <col min="13824" max="13824" width="4" customWidth="1"/>
    <col min="13825" max="13825" width="1" customWidth="1"/>
    <col min="13826" max="13826" width="3" customWidth="1"/>
    <col min="13827" max="13827" width="1" customWidth="1"/>
    <col min="13828" max="13828" width="3.7109375" customWidth="1"/>
    <col min="13829" max="13829" width="7.140625" customWidth="1"/>
    <col min="13830" max="13830" width="2.42578125" customWidth="1"/>
    <col min="13831" max="13831" width="6.28515625" customWidth="1"/>
    <col min="13832" max="13832" width="1" customWidth="1"/>
    <col min="13833" max="13833" width="11.7109375" customWidth="1"/>
    <col min="13834" max="13834" width="1" customWidth="1"/>
    <col min="13835" max="13835" width="4.5703125" customWidth="1"/>
    <col min="13836" max="13836" width="11.5703125" customWidth="1"/>
    <col min="13837" max="13837" width="4.140625" customWidth="1"/>
    <col min="13838" max="13838" width="7.5703125" customWidth="1"/>
    <col min="13839" max="13840" width="1" customWidth="1"/>
    <col min="13841" max="13841" width="9.7109375" customWidth="1"/>
    <col min="14064" max="14064" width="7" customWidth="1"/>
    <col min="14065" max="14065" width="1" customWidth="1"/>
    <col min="14066" max="14066" width="7.5703125" customWidth="1"/>
    <col min="14067" max="14067" width="1" customWidth="1"/>
    <col min="14068" max="14068" width="15.140625" customWidth="1"/>
    <col min="14069" max="14069" width="1" customWidth="1"/>
    <col min="14070" max="14070" width="5" customWidth="1"/>
    <col min="14071" max="14071" width="1" customWidth="1"/>
    <col min="14072" max="14072" width="6.85546875" customWidth="1"/>
    <col min="14073" max="14073" width="1" customWidth="1"/>
    <col min="14074" max="14074" width="6.42578125" customWidth="1"/>
    <col min="14075" max="14075" width="1" customWidth="1"/>
    <col min="14076" max="14076" width="17.5703125" customWidth="1"/>
    <col min="14077" max="14077" width="1" customWidth="1"/>
    <col min="14078" max="14078" width="6.85546875" customWidth="1"/>
    <col min="14079" max="14079" width="1" customWidth="1"/>
    <col min="14080" max="14080" width="4" customWidth="1"/>
    <col min="14081" max="14081" width="1" customWidth="1"/>
    <col min="14082" max="14082" width="3" customWidth="1"/>
    <col min="14083" max="14083" width="1" customWidth="1"/>
    <col min="14084" max="14084" width="3.7109375" customWidth="1"/>
    <col min="14085" max="14085" width="7.140625" customWidth="1"/>
    <col min="14086" max="14086" width="2.42578125" customWidth="1"/>
    <col min="14087" max="14087" width="6.28515625" customWidth="1"/>
    <col min="14088" max="14088" width="1" customWidth="1"/>
    <col min="14089" max="14089" width="11.7109375" customWidth="1"/>
    <col min="14090" max="14090" width="1" customWidth="1"/>
    <col min="14091" max="14091" width="4.5703125" customWidth="1"/>
    <col min="14092" max="14092" width="11.5703125" customWidth="1"/>
    <col min="14093" max="14093" width="4.140625" customWidth="1"/>
    <col min="14094" max="14094" width="7.5703125" customWidth="1"/>
    <col min="14095" max="14096" width="1" customWidth="1"/>
    <col min="14097" max="14097" width="9.7109375" customWidth="1"/>
    <col min="14320" max="14320" width="7" customWidth="1"/>
    <col min="14321" max="14321" width="1" customWidth="1"/>
    <col min="14322" max="14322" width="7.5703125" customWidth="1"/>
    <col min="14323" max="14323" width="1" customWidth="1"/>
    <col min="14324" max="14324" width="15.140625" customWidth="1"/>
    <col min="14325" max="14325" width="1" customWidth="1"/>
    <col min="14326" max="14326" width="5" customWidth="1"/>
    <col min="14327" max="14327" width="1" customWidth="1"/>
    <col min="14328" max="14328" width="6.85546875" customWidth="1"/>
    <col min="14329" max="14329" width="1" customWidth="1"/>
    <col min="14330" max="14330" width="6.42578125" customWidth="1"/>
    <col min="14331" max="14331" width="1" customWidth="1"/>
    <col min="14332" max="14332" width="17.5703125" customWidth="1"/>
    <col min="14333" max="14333" width="1" customWidth="1"/>
    <col min="14334" max="14334" width="6.85546875" customWidth="1"/>
    <col min="14335" max="14335" width="1" customWidth="1"/>
    <col min="14336" max="14336" width="4" customWidth="1"/>
    <col min="14337" max="14337" width="1" customWidth="1"/>
    <col min="14338" max="14338" width="3" customWidth="1"/>
    <col min="14339" max="14339" width="1" customWidth="1"/>
    <col min="14340" max="14340" width="3.7109375" customWidth="1"/>
    <col min="14341" max="14341" width="7.140625" customWidth="1"/>
    <col min="14342" max="14342" width="2.42578125" customWidth="1"/>
    <col min="14343" max="14343" width="6.28515625" customWidth="1"/>
    <col min="14344" max="14344" width="1" customWidth="1"/>
    <col min="14345" max="14345" width="11.7109375" customWidth="1"/>
    <col min="14346" max="14346" width="1" customWidth="1"/>
    <col min="14347" max="14347" width="4.5703125" customWidth="1"/>
    <col min="14348" max="14348" width="11.5703125" customWidth="1"/>
    <col min="14349" max="14349" width="4.140625" customWidth="1"/>
    <col min="14350" max="14350" width="7.5703125" customWidth="1"/>
    <col min="14351" max="14352" width="1" customWidth="1"/>
    <col min="14353" max="14353" width="9.7109375" customWidth="1"/>
    <col min="14576" max="14576" width="7" customWidth="1"/>
    <col min="14577" max="14577" width="1" customWidth="1"/>
    <col min="14578" max="14578" width="7.5703125" customWidth="1"/>
    <col min="14579" max="14579" width="1" customWidth="1"/>
    <col min="14580" max="14580" width="15.140625" customWidth="1"/>
    <col min="14581" max="14581" width="1" customWidth="1"/>
    <col min="14582" max="14582" width="5" customWidth="1"/>
    <col min="14583" max="14583" width="1" customWidth="1"/>
    <col min="14584" max="14584" width="6.85546875" customWidth="1"/>
    <col min="14585" max="14585" width="1" customWidth="1"/>
    <col min="14586" max="14586" width="6.42578125" customWidth="1"/>
    <col min="14587" max="14587" width="1" customWidth="1"/>
    <col min="14588" max="14588" width="17.5703125" customWidth="1"/>
    <col min="14589" max="14589" width="1" customWidth="1"/>
    <col min="14590" max="14590" width="6.85546875" customWidth="1"/>
    <col min="14591" max="14591" width="1" customWidth="1"/>
    <col min="14592" max="14592" width="4" customWidth="1"/>
    <col min="14593" max="14593" width="1" customWidth="1"/>
    <col min="14594" max="14594" width="3" customWidth="1"/>
    <col min="14595" max="14595" width="1" customWidth="1"/>
    <col min="14596" max="14596" width="3.7109375" customWidth="1"/>
    <col min="14597" max="14597" width="7.140625" customWidth="1"/>
    <col min="14598" max="14598" width="2.42578125" customWidth="1"/>
    <col min="14599" max="14599" width="6.28515625" customWidth="1"/>
    <col min="14600" max="14600" width="1" customWidth="1"/>
    <col min="14601" max="14601" width="11.7109375" customWidth="1"/>
    <col min="14602" max="14602" width="1" customWidth="1"/>
    <col min="14603" max="14603" width="4.5703125" customWidth="1"/>
    <col min="14604" max="14604" width="11.5703125" customWidth="1"/>
    <col min="14605" max="14605" width="4.140625" customWidth="1"/>
    <col min="14606" max="14606" width="7.5703125" customWidth="1"/>
    <col min="14607" max="14608" width="1" customWidth="1"/>
    <col min="14609" max="14609" width="9.7109375" customWidth="1"/>
    <col min="14832" max="14832" width="7" customWidth="1"/>
    <col min="14833" max="14833" width="1" customWidth="1"/>
    <col min="14834" max="14834" width="7.5703125" customWidth="1"/>
    <col min="14835" max="14835" width="1" customWidth="1"/>
    <col min="14836" max="14836" width="15.140625" customWidth="1"/>
    <col min="14837" max="14837" width="1" customWidth="1"/>
    <col min="14838" max="14838" width="5" customWidth="1"/>
    <col min="14839" max="14839" width="1" customWidth="1"/>
    <col min="14840" max="14840" width="6.85546875" customWidth="1"/>
    <col min="14841" max="14841" width="1" customWidth="1"/>
    <col min="14842" max="14842" width="6.42578125" customWidth="1"/>
    <col min="14843" max="14843" width="1" customWidth="1"/>
    <col min="14844" max="14844" width="17.5703125" customWidth="1"/>
    <col min="14845" max="14845" width="1" customWidth="1"/>
    <col min="14846" max="14846" width="6.85546875" customWidth="1"/>
    <col min="14847" max="14847" width="1" customWidth="1"/>
    <col min="14848" max="14848" width="4" customWidth="1"/>
    <col min="14849" max="14849" width="1" customWidth="1"/>
    <col min="14850" max="14850" width="3" customWidth="1"/>
    <col min="14851" max="14851" width="1" customWidth="1"/>
    <col min="14852" max="14852" width="3.7109375" customWidth="1"/>
    <col min="14853" max="14853" width="7.140625" customWidth="1"/>
    <col min="14854" max="14854" width="2.42578125" customWidth="1"/>
    <col min="14855" max="14855" width="6.28515625" customWidth="1"/>
    <col min="14856" max="14856" width="1" customWidth="1"/>
    <col min="14857" max="14857" width="11.7109375" customWidth="1"/>
    <col min="14858" max="14858" width="1" customWidth="1"/>
    <col min="14859" max="14859" width="4.5703125" customWidth="1"/>
    <col min="14860" max="14860" width="11.5703125" customWidth="1"/>
    <col min="14861" max="14861" width="4.140625" customWidth="1"/>
    <col min="14862" max="14862" width="7.5703125" customWidth="1"/>
    <col min="14863" max="14864" width="1" customWidth="1"/>
    <col min="14865" max="14865" width="9.7109375" customWidth="1"/>
    <col min="15088" max="15088" width="7" customWidth="1"/>
    <col min="15089" max="15089" width="1" customWidth="1"/>
    <col min="15090" max="15090" width="7.5703125" customWidth="1"/>
    <col min="15091" max="15091" width="1" customWidth="1"/>
    <col min="15092" max="15092" width="15.140625" customWidth="1"/>
    <col min="15093" max="15093" width="1" customWidth="1"/>
    <col min="15094" max="15094" width="5" customWidth="1"/>
    <col min="15095" max="15095" width="1" customWidth="1"/>
    <col min="15096" max="15096" width="6.85546875" customWidth="1"/>
    <col min="15097" max="15097" width="1" customWidth="1"/>
    <col min="15098" max="15098" width="6.42578125" customWidth="1"/>
    <col min="15099" max="15099" width="1" customWidth="1"/>
    <col min="15100" max="15100" width="17.5703125" customWidth="1"/>
    <col min="15101" max="15101" width="1" customWidth="1"/>
    <col min="15102" max="15102" width="6.85546875" customWidth="1"/>
    <col min="15103" max="15103" width="1" customWidth="1"/>
    <col min="15104" max="15104" width="4" customWidth="1"/>
    <col min="15105" max="15105" width="1" customWidth="1"/>
    <col min="15106" max="15106" width="3" customWidth="1"/>
    <col min="15107" max="15107" width="1" customWidth="1"/>
    <col min="15108" max="15108" width="3.7109375" customWidth="1"/>
    <col min="15109" max="15109" width="7.140625" customWidth="1"/>
    <col min="15110" max="15110" width="2.42578125" customWidth="1"/>
    <col min="15111" max="15111" width="6.28515625" customWidth="1"/>
    <col min="15112" max="15112" width="1" customWidth="1"/>
    <col min="15113" max="15113" width="11.7109375" customWidth="1"/>
    <col min="15114" max="15114" width="1" customWidth="1"/>
    <col min="15115" max="15115" width="4.5703125" customWidth="1"/>
    <col min="15116" max="15116" width="11.5703125" customWidth="1"/>
    <col min="15117" max="15117" width="4.140625" customWidth="1"/>
    <col min="15118" max="15118" width="7.5703125" customWidth="1"/>
    <col min="15119" max="15120" width="1" customWidth="1"/>
    <col min="15121" max="15121" width="9.7109375" customWidth="1"/>
    <col min="15344" max="15344" width="7" customWidth="1"/>
    <col min="15345" max="15345" width="1" customWidth="1"/>
    <col min="15346" max="15346" width="7.5703125" customWidth="1"/>
    <col min="15347" max="15347" width="1" customWidth="1"/>
    <col min="15348" max="15348" width="15.140625" customWidth="1"/>
    <col min="15349" max="15349" width="1" customWidth="1"/>
    <col min="15350" max="15350" width="5" customWidth="1"/>
    <col min="15351" max="15351" width="1" customWidth="1"/>
    <col min="15352" max="15352" width="6.85546875" customWidth="1"/>
    <col min="15353" max="15353" width="1" customWidth="1"/>
    <col min="15354" max="15354" width="6.42578125" customWidth="1"/>
    <col min="15355" max="15355" width="1" customWidth="1"/>
    <col min="15356" max="15356" width="17.5703125" customWidth="1"/>
    <col min="15357" max="15357" width="1" customWidth="1"/>
    <col min="15358" max="15358" width="6.85546875" customWidth="1"/>
    <col min="15359" max="15359" width="1" customWidth="1"/>
    <col min="15360" max="15360" width="4" customWidth="1"/>
    <col min="15361" max="15361" width="1" customWidth="1"/>
    <col min="15362" max="15362" width="3" customWidth="1"/>
    <col min="15363" max="15363" width="1" customWidth="1"/>
    <col min="15364" max="15364" width="3.7109375" customWidth="1"/>
    <col min="15365" max="15365" width="7.140625" customWidth="1"/>
    <col min="15366" max="15366" width="2.42578125" customWidth="1"/>
    <col min="15367" max="15367" width="6.28515625" customWidth="1"/>
    <col min="15368" max="15368" width="1" customWidth="1"/>
    <col min="15369" max="15369" width="11.7109375" customWidth="1"/>
    <col min="15370" max="15370" width="1" customWidth="1"/>
    <col min="15371" max="15371" width="4.5703125" customWidth="1"/>
    <col min="15372" max="15372" width="11.5703125" customWidth="1"/>
    <col min="15373" max="15373" width="4.140625" customWidth="1"/>
    <col min="15374" max="15374" width="7.5703125" customWidth="1"/>
    <col min="15375" max="15376" width="1" customWidth="1"/>
    <col min="15377" max="15377" width="9.7109375" customWidth="1"/>
    <col min="15600" max="15600" width="7" customWidth="1"/>
    <col min="15601" max="15601" width="1" customWidth="1"/>
    <col min="15602" max="15602" width="7.5703125" customWidth="1"/>
    <col min="15603" max="15603" width="1" customWidth="1"/>
    <col min="15604" max="15604" width="15.140625" customWidth="1"/>
    <col min="15605" max="15605" width="1" customWidth="1"/>
    <col min="15606" max="15606" width="5" customWidth="1"/>
    <col min="15607" max="15607" width="1" customWidth="1"/>
    <col min="15608" max="15608" width="6.85546875" customWidth="1"/>
    <col min="15609" max="15609" width="1" customWidth="1"/>
    <col min="15610" max="15610" width="6.42578125" customWidth="1"/>
    <col min="15611" max="15611" width="1" customWidth="1"/>
    <col min="15612" max="15612" width="17.5703125" customWidth="1"/>
    <col min="15613" max="15613" width="1" customWidth="1"/>
    <col min="15614" max="15614" width="6.85546875" customWidth="1"/>
    <col min="15615" max="15615" width="1" customWidth="1"/>
    <col min="15616" max="15616" width="4" customWidth="1"/>
    <col min="15617" max="15617" width="1" customWidth="1"/>
    <col min="15618" max="15618" width="3" customWidth="1"/>
    <col min="15619" max="15619" width="1" customWidth="1"/>
    <col min="15620" max="15620" width="3.7109375" customWidth="1"/>
    <col min="15621" max="15621" width="7.140625" customWidth="1"/>
    <col min="15622" max="15622" width="2.42578125" customWidth="1"/>
    <col min="15623" max="15623" width="6.28515625" customWidth="1"/>
    <col min="15624" max="15624" width="1" customWidth="1"/>
    <col min="15625" max="15625" width="11.7109375" customWidth="1"/>
    <col min="15626" max="15626" width="1" customWidth="1"/>
    <col min="15627" max="15627" width="4.5703125" customWidth="1"/>
    <col min="15628" max="15628" width="11.5703125" customWidth="1"/>
    <col min="15629" max="15629" width="4.140625" customWidth="1"/>
    <col min="15630" max="15630" width="7.5703125" customWidth="1"/>
    <col min="15631" max="15632" width="1" customWidth="1"/>
    <col min="15633" max="15633" width="9.7109375" customWidth="1"/>
    <col min="15856" max="15856" width="7" customWidth="1"/>
    <col min="15857" max="15857" width="1" customWidth="1"/>
    <col min="15858" max="15858" width="7.5703125" customWidth="1"/>
    <col min="15859" max="15859" width="1" customWidth="1"/>
    <col min="15860" max="15860" width="15.140625" customWidth="1"/>
    <col min="15861" max="15861" width="1" customWidth="1"/>
    <col min="15862" max="15862" width="5" customWidth="1"/>
    <col min="15863" max="15863" width="1" customWidth="1"/>
    <col min="15864" max="15864" width="6.85546875" customWidth="1"/>
    <col min="15865" max="15865" width="1" customWidth="1"/>
    <col min="15866" max="15866" width="6.42578125" customWidth="1"/>
    <col min="15867" max="15867" width="1" customWidth="1"/>
    <col min="15868" max="15868" width="17.5703125" customWidth="1"/>
    <col min="15869" max="15869" width="1" customWidth="1"/>
    <col min="15870" max="15870" width="6.85546875" customWidth="1"/>
    <col min="15871" max="15871" width="1" customWidth="1"/>
    <col min="15872" max="15872" width="4" customWidth="1"/>
    <col min="15873" max="15873" width="1" customWidth="1"/>
    <col min="15874" max="15874" width="3" customWidth="1"/>
    <col min="15875" max="15875" width="1" customWidth="1"/>
    <col min="15876" max="15876" width="3.7109375" customWidth="1"/>
    <col min="15877" max="15877" width="7.140625" customWidth="1"/>
    <col min="15878" max="15878" width="2.42578125" customWidth="1"/>
    <col min="15879" max="15879" width="6.28515625" customWidth="1"/>
    <col min="15880" max="15880" width="1" customWidth="1"/>
    <col min="15881" max="15881" width="11.7109375" customWidth="1"/>
    <col min="15882" max="15882" width="1" customWidth="1"/>
    <col min="15883" max="15883" width="4.5703125" customWidth="1"/>
    <col min="15884" max="15884" width="11.5703125" customWidth="1"/>
    <col min="15885" max="15885" width="4.140625" customWidth="1"/>
    <col min="15886" max="15886" width="7.5703125" customWidth="1"/>
    <col min="15887" max="15888" width="1" customWidth="1"/>
    <col min="15889" max="15889" width="9.7109375" customWidth="1"/>
    <col min="16112" max="16112" width="7" customWidth="1"/>
    <col min="16113" max="16113" width="1" customWidth="1"/>
    <col min="16114" max="16114" width="7.5703125" customWidth="1"/>
    <col min="16115" max="16115" width="1" customWidth="1"/>
    <col min="16116" max="16116" width="15.140625" customWidth="1"/>
    <col min="16117" max="16117" width="1" customWidth="1"/>
    <col min="16118" max="16118" width="5" customWidth="1"/>
    <col min="16119" max="16119" width="1" customWidth="1"/>
    <col min="16120" max="16120" width="6.85546875" customWidth="1"/>
    <col min="16121" max="16121" width="1" customWidth="1"/>
    <col min="16122" max="16122" width="6.42578125" customWidth="1"/>
    <col min="16123" max="16123" width="1" customWidth="1"/>
    <col min="16124" max="16124" width="17.5703125" customWidth="1"/>
    <col min="16125" max="16125" width="1" customWidth="1"/>
    <col min="16126" max="16126" width="6.85546875" customWidth="1"/>
    <col min="16127" max="16127" width="1" customWidth="1"/>
    <col min="16128" max="16128" width="4" customWidth="1"/>
    <col min="16129" max="16129" width="1" customWidth="1"/>
    <col min="16130" max="16130" width="3" customWidth="1"/>
    <col min="16131" max="16131" width="1" customWidth="1"/>
    <col min="16132" max="16132" width="3.7109375" customWidth="1"/>
    <col min="16133" max="16133" width="7.140625" customWidth="1"/>
    <col min="16134" max="16134" width="2.42578125" customWidth="1"/>
    <col min="16135" max="16135" width="6.28515625" customWidth="1"/>
    <col min="16136" max="16136" width="1" customWidth="1"/>
    <col min="16137" max="16137" width="11.7109375" customWidth="1"/>
    <col min="16138" max="16138" width="1" customWidth="1"/>
    <col min="16139" max="16139" width="4.5703125" customWidth="1"/>
    <col min="16140" max="16140" width="11.5703125" customWidth="1"/>
    <col min="16141" max="16141" width="4.140625" customWidth="1"/>
    <col min="16142" max="16142" width="7.5703125" customWidth="1"/>
    <col min="16143" max="16144" width="1" customWidth="1"/>
    <col min="16145" max="16145" width="9.7109375" customWidth="1"/>
  </cols>
  <sheetData>
    <row r="1" spans="1:17" ht="11.85" customHeight="1" x14ac:dyDescent="0.25">
      <c r="A1" s="15" t="s">
        <v>1905</v>
      </c>
      <c r="B1" s="15"/>
      <c r="C1" s="15"/>
      <c r="D1" s="15"/>
      <c r="E1" s="15"/>
      <c r="F1" s="15"/>
      <c r="G1" s="15"/>
      <c r="H1" s="15"/>
      <c r="I1" s="15"/>
      <c r="J1" s="15"/>
      <c r="K1" s="15"/>
      <c r="Q1" s="75"/>
    </row>
    <row r="2" spans="1:17" ht="11.85" customHeight="1" x14ac:dyDescent="0.25">
      <c r="A2" s="70" t="s">
        <v>290</v>
      </c>
      <c r="B2" s="18" t="s">
        <v>1906</v>
      </c>
      <c r="C2" s="18"/>
      <c r="D2" s="18"/>
      <c r="E2" s="18"/>
      <c r="F2" s="18"/>
      <c r="G2" s="18"/>
      <c r="H2" s="18"/>
      <c r="I2" s="18"/>
      <c r="J2" s="18"/>
      <c r="K2" s="18"/>
      <c r="Q2" s="76"/>
    </row>
    <row r="3" spans="1:17" ht="11.85" customHeight="1" x14ac:dyDescent="0.25">
      <c r="A3" s="69" t="s">
        <v>291</v>
      </c>
      <c r="B3" s="18" t="s">
        <v>292</v>
      </c>
      <c r="C3" s="18"/>
      <c r="D3" s="18"/>
      <c r="E3" s="18"/>
      <c r="F3" s="18"/>
      <c r="G3" s="18"/>
      <c r="H3" s="18"/>
      <c r="I3" s="18"/>
      <c r="J3" s="18"/>
      <c r="K3" s="18"/>
      <c r="Q3" s="77"/>
    </row>
    <row r="4" spans="1:17" ht="11.85" customHeight="1" x14ac:dyDescent="0.25">
      <c r="A4" s="69" t="s">
        <v>293</v>
      </c>
      <c r="B4" s="18" t="s">
        <v>294</v>
      </c>
      <c r="C4" s="18"/>
      <c r="D4" s="18"/>
      <c r="E4" s="18"/>
      <c r="F4" s="18"/>
      <c r="G4" s="18"/>
      <c r="H4" s="18"/>
      <c r="I4" s="18"/>
      <c r="J4" s="18"/>
      <c r="K4" s="18"/>
    </row>
    <row r="5" spans="1:17" ht="11.1" customHeight="1" x14ac:dyDescent="0.25">
      <c r="A5" s="15" t="s">
        <v>1907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7" ht="11.1" customHeight="1" x14ac:dyDescent="0.25">
      <c r="A6" s="10" t="s">
        <v>184</v>
      </c>
      <c r="B6" s="10" t="s">
        <v>1908</v>
      </c>
      <c r="C6" s="10" t="s">
        <v>298</v>
      </c>
      <c r="D6" s="71" t="s">
        <v>299</v>
      </c>
      <c r="E6" s="10" t="s">
        <v>300</v>
      </c>
      <c r="F6" s="10" t="s">
        <v>184</v>
      </c>
      <c r="G6" s="71" t="s">
        <v>1909</v>
      </c>
      <c r="H6" s="10" t="s">
        <v>304</v>
      </c>
      <c r="I6" s="10" t="s">
        <v>305</v>
      </c>
      <c r="J6" s="71" t="s">
        <v>24</v>
      </c>
      <c r="K6" s="15" t="s">
        <v>306</v>
      </c>
      <c r="L6" s="71" t="s">
        <v>307</v>
      </c>
      <c r="M6" s="10" t="s">
        <v>308</v>
      </c>
      <c r="N6" s="10" t="s">
        <v>309</v>
      </c>
      <c r="O6" s="10" t="s">
        <v>73</v>
      </c>
      <c r="P6" s="15" t="s">
        <v>310</v>
      </c>
      <c r="Q6" s="10" t="s">
        <v>311</v>
      </c>
    </row>
    <row r="7" spans="1:17" ht="11.1" customHeight="1" x14ac:dyDescent="0.25">
      <c r="A7" s="57">
        <v>27521</v>
      </c>
      <c r="B7" s="72">
        <v>46126</v>
      </c>
      <c r="C7" s="59" t="s">
        <v>1910</v>
      </c>
      <c r="D7" s="50" t="s">
        <v>313</v>
      </c>
      <c r="E7" s="57">
        <v>36</v>
      </c>
      <c r="F7" s="57">
        <v>1202</v>
      </c>
      <c r="G7" s="50" t="s">
        <v>1911</v>
      </c>
      <c r="H7" s="73">
        <v>2102</v>
      </c>
      <c r="I7" s="57">
        <v>6</v>
      </c>
      <c r="J7" s="50" t="s">
        <v>50</v>
      </c>
      <c r="K7" s="63">
        <v>5590</v>
      </c>
      <c r="L7" s="50" t="s">
        <v>317</v>
      </c>
      <c r="M7" s="64">
        <v>0</v>
      </c>
      <c r="N7" s="65">
        <v>0</v>
      </c>
      <c r="O7" s="64">
        <v>0</v>
      </c>
      <c r="P7" s="63">
        <v>0</v>
      </c>
      <c r="Q7" s="64">
        <v>5590</v>
      </c>
    </row>
    <row r="8" spans="1:17" ht="11.1" customHeight="1" x14ac:dyDescent="0.25">
      <c r="A8" s="57">
        <v>27484</v>
      </c>
      <c r="B8" s="72">
        <v>46114</v>
      </c>
      <c r="C8" s="59" t="s">
        <v>1913</v>
      </c>
      <c r="D8" s="50" t="s">
        <v>1914</v>
      </c>
      <c r="E8" s="57">
        <v>36</v>
      </c>
      <c r="F8" s="57">
        <v>540</v>
      </c>
      <c r="G8" s="50" t="s">
        <v>1915</v>
      </c>
      <c r="H8" s="73">
        <v>1949</v>
      </c>
      <c r="I8" s="57">
        <v>64</v>
      </c>
      <c r="J8" s="50" t="s">
        <v>50</v>
      </c>
      <c r="K8" s="63">
        <v>6441.73</v>
      </c>
      <c r="L8" s="50" t="s">
        <v>317</v>
      </c>
      <c r="M8" s="64">
        <v>6117.65</v>
      </c>
      <c r="N8" s="65">
        <v>4</v>
      </c>
      <c r="O8" s="64">
        <v>244.7</v>
      </c>
      <c r="P8" s="63">
        <v>0</v>
      </c>
      <c r="Q8" s="64">
        <v>324.08</v>
      </c>
    </row>
    <row r="9" spans="1:17" ht="11.1" customHeight="1" x14ac:dyDescent="0.25">
      <c r="A9" s="57">
        <v>27485</v>
      </c>
      <c r="B9" s="72">
        <v>46120</v>
      </c>
      <c r="C9" s="59" t="s">
        <v>1916</v>
      </c>
      <c r="D9" s="50" t="s">
        <v>1914</v>
      </c>
      <c r="E9" s="57">
        <v>36</v>
      </c>
      <c r="F9" s="57">
        <v>540</v>
      </c>
      <c r="G9" s="50" t="s">
        <v>1915</v>
      </c>
      <c r="H9" s="73">
        <v>1949</v>
      </c>
      <c r="I9" s="57">
        <v>64</v>
      </c>
      <c r="J9" s="50" t="s">
        <v>50</v>
      </c>
      <c r="K9" s="63">
        <v>268.77999999999997</v>
      </c>
      <c r="L9" s="50" t="s">
        <v>317</v>
      </c>
      <c r="M9" s="64">
        <v>268.77999999999997</v>
      </c>
      <c r="N9" s="65">
        <v>7</v>
      </c>
      <c r="O9" s="64">
        <v>18.809999999999999</v>
      </c>
      <c r="P9" s="63">
        <v>0</v>
      </c>
      <c r="Q9" s="64">
        <v>0</v>
      </c>
    </row>
    <row r="10" spans="1:17" ht="11.1" customHeight="1" x14ac:dyDescent="0.25">
      <c r="A10" s="57">
        <v>27486</v>
      </c>
      <c r="B10" s="72">
        <v>46120</v>
      </c>
      <c r="C10" s="59" t="s">
        <v>1917</v>
      </c>
      <c r="D10" s="50" t="s">
        <v>1914</v>
      </c>
      <c r="E10" s="57">
        <v>36</v>
      </c>
      <c r="F10" s="57">
        <v>540</v>
      </c>
      <c r="G10" s="50" t="s">
        <v>1915</v>
      </c>
      <c r="H10" s="73">
        <v>1949</v>
      </c>
      <c r="I10" s="57">
        <v>64</v>
      </c>
      <c r="J10" s="50" t="s">
        <v>50</v>
      </c>
      <c r="K10" s="63">
        <v>2499.09</v>
      </c>
      <c r="L10" s="50" t="s">
        <v>317</v>
      </c>
      <c r="M10" s="64">
        <v>2420.4299999999998</v>
      </c>
      <c r="N10" s="65">
        <v>4</v>
      </c>
      <c r="O10" s="64">
        <v>96.82</v>
      </c>
      <c r="P10" s="63">
        <v>0</v>
      </c>
      <c r="Q10" s="64">
        <v>78.66</v>
      </c>
    </row>
    <row r="11" spans="1:17" ht="11.1" customHeight="1" x14ac:dyDescent="0.25">
      <c r="A11" s="57">
        <v>27487</v>
      </c>
      <c r="B11" s="72">
        <v>46120</v>
      </c>
      <c r="C11" s="59" t="s">
        <v>1918</v>
      </c>
      <c r="D11" s="50" t="s">
        <v>1914</v>
      </c>
      <c r="E11" s="57">
        <v>36</v>
      </c>
      <c r="F11" s="57">
        <v>540</v>
      </c>
      <c r="G11" s="50" t="s">
        <v>1915</v>
      </c>
      <c r="H11" s="73">
        <v>2102</v>
      </c>
      <c r="I11" s="57">
        <v>6</v>
      </c>
      <c r="J11" s="50" t="s">
        <v>50</v>
      </c>
      <c r="K11" s="63">
        <v>8314.7999999999993</v>
      </c>
      <c r="L11" s="50" t="s">
        <v>317</v>
      </c>
      <c r="M11" s="64">
        <v>8314.7999999999993</v>
      </c>
      <c r="N11" s="65">
        <v>4</v>
      </c>
      <c r="O11" s="64">
        <v>332.59</v>
      </c>
      <c r="P11" s="63">
        <v>0</v>
      </c>
      <c r="Q11" s="64">
        <v>0</v>
      </c>
    </row>
    <row r="12" spans="1:17" ht="11.1" customHeight="1" x14ac:dyDescent="0.25">
      <c r="A12" s="57">
        <v>27488</v>
      </c>
      <c r="B12" s="72">
        <v>46120</v>
      </c>
      <c r="C12" s="59" t="s">
        <v>1919</v>
      </c>
      <c r="D12" s="50" t="s">
        <v>1914</v>
      </c>
      <c r="E12" s="57">
        <v>36</v>
      </c>
      <c r="F12" s="57">
        <v>540</v>
      </c>
      <c r="G12" s="50" t="s">
        <v>1915</v>
      </c>
      <c r="H12" s="73">
        <v>2102</v>
      </c>
      <c r="I12" s="57">
        <v>6</v>
      </c>
      <c r="J12" s="50" t="s">
        <v>50</v>
      </c>
      <c r="K12" s="63">
        <v>2415.8000000000002</v>
      </c>
      <c r="L12" s="50" t="s">
        <v>317</v>
      </c>
      <c r="M12" s="64">
        <v>2415.8000000000002</v>
      </c>
      <c r="N12" s="65">
        <v>4</v>
      </c>
      <c r="O12" s="64">
        <v>96.63</v>
      </c>
      <c r="P12" s="63">
        <v>0</v>
      </c>
      <c r="Q12" s="64">
        <v>0</v>
      </c>
    </row>
    <row r="13" spans="1:17" ht="11.1" customHeight="1" x14ac:dyDescent="0.25">
      <c r="A13" s="57">
        <v>27489</v>
      </c>
      <c r="B13" s="72">
        <v>46120</v>
      </c>
      <c r="C13" s="59" t="s">
        <v>1920</v>
      </c>
      <c r="D13" s="50" t="s">
        <v>1914</v>
      </c>
      <c r="E13" s="57">
        <v>36</v>
      </c>
      <c r="F13" s="57">
        <v>540</v>
      </c>
      <c r="G13" s="50" t="s">
        <v>1915</v>
      </c>
      <c r="H13" s="73">
        <v>2102</v>
      </c>
      <c r="I13" s="57">
        <v>6</v>
      </c>
      <c r="J13" s="50" t="s">
        <v>50</v>
      </c>
      <c r="K13" s="63">
        <v>14368.63</v>
      </c>
      <c r="L13" s="50" t="s">
        <v>317</v>
      </c>
      <c r="M13" s="64">
        <v>14093.22</v>
      </c>
      <c r="N13" s="65">
        <v>7</v>
      </c>
      <c r="O13" s="64">
        <v>986.54</v>
      </c>
      <c r="P13" s="63">
        <v>0</v>
      </c>
      <c r="Q13" s="64">
        <v>275.41000000000003</v>
      </c>
    </row>
    <row r="14" spans="1:17" ht="11.1" customHeight="1" x14ac:dyDescent="0.25">
      <c r="A14" s="57">
        <v>27490</v>
      </c>
      <c r="B14" s="72">
        <v>46120</v>
      </c>
      <c r="C14" s="59" t="s">
        <v>1921</v>
      </c>
      <c r="D14" s="50" t="s">
        <v>1914</v>
      </c>
      <c r="E14" s="57">
        <v>36</v>
      </c>
      <c r="F14" s="57">
        <v>540</v>
      </c>
      <c r="G14" s="50" t="s">
        <v>1915</v>
      </c>
      <c r="H14" s="73">
        <v>2102</v>
      </c>
      <c r="I14" s="57">
        <v>6</v>
      </c>
      <c r="J14" s="50" t="s">
        <v>50</v>
      </c>
      <c r="K14" s="63">
        <v>819.2</v>
      </c>
      <c r="L14" s="50" t="s">
        <v>317</v>
      </c>
      <c r="M14" s="64">
        <v>819.2</v>
      </c>
      <c r="N14" s="65">
        <v>7</v>
      </c>
      <c r="O14" s="64">
        <v>57.34</v>
      </c>
      <c r="P14" s="63">
        <v>0</v>
      </c>
      <c r="Q14" s="64">
        <v>0</v>
      </c>
    </row>
    <row r="15" spans="1:17" ht="11.1" customHeight="1" x14ac:dyDescent="0.25">
      <c r="A15" s="57">
        <v>27491</v>
      </c>
      <c r="B15" s="72">
        <v>46122</v>
      </c>
      <c r="C15" s="59" t="s">
        <v>1922</v>
      </c>
      <c r="D15" s="50" t="s">
        <v>1914</v>
      </c>
      <c r="E15" s="57">
        <v>36</v>
      </c>
      <c r="F15" s="57">
        <v>540</v>
      </c>
      <c r="G15" s="50" t="s">
        <v>1915</v>
      </c>
      <c r="H15" s="73">
        <v>1949</v>
      </c>
      <c r="I15" s="57">
        <v>64</v>
      </c>
      <c r="J15" s="50" t="s">
        <v>50</v>
      </c>
      <c r="K15" s="63">
        <v>6930.88</v>
      </c>
      <c r="L15" s="50" t="s">
        <v>317</v>
      </c>
      <c r="M15" s="64">
        <v>6712.72</v>
      </c>
      <c r="N15" s="65">
        <v>4</v>
      </c>
      <c r="O15" s="64">
        <v>268.51</v>
      </c>
      <c r="P15" s="63">
        <v>0</v>
      </c>
      <c r="Q15" s="64">
        <v>218.16</v>
      </c>
    </row>
    <row r="16" spans="1:17" ht="11.1" customHeight="1" x14ac:dyDescent="0.25">
      <c r="A16" s="57">
        <v>27492</v>
      </c>
      <c r="B16" s="72">
        <v>46130</v>
      </c>
      <c r="C16" s="59" t="s">
        <v>1923</v>
      </c>
      <c r="D16" s="50" t="s">
        <v>1914</v>
      </c>
      <c r="E16" s="57">
        <v>36</v>
      </c>
      <c r="F16" s="57">
        <v>540</v>
      </c>
      <c r="G16" s="50" t="s">
        <v>1915</v>
      </c>
      <c r="H16" s="73">
        <v>2102</v>
      </c>
      <c r="I16" s="57">
        <v>6</v>
      </c>
      <c r="J16" s="50" t="s">
        <v>50</v>
      </c>
      <c r="K16" s="63">
        <v>8784</v>
      </c>
      <c r="L16" s="50" t="s">
        <v>317</v>
      </c>
      <c r="M16" s="64">
        <v>8784</v>
      </c>
      <c r="N16" s="65">
        <v>4</v>
      </c>
      <c r="O16" s="64">
        <v>351.36</v>
      </c>
      <c r="P16" s="63">
        <v>0</v>
      </c>
      <c r="Q16" s="64">
        <v>0</v>
      </c>
    </row>
    <row r="17" spans="1:17" ht="11.1" customHeight="1" x14ac:dyDescent="0.25">
      <c r="A17" s="57">
        <v>27493</v>
      </c>
      <c r="B17" s="72">
        <v>46130</v>
      </c>
      <c r="C17" s="59" t="s">
        <v>1924</v>
      </c>
      <c r="D17" s="50" t="s">
        <v>1914</v>
      </c>
      <c r="E17" s="57">
        <v>36</v>
      </c>
      <c r="F17" s="57">
        <v>540</v>
      </c>
      <c r="G17" s="50" t="s">
        <v>1915</v>
      </c>
      <c r="H17" s="73">
        <v>2102</v>
      </c>
      <c r="I17" s="57">
        <v>6</v>
      </c>
      <c r="J17" s="50" t="s">
        <v>50</v>
      </c>
      <c r="K17" s="63">
        <v>3294</v>
      </c>
      <c r="L17" s="50" t="s">
        <v>317</v>
      </c>
      <c r="M17" s="64">
        <v>3294</v>
      </c>
      <c r="N17" s="65">
        <v>4</v>
      </c>
      <c r="O17" s="64">
        <v>131.76</v>
      </c>
      <c r="P17" s="63">
        <v>0</v>
      </c>
      <c r="Q17" s="64">
        <v>0</v>
      </c>
    </row>
    <row r="18" spans="1:17" ht="11.1" customHeight="1" x14ac:dyDescent="0.25">
      <c r="A18" s="57">
        <v>27494</v>
      </c>
      <c r="B18" s="72">
        <v>46130</v>
      </c>
      <c r="C18" s="59" t="s">
        <v>1925</v>
      </c>
      <c r="D18" s="50" t="s">
        <v>1914</v>
      </c>
      <c r="E18" s="57">
        <v>36</v>
      </c>
      <c r="F18" s="57">
        <v>540</v>
      </c>
      <c r="G18" s="50" t="s">
        <v>1915</v>
      </c>
      <c r="H18" s="73">
        <v>1949</v>
      </c>
      <c r="I18" s="57">
        <v>64</v>
      </c>
      <c r="J18" s="50" t="s">
        <v>50</v>
      </c>
      <c r="K18" s="63">
        <v>248.52</v>
      </c>
      <c r="L18" s="50" t="s">
        <v>317</v>
      </c>
      <c r="M18" s="64">
        <v>216.1</v>
      </c>
      <c r="N18" s="65">
        <v>4</v>
      </c>
      <c r="O18" s="64">
        <v>8.64</v>
      </c>
      <c r="P18" s="63">
        <v>0</v>
      </c>
      <c r="Q18" s="64">
        <v>32.42</v>
      </c>
    </row>
    <row r="19" spans="1:17" ht="11.1" customHeight="1" x14ac:dyDescent="0.25">
      <c r="A19" s="57">
        <v>27495</v>
      </c>
      <c r="B19" s="72">
        <v>46130</v>
      </c>
      <c r="C19" s="59" t="s">
        <v>1926</v>
      </c>
      <c r="D19" s="50" t="s">
        <v>1914</v>
      </c>
      <c r="E19" s="57">
        <v>36</v>
      </c>
      <c r="F19" s="57">
        <v>540</v>
      </c>
      <c r="G19" s="50" t="s">
        <v>1915</v>
      </c>
      <c r="H19" s="73">
        <v>1949</v>
      </c>
      <c r="I19" s="57">
        <v>64</v>
      </c>
      <c r="J19" s="50" t="s">
        <v>50</v>
      </c>
      <c r="K19" s="63">
        <v>126.12</v>
      </c>
      <c r="L19" s="50" t="s">
        <v>317</v>
      </c>
      <c r="M19" s="64">
        <v>122.15</v>
      </c>
      <c r="N19" s="65">
        <v>4</v>
      </c>
      <c r="O19" s="64">
        <v>4.8899999999999997</v>
      </c>
      <c r="P19" s="63">
        <v>0</v>
      </c>
      <c r="Q19" s="64">
        <v>3.97</v>
      </c>
    </row>
    <row r="20" spans="1:17" ht="11.1" customHeight="1" x14ac:dyDescent="0.25">
      <c r="A20" s="57">
        <v>27496</v>
      </c>
      <c r="B20" s="72">
        <v>46130</v>
      </c>
      <c r="C20" s="59" t="s">
        <v>1927</v>
      </c>
      <c r="D20" s="50" t="s">
        <v>1914</v>
      </c>
      <c r="E20" s="57">
        <v>36</v>
      </c>
      <c r="F20" s="57">
        <v>540</v>
      </c>
      <c r="G20" s="50" t="s">
        <v>1915</v>
      </c>
      <c r="H20" s="73">
        <v>1949</v>
      </c>
      <c r="I20" s="57">
        <v>64</v>
      </c>
      <c r="J20" s="50" t="s">
        <v>50</v>
      </c>
      <c r="K20" s="63">
        <v>3467.99</v>
      </c>
      <c r="L20" s="50" t="s">
        <v>317</v>
      </c>
      <c r="M20" s="64">
        <v>3358.83</v>
      </c>
      <c r="N20" s="65">
        <v>4</v>
      </c>
      <c r="O20" s="64">
        <v>134.35</v>
      </c>
      <c r="P20" s="63">
        <v>0</v>
      </c>
      <c r="Q20" s="64">
        <v>109.16</v>
      </c>
    </row>
    <row r="21" spans="1:17" ht="11.1" customHeight="1" x14ac:dyDescent="0.25">
      <c r="A21" s="57">
        <v>27497</v>
      </c>
      <c r="B21" s="72">
        <v>46130</v>
      </c>
      <c r="C21" s="59" t="s">
        <v>1928</v>
      </c>
      <c r="D21" s="50" t="s">
        <v>1914</v>
      </c>
      <c r="E21" s="57">
        <v>36</v>
      </c>
      <c r="F21" s="57">
        <v>540</v>
      </c>
      <c r="G21" s="50" t="s">
        <v>1915</v>
      </c>
      <c r="H21" s="73">
        <v>1949</v>
      </c>
      <c r="I21" s="57">
        <v>64</v>
      </c>
      <c r="J21" s="50" t="s">
        <v>50</v>
      </c>
      <c r="K21" s="63">
        <v>1732.72</v>
      </c>
      <c r="L21" s="50" t="s">
        <v>317</v>
      </c>
      <c r="M21" s="64">
        <v>1678.18</v>
      </c>
      <c r="N21" s="65">
        <v>4</v>
      </c>
      <c r="O21" s="64">
        <v>67.13</v>
      </c>
      <c r="P21" s="63">
        <v>0</v>
      </c>
      <c r="Q21" s="64">
        <v>54.54</v>
      </c>
    </row>
    <row r="22" spans="1:17" ht="11.1" customHeight="1" x14ac:dyDescent="0.25">
      <c r="A22" s="57">
        <v>27498</v>
      </c>
      <c r="B22" s="72">
        <v>46134</v>
      </c>
      <c r="C22" s="59" t="s">
        <v>1929</v>
      </c>
      <c r="D22" s="50" t="s">
        <v>1914</v>
      </c>
      <c r="E22" s="57">
        <v>36</v>
      </c>
      <c r="F22" s="57">
        <v>540</v>
      </c>
      <c r="G22" s="50" t="s">
        <v>1915</v>
      </c>
      <c r="H22" s="73">
        <v>2102</v>
      </c>
      <c r="I22" s="57">
        <v>6</v>
      </c>
      <c r="J22" s="50" t="s">
        <v>50</v>
      </c>
      <c r="K22" s="63">
        <v>174.54</v>
      </c>
      <c r="L22" s="50" t="s">
        <v>317</v>
      </c>
      <c r="M22" s="64">
        <v>174.54</v>
      </c>
      <c r="N22" s="65">
        <v>7</v>
      </c>
      <c r="O22" s="64">
        <v>12.22</v>
      </c>
      <c r="P22" s="63">
        <v>0</v>
      </c>
      <c r="Q22" s="64">
        <v>0</v>
      </c>
    </row>
    <row r="23" spans="1:17" ht="11.1" customHeight="1" x14ac:dyDescent="0.25">
      <c r="A23" s="57">
        <v>27499</v>
      </c>
      <c r="B23" s="72">
        <v>46134</v>
      </c>
      <c r="C23" s="59" t="s">
        <v>1930</v>
      </c>
      <c r="D23" s="50" t="s">
        <v>1914</v>
      </c>
      <c r="E23" s="57">
        <v>36</v>
      </c>
      <c r="F23" s="57">
        <v>540</v>
      </c>
      <c r="G23" s="50" t="s">
        <v>1915</v>
      </c>
      <c r="H23" s="73">
        <v>2102</v>
      </c>
      <c r="I23" s="57">
        <v>6</v>
      </c>
      <c r="J23" s="50" t="s">
        <v>50</v>
      </c>
      <c r="K23" s="63">
        <v>2196</v>
      </c>
      <c r="L23" s="50" t="s">
        <v>317</v>
      </c>
      <c r="M23" s="64">
        <v>2196</v>
      </c>
      <c r="N23" s="65">
        <v>4</v>
      </c>
      <c r="O23" s="64">
        <v>87.84</v>
      </c>
      <c r="P23" s="63">
        <v>0</v>
      </c>
      <c r="Q23" s="64">
        <v>0</v>
      </c>
    </row>
    <row r="24" spans="1:17" ht="11.1" customHeight="1" x14ac:dyDescent="0.25">
      <c r="A24" s="57">
        <v>27500</v>
      </c>
      <c r="B24" s="72">
        <v>46134</v>
      </c>
      <c r="C24" s="59" t="s">
        <v>1931</v>
      </c>
      <c r="D24" s="50" t="s">
        <v>1914</v>
      </c>
      <c r="E24" s="57">
        <v>36</v>
      </c>
      <c r="F24" s="57">
        <v>540</v>
      </c>
      <c r="G24" s="50" t="s">
        <v>1915</v>
      </c>
      <c r="H24" s="73">
        <v>1949</v>
      </c>
      <c r="I24" s="57">
        <v>64</v>
      </c>
      <c r="J24" s="50" t="s">
        <v>50</v>
      </c>
      <c r="K24" s="63">
        <v>630.58000000000004</v>
      </c>
      <c r="L24" s="50" t="s">
        <v>317</v>
      </c>
      <c r="M24" s="64">
        <v>610.73</v>
      </c>
      <c r="N24" s="65">
        <v>4</v>
      </c>
      <c r="O24" s="64">
        <v>24.43</v>
      </c>
      <c r="P24" s="63">
        <v>0</v>
      </c>
      <c r="Q24" s="64">
        <v>19.850000000000001</v>
      </c>
    </row>
    <row r="25" spans="1:17" ht="11.1" customHeight="1" x14ac:dyDescent="0.25">
      <c r="A25" s="57">
        <v>27501</v>
      </c>
      <c r="B25" s="72">
        <v>46134</v>
      </c>
      <c r="C25" s="59" t="s">
        <v>1932</v>
      </c>
      <c r="D25" s="50" t="s">
        <v>1914</v>
      </c>
      <c r="E25" s="57">
        <v>36</v>
      </c>
      <c r="F25" s="57">
        <v>540</v>
      </c>
      <c r="G25" s="50" t="s">
        <v>1915</v>
      </c>
      <c r="H25" s="73">
        <v>2102</v>
      </c>
      <c r="I25" s="57">
        <v>6</v>
      </c>
      <c r="J25" s="50" t="s">
        <v>50</v>
      </c>
      <c r="K25" s="63">
        <v>5833.25</v>
      </c>
      <c r="L25" s="50" t="s">
        <v>317</v>
      </c>
      <c r="M25" s="64">
        <v>5728.66</v>
      </c>
      <c r="N25" s="65">
        <v>4</v>
      </c>
      <c r="O25" s="64">
        <v>229.15</v>
      </c>
      <c r="P25" s="63">
        <v>0</v>
      </c>
      <c r="Q25" s="64">
        <v>104.59</v>
      </c>
    </row>
    <row r="26" spans="1:17" ht="11.1" customHeight="1" x14ac:dyDescent="0.25">
      <c r="A26" s="57">
        <v>27502</v>
      </c>
      <c r="B26" s="72">
        <v>46134</v>
      </c>
      <c r="C26" s="59" t="s">
        <v>1933</v>
      </c>
      <c r="D26" s="50" t="s">
        <v>1914</v>
      </c>
      <c r="E26" s="57">
        <v>36</v>
      </c>
      <c r="F26" s="57">
        <v>540</v>
      </c>
      <c r="G26" s="50" t="s">
        <v>1915</v>
      </c>
      <c r="H26" s="73">
        <v>2102</v>
      </c>
      <c r="I26" s="57">
        <v>6</v>
      </c>
      <c r="J26" s="50" t="s">
        <v>50</v>
      </c>
      <c r="K26" s="63">
        <v>7520</v>
      </c>
      <c r="L26" s="50" t="s">
        <v>317</v>
      </c>
      <c r="M26" s="64">
        <v>7520</v>
      </c>
      <c r="N26" s="65">
        <v>4</v>
      </c>
      <c r="O26" s="64">
        <v>300.8</v>
      </c>
      <c r="P26" s="63">
        <v>0</v>
      </c>
      <c r="Q26" s="64">
        <v>0</v>
      </c>
    </row>
    <row r="27" spans="1:17" ht="11.1" customHeight="1" x14ac:dyDescent="0.25">
      <c r="A27" s="57">
        <v>27503</v>
      </c>
      <c r="B27" s="72">
        <v>46134</v>
      </c>
      <c r="C27" s="59" t="s">
        <v>1934</v>
      </c>
      <c r="D27" s="50" t="s">
        <v>1914</v>
      </c>
      <c r="E27" s="57">
        <v>36</v>
      </c>
      <c r="F27" s="57">
        <v>540</v>
      </c>
      <c r="G27" s="50" t="s">
        <v>1915</v>
      </c>
      <c r="H27" s="73">
        <v>2102</v>
      </c>
      <c r="I27" s="57">
        <v>6</v>
      </c>
      <c r="J27" s="50" t="s">
        <v>50</v>
      </c>
      <c r="K27" s="63">
        <v>9188.4599999999991</v>
      </c>
      <c r="L27" s="50" t="s">
        <v>317</v>
      </c>
      <c r="M27" s="64">
        <v>8488.9599999999991</v>
      </c>
      <c r="N27" s="65">
        <v>4</v>
      </c>
      <c r="O27" s="64">
        <v>339.55</v>
      </c>
      <c r="P27" s="63">
        <v>0</v>
      </c>
      <c r="Q27" s="64">
        <v>699.5</v>
      </c>
    </row>
    <row r="28" spans="1:17" ht="11.1" customHeight="1" x14ac:dyDescent="0.25">
      <c r="A28" s="57">
        <v>27504</v>
      </c>
      <c r="B28" s="72">
        <v>46134</v>
      </c>
      <c r="C28" s="59" t="s">
        <v>1935</v>
      </c>
      <c r="D28" s="50" t="s">
        <v>1914</v>
      </c>
      <c r="E28" s="57">
        <v>36</v>
      </c>
      <c r="F28" s="57">
        <v>540</v>
      </c>
      <c r="G28" s="50" t="s">
        <v>1915</v>
      </c>
      <c r="H28" s="73">
        <v>2102</v>
      </c>
      <c r="I28" s="57">
        <v>6</v>
      </c>
      <c r="J28" s="50" t="s">
        <v>50</v>
      </c>
      <c r="K28" s="63">
        <v>5606.46</v>
      </c>
      <c r="L28" s="50" t="s">
        <v>317</v>
      </c>
      <c r="M28" s="64">
        <v>5591.8</v>
      </c>
      <c r="N28" s="65">
        <v>7</v>
      </c>
      <c r="O28" s="64">
        <v>391.43</v>
      </c>
      <c r="P28" s="63">
        <v>0</v>
      </c>
      <c r="Q28" s="64">
        <v>14.66</v>
      </c>
    </row>
    <row r="29" spans="1:17" ht="11.1" customHeight="1" x14ac:dyDescent="0.25">
      <c r="A29" s="57">
        <v>27505</v>
      </c>
      <c r="B29" s="72">
        <v>46134</v>
      </c>
      <c r="C29" s="59" t="s">
        <v>1936</v>
      </c>
      <c r="D29" s="50" t="s">
        <v>1914</v>
      </c>
      <c r="E29" s="57">
        <v>36</v>
      </c>
      <c r="F29" s="57">
        <v>540</v>
      </c>
      <c r="G29" s="50" t="s">
        <v>1915</v>
      </c>
      <c r="H29" s="73">
        <v>2102</v>
      </c>
      <c r="I29" s="57">
        <v>6</v>
      </c>
      <c r="J29" s="50" t="s">
        <v>50</v>
      </c>
      <c r="K29" s="63">
        <v>22118.52</v>
      </c>
      <c r="L29" s="50" t="s">
        <v>317</v>
      </c>
      <c r="M29" s="64">
        <v>21471.84</v>
      </c>
      <c r="N29" s="65">
        <v>7</v>
      </c>
      <c r="O29" s="64">
        <v>1503.03</v>
      </c>
      <c r="P29" s="63">
        <v>0</v>
      </c>
      <c r="Q29" s="64">
        <v>646.67999999999995</v>
      </c>
    </row>
    <row r="30" spans="1:17" ht="11.1" customHeight="1" x14ac:dyDescent="0.25">
      <c r="A30" s="57">
        <v>27506</v>
      </c>
      <c r="B30" s="72">
        <v>46134</v>
      </c>
      <c r="C30" s="59" t="s">
        <v>1937</v>
      </c>
      <c r="D30" s="50" t="s">
        <v>1914</v>
      </c>
      <c r="E30" s="57">
        <v>36</v>
      </c>
      <c r="F30" s="57">
        <v>540</v>
      </c>
      <c r="G30" s="50" t="s">
        <v>1915</v>
      </c>
      <c r="H30" s="73">
        <v>2102</v>
      </c>
      <c r="I30" s="57">
        <v>6</v>
      </c>
      <c r="J30" s="50" t="s">
        <v>50</v>
      </c>
      <c r="K30" s="63">
        <v>3066.84</v>
      </c>
      <c r="L30" s="50" t="s">
        <v>317</v>
      </c>
      <c r="M30" s="64">
        <v>3066.84</v>
      </c>
      <c r="N30" s="65">
        <v>7</v>
      </c>
      <c r="O30" s="64">
        <v>214.67</v>
      </c>
      <c r="P30" s="63">
        <v>0</v>
      </c>
      <c r="Q30" s="64">
        <v>0</v>
      </c>
    </row>
    <row r="31" spans="1:17" ht="11.1" customHeight="1" x14ac:dyDescent="0.25">
      <c r="A31" s="57">
        <v>27507</v>
      </c>
      <c r="B31" s="72">
        <v>46134</v>
      </c>
      <c r="C31" s="59" t="s">
        <v>1938</v>
      </c>
      <c r="D31" s="50" t="s">
        <v>1914</v>
      </c>
      <c r="E31" s="57">
        <v>36</v>
      </c>
      <c r="F31" s="57">
        <v>540</v>
      </c>
      <c r="G31" s="50" t="s">
        <v>1915</v>
      </c>
      <c r="H31" s="73">
        <v>2102</v>
      </c>
      <c r="I31" s="57">
        <v>6</v>
      </c>
      <c r="J31" s="50" t="s">
        <v>50</v>
      </c>
      <c r="K31" s="63">
        <v>2693.52</v>
      </c>
      <c r="L31" s="50" t="s">
        <v>317</v>
      </c>
      <c r="M31" s="64">
        <v>2693.52</v>
      </c>
      <c r="N31" s="65">
        <v>7</v>
      </c>
      <c r="O31" s="64">
        <v>188.55</v>
      </c>
      <c r="P31" s="63">
        <v>0</v>
      </c>
      <c r="Q31" s="64">
        <v>0</v>
      </c>
    </row>
    <row r="32" spans="1:17" ht="11.1" customHeight="1" x14ac:dyDescent="0.25">
      <c r="A32" s="57">
        <v>27508</v>
      </c>
      <c r="B32" s="72">
        <v>46134</v>
      </c>
      <c r="C32" s="59" t="s">
        <v>1939</v>
      </c>
      <c r="D32" s="50" t="s">
        <v>1914</v>
      </c>
      <c r="E32" s="57">
        <v>36</v>
      </c>
      <c r="F32" s="57">
        <v>540</v>
      </c>
      <c r="G32" s="50" t="s">
        <v>1915</v>
      </c>
      <c r="H32" s="73">
        <v>2102</v>
      </c>
      <c r="I32" s="57">
        <v>6</v>
      </c>
      <c r="J32" s="50" t="s">
        <v>50</v>
      </c>
      <c r="K32" s="63">
        <v>1118.52</v>
      </c>
      <c r="L32" s="50" t="s">
        <v>317</v>
      </c>
      <c r="M32" s="64">
        <v>1067.1600000000001</v>
      </c>
      <c r="N32" s="65">
        <v>7</v>
      </c>
      <c r="O32" s="64">
        <v>74.7</v>
      </c>
      <c r="P32" s="63">
        <v>0</v>
      </c>
      <c r="Q32" s="64">
        <v>51.36</v>
      </c>
    </row>
    <row r="33" spans="1:17" ht="11.1" customHeight="1" x14ac:dyDescent="0.25">
      <c r="A33" s="57">
        <v>27509</v>
      </c>
      <c r="B33" s="72">
        <v>46134</v>
      </c>
      <c r="C33" s="59" t="s">
        <v>1940</v>
      </c>
      <c r="D33" s="50" t="s">
        <v>1914</v>
      </c>
      <c r="E33" s="57">
        <v>36</v>
      </c>
      <c r="F33" s="57">
        <v>540</v>
      </c>
      <c r="G33" s="50" t="s">
        <v>1915</v>
      </c>
      <c r="H33" s="73">
        <v>2102</v>
      </c>
      <c r="I33" s="57">
        <v>6</v>
      </c>
      <c r="J33" s="50" t="s">
        <v>50</v>
      </c>
      <c r="K33" s="63">
        <v>1858.59</v>
      </c>
      <c r="L33" s="50" t="s">
        <v>317</v>
      </c>
      <c r="M33" s="64">
        <v>1745.16</v>
      </c>
      <c r="N33" s="65">
        <v>7</v>
      </c>
      <c r="O33" s="64">
        <v>122.17</v>
      </c>
      <c r="P33" s="63">
        <v>0</v>
      </c>
      <c r="Q33" s="64">
        <v>113.43</v>
      </c>
    </row>
    <row r="34" spans="1:17" ht="11.1" customHeight="1" x14ac:dyDescent="0.25">
      <c r="A34" s="57">
        <v>27510</v>
      </c>
      <c r="B34" s="72">
        <v>46137</v>
      </c>
      <c r="C34" s="59" t="s">
        <v>1941</v>
      </c>
      <c r="D34" s="50" t="s">
        <v>1914</v>
      </c>
      <c r="E34" s="57">
        <v>36</v>
      </c>
      <c r="F34" s="57">
        <v>540</v>
      </c>
      <c r="G34" s="50" t="s">
        <v>1915</v>
      </c>
      <c r="H34" s="73">
        <v>2102</v>
      </c>
      <c r="I34" s="57">
        <v>6</v>
      </c>
      <c r="J34" s="50" t="s">
        <v>50</v>
      </c>
      <c r="K34" s="63">
        <v>444.12</v>
      </c>
      <c r="L34" s="50" t="s">
        <v>317</v>
      </c>
      <c r="M34" s="64">
        <v>444.12</v>
      </c>
      <c r="N34" s="65">
        <v>4</v>
      </c>
      <c r="O34" s="64">
        <v>17.760000000000002</v>
      </c>
      <c r="P34" s="63">
        <v>0</v>
      </c>
      <c r="Q34" s="64">
        <v>0</v>
      </c>
    </row>
    <row r="35" spans="1:17" ht="11.1" customHeight="1" x14ac:dyDescent="0.25">
      <c r="A35" s="57">
        <v>27511</v>
      </c>
      <c r="B35" s="72">
        <v>46137</v>
      </c>
      <c r="C35" s="59" t="s">
        <v>1942</v>
      </c>
      <c r="D35" s="50" t="s">
        <v>1914</v>
      </c>
      <c r="E35" s="57">
        <v>36</v>
      </c>
      <c r="F35" s="57">
        <v>540</v>
      </c>
      <c r="G35" s="50" t="s">
        <v>1915</v>
      </c>
      <c r="H35" s="73">
        <v>2102</v>
      </c>
      <c r="I35" s="57">
        <v>6</v>
      </c>
      <c r="J35" s="50" t="s">
        <v>50</v>
      </c>
      <c r="K35" s="63">
        <v>4470</v>
      </c>
      <c r="L35" s="50" t="s">
        <v>317</v>
      </c>
      <c r="M35" s="64">
        <v>4470</v>
      </c>
      <c r="N35" s="65">
        <v>4</v>
      </c>
      <c r="O35" s="64">
        <v>178.8</v>
      </c>
      <c r="P35" s="63">
        <v>0</v>
      </c>
      <c r="Q35" s="64">
        <v>0</v>
      </c>
    </row>
    <row r="36" spans="1:17" ht="11.1" customHeight="1" x14ac:dyDescent="0.25">
      <c r="A36" s="57">
        <v>27512</v>
      </c>
      <c r="B36" s="72">
        <v>46137</v>
      </c>
      <c r="C36" s="59" t="s">
        <v>1943</v>
      </c>
      <c r="D36" s="50" t="s">
        <v>1914</v>
      </c>
      <c r="E36" s="57">
        <v>36</v>
      </c>
      <c r="F36" s="57">
        <v>540</v>
      </c>
      <c r="G36" s="50" t="s">
        <v>1915</v>
      </c>
      <c r="H36" s="73">
        <v>2102</v>
      </c>
      <c r="I36" s="57">
        <v>6</v>
      </c>
      <c r="J36" s="50" t="s">
        <v>50</v>
      </c>
      <c r="K36" s="63">
        <v>1843.21</v>
      </c>
      <c r="L36" s="50" t="s">
        <v>317</v>
      </c>
      <c r="M36" s="64">
        <v>1788.28</v>
      </c>
      <c r="N36" s="65">
        <v>4</v>
      </c>
      <c r="O36" s="64">
        <v>71.540000000000006</v>
      </c>
      <c r="P36" s="63">
        <v>0</v>
      </c>
      <c r="Q36" s="64">
        <v>54.93</v>
      </c>
    </row>
    <row r="37" spans="1:17" ht="11.1" customHeight="1" x14ac:dyDescent="0.25">
      <c r="A37" s="57">
        <v>27513</v>
      </c>
      <c r="B37" s="72">
        <v>46141</v>
      </c>
      <c r="C37" s="59" t="s">
        <v>1944</v>
      </c>
      <c r="D37" s="50" t="s">
        <v>1914</v>
      </c>
      <c r="E37" s="57">
        <v>36</v>
      </c>
      <c r="F37" s="57">
        <v>540</v>
      </c>
      <c r="G37" s="50" t="s">
        <v>1915</v>
      </c>
      <c r="H37" s="73">
        <v>2102</v>
      </c>
      <c r="I37" s="57">
        <v>6</v>
      </c>
      <c r="J37" s="50" t="s">
        <v>50</v>
      </c>
      <c r="K37" s="63">
        <v>7520</v>
      </c>
      <c r="L37" s="50" t="s">
        <v>317</v>
      </c>
      <c r="M37" s="64">
        <v>7520</v>
      </c>
      <c r="N37" s="65">
        <v>4</v>
      </c>
      <c r="O37" s="64">
        <v>300.8</v>
      </c>
      <c r="P37" s="63">
        <v>0</v>
      </c>
      <c r="Q37" s="64">
        <v>0</v>
      </c>
    </row>
    <row r="38" spans="1:17" ht="11.1" customHeight="1" x14ac:dyDescent="0.25">
      <c r="A38" s="57">
        <v>27514</v>
      </c>
      <c r="B38" s="72">
        <v>46141</v>
      </c>
      <c r="C38" s="59" t="s">
        <v>1945</v>
      </c>
      <c r="D38" s="50" t="s">
        <v>1914</v>
      </c>
      <c r="E38" s="57">
        <v>36</v>
      </c>
      <c r="F38" s="57">
        <v>540</v>
      </c>
      <c r="G38" s="50" t="s">
        <v>1915</v>
      </c>
      <c r="H38" s="73">
        <v>2102</v>
      </c>
      <c r="I38" s="57">
        <v>6</v>
      </c>
      <c r="J38" s="50" t="s">
        <v>50</v>
      </c>
      <c r="K38" s="63">
        <v>6460.54</v>
      </c>
      <c r="L38" s="50" t="s">
        <v>317</v>
      </c>
      <c r="M38" s="64">
        <v>6460.54</v>
      </c>
      <c r="N38" s="65">
        <v>7</v>
      </c>
      <c r="O38" s="64">
        <v>452.23</v>
      </c>
      <c r="P38" s="63">
        <v>0</v>
      </c>
      <c r="Q38" s="64">
        <v>0</v>
      </c>
    </row>
    <row r="39" spans="1:17" ht="11.1" customHeight="1" x14ac:dyDescent="0.25">
      <c r="A39" s="57">
        <v>27515</v>
      </c>
      <c r="B39" s="72">
        <v>46141</v>
      </c>
      <c r="C39" s="59" t="s">
        <v>1946</v>
      </c>
      <c r="D39" s="50" t="s">
        <v>1914</v>
      </c>
      <c r="E39" s="57">
        <v>36</v>
      </c>
      <c r="F39" s="57">
        <v>540</v>
      </c>
      <c r="G39" s="50" t="s">
        <v>1915</v>
      </c>
      <c r="H39" s="73">
        <v>1949</v>
      </c>
      <c r="I39" s="57">
        <v>64</v>
      </c>
      <c r="J39" s="50" t="s">
        <v>50</v>
      </c>
      <c r="K39" s="63">
        <v>3805.64</v>
      </c>
      <c r="L39" s="50" t="s">
        <v>317</v>
      </c>
      <c r="M39" s="64">
        <v>3679.74</v>
      </c>
      <c r="N39" s="65">
        <v>4</v>
      </c>
      <c r="O39" s="64">
        <v>147.19</v>
      </c>
      <c r="P39" s="63">
        <v>0</v>
      </c>
      <c r="Q39" s="64">
        <v>125.9</v>
      </c>
    </row>
    <row r="40" spans="1:17" ht="11.1" customHeight="1" x14ac:dyDescent="0.25">
      <c r="A40" s="57">
        <v>27516</v>
      </c>
      <c r="B40" s="72">
        <v>46141</v>
      </c>
      <c r="C40" s="59" t="s">
        <v>1947</v>
      </c>
      <c r="D40" s="50" t="s">
        <v>1914</v>
      </c>
      <c r="E40" s="57">
        <v>36</v>
      </c>
      <c r="F40" s="57">
        <v>540</v>
      </c>
      <c r="G40" s="50" t="s">
        <v>1915</v>
      </c>
      <c r="H40" s="73">
        <v>1949</v>
      </c>
      <c r="I40" s="57">
        <v>64</v>
      </c>
      <c r="J40" s="50" t="s">
        <v>50</v>
      </c>
      <c r="K40" s="63">
        <v>866.36</v>
      </c>
      <c r="L40" s="50" t="s">
        <v>317</v>
      </c>
      <c r="M40" s="64">
        <v>839.09</v>
      </c>
      <c r="N40" s="65">
        <v>4</v>
      </c>
      <c r="O40" s="64">
        <v>33.56</v>
      </c>
      <c r="P40" s="63">
        <v>0</v>
      </c>
      <c r="Q40" s="64">
        <v>27.27</v>
      </c>
    </row>
    <row r="41" spans="1:17" ht="11.1" customHeight="1" x14ac:dyDescent="0.25">
      <c r="A41" s="57">
        <v>27517</v>
      </c>
      <c r="B41" s="72">
        <v>46141</v>
      </c>
      <c r="C41" s="59" t="s">
        <v>1948</v>
      </c>
      <c r="D41" s="50" t="s">
        <v>1949</v>
      </c>
      <c r="E41" s="57">
        <v>36</v>
      </c>
      <c r="F41" s="57">
        <v>1150</v>
      </c>
      <c r="G41" s="50" t="s">
        <v>1915</v>
      </c>
      <c r="H41" s="73">
        <v>2102</v>
      </c>
      <c r="I41" s="57">
        <v>6</v>
      </c>
      <c r="J41" s="50" t="s">
        <v>50</v>
      </c>
      <c r="K41" s="63">
        <v>3576.89</v>
      </c>
      <c r="L41" s="50" t="s">
        <v>317</v>
      </c>
      <c r="M41" s="64">
        <v>3576.89</v>
      </c>
      <c r="N41" s="65">
        <v>7</v>
      </c>
      <c r="O41" s="64">
        <v>250.38</v>
      </c>
      <c r="P41" s="63">
        <v>0</v>
      </c>
      <c r="Q41" s="64">
        <v>0</v>
      </c>
    </row>
    <row r="42" spans="1:17" ht="11.1" customHeight="1" x14ac:dyDescent="0.25">
      <c r="A42" s="57">
        <v>28968</v>
      </c>
      <c r="B42" s="72">
        <v>46122</v>
      </c>
      <c r="C42" s="59" t="s">
        <v>1950</v>
      </c>
      <c r="D42" s="50" t="s">
        <v>75</v>
      </c>
      <c r="E42" s="57">
        <v>39</v>
      </c>
      <c r="F42" s="57">
        <v>1286</v>
      </c>
      <c r="G42" s="50" t="s">
        <v>1951</v>
      </c>
      <c r="H42" s="73">
        <v>1933</v>
      </c>
      <c r="I42" s="57">
        <v>29</v>
      </c>
      <c r="J42" s="50" t="s">
        <v>26</v>
      </c>
      <c r="K42" s="63">
        <v>8000</v>
      </c>
      <c r="L42" s="50" t="s">
        <v>75</v>
      </c>
      <c r="M42" s="64">
        <v>0</v>
      </c>
      <c r="N42" s="65">
        <v>0</v>
      </c>
      <c r="O42" s="64">
        <v>0</v>
      </c>
      <c r="P42" s="63">
        <v>0</v>
      </c>
      <c r="Q42" s="64">
        <v>0</v>
      </c>
    </row>
    <row r="43" spans="1:17" ht="11.1" customHeight="1" x14ac:dyDescent="0.25">
      <c r="A43" s="15" t="s">
        <v>1912</v>
      </c>
      <c r="B43" s="15"/>
      <c r="C43" s="15"/>
      <c r="D43" s="15"/>
      <c r="E43" s="15"/>
      <c r="F43" s="15"/>
      <c r="G43" s="15"/>
      <c r="H43" s="15"/>
      <c r="I43" s="15"/>
    </row>
    <row r="44" spans="1:17" ht="11.1" customHeight="1" x14ac:dyDescent="0.25">
      <c r="K44" s="63">
        <v>8000</v>
      </c>
      <c r="L44" s="50" t="s">
        <v>75</v>
      </c>
      <c r="M44" s="64">
        <v>0</v>
      </c>
      <c r="O44" s="64">
        <v>0</v>
      </c>
      <c r="P44" s="63">
        <v>0</v>
      </c>
      <c r="Q44" s="64">
        <v>0</v>
      </c>
    </row>
    <row r="45" spans="1:17" ht="11.1" customHeight="1" x14ac:dyDescent="0.25">
      <c r="A45" s="57">
        <v>28510</v>
      </c>
      <c r="B45" s="72">
        <v>46125</v>
      </c>
      <c r="C45" s="59" t="s">
        <v>1952</v>
      </c>
      <c r="D45" s="50" t="s">
        <v>75</v>
      </c>
      <c r="E45" s="57">
        <v>39</v>
      </c>
      <c r="F45" s="57">
        <v>1251</v>
      </c>
      <c r="G45" s="50" t="s">
        <v>1953</v>
      </c>
      <c r="H45" s="73">
        <v>2933</v>
      </c>
      <c r="I45" s="57">
        <v>29</v>
      </c>
      <c r="J45" s="50" t="s">
        <v>34</v>
      </c>
      <c r="K45" s="63">
        <v>3320</v>
      </c>
      <c r="L45" s="50" t="s">
        <v>75</v>
      </c>
      <c r="M45" s="64">
        <v>0</v>
      </c>
      <c r="N45" s="65">
        <v>0</v>
      </c>
      <c r="O45" s="64">
        <v>0</v>
      </c>
      <c r="P45" s="63">
        <v>0</v>
      </c>
      <c r="Q45" s="64">
        <v>0</v>
      </c>
    </row>
    <row r="46" spans="1:17" ht="11.1" customHeight="1" x14ac:dyDescent="0.25">
      <c r="A46" s="15" t="s">
        <v>1912</v>
      </c>
      <c r="B46" s="15"/>
      <c r="C46" s="15"/>
      <c r="D46" s="15"/>
      <c r="E46" s="15"/>
      <c r="F46" s="15"/>
      <c r="G46" s="15"/>
      <c r="H46" s="15"/>
      <c r="I46" s="15"/>
    </row>
    <row r="47" spans="1:17" ht="11.1" customHeight="1" x14ac:dyDescent="0.25">
      <c r="K47" s="63">
        <v>3320</v>
      </c>
      <c r="L47" s="50" t="s">
        <v>75</v>
      </c>
      <c r="M47" s="64">
        <v>0</v>
      </c>
      <c r="O47" s="64">
        <v>0</v>
      </c>
      <c r="P47" s="63">
        <v>0</v>
      </c>
      <c r="Q47" s="64">
        <v>0</v>
      </c>
    </row>
    <row r="48" spans="1:17" ht="11.1" customHeight="1" x14ac:dyDescent="0.25">
      <c r="A48" s="57">
        <v>27476</v>
      </c>
      <c r="B48" s="72">
        <v>46142</v>
      </c>
      <c r="C48" s="59" t="s">
        <v>1954</v>
      </c>
      <c r="D48" s="50" t="s">
        <v>313</v>
      </c>
      <c r="E48" s="57">
        <v>36</v>
      </c>
      <c r="F48" s="57">
        <v>1200</v>
      </c>
      <c r="G48" s="50" t="s">
        <v>1955</v>
      </c>
      <c r="H48" s="73">
        <v>2102</v>
      </c>
      <c r="I48" s="57">
        <v>6</v>
      </c>
      <c r="J48" s="50" t="s">
        <v>38</v>
      </c>
      <c r="K48" s="63">
        <v>9427</v>
      </c>
      <c r="L48" s="50" t="s">
        <v>317</v>
      </c>
      <c r="M48" s="64">
        <v>9427</v>
      </c>
      <c r="N48" s="65">
        <v>4</v>
      </c>
      <c r="O48" s="64">
        <v>377.08</v>
      </c>
      <c r="P48" s="63">
        <v>0</v>
      </c>
      <c r="Q48" s="64">
        <v>0</v>
      </c>
    </row>
    <row r="49" spans="1:17" ht="11.1" customHeight="1" x14ac:dyDescent="0.25">
      <c r="A49" s="15" t="s">
        <v>1912</v>
      </c>
      <c r="B49" s="15"/>
      <c r="C49" s="15"/>
      <c r="D49" s="15"/>
      <c r="E49" s="15"/>
      <c r="F49" s="15"/>
      <c r="G49" s="15"/>
      <c r="H49" s="15"/>
      <c r="I49" s="15"/>
    </row>
    <row r="50" spans="1:17" ht="11.1" customHeight="1" x14ac:dyDescent="0.25">
      <c r="K50" s="63">
        <v>9427</v>
      </c>
      <c r="L50" s="50" t="s">
        <v>317</v>
      </c>
      <c r="M50" s="64">
        <v>9427</v>
      </c>
      <c r="O50" s="64">
        <v>377.08</v>
      </c>
      <c r="P50" s="63">
        <v>0</v>
      </c>
      <c r="Q50" s="64">
        <v>0</v>
      </c>
    </row>
    <row r="51" spans="1:17" ht="11.1" customHeight="1" x14ac:dyDescent="0.25">
      <c r="A51" s="57">
        <v>27665</v>
      </c>
      <c r="B51" s="72">
        <v>46122</v>
      </c>
      <c r="C51" s="59" t="s">
        <v>1956</v>
      </c>
      <c r="D51" s="50" t="s">
        <v>75</v>
      </c>
      <c r="E51" s="57">
        <v>39</v>
      </c>
      <c r="F51" s="57">
        <v>1208</v>
      </c>
      <c r="G51" s="50" t="s">
        <v>1957</v>
      </c>
      <c r="H51" s="73">
        <v>1933</v>
      </c>
      <c r="I51" s="57">
        <v>29</v>
      </c>
      <c r="J51" s="50" t="s">
        <v>26</v>
      </c>
      <c r="K51" s="63">
        <v>0</v>
      </c>
      <c r="L51" s="50" t="s">
        <v>75</v>
      </c>
      <c r="M51" s="64">
        <v>0</v>
      </c>
      <c r="N51" s="65">
        <v>0</v>
      </c>
      <c r="O51" s="64">
        <v>0</v>
      </c>
      <c r="P51" s="63">
        <v>0</v>
      </c>
      <c r="Q51" s="64">
        <v>0</v>
      </c>
    </row>
    <row r="52" spans="1:17" ht="11.1" customHeight="1" x14ac:dyDescent="0.25">
      <c r="A52" s="15" t="s">
        <v>1912</v>
      </c>
      <c r="B52" s="15"/>
      <c r="C52" s="15"/>
      <c r="D52" s="15"/>
      <c r="E52" s="15"/>
      <c r="F52" s="15"/>
      <c r="G52" s="15"/>
      <c r="H52" s="15"/>
      <c r="I52" s="15"/>
    </row>
    <row r="53" spans="1:17" ht="11.1" customHeight="1" x14ac:dyDescent="0.25">
      <c r="K53" s="63">
        <v>0</v>
      </c>
      <c r="L53" s="50" t="s">
        <v>75</v>
      </c>
      <c r="M53" s="64">
        <v>0</v>
      </c>
      <c r="O53" s="64">
        <v>0</v>
      </c>
      <c r="P53" s="63">
        <v>0</v>
      </c>
      <c r="Q53" s="64">
        <v>0</v>
      </c>
    </row>
    <row r="54" spans="1:17" ht="11.1" customHeight="1" x14ac:dyDescent="0.25">
      <c r="A54" s="15" t="s">
        <v>1907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spans="1:17" ht="11.1" customHeight="1" x14ac:dyDescent="0.25">
      <c r="A55" s="10" t="s">
        <v>184</v>
      </c>
      <c r="B55" s="10" t="s">
        <v>1908</v>
      </c>
      <c r="C55" s="10" t="s">
        <v>298</v>
      </c>
      <c r="D55" s="71" t="s">
        <v>299</v>
      </c>
      <c r="E55" s="10" t="s">
        <v>300</v>
      </c>
      <c r="F55" s="10" t="s">
        <v>184</v>
      </c>
      <c r="G55" s="71" t="s">
        <v>1909</v>
      </c>
      <c r="H55" s="10" t="s">
        <v>304</v>
      </c>
      <c r="I55" s="10" t="s">
        <v>305</v>
      </c>
      <c r="J55" s="71" t="s">
        <v>24</v>
      </c>
      <c r="K55" s="15" t="s">
        <v>306</v>
      </c>
      <c r="L55" s="71" t="s">
        <v>307</v>
      </c>
      <c r="M55" s="10" t="s">
        <v>308</v>
      </c>
      <c r="N55" s="10" t="s">
        <v>309</v>
      </c>
      <c r="O55" s="10" t="s">
        <v>73</v>
      </c>
      <c r="P55" s="15" t="s">
        <v>310</v>
      </c>
      <c r="Q55" s="10" t="s">
        <v>311</v>
      </c>
    </row>
    <row r="56" spans="1:17" ht="11.1" customHeight="1" x14ac:dyDescent="0.25">
      <c r="A56" s="57">
        <v>28866</v>
      </c>
      <c r="B56" s="72">
        <v>46122</v>
      </c>
      <c r="C56" s="59" t="s">
        <v>1956</v>
      </c>
      <c r="D56" s="50" t="s">
        <v>75</v>
      </c>
      <c r="E56" s="57">
        <v>39</v>
      </c>
      <c r="F56" s="57">
        <v>1272</v>
      </c>
      <c r="G56" s="50" t="s">
        <v>1957</v>
      </c>
      <c r="H56" s="73">
        <v>1933</v>
      </c>
      <c r="I56" s="57">
        <v>29</v>
      </c>
      <c r="J56" s="50" t="s">
        <v>26</v>
      </c>
      <c r="K56" s="63">
        <v>35773.5</v>
      </c>
      <c r="L56" s="50" t="s">
        <v>75</v>
      </c>
      <c r="M56" s="64">
        <v>0</v>
      </c>
      <c r="N56" s="65">
        <v>0</v>
      </c>
      <c r="O56" s="64">
        <v>0</v>
      </c>
      <c r="P56" s="63">
        <v>0</v>
      </c>
      <c r="Q56" s="64">
        <v>0</v>
      </c>
    </row>
    <row r="57" spans="1:17" ht="11.1" customHeight="1" x14ac:dyDescent="0.25">
      <c r="A57" s="15" t="s">
        <v>1912</v>
      </c>
      <c r="B57" s="15"/>
      <c r="C57" s="15"/>
      <c r="D57" s="15"/>
      <c r="E57" s="15"/>
      <c r="F57" s="15"/>
      <c r="G57" s="15"/>
      <c r="H57" s="15"/>
      <c r="I57" s="15"/>
    </row>
    <row r="58" spans="1:17" ht="11.1" customHeight="1" x14ac:dyDescent="0.25">
      <c r="K58" s="63">
        <v>35773.5</v>
      </c>
      <c r="L58" s="50" t="s">
        <v>75</v>
      </c>
      <c r="M58" s="64">
        <v>0</v>
      </c>
      <c r="O58" s="64">
        <v>0</v>
      </c>
      <c r="P58" s="63">
        <v>0</v>
      </c>
      <c r="Q58" s="64">
        <v>0</v>
      </c>
    </row>
    <row r="59" spans="1:17" ht="11.1" customHeight="1" x14ac:dyDescent="0.25">
      <c r="A59" s="57">
        <v>27518</v>
      </c>
      <c r="B59" s="72">
        <v>46114</v>
      </c>
      <c r="C59" s="59" t="s">
        <v>1958</v>
      </c>
      <c r="D59" s="50" t="s">
        <v>1630</v>
      </c>
      <c r="E59" s="57">
        <v>36</v>
      </c>
      <c r="F59" s="57">
        <v>622</v>
      </c>
      <c r="G59" s="50" t="s">
        <v>1959</v>
      </c>
      <c r="H59" s="73">
        <v>2102</v>
      </c>
      <c r="I59" s="57">
        <v>6</v>
      </c>
      <c r="J59" s="50" t="s">
        <v>50</v>
      </c>
      <c r="K59" s="63">
        <v>9762.0400000000009</v>
      </c>
      <c r="L59" s="50" t="s">
        <v>317</v>
      </c>
      <c r="M59" s="64">
        <v>9099.32</v>
      </c>
      <c r="N59" s="65">
        <v>7</v>
      </c>
      <c r="O59" s="64">
        <v>636.95000000000005</v>
      </c>
      <c r="P59" s="63">
        <v>0</v>
      </c>
      <c r="Q59" s="64">
        <v>662.72</v>
      </c>
    </row>
    <row r="60" spans="1:17" ht="11.1" customHeight="1" x14ac:dyDescent="0.25">
      <c r="A60" s="15" t="s">
        <v>1912</v>
      </c>
      <c r="B60" s="15"/>
      <c r="C60" s="15"/>
      <c r="D60" s="15"/>
      <c r="E60" s="15"/>
      <c r="F60" s="15"/>
      <c r="G60" s="15"/>
      <c r="H60" s="15"/>
      <c r="I60" s="15"/>
    </row>
    <row r="61" spans="1:17" ht="11.1" customHeight="1" x14ac:dyDescent="0.25">
      <c r="K61" s="63">
        <v>9762.0400000000009</v>
      </c>
      <c r="L61" s="50" t="s">
        <v>317</v>
      </c>
      <c r="M61" s="64">
        <v>9099.32</v>
      </c>
      <c r="O61" s="64">
        <v>636.95000000000005</v>
      </c>
      <c r="P61" s="63">
        <v>0</v>
      </c>
      <c r="Q61" s="64">
        <v>662.72</v>
      </c>
    </row>
    <row r="62" spans="1:17" ht="11.1" customHeight="1" x14ac:dyDescent="0.25">
      <c r="A62" s="57">
        <v>27669</v>
      </c>
      <c r="B62" s="72">
        <v>46141</v>
      </c>
      <c r="C62" s="59" t="s">
        <v>1960</v>
      </c>
      <c r="D62" s="50" t="s">
        <v>75</v>
      </c>
      <c r="E62" s="57">
        <v>39</v>
      </c>
      <c r="F62" s="57">
        <v>945</v>
      </c>
      <c r="G62" s="50" t="s">
        <v>1961</v>
      </c>
      <c r="H62" s="73">
        <v>1933</v>
      </c>
      <c r="I62" s="57">
        <v>29</v>
      </c>
      <c r="J62" s="50" t="s">
        <v>26</v>
      </c>
      <c r="K62" s="63">
        <v>38</v>
      </c>
      <c r="L62" s="50" t="s">
        <v>1962</v>
      </c>
      <c r="M62" s="64">
        <v>38</v>
      </c>
      <c r="N62" s="65">
        <v>2</v>
      </c>
      <c r="O62" s="64">
        <v>0.76</v>
      </c>
      <c r="P62" s="63">
        <v>0</v>
      </c>
      <c r="Q62" s="64">
        <v>0</v>
      </c>
    </row>
    <row r="63" spans="1:17" ht="11.1" customHeight="1" x14ac:dyDescent="0.25">
      <c r="A63" s="57">
        <v>27670</v>
      </c>
      <c r="B63" s="72">
        <v>46141</v>
      </c>
      <c r="C63" s="59" t="s">
        <v>1963</v>
      </c>
      <c r="D63" s="50" t="s">
        <v>75</v>
      </c>
      <c r="E63" s="57">
        <v>39</v>
      </c>
      <c r="F63" s="57">
        <v>945</v>
      </c>
      <c r="G63" s="50" t="s">
        <v>1961</v>
      </c>
      <c r="H63" s="73">
        <v>1933</v>
      </c>
      <c r="I63" s="57">
        <v>29</v>
      </c>
      <c r="J63" s="50" t="s">
        <v>26</v>
      </c>
      <c r="K63" s="63">
        <v>38</v>
      </c>
      <c r="L63" s="50" t="s">
        <v>1962</v>
      </c>
      <c r="M63" s="64">
        <v>38</v>
      </c>
      <c r="N63" s="65">
        <v>2</v>
      </c>
      <c r="O63" s="64">
        <v>0.76</v>
      </c>
      <c r="P63" s="63">
        <v>0</v>
      </c>
      <c r="Q63" s="64">
        <v>0</v>
      </c>
    </row>
    <row r="64" spans="1:17" ht="11.1" customHeight="1" x14ac:dyDescent="0.25">
      <c r="A64" s="57">
        <v>27671</v>
      </c>
      <c r="B64" s="72">
        <v>46141</v>
      </c>
      <c r="C64" s="59" t="s">
        <v>1964</v>
      </c>
      <c r="D64" s="50" t="s">
        <v>75</v>
      </c>
      <c r="E64" s="57">
        <v>39</v>
      </c>
      <c r="F64" s="57">
        <v>945</v>
      </c>
      <c r="G64" s="50" t="s">
        <v>1961</v>
      </c>
      <c r="H64" s="73">
        <v>1933</v>
      </c>
      <c r="I64" s="57">
        <v>29</v>
      </c>
      <c r="J64" s="50" t="s">
        <v>26</v>
      </c>
      <c r="K64" s="63">
        <v>38</v>
      </c>
      <c r="L64" s="50" t="s">
        <v>1962</v>
      </c>
      <c r="M64" s="64">
        <v>38</v>
      </c>
      <c r="N64" s="65">
        <v>2</v>
      </c>
      <c r="O64" s="64">
        <v>0.76</v>
      </c>
      <c r="P64" s="63">
        <v>0</v>
      </c>
      <c r="Q64" s="64">
        <v>0</v>
      </c>
    </row>
    <row r="65" spans="1:17" ht="11.1" customHeight="1" x14ac:dyDescent="0.25">
      <c r="A65" s="57">
        <v>27672</v>
      </c>
      <c r="B65" s="72">
        <v>46141</v>
      </c>
      <c r="C65" s="59" t="s">
        <v>1965</v>
      </c>
      <c r="D65" s="50" t="s">
        <v>75</v>
      </c>
      <c r="E65" s="57">
        <v>39</v>
      </c>
      <c r="F65" s="57">
        <v>945</v>
      </c>
      <c r="G65" s="50" t="s">
        <v>1961</v>
      </c>
      <c r="H65" s="73">
        <v>1933</v>
      </c>
      <c r="I65" s="57">
        <v>29</v>
      </c>
      <c r="J65" s="50" t="s">
        <v>26</v>
      </c>
      <c r="K65" s="63">
        <v>38</v>
      </c>
      <c r="L65" s="50" t="s">
        <v>1962</v>
      </c>
      <c r="M65" s="64">
        <v>38</v>
      </c>
      <c r="N65" s="65">
        <v>2</v>
      </c>
      <c r="O65" s="64">
        <v>0.76</v>
      </c>
      <c r="P65" s="63">
        <v>0</v>
      </c>
      <c r="Q65" s="64">
        <v>0</v>
      </c>
    </row>
    <row r="66" spans="1:17" ht="11.1" customHeight="1" x14ac:dyDescent="0.25">
      <c r="A66" s="57">
        <v>27673</v>
      </c>
      <c r="B66" s="72">
        <v>46141</v>
      </c>
      <c r="C66" s="59" t="s">
        <v>1966</v>
      </c>
      <c r="D66" s="50" t="s">
        <v>75</v>
      </c>
      <c r="E66" s="57">
        <v>39</v>
      </c>
      <c r="F66" s="57">
        <v>945</v>
      </c>
      <c r="G66" s="50" t="s">
        <v>1961</v>
      </c>
      <c r="H66" s="73">
        <v>1933</v>
      </c>
      <c r="I66" s="57">
        <v>29</v>
      </c>
      <c r="J66" s="50" t="s">
        <v>26</v>
      </c>
      <c r="K66" s="63">
        <v>38</v>
      </c>
      <c r="L66" s="50" t="s">
        <v>1962</v>
      </c>
      <c r="M66" s="64">
        <v>38</v>
      </c>
      <c r="N66" s="65">
        <v>2</v>
      </c>
      <c r="O66" s="64">
        <v>0.76</v>
      </c>
      <c r="P66" s="63">
        <v>0</v>
      </c>
      <c r="Q66" s="64">
        <v>0</v>
      </c>
    </row>
    <row r="67" spans="1:17" ht="11.1" customHeight="1" x14ac:dyDescent="0.25">
      <c r="A67" s="57">
        <v>27674</v>
      </c>
      <c r="B67" s="72">
        <v>46141</v>
      </c>
      <c r="C67" s="59" t="s">
        <v>1967</v>
      </c>
      <c r="D67" s="50" t="s">
        <v>75</v>
      </c>
      <c r="E67" s="57">
        <v>39</v>
      </c>
      <c r="F67" s="57">
        <v>945</v>
      </c>
      <c r="G67" s="50" t="s">
        <v>1961</v>
      </c>
      <c r="H67" s="73">
        <v>1933</v>
      </c>
      <c r="I67" s="57">
        <v>29</v>
      </c>
      <c r="J67" s="50" t="s">
        <v>26</v>
      </c>
      <c r="K67" s="63">
        <v>38</v>
      </c>
      <c r="L67" s="50" t="s">
        <v>1962</v>
      </c>
      <c r="M67" s="64">
        <v>38</v>
      </c>
      <c r="N67" s="65">
        <v>2</v>
      </c>
      <c r="O67" s="64">
        <v>0.76</v>
      </c>
      <c r="P67" s="63">
        <v>0</v>
      </c>
      <c r="Q67" s="64">
        <v>0</v>
      </c>
    </row>
    <row r="68" spans="1:17" ht="11.1" customHeight="1" x14ac:dyDescent="0.25">
      <c r="A68" s="57">
        <v>27675</v>
      </c>
      <c r="B68" s="72">
        <v>46141</v>
      </c>
      <c r="C68" s="59" t="s">
        <v>1968</v>
      </c>
      <c r="D68" s="50" t="s">
        <v>75</v>
      </c>
      <c r="E68" s="57">
        <v>39</v>
      </c>
      <c r="F68" s="57">
        <v>945</v>
      </c>
      <c r="G68" s="50" t="s">
        <v>1961</v>
      </c>
      <c r="H68" s="73">
        <v>1933</v>
      </c>
      <c r="I68" s="57">
        <v>29</v>
      </c>
      <c r="J68" s="50" t="s">
        <v>26</v>
      </c>
      <c r="K68" s="63">
        <v>38</v>
      </c>
      <c r="L68" s="50" t="s">
        <v>1962</v>
      </c>
      <c r="M68" s="64">
        <v>38</v>
      </c>
      <c r="N68" s="65">
        <v>2</v>
      </c>
      <c r="O68" s="64">
        <v>0.76</v>
      </c>
      <c r="P68" s="63">
        <v>0</v>
      </c>
      <c r="Q68" s="64">
        <v>0</v>
      </c>
    </row>
    <row r="69" spans="1:17" ht="11.1" customHeight="1" x14ac:dyDescent="0.25">
      <c r="A69" s="15" t="s">
        <v>1912</v>
      </c>
      <c r="B69" s="15"/>
      <c r="C69" s="15"/>
      <c r="D69" s="15"/>
      <c r="E69" s="15"/>
      <c r="F69" s="15"/>
      <c r="G69" s="15"/>
      <c r="H69" s="15"/>
      <c r="I69" s="15"/>
    </row>
    <row r="70" spans="1:17" ht="11.1" customHeight="1" x14ac:dyDescent="0.25">
      <c r="K70" s="63">
        <v>266</v>
      </c>
      <c r="L70" s="50" t="s">
        <v>1962</v>
      </c>
      <c r="M70" s="64">
        <v>266</v>
      </c>
      <c r="O70" s="64">
        <v>5.32</v>
      </c>
      <c r="P70" s="63">
        <v>0</v>
      </c>
      <c r="Q70" s="64">
        <v>0</v>
      </c>
    </row>
    <row r="71" spans="1:17" ht="11.1" customHeight="1" x14ac:dyDescent="0.25">
      <c r="A71" s="57">
        <v>28720</v>
      </c>
      <c r="B71" s="72">
        <v>46141</v>
      </c>
      <c r="C71" s="59" t="s">
        <v>1960</v>
      </c>
      <c r="D71" s="50" t="s">
        <v>75</v>
      </c>
      <c r="E71" s="57">
        <v>39</v>
      </c>
      <c r="F71" s="57">
        <v>1265</v>
      </c>
      <c r="G71" s="50" t="s">
        <v>1961</v>
      </c>
      <c r="H71" s="73">
        <v>1933</v>
      </c>
      <c r="I71" s="57">
        <v>29</v>
      </c>
      <c r="J71" s="50" t="s">
        <v>26</v>
      </c>
      <c r="K71" s="63">
        <v>38</v>
      </c>
      <c r="L71" s="50" t="s">
        <v>1962</v>
      </c>
      <c r="M71" s="64">
        <v>38</v>
      </c>
      <c r="N71" s="65">
        <v>2</v>
      </c>
      <c r="O71" s="64">
        <v>0.76</v>
      </c>
      <c r="P71" s="63">
        <v>0</v>
      </c>
      <c r="Q71" s="64">
        <v>0</v>
      </c>
    </row>
    <row r="72" spans="1:17" ht="11.1" customHeight="1" x14ac:dyDescent="0.25">
      <c r="A72" s="57">
        <v>28721</v>
      </c>
      <c r="B72" s="72">
        <v>46141</v>
      </c>
      <c r="C72" s="59" t="s">
        <v>1963</v>
      </c>
      <c r="D72" s="50" t="s">
        <v>75</v>
      </c>
      <c r="E72" s="57">
        <v>39</v>
      </c>
      <c r="F72" s="57">
        <v>1265</v>
      </c>
      <c r="G72" s="50" t="s">
        <v>1961</v>
      </c>
      <c r="H72" s="73">
        <v>1933</v>
      </c>
      <c r="I72" s="57">
        <v>29</v>
      </c>
      <c r="J72" s="50" t="s">
        <v>26</v>
      </c>
      <c r="K72" s="63">
        <v>38</v>
      </c>
      <c r="L72" s="50" t="s">
        <v>1962</v>
      </c>
      <c r="M72" s="64">
        <v>38</v>
      </c>
      <c r="N72" s="65">
        <v>2</v>
      </c>
      <c r="O72" s="64">
        <v>0.76</v>
      </c>
      <c r="P72" s="63">
        <v>0</v>
      </c>
      <c r="Q72" s="64">
        <v>0</v>
      </c>
    </row>
    <row r="73" spans="1:17" ht="11.1" customHeight="1" x14ac:dyDescent="0.25">
      <c r="A73" s="57">
        <v>28722</v>
      </c>
      <c r="B73" s="72">
        <v>46141</v>
      </c>
      <c r="C73" s="59" t="s">
        <v>1964</v>
      </c>
      <c r="D73" s="50" t="s">
        <v>75</v>
      </c>
      <c r="E73" s="57">
        <v>39</v>
      </c>
      <c r="F73" s="57">
        <v>1265</v>
      </c>
      <c r="G73" s="50" t="s">
        <v>1961</v>
      </c>
      <c r="H73" s="73">
        <v>1933</v>
      </c>
      <c r="I73" s="57">
        <v>29</v>
      </c>
      <c r="J73" s="50" t="s">
        <v>26</v>
      </c>
      <c r="K73" s="63">
        <v>38</v>
      </c>
      <c r="L73" s="50" t="s">
        <v>1962</v>
      </c>
      <c r="M73" s="64">
        <v>38</v>
      </c>
      <c r="N73" s="65">
        <v>2</v>
      </c>
      <c r="O73" s="64">
        <v>0.76</v>
      </c>
      <c r="P73" s="63">
        <v>0</v>
      </c>
      <c r="Q73" s="64">
        <v>0</v>
      </c>
    </row>
    <row r="74" spans="1:17" ht="11.1" customHeight="1" x14ac:dyDescent="0.25">
      <c r="A74" s="57">
        <v>28723</v>
      </c>
      <c r="B74" s="72">
        <v>46141</v>
      </c>
      <c r="C74" s="59" t="s">
        <v>1965</v>
      </c>
      <c r="D74" s="50" t="s">
        <v>75</v>
      </c>
      <c r="E74" s="57">
        <v>39</v>
      </c>
      <c r="F74" s="57">
        <v>1265</v>
      </c>
      <c r="G74" s="50" t="s">
        <v>1961</v>
      </c>
      <c r="H74" s="73">
        <v>1933</v>
      </c>
      <c r="I74" s="57">
        <v>29</v>
      </c>
      <c r="J74" s="50" t="s">
        <v>26</v>
      </c>
      <c r="K74" s="63">
        <v>38</v>
      </c>
      <c r="L74" s="50" t="s">
        <v>1962</v>
      </c>
      <c r="M74" s="64">
        <v>38</v>
      </c>
      <c r="N74" s="65">
        <v>2</v>
      </c>
      <c r="O74" s="64">
        <v>0.76</v>
      </c>
      <c r="P74" s="63">
        <v>0</v>
      </c>
      <c r="Q74" s="64">
        <v>0</v>
      </c>
    </row>
    <row r="75" spans="1:17" ht="11.1" customHeight="1" x14ac:dyDescent="0.25">
      <c r="A75" s="57">
        <v>28724</v>
      </c>
      <c r="B75" s="72">
        <v>46141</v>
      </c>
      <c r="C75" s="59" t="s">
        <v>1966</v>
      </c>
      <c r="D75" s="50" t="s">
        <v>75</v>
      </c>
      <c r="E75" s="57">
        <v>39</v>
      </c>
      <c r="F75" s="57">
        <v>1265</v>
      </c>
      <c r="G75" s="50" t="s">
        <v>1961</v>
      </c>
      <c r="H75" s="73">
        <v>1933</v>
      </c>
      <c r="I75" s="57">
        <v>29</v>
      </c>
      <c r="J75" s="50" t="s">
        <v>26</v>
      </c>
      <c r="K75" s="63">
        <v>38</v>
      </c>
      <c r="L75" s="50" t="s">
        <v>1962</v>
      </c>
      <c r="M75" s="64">
        <v>38</v>
      </c>
      <c r="N75" s="65">
        <v>2</v>
      </c>
      <c r="O75" s="64">
        <v>0.76</v>
      </c>
      <c r="P75" s="63">
        <v>0</v>
      </c>
      <c r="Q75" s="64">
        <v>0</v>
      </c>
    </row>
    <row r="76" spans="1:17" ht="11.1" customHeight="1" x14ac:dyDescent="0.25">
      <c r="A76" s="57">
        <v>28725</v>
      </c>
      <c r="B76" s="72">
        <v>46141</v>
      </c>
      <c r="C76" s="59" t="s">
        <v>1967</v>
      </c>
      <c r="D76" s="50" t="s">
        <v>75</v>
      </c>
      <c r="E76" s="57">
        <v>39</v>
      </c>
      <c r="F76" s="57">
        <v>1265</v>
      </c>
      <c r="G76" s="50" t="s">
        <v>1961</v>
      </c>
      <c r="H76" s="73">
        <v>1933</v>
      </c>
      <c r="I76" s="57">
        <v>29</v>
      </c>
      <c r="J76" s="50" t="s">
        <v>26</v>
      </c>
      <c r="K76" s="63">
        <v>38</v>
      </c>
      <c r="L76" s="50" t="s">
        <v>1962</v>
      </c>
      <c r="M76" s="64">
        <v>38</v>
      </c>
      <c r="N76" s="65">
        <v>2</v>
      </c>
      <c r="O76" s="64">
        <v>0.76</v>
      </c>
      <c r="P76" s="63">
        <v>0</v>
      </c>
      <c r="Q76" s="64">
        <v>0</v>
      </c>
    </row>
    <row r="77" spans="1:17" ht="11.1" customHeight="1" x14ac:dyDescent="0.25">
      <c r="A77" s="57">
        <v>28726</v>
      </c>
      <c r="B77" s="72">
        <v>46141</v>
      </c>
      <c r="C77" s="59" t="s">
        <v>1968</v>
      </c>
      <c r="D77" s="50" t="s">
        <v>75</v>
      </c>
      <c r="E77" s="57">
        <v>39</v>
      </c>
      <c r="F77" s="57">
        <v>1265</v>
      </c>
      <c r="G77" s="50" t="s">
        <v>1961</v>
      </c>
      <c r="H77" s="73">
        <v>1933</v>
      </c>
      <c r="I77" s="57">
        <v>29</v>
      </c>
      <c r="J77" s="50" t="s">
        <v>26</v>
      </c>
      <c r="K77" s="63">
        <v>38</v>
      </c>
      <c r="L77" s="50" t="s">
        <v>1962</v>
      </c>
      <c r="M77" s="64">
        <v>38</v>
      </c>
      <c r="N77" s="65">
        <v>2</v>
      </c>
      <c r="O77" s="64">
        <v>0.76</v>
      </c>
      <c r="P77" s="63">
        <v>0</v>
      </c>
      <c r="Q77" s="64">
        <v>0</v>
      </c>
    </row>
    <row r="78" spans="1:17" ht="11.1" customHeight="1" x14ac:dyDescent="0.25">
      <c r="A78" s="15" t="s">
        <v>1912</v>
      </c>
      <c r="B78" s="15"/>
      <c r="C78" s="15"/>
      <c r="D78" s="15"/>
      <c r="E78" s="15"/>
      <c r="F78" s="15"/>
      <c r="G78" s="15"/>
      <c r="H78" s="15"/>
      <c r="I78" s="15"/>
    </row>
    <row r="79" spans="1:17" ht="11.1" customHeight="1" x14ac:dyDescent="0.25">
      <c r="K79" s="63">
        <v>266</v>
      </c>
      <c r="L79" s="50" t="s">
        <v>1962</v>
      </c>
      <c r="M79" s="64">
        <v>266</v>
      </c>
      <c r="O79" s="64">
        <v>5.32</v>
      </c>
      <c r="P79" s="63">
        <v>0</v>
      </c>
      <c r="Q79" s="64">
        <v>0</v>
      </c>
    </row>
    <row r="80" spans="1:17" ht="11.1" customHeight="1" x14ac:dyDescent="0.25">
      <c r="A80" s="57">
        <v>27676</v>
      </c>
      <c r="B80" s="72">
        <v>46141</v>
      </c>
      <c r="C80" s="59" t="s">
        <v>1969</v>
      </c>
      <c r="D80" s="50" t="s">
        <v>75</v>
      </c>
      <c r="E80" s="57">
        <v>39</v>
      </c>
      <c r="F80" s="57">
        <v>946</v>
      </c>
      <c r="G80" s="50" t="s">
        <v>1970</v>
      </c>
      <c r="H80" s="73">
        <v>1933</v>
      </c>
      <c r="I80" s="57">
        <v>29</v>
      </c>
      <c r="J80" s="50" t="s">
        <v>26</v>
      </c>
      <c r="K80" s="63">
        <v>5.3</v>
      </c>
      <c r="L80" s="50" t="s">
        <v>1962</v>
      </c>
      <c r="M80" s="64">
        <v>5.3</v>
      </c>
      <c r="N80" s="65">
        <v>2</v>
      </c>
      <c r="O80" s="64">
        <v>0.11</v>
      </c>
      <c r="P80" s="63">
        <v>0</v>
      </c>
      <c r="Q80" s="64">
        <v>0</v>
      </c>
    </row>
    <row r="81" spans="1:17" ht="11.1" customHeight="1" x14ac:dyDescent="0.25">
      <c r="A81" s="57">
        <v>27677</v>
      </c>
      <c r="B81" s="72">
        <v>46141</v>
      </c>
      <c r="C81" s="59" t="s">
        <v>1971</v>
      </c>
      <c r="D81" s="50" t="s">
        <v>75</v>
      </c>
      <c r="E81" s="57">
        <v>39</v>
      </c>
      <c r="F81" s="57">
        <v>946</v>
      </c>
      <c r="G81" s="50" t="s">
        <v>1970</v>
      </c>
      <c r="H81" s="73">
        <v>1933</v>
      </c>
      <c r="I81" s="57">
        <v>29</v>
      </c>
      <c r="J81" s="50" t="s">
        <v>26</v>
      </c>
      <c r="K81" s="63">
        <v>5.31</v>
      </c>
      <c r="L81" s="50" t="s">
        <v>1962</v>
      </c>
      <c r="M81" s="64">
        <v>5.31</v>
      </c>
      <c r="N81" s="65">
        <v>2</v>
      </c>
      <c r="O81" s="64">
        <v>0.11</v>
      </c>
      <c r="P81" s="63">
        <v>0</v>
      </c>
      <c r="Q81" s="64">
        <v>0</v>
      </c>
    </row>
    <row r="82" spans="1:17" ht="11.1" customHeight="1" x14ac:dyDescent="0.25">
      <c r="A82" s="57">
        <v>27678</v>
      </c>
      <c r="B82" s="72">
        <v>46141</v>
      </c>
      <c r="C82" s="59" t="s">
        <v>1972</v>
      </c>
      <c r="D82" s="50" t="s">
        <v>75</v>
      </c>
      <c r="E82" s="57">
        <v>39</v>
      </c>
      <c r="F82" s="57">
        <v>946</v>
      </c>
      <c r="G82" s="50" t="s">
        <v>1970</v>
      </c>
      <c r="H82" s="73">
        <v>1933</v>
      </c>
      <c r="I82" s="57">
        <v>29</v>
      </c>
      <c r="J82" s="50" t="s">
        <v>26</v>
      </c>
      <c r="K82" s="63">
        <v>5.31</v>
      </c>
      <c r="L82" s="50" t="s">
        <v>1962</v>
      </c>
      <c r="M82" s="64">
        <v>5.31</v>
      </c>
      <c r="N82" s="65">
        <v>2</v>
      </c>
      <c r="O82" s="64">
        <v>0.11</v>
      </c>
      <c r="P82" s="63">
        <v>0</v>
      </c>
      <c r="Q82" s="64">
        <v>0</v>
      </c>
    </row>
    <row r="83" spans="1:17" ht="11.1" customHeight="1" x14ac:dyDescent="0.25">
      <c r="A83" s="57">
        <v>27679</v>
      </c>
      <c r="B83" s="72">
        <v>46141</v>
      </c>
      <c r="C83" s="59" t="s">
        <v>1973</v>
      </c>
      <c r="D83" s="50" t="s">
        <v>75</v>
      </c>
      <c r="E83" s="57">
        <v>39</v>
      </c>
      <c r="F83" s="57">
        <v>946</v>
      </c>
      <c r="G83" s="50" t="s">
        <v>1970</v>
      </c>
      <c r="H83" s="73">
        <v>1933</v>
      </c>
      <c r="I83" s="57">
        <v>29</v>
      </c>
      <c r="J83" s="50" t="s">
        <v>26</v>
      </c>
      <c r="K83" s="63">
        <v>5.31</v>
      </c>
      <c r="L83" s="50" t="s">
        <v>1962</v>
      </c>
      <c r="M83" s="64">
        <v>5.31</v>
      </c>
      <c r="N83" s="65">
        <v>2</v>
      </c>
      <c r="O83" s="64">
        <v>0.11</v>
      </c>
      <c r="P83" s="63">
        <v>0</v>
      </c>
      <c r="Q83" s="64">
        <v>0</v>
      </c>
    </row>
    <row r="84" spans="1:17" ht="11.1" customHeight="1" x14ac:dyDescent="0.25">
      <c r="A84" s="57">
        <v>27680</v>
      </c>
      <c r="B84" s="72">
        <v>46141</v>
      </c>
      <c r="C84" s="59" t="s">
        <v>1974</v>
      </c>
      <c r="D84" s="50" t="s">
        <v>75</v>
      </c>
      <c r="E84" s="57">
        <v>39</v>
      </c>
      <c r="F84" s="57">
        <v>946</v>
      </c>
      <c r="G84" s="50" t="s">
        <v>1970</v>
      </c>
      <c r="H84" s="73">
        <v>1933</v>
      </c>
      <c r="I84" s="57">
        <v>29</v>
      </c>
      <c r="J84" s="50" t="s">
        <v>26</v>
      </c>
      <c r="K84" s="63">
        <v>5.31</v>
      </c>
      <c r="L84" s="50" t="s">
        <v>1962</v>
      </c>
      <c r="M84" s="64">
        <v>5.31</v>
      </c>
      <c r="N84" s="65">
        <v>2</v>
      </c>
      <c r="O84" s="64">
        <v>0.11</v>
      </c>
      <c r="P84" s="63">
        <v>0</v>
      </c>
      <c r="Q84" s="64">
        <v>0</v>
      </c>
    </row>
    <row r="85" spans="1:17" ht="11.1" customHeight="1" x14ac:dyDescent="0.25">
      <c r="A85" s="57">
        <v>27681</v>
      </c>
      <c r="B85" s="72">
        <v>46141</v>
      </c>
      <c r="C85" s="59" t="s">
        <v>1975</v>
      </c>
      <c r="D85" s="50" t="s">
        <v>75</v>
      </c>
      <c r="E85" s="57">
        <v>39</v>
      </c>
      <c r="F85" s="57">
        <v>946</v>
      </c>
      <c r="G85" s="50" t="s">
        <v>1970</v>
      </c>
      <c r="H85" s="73">
        <v>1933</v>
      </c>
      <c r="I85" s="57">
        <v>29</v>
      </c>
      <c r="J85" s="50" t="s">
        <v>26</v>
      </c>
      <c r="K85" s="63">
        <v>5.31</v>
      </c>
      <c r="L85" s="50" t="s">
        <v>1962</v>
      </c>
      <c r="M85" s="64">
        <v>5.31</v>
      </c>
      <c r="N85" s="65">
        <v>2</v>
      </c>
      <c r="O85" s="64">
        <v>0.11</v>
      </c>
      <c r="P85" s="63">
        <v>0</v>
      </c>
      <c r="Q85" s="64">
        <v>0</v>
      </c>
    </row>
    <row r="86" spans="1:17" ht="11.1" customHeight="1" x14ac:dyDescent="0.25">
      <c r="A86" s="57">
        <v>27682</v>
      </c>
      <c r="B86" s="72">
        <v>46141</v>
      </c>
      <c r="C86" s="59" t="s">
        <v>1976</v>
      </c>
      <c r="D86" s="50" t="s">
        <v>75</v>
      </c>
      <c r="E86" s="57">
        <v>39</v>
      </c>
      <c r="F86" s="57">
        <v>946</v>
      </c>
      <c r="G86" s="50" t="s">
        <v>1970</v>
      </c>
      <c r="H86" s="73">
        <v>1933</v>
      </c>
      <c r="I86" s="57">
        <v>29</v>
      </c>
      <c r="J86" s="50" t="s">
        <v>26</v>
      </c>
      <c r="K86" s="63">
        <v>5.3</v>
      </c>
      <c r="L86" s="50" t="s">
        <v>1962</v>
      </c>
      <c r="M86" s="64">
        <v>5.3</v>
      </c>
      <c r="N86" s="65">
        <v>2</v>
      </c>
      <c r="O86" s="64">
        <v>0.11</v>
      </c>
      <c r="P86" s="63">
        <v>0</v>
      </c>
      <c r="Q86" s="64">
        <v>0</v>
      </c>
    </row>
    <row r="87" spans="1:17" ht="11.1" customHeight="1" x14ac:dyDescent="0.25">
      <c r="A87" s="15" t="s">
        <v>1912</v>
      </c>
      <c r="B87" s="15"/>
      <c r="C87" s="15"/>
      <c r="D87" s="15"/>
      <c r="E87" s="15"/>
      <c r="F87" s="15"/>
      <c r="G87" s="15"/>
      <c r="H87" s="15"/>
      <c r="I87" s="15"/>
    </row>
    <row r="88" spans="1:17" ht="11.1" customHeight="1" x14ac:dyDescent="0.25">
      <c r="K88" s="63">
        <v>37.15</v>
      </c>
      <c r="L88" s="50" t="s">
        <v>1962</v>
      </c>
      <c r="M88" s="64">
        <v>37.15</v>
      </c>
      <c r="O88" s="64">
        <v>0.77</v>
      </c>
      <c r="P88" s="63">
        <v>0</v>
      </c>
      <c r="Q88" s="64">
        <v>0</v>
      </c>
    </row>
    <row r="89" spans="1:17" ht="11.1" customHeight="1" x14ac:dyDescent="0.25">
      <c r="A89" s="57">
        <v>28825</v>
      </c>
      <c r="B89" s="72">
        <v>46141</v>
      </c>
      <c r="C89" s="59" t="s">
        <v>1969</v>
      </c>
      <c r="D89" s="50" t="s">
        <v>75</v>
      </c>
      <c r="E89" s="57">
        <v>39</v>
      </c>
      <c r="F89" s="57">
        <v>1266</v>
      </c>
      <c r="G89" s="50" t="s">
        <v>1970</v>
      </c>
      <c r="H89" s="73">
        <v>1933</v>
      </c>
      <c r="I89" s="57">
        <v>29</v>
      </c>
      <c r="J89" s="50" t="s">
        <v>26</v>
      </c>
      <c r="K89" s="63">
        <v>5.3</v>
      </c>
      <c r="L89" s="50" t="s">
        <v>1962</v>
      </c>
      <c r="M89" s="64">
        <v>5.3</v>
      </c>
      <c r="N89" s="65">
        <v>2</v>
      </c>
      <c r="O89" s="64">
        <v>0.11</v>
      </c>
      <c r="P89" s="63">
        <v>0</v>
      </c>
      <c r="Q89" s="64">
        <v>0</v>
      </c>
    </row>
    <row r="90" spans="1:17" ht="11.1" customHeight="1" x14ac:dyDescent="0.25">
      <c r="A90" s="57">
        <v>28826</v>
      </c>
      <c r="B90" s="72">
        <v>46141</v>
      </c>
      <c r="C90" s="59" t="s">
        <v>1971</v>
      </c>
      <c r="D90" s="50" t="s">
        <v>75</v>
      </c>
      <c r="E90" s="57">
        <v>39</v>
      </c>
      <c r="F90" s="57">
        <v>1266</v>
      </c>
      <c r="G90" s="50" t="s">
        <v>1970</v>
      </c>
      <c r="H90" s="73">
        <v>1933</v>
      </c>
      <c r="I90" s="57">
        <v>29</v>
      </c>
      <c r="J90" s="50" t="s">
        <v>26</v>
      </c>
      <c r="K90" s="63">
        <v>5.31</v>
      </c>
      <c r="L90" s="50" t="s">
        <v>1962</v>
      </c>
      <c r="M90" s="64">
        <v>5.31</v>
      </c>
      <c r="N90" s="65">
        <v>2</v>
      </c>
      <c r="O90" s="64">
        <v>0.11</v>
      </c>
      <c r="P90" s="63">
        <v>0</v>
      </c>
      <c r="Q90" s="64">
        <v>0</v>
      </c>
    </row>
    <row r="91" spans="1:17" ht="11.1" customHeight="1" x14ac:dyDescent="0.25">
      <c r="A91" s="57">
        <v>28827</v>
      </c>
      <c r="B91" s="72">
        <v>46141</v>
      </c>
      <c r="C91" s="59" t="s">
        <v>1972</v>
      </c>
      <c r="D91" s="50" t="s">
        <v>75</v>
      </c>
      <c r="E91" s="57">
        <v>39</v>
      </c>
      <c r="F91" s="57">
        <v>1266</v>
      </c>
      <c r="G91" s="50" t="s">
        <v>1970</v>
      </c>
      <c r="H91" s="73">
        <v>1933</v>
      </c>
      <c r="I91" s="57">
        <v>29</v>
      </c>
      <c r="J91" s="50" t="s">
        <v>26</v>
      </c>
      <c r="K91" s="63">
        <v>5.31</v>
      </c>
      <c r="L91" s="50" t="s">
        <v>1962</v>
      </c>
      <c r="M91" s="64">
        <v>5.31</v>
      </c>
      <c r="N91" s="65">
        <v>2</v>
      </c>
      <c r="O91" s="64">
        <v>0.11</v>
      </c>
      <c r="P91" s="63">
        <v>0</v>
      </c>
      <c r="Q91" s="64">
        <v>0</v>
      </c>
    </row>
    <row r="92" spans="1:17" ht="11.1" customHeight="1" x14ac:dyDescent="0.25">
      <c r="A92" s="57">
        <v>28828</v>
      </c>
      <c r="B92" s="72">
        <v>46141</v>
      </c>
      <c r="C92" s="59" t="s">
        <v>1973</v>
      </c>
      <c r="D92" s="50" t="s">
        <v>75</v>
      </c>
      <c r="E92" s="57">
        <v>39</v>
      </c>
      <c r="F92" s="57">
        <v>1266</v>
      </c>
      <c r="G92" s="50" t="s">
        <v>1970</v>
      </c>
      <c r="H92" s="73">
        <v>1933</v>
      </c>
      <c r="I92" s="57">
        <v>29</v>
      </c>
      <c r="J92" s="50" t="s">
        <v>26</v>
      </c>
      <c r="K92" s="63">
        <v>5.31</v>
      </c>
      <c r="L92" s="50" t="s">
        <v>1962</v>
      </c>
      <c r="M92" s="64">
        <v>5.31</v>
      </c>
      <c r="N92" s="65">
        <v>2</v>
      </c>
      <c r="O92" s="64">
        <v>0.11</v>
      </c>
      <c r="P92" s="63">
        <v>0</v>
      </c>
      <c r="Q92" s="64">
        <v>0</v>
      </c>
    </row>
    <row r="93" spans="1:17" ht="11.1" customHeight="1" x14ac:dyDescent="0.25">
      <c r="A93" s="57">
        <v>28829</v>
      </c>
      <c r="B93" s="72">
        <v>46141</v>
      </c>
      <c r="C93" s="59" t="s">
        <v>1974</v>
      </c>
      <c r="D93" s="50" t="s">
        <v>75</v>
      </c>
      <c r="E93" s="57">
        <v>39</v>
      </c>
      <c r="F93" s="57">
        <v>1266</v>
      </c>
      <c r="G93" s="50" t="s">
        <v>1970</v>
      </c>
      <c r="H93" s="73">
        <v>1933</v>
      </c>
      <c r="I93" s="57">
        <v>29</v>
      </c>
      <c r="J93" s="50" t="s">
        <v>26</v>
      </c>
      <c r="K93" s="63">
        <v>5.31</v>
      </c>
      <c r="L93" s="50" t="s">
        <v>1962</v>
      </c>
      <c r="M93" s="64">
        <v>5.31</v>
      </c>
      <c r="N93" s="65">
        <v>2</v>
      </c>
      <c r="O93" s="64">
        <v>0.11</v>
      </c>
      <c r="P93" s="63">
        <v>0</v>
      </c>
      <c r="Q93" s="64">
        <v>0</v>
      </c>
    </row>
    <row r="94" spans="1:17" ht="11.1" customHeight="1" x14ac:dyDescent="0.25">
      <c r="A94" s="57">
        <v>28830</v>
      </c>
      <c r="B94" s="72">
        <v>46141</v>
      </c>
      <c r="C94" s="59" t="s">
        <v>1975</v>
      </c>
      <c r="D94" s="50" t="s">
        <v>75</v>
      </c>
      <c r="E94" s="57">
        <v>39</v>
      </c>
      <c r="F94" s="57">
        <v>1266</v>
      </c>
      <c r="G94" s="50" t="s">
        <v>1970</v>
      </c>
      <c r="H94" s="73">
        <v>1933</v>
      </c>
      <c r="I94" s="57">
        <v>29</v>
      </c>
      <c r="J94" s="50" t="s">
        <v>26</v>
      </c>
      <c r="K94" s="63">
        <v>5.31</v>
      </c>
      <c r="L94" s="50" t="s">
        <v>1962</v>
      </c>
      <c r="M94" s="64">
        <v>5.31</v>
      </c>
      <c r="N94" s="65">
        <v>2</v>
      </c>
      <c r="O94" s="64">
        <v>0.11</v>
      </c>
      <c r="P94" s="63">
        <v>0</v>
      </c>
      <c r="Q94" s="64">
        <v>0</v>
      </c>
    </row>
    <row r="95" spans="1:17" ht="11.1" customHeight="1" x14ac:dyDescent="0.25">
      <c r="A95" s="57">
        <v>28831</v>
      </c>
      <c r="B95" s="72">
        <v>46141</v>
      </c>
      <c r="C95" s="59" t="s">
        <v>1976</v>
      </c>
      <c r="D95" s="50" t="s">
        <v>75</v>
      </c>
      <c r="E95" s="57">
        <v>39</v>
      </c>
      <c r="F95" s="57">
        <v>1266</v>
      </c>
      <c r="G95" s="50" t="s">
        <v>1970</v>
      </c>
      <c r="H95" s="73">
        <v>1933</v>
      </c>
      <c r="I95" s="57">
        <v>29</v>
      </c>
      <c r="J95" s="50" t="s">
        <v>26</v>
      </c>
      <c r="K95" s="63">
        <v>5.3</v>
      </c>
      <c r="L95" s="50" t="s">
        <v>1962</v>
      </c>
      <c r="M95" s="64">
        <v>5.3</v>
      </c>
      <c r="N95" s="65">
        <v>2</v>
      </c>
      <c r="O95" s="64">
        <v>0.11</v>
      </c>
      <c r="P95" s="63">
        <v>0</v>
      </c>
      <c r="Q95" s="64">
        <v>0</v>
      </c>
    </row>
    <row r="96" spans="1:17" ht="11.1" customHeight="1" x14ac:dyDescent="0.25">
      <c r="A96" s="15" t="s">
        <v>1912</v>
      </c>
      <c r="B96" s="15"/>
      <c r="C96" s="15"/>
      <c r="D96" s="15"/>
      <c r="E96" s="15"/>
      <c r="F96" s="15"/>
      <c r="G96" s="15"/>
      <c r="H96" s="15"/>
      <c r="I96" s="15"/>
    </row>
    <row r="97" spans="1:17" ht="11.1" customHeight="1" x14ac:dyDescent="0.25">
      <c r="K97" s="63">
        <v>37.15</v>
      </c>
      <c r="L97" s="50" t="s">
        <v>1962</v>
      </c>
      <c r="M97" s="64">
        <v>37.15</v>
      </c>
      <c r="O97" s="64">
        <v>0.77</v>
      </c>
      <c r="P97" s="63">
        <v>0</v>
      </c>
      <c r="Q97" s="64">
        <v>0</v>
      </c>
    </row>
    <row r="98" spans="1:17" ht="11.1" customHeight="1" x14ac:dyDescent="0.25">
      <c r="A98" s="57">
        <v>27549</v>
      </c>
      <c r="B98" s="72">
        <v>46126</v>
      </c>
      <c r="C98" s="59" t="s">
        <v>1977</v>
      </c>
      <c r="D98" s="50" t="s">
        <v>1978</v>
      </c>
      <c r="E98" s="57">
        <v>36</v>
      </c>
      <c r="F98" s="57">
        <v>542</v>
      </c>
      <c r="G98" s="50" t="s">
        <v>426</v>
      </c>
      <c r="H98" s="73">
        <v>2102</v>
      </c>
      <c r="I98" s="57">
        <v>6</v>
      </c>
      <c r="J98" s="50" t="s">
        <v>50</v>
      </c>
      <c r="K98" s="63">
        <v>26541.42</v>
      </c>
      <c r="L98" s="50" t="s">
        <v>317</v>
      </c>
      <c r="M98" s="64">
        <v>26506</v>
      </c>
      <c r="N98" s="65">
        <v>7</v>
      </c>
      <c r="O98" s="64">
        <v>1855.43</v>
      </c>
      <c r="P98" s="63">
        <v>0</v>
      </c>
      <c r="Q98" s="64">
        <v>35.42</v>
      </c>
    </row>
    <row r="99" spans="1:17" ht="11.1" customHeight="1" x14ac:dyDescent="0.25">
      <c r="A99" s="57">
        <v>27550</v>
      </c>
      <c r="B99" s="72">
        <v>46129</v>
      </c>
      <c r="C99" s="59" t="s">
        <v>1979</v>
      </c>
      <c r="D99" s="50" t="s">
        <v>1978</v>
      </c>
      <c r="E99" s="57">
        <v>36</v>
      </c>
      <c r="F99" s="57">
        <v>542</v>
      </c>
      <c r="G99" s="50" t="s">
        <v>426</v>
      </c>
      <c r="H99" s="73">
        <v>2102</v>
      </c>
      <c r="I99" s="57">
        <v>6</v>
      </c>
      <c r="J99" s="50" t="s">
        <v>50</v>
      </c>
      <c r="K99" s="63">
        <v>16176.25</v>
      </c>
      <c r="L99" s="50" t="s">
        <v>317</v>
      </c>
      <c r="M99" s="64">
        <v>16086.82</v>
      </c>
      <c r="N99" s="65">
        <v>7</v>
      </c>
      <c r="O99" s="64">
        <v>1126.08</v>
      </c>
      <c r="P99" s="63">
        <v>0</v>
      </c>
      <c r="Q99" s="64">
        <v>89.43</v>
      </c>
    </row>
    <row r="100" spans="1:17" ht="11.1" customHeight="1" x14ac:dyDescent="0.25">
      <c r="A100" s="57">
        <v>27551</v>
      </c>
      <c r="B100" s="72">
        <v>46129</v>
      </c>
      <c r="C100" s="59" t="s">
        <v>1980</v>
      </c>
      <c r="D100" s="50" t="s">
        <v>1978</v>
      </c>
      <c r="E100" s="57">
        <v>36</v>
      </c>
      <c r="F100" s="57">
        <v>542</v>
      </c>
      <c r="G100" s="50" t="s">
        <v>426</v>
      </c>
      <c r="H100" s="73">
        <v>2102</v>
      </c>
      <c r="I100" s="57">
        <v>6</v>
      </c>
      <c r="J100" s="50" t="s">
        <v>50</v>
      </c>
      <c r="K100" s="63">
        <v>1250.58</v>
      </c>
      <c r="L100" s="50" t="s">
        <v>317</v>
      </c>
      <c r="M100" s="64">
        <v>1246.82</v>
      </c>
      <c r="N100" s="65">
        <v>7</v>
      </c>
      <c r="O100" s="64">
        <v>87.27</v>
      </c>
      <c r="P100" s="63">
        <v>0</v>
      </c>
      <c r="Q100" s="64">
        <v>3.76</v>
      </c>
    </row>
    <row r="101" spans="1:17" ht="11.1" customHeight="1" x14ac:dyDescent="0.25">
      <c r="A101" s="57">
        <v>27552</v>
      </c>
      <c r="B101" s="72">
        <v>46129</v>
      </c>
      <c r="C101" s="59" t="s">
        <v>1981</v>
      </c>
      <c r="D101" s="50" t="s">
        <v>1978</v>
      </c>
      <c r="E101" s="57">
        <v>36</v>
      </c>
      <c r="F101" s="57">
        <v>542</v>
      </c>
      <c r="G101" s="50" t="s">
        <v>426</v>
      </c>
      <c r="H101" s="73">
        <v>2102</v>
      </c>
      <c r="I101" s="57">
        <v>6</v>
      </c>
      <c r="J101" s="50" t="s">
        <v>50</v>
      </c>
      <c r="K101" s="63">
        <v>1263.9000000000001</v>
      </c>
      <c r="L101" s="50" t="s">
        <v>317</v>
      </c>
      <c r="M101" s="64">
        <v>1263.9000000000001</v>
      </c>
      <c r="N101" s="65">
        <v>7</v>
      </c>
      <c r="O101" s="64">
        <v>88.47</v>
      </c>
      <c r="P101" s="63">
        <v>0</v>
      </c>
      <c r="Q101" s="64">
        <v>0</v>
      </c>
    </row>
    <row r="102" spans="1:17" ht="11.1" customHeight="1" x14ac:dyDescent="0.25">
      <c r="A102" s="57">
        <v>27553</v>
      </c>
      <c r="B102" s="72">
        <v>46136</v>
      </c>
      <c r="C102" s="59" t="s">
        <v>1982</v>
      </c>
      <c r="D102" s="50" t="s">
        <v>1978</v>
      </c>
      <c r="E102" s="57">
        <v>36</v>
      </c>
      <c r="F102" s="57">
        <v>542</v>
      </c>
      <c r="G102" s="50" t="s">
        <v>426</v>
      </c>
      <c r="H102" s="73">
        <v>2102</v>
      </c>
      <c r="I102" s="57">
        <v>6</v>
      </c>
      <c r="J102" s="50" t="s">
        <v>50</v>
      </c>
      <c r="K102" s="63">
        <v>1832.35</v>
      </c>
      <c r="L102" s="50" t="s">
        <v>317</v>
      </c>
      <c r="M102" s="64">
        <v>1832.35</v>
      </c>
      <c r="N102" s="65">
        <v>7</v>
      </c>
      <c r="O102" s="64">
        <v>128.26</v>
      </c>
      <c r="P102" s="63">
        <v>0</v>
      </c>
      <c r="Q102" s="64">
        <v>0</v>
      </c>
    </row>
    <row r="103" spans="1:17" ht="11.1" customHeight="1" x14ac:dyDescent="0.25">
      <c r="A103" s="57">
        <v>27554</v>
      </c>
      <c r="B103" s="72">
        <v>46136</v>
      </c>
      <c r="C103" s="59" t="s">
        <v>1983</v>
      </c>
      <c r="D103" s="50" t="s">
        <v>1978</v>
      </c>
      <c r="E103" s="57">
        <v>36</v>
      </c>
      <c r="F103" s="57">
        <v>542</v>
      </c>
      <c r="G103" s="50" t="s">
        <v>426</v>
      </c>
      <c r="H103" s="73">
        <v>2102</v>
      </c>
      <c r="I103" s="57">
        <v>6</v>
      </c>
      <c r="J103" s="50" t="s">
        <v>50</v>
      </c>
      <c r="K103" s="63">
        <v>1713.5</v>
      </c>
      <c r="L103" s="50" t="s">
        <v>317</v>
      </c>
      <c r="M103" s="64">
        <v>1712.4</v>
      </c>
      <c r="N103" s="65">
        <v>7</v>
      </c>
      <c r="O103" s="64">
        <v>119.86</v>
      </c>
      <c r="P103" s="63">
        <v>0</v>
      </c>
      <c r="Q103" s="64">
        <v>1.1000000000000001</v>
      </c>
    </row>
    <row r="104" spans="1:17" ht="11.1" customHeight="1" x14ac:dyDescent="0.25">
      <c r="A104" s="57">
        <v>27555</v>
      </c>
      <c r="B104" s="72">
        <v>46136</v>
      </c>
      <c r="C104" s="59" t="s">
        <v>1984</v>
      </c>
      <c r="D104" s="50" t="s">
        <v>1978</v>
      </c>
      <c r="E104" s="57">
        <v>36</v>
      </c>
      <c r="F104" s="57">
        <v>542</v>
      </c>
      <c r="G104" s="50" t="s">
        <v>426</v>
      </c>
      <c r="H104" s="73">
        <v>2102</v>
      </c>
      <c r="I104" s="57">
        <v>6</v>
      </c>
      <c r="J104" s="50" t="s">
        <v>50</v>
      </c>
      <c r="K104" s="63">
        <v>9172.86</v>
      </c>
      <c r="L104" s="50" t="s">
        <v>317</v>
      </c>
      <c r="M104" s="64">
        <v>590.24</v>
      </c>
      <c r="N104" s="65">
        <v>4</v>
      </c>
      <c r="O104" s="64">
        <v>23.61</v>
      </c>
      <c r="P104" s="63">
        <v>0</v>
      </c>
      <c r="Q104" s="64">
        <v>0</v>
      </c>
    </row>
    <row r="105" spans="1:17" ht="11.1" customHeight="1" x14ac:dyDescent="0.25">
      <c r="L105" s="50" t="s">
        <v>317</v>
      </c>
      <c r="M105" s="64">
        <v>8497</v>
      </c>
      <c r="N105" s="65">
        <v>7</v>
      </c>
      <c r="O105" s="64">
        <v>594.78</v>
      </c>
      <c r="P105" s="63">
        <v>0</v>
      </c>
      <c r="Q105" s="64">
        <v>85.62</v>
      </c>
    </row>
    <row r="106" spans="1:17" ht="11.1" customHeight="1" x14ac:dyDescent="0.25">
      <c r="A106" s="57">
        <v>27556</v>
      </c>
      <c r="B106" s="72">
        <v>46139</v>
      </c>
      <c r="C106" s="59" t="s">
        <v>1985</v>
      </c>
      <c r="D106" s="50" t="s">
        <v>1978</v>
      </c>
      <c r="E106" s="57">
        <v>36</v>
      </c>
      <c r="F106" s="57">
        <v>542</v>
      </c>
      <c r="G106" s="50" t="s">
        <v>426</v>
      </c>
      <c r="H106" s="73">
        <v>2102</v>
      </c>
      <c r="I106" s="57">
        <v>6</v>
      </c>
      <c r="J106" s="50" t="s">
        <v>50</v>
      </c>
      <c r="K106" s="63">
        <v>10288.799999999999</v>
      </c>
      <c r="L106" s="50" t="s">
        <v>317</v>
      </c>
      <c r="M106" s="64">
        <v>10288.799999999999</v>
      </c>
      <c r="N106" s="65">
        <v>7</v>
      </c>
      <c r="O106" s="64">
        <v>720.22</v>
      </c>
      <c r="P106" s="63">
        <v>0</v>
      </c>
      <c r="Q106" s="64">
        <v>0</v>
      </c>
    </row>
    <row r="107" spans="1:17" ht="11.1" customHeight="1" x14ac:dyDescent="0.25">
      <c r="A107" s="57">
        <v>27557</v>
      </c>
      <c r="B107" s="72">
        <v>46139</v>
      </c>
      <c r="C107" s="59" t="s">
        <v>1986</v>
      </c>
      <c r="D107" s="50" t="s">
        <v>1978</v>
      </c>
      <c r="E107" s="57">
        <v>36</v>
      </c>
      <c r="F107" s="57">
        <v>542</v>
      </c>
      <c r="G107" s="50" t="s">
        <v>426</v>
      </c>
      <c r="H107" s="73">
        <v>2102</v>
      </c>
      <c r="I107" s="57">
        <v>6</v>
      </c>
      <c r="J107" s="50" t="s">
        <v>50</v>
      </c>
      <c r="K107" s="63">
        <v>14016.72</v>
      </c>
      <c r="L107" s="50" t="s">
        <v>317</v>
      </c>
      <c r="M107" s="64">
        <v>13981.3</v>
      </c>
      <c r="N107" s="65">
        <v>7</v>
      </c>
      <c r="O107" s="64">
        <v>978.7</v>
      </c>
      <c r="P107" s="63">
        <v>0</v>
      </c>
      <c r="Q107" s="64">
        <v>35.42</v>
      </c>
    </row>
    <row r="108" spans="1:17" ht="11.1" customHeight="1" x14ac:dyDescent="0.25">
      <c r="A108" s="15" t="s">
        <v>1907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 spans="1:17" ht="11.1" customHeight="1" x14ac:dyDescent="0.25">
      <c r="A109" s="10" t="s">
        <v>184</v>
      </c>
      <c r="B109" s="10" t="s">
        <v>1908</v>
      </c>
      <c r="C109" s="10" t="s">
        <v>298</v>
      </c>
      <c r="D109" s="71" t="s">
        <v>299</v>
      </c>
      <c r="E109" s="10" t="s">
        <v>300</v>
      </c>
      <c r="F109" s="10" t="s">
        <v>184</v>
      </c>
      <c r="G109" s="71" t="s">
        <v>1909</v>
      </c>
      <c r="H109" s="10" t="s">
        <v>304</v>
      </c>
      <c r="I109" s="10" t="s">
        <v>305</v>
      </c>
      <c r="J109" s="71" t="s">
        <v>24</v>
      </c>
      <c r="K109" s="15" t="s">
        <v>306</v>
      </c>
      <c r="L109" s="71" t="s">
        <v>307</v>
      </c>
      <c r="M109" s="10" t="s">
        <v>308</v>
      </c>
      <c r="N109" s="10" t="s">
        <v>309</v>
      </c>
      <c r="O109" s="10" t="s">
        <v>73</v>
      </c>
      <c r="P109" s="15" t="s">
        <v>310</v>
      </c>
      <c r="Q109" s="10" t="s">
        <v>311</v>
      </c>
    </row>
    <row r="110" spans="1:17" ht="11.1" customHeight="1" x14ac:dyDescent="0.25">
      <c r="A110" s="15" t="s">
        <v>1912</v>
      </c>
      <c r="B110" s="15"/>
      <c r="C110" s="15"/>
      <c r="D110" s="15"/>
      <c r="E110" s="15"/>
      <c r="F110" s="15"/>
      <c r="G110" s="15"/>
      <c r="H110" s="15"/>
      <c r="I110" s="15"/>
    </row>
    <row r="111" spans="1:17" ht="11.1" customHeight="1" x14ac:dyDescent="0.25">
      <c r="K111" s="63">
        <v>82256.38</v>
      </c>
      <c r="L111" s="50" t="s">
        <v>317</v>
      </c>
      <c r="M111" s="64">
        <v>82005.63</v>
      </c>
      <c r="O111" s="64">
        <v>5722.68</v>
      </c>
      <c r="P111" s="63">
        <v>0</v>
      </c>
      <c r="Q111" s="64">
        <v>250.75</v>
      </c>
    </row>
    <row r="112" spans="1:17" ht="11.1" customHeight="1" x14ac:dyDescent="0.25">
      <c r="A112" s="57">
        <v>27526</v>
      </c>
      <c r="B112" s="72">
        <v>46113</v>
      </c>
      <c r="C112" s="59" t="s">
        <v>1987</v>
      </c>
      <c r="D112" s="50" t="s">
        <v>1978</v>
      </c>
      <c r="E112" s="57">
        <v>36</v>
      </c>
      <c r="F112" s="57">
        <v>653</v>
      </c>
      <c r="G112" s="50" t="s">
        <v>426</v>
      </c>
      <c r="H112" s="73">
        <v>2102</v>
      </c>
      <c r="I112" s="57">
        <v>6</v>
      </c>
      <c r="J112" s="50" t="s">
        <v>50</v>
      </c>
      <c r="K112" s="63">
        <v>185588.27</v>
      </c>
      <c r="L112" s="50" t="s">
        <v>317</v>
      </c>
      <c r="M112" s="64">
        <v>11066.55</v>
      </c>
      <c r="N112" s="65">
        <v>4</v>
      </c>
      <c r="O112" s="64">
        <v>442.64</v>
      </c>
      <c r="P112" s="63">
        <v>0</v>
      </c>
      <c r="Q112" s="64">
        <v>332.24</v>
      </c>
    </row>
    <row r="113" spans="1:17" ht="11.1" customHeight="1" x14ac:dyDescent="0.25">
      <c r="L113" s="50" t="s">
        <v>317</v>
      </c>
      <c r="M113" s="64">
        <v>167165.63</v>
      </c>
      <c r="N113" s="65">
        <v>7</v>
      </c>
      <c r="O113" s="64">
        <v>11701.58</v>
      </c>
      <c r="P113" s="63">
        <v>0</v>
      </c>
      <c r="Q113" s="64">
        <v>7023.85</v>
      </c>
    </row>
    <row r="114" spans="1:17" ht="11.1" customHeight="1" x14ac:dyDescent="0.25">
      <c r="A114" s="57">
        <v>27527</v>
      </c>
      <c r="B114" s="72">
        <v>46119</v>
      </c>
      <c r="C114" s="59" t="s">
        <v>1988</v>
      </c>
      <c r="D114" s="50" t="s">
        <v>1978</v>
      </c>
      <c r="E114" s="57">
        <v>36</v>
      </c>
      <c r="F114" s="57">
        <v>653</v>
      </c>
      <c r="G114" s="50" t="s">
        <v>426</v>
      </c>
      <c r="H114" s="73">
        <v>2102</v>
      </c>
      <c r="I114" s="57">
        <v>6</v>
      </c>
      <c r="J114" s="50" t="s">
        <v>50</v>
      </c>
      <c r="K114" s="63">
        <v>52394.63</v>
      </c>
      <c r="L114" s="50" t="s">
        <v>317</v>
      </c>
      <c r="M114" s="64">
        <v>50745.39</v>
      </c>
      <c r="N114" s="65">
        <v>7</v>
      </c>
      <c r="O114" s="64">
        <v>3552.18</v>
      </c>
      <c r="P114" s="63">
        <v>0</v>
      </c>
      <c r="Q114" s="64">
        <v>1649.24</v>
      </c>
    </row>
    <row r="115" spans="1:17" ht="11.1" customHeight="1" x14ac:dyDescent="0.25">
      <c r="A115" s="57">
        <v>27528</v>
      </c>
      <c r="B115" s="72">
        <v>46122</v>
      </c>
      <c r="C115" s="59" t="s">
        <v>1989</v>
      </c>
      <c r="D115" s="50" t="s">
        <v>1978</v>
      </c>
      <c r="E115" s="57">
        <v>36</v>
      </c>
      <c r="F115" s="57">
        <v>653</v>
      </c>
      <c r="G115" s="50" t="s">
        <v>426</v>
      </c>
      <c r="H115" s="73">
        <v>2102</v>
      </c>
      <c r="I115" s="57">
        <v>6</v>
      </c>
      <c r="J115" s="50" t="s">
        <v>50</v>
      </c>
      <c r="K115" s="63">
        <v>89633.29</v>
      </c>
      <c r="L115" s="50" t="s">
        <v>317</v>
      </c>
      <c r="M115" s="64">
        <v>13037.38</v>
      </c>
      <c r="N115" s="65">
        <v>4</v>
      </c>
      <c r="O115" s="64">
        <v>521.49</v>
      </c>
      <c r="P115" s="63">
        <v>0</v>
      </c>
      <c r="Q115" s="64">
        <v>396.29</v>
      </c>
    </row>
    <row r="116" spans="1:17" ht="11.1" customHeight="1" x14ac:dyDescent="0.25">
      <c r="L116" s="50" t="s">
        <v>317</v>
      </c>
      <c r="M116" s="64">
        <v>72691.81</v>
      </c>
      <c r="N116" s="65">
        <v>7</v>
      </c>
      <c r="O116" s="64">
        <v>5088.43</v>
      </c>
      <c r="P116" s="63">
        <v>0</v>
      </c>
      <c r="Q116" s="64">
        <v>3507.81</v>
      </c>
    </row>
    <row r="117" spans="1:17" ht="11.1" customHeight="1" x14ac:dyDescent="0.25">
      <c r="A117" s="57">
        <v>27529</v>
      </c>
      <c r="B117" s="72">
        <v>46125</v>
      </c>
      <c r="C117" s="59" t="s">
        <v>1990</v>
      </c>
      <c r="D117" s="50" t="s">
        <v>1978</v>
      </c>
      <c r="E117" s="57">
        <v>36</v>
      </c>
      <c r="F117" s="57">
        <v>653</v>
      </c>
      <c r="G117" s="50" t="s">
        <v>426</v>
      </c>
      <c r="H117" s="73">
        <v>2102</v>
      </c>
      <c r="I117" s="57">
        <v>6</v>
      </c>
      <c r="J117" s="50" t="s">
        <v>50</v>
      </c>
      <c r="K117" s="63">
        <v>3371.7</v>
      </c>
      <c r="L117" s="50" t="s">
        <v>317</v>
      </c>
      <c r="M117" s="64">
        <v>3265.57</v>
      </c>
      <c r="N117" s="65">
        <v>7</v>
      </c>
      <c r="O117" s="64">
        <v>228.59</v>
      </c>
      <c r="P117" s="63">
        <v>0</v>
      </c>
      <c r="Q117" s="64">
        <v>106.13</v>
      </c>
    </row>
    <row r="118" spans="1:17" ht="11.1" customHeight="1" x14ac:dyDescent="0.25">
      <c r="A118" s="57">
        <v>27530</v>
      </c>
      <c r="B118" s="72">
        <v>46125</v>
      </c>
      <c r="C118" s="59" t="s">
        <v>1991</v>
      </c>
      <c r="D118" s="50" t="s">
        <v>1978</v>
      </c>
      <c r="E118" s="57">
        <v>36</v>
      </c>
      <c r="F118" s="57">
        <v>653</v>
      </c>
      <c r="G118" s="50" t="s">
        <v>426</v>
      </c>
      <c r="H118" s="73">
        <v>2102</v>
      </c>
      <c r="I118" s="57">
        <v>6</v>
      </c>
      <c r="J118" s="50" t="s">
        <v>50</v>
      </c>
      <c r="K118" s="63">
        <v>708.47</v>
      </c>
      <c r="L118" s="50" t="s">
        <v>317</v>
      </c>
      <c r="M118" s="64">
        <v>686.17</v>
      </c>
      <c r="N118" s="65">
        <v>7</v>
      </c>
      <c r="O118" s="64">
        <v>48.03</v>
      </c>
      <c r="P118" s="63">
        <v>0</v>
      </c>
      <c r="Q118" s="64">
        <v>22.3</v>
      </c>
    </row>
    <row r="119" spans="1:17" ht="11.1" customHeight="1" x14ac:dyDescent="0.25">
      <c r="A119" s="57">
        <v>27531</v>
      </c>
      <c r="B119" s="72">
        <v>46125</v>
      </c>
      <c r="C119" s="59" t="s">
        <v>1992</v>
      </c>
      <c r="D119" s="50" t="s">
        <v>1978</v>
      </c>
      <c r="E119" s="57">
        <v>36</v>
      </c>
      <c r="F119" s="57">
        <v>653</v>
      </c>
      <c r="G119" s="50" t="s">
        <v>426</v>
      </c>
      <c r="H119" s="73">
        <v>2102</v>
      </c>
      <c r="I119" s="57">
        <v>6</v>
      </c>
      <c r="J119" s="50" t="s">
        <v>50</v>
      </c>
      <c r="K119" s="63">
        <v>944.63</v>
      </c>
      <c r="L119" s="50" t="s">
        <v>317</v>
      </c>
      <c r="M119" s="64">
        <v>914.9</v>
      </c>
      <c r="N119" s="65">
        <v>7</v>
      </c>
      <c r="O119" s="64">
        <v>64.040000000000006</v>
      </c>
      <c r="P119" s="63">
        <v>0</v>
      </c>
      <c r="Q119" s="64">
        <v>29.73</v>
      </c>
    </row>
    <row r="120" spans="1:17" ht="11.1" customHeight="1" x14ac:dyDescent="0.25">
      <c r="A120" s="57">
        <v>27532</v>
      </c>
      <c r="B120" s="72">
        <v>46125</v>
      </c>
      <c r="C120" s="59" t="s">
        <v>1993</v>
      </c>
      <c r="D120" s="50" t="s">
        <v>1978</v>
      </c>
      <c r="E120" s="57">
        <v>36</v>
      </c>
      <c r="F120" s="57">
        <v>653</v>
      </c>
      <c r="G120" s="50" t="s">
        <v>426</v>
      </c>
      <c r="H120" s="73">
        <v>2102</v>
      </c>
      <c r="I120" s="57">
        <v>6</v>
      </c>
      <c r="J120" s="50" t="s">
        <v>50</v>
      </c>
      <c r="K120" s="63">
        <v>7074.04</v>
      </c>
      <c r="L120" s="50" t="s">
        <v>317</v>
      </c>
      <c r="M120" s="64">
        <v>6851.37</v>
      </c>
      <c r="N120" s="65">
        <v>7</v>
      </c>
      <c r="O120" s="64">
        <v>479.6</v>
      </c>
      <c r="P120" s="63">
        <v>0</v>
      </c>
      <c r="Q120" s="64">
        <v>222.67</v>
      </c>
    </row>
    <row r="121" spans="1:17" ht="11.1" customHeight="1" x14ac:dyDescent="0.25">
      <c r="A121" s="57">
        <v>27533</v>
      </c>
      <c r="B121" s="72">
        <v>46125</v>
      </c>
      <c r="C121" s="59" t="s">
        <v>1994</v>
      </c>
      <c r="D121" s="50" t="s">
        <v>1978</v>
      </c>
      <c r="E121" s="57">
        <v>36</v>
      </c>
      <c r="F121" s="57">
        <v>653</v>
      </c>
      <c r="G121" s="50" t="s">
        <v>426</v>
      </c>
      <c r="H121" s="73">
        <v>2910</v>
      </c>
      <c r="I121" s="57">
        <v>23</v>
      </c>
      <c r="J121" s="50" t="s">
        <v>50</v>
      </c>
      <c r="K121" s="63">
        <v>40961.4</v>
      </c>
      <c r="L121" s="50" t="s">
        <v>317</v>
      </c>
      <c r="M121" s="64">
        <v>34431.14</v>
      </c>
      <c r="N121" s="65">
        <v>4</v>
      </c>
      <c r="O121" s="64">
        <v>1377.26</v>
      </c>
      <c r="P121" s="63">
        <v>0</v>
      </c>
      <c r="Q121" s="64">
        <v>1118.99</v>
      </c>
    </row>
    <row r="122" spans="1:17" ht="11.1" customHeight="1" x14ac:dyDescent="0.25">
      <c r="L122" s="50" t="s">
        <v>317</v>
      </c>
      <c r="M122" s="64">
        <v>5240.95</v>
      </c>
      <c r="N122" s="65">
        <v>7</v>
      </c>
      <c r="O122" s="64">
        <v>366.87</v>
      </c>
      <c r="P122" s="63">
        <v>0</v>
      </c>
      <c r="Q122" s="64">
        <v>170.32</v>
      </c>
    </row>
    <row r="123" spans="1:17" ht="11.1" customHeight="1" x14ac:dyDescent="0.25">
      <c r="A123" s="57">
        <v>27534</v>
      </c>
      <c r="B123" s="72">
        <v>46126</v>
      </c>
      <c r="C123" s="59" t="s">
        <v>1995</v>
      </c>
      <c r="D123" s="50" t="s">
        <v>1978</v>
      </c>
      <c r="E123" s="57">
        <v>36</v>
      </c>
      <c r="F123" s="57">
        <v>653</v>
      </c>
      <c r="G123" s="50" t="s">
        <v>426</v>
      </c>
      <c r="H123" s="73">
        <v>2102</v>
      </c>
      <c r="I123" s="57">
        <v>6</v>
      </c>
      <c r="J123" s="50" t="s">
        <v>50</v>
      </c>
      <c r="K123" s="63">
        <v>7189.98</v>
      </c>
      <c r="L123" s="50" t="s">
        <v>317</v>
      </c>
      <c r="M123" s="64">
        <v>643.08000000000004</v>
      </c>
      <c r="N123" s="65">
        <v>4</v>
      </c>
      <c r="O123" s="64">
        <v>25.72</v>
      </c>
      <c r="P123" s="63">
        <v>0</v>
      </c>
      <c r="Q123" s="64">
        <v>20.9</v>
      </c>
    </row>
    <row r="124" spans="1:17" ht="11.1" customHeight="1" x14ac:dyDescent="0.25">
      <c r="L124" s="50" t="s">
        <v>317</v>
      </c>
      <c r="M124" s="64">
        <v>6290.38</v>
      </c>
      <c r="N124" s="65">
        <v>7</v>
      </c>
      <c r="O124" s="64">
        <v>440.32</v>
      </c>
      <c r="P124" s="63">
        <v>0</v>
      </c>
      <c r="Q124" s="64">
        <v>235.62</v>
      </c>
    </row>
    <row r="125" spans="1:17" ht="11.1" customHeight="1" x14ac:dyDescent="0.25">
      <c r="A125" s="57">
        <v>27535</v>
      </c>
      <c r="B125" s="72">
        <v>46126</v>
      </c>
      <c r="C125" s="59" t="s">
        <v>1996</v>
      </c>
      <c r="D125" s="50" t="s">
        <v>1978</v>
      </c>
      <c r="E125" s="57">
        <v>36</v>
      </c>
      <c r="F125" s="57">
        <v>653</v>
      </c>
      <c r="G125" s="50" t="s">
        <v>426</v>
      </c>
      <c r="H125" s="73">
        <v>2102</v>
      </c>
      <c r="I125" s="57">
        <v>6</v>
      </c>
      <c r="J125" s="50" t="s">
        <v>50</v>
      </c>
      <c r="K125" s="63">
        <v>1433.3</v>
      </c>
      <c r="L125" s="50" t="s">
        <v>317</v>
      </c>
      <c r="M125" s="64">
        <v>1388.19</v>
      </c>
      <c r="N125" s="65">
        <v>7</v>
      </c>
      <c r="O125" s="64">
        <v>97.18</v>
      </c>
      <c r="P125" s="63">
        <v>0</v>
      </c>
      <c r="Q125" s="64">
        <v>45.11</v>
      </c>
    </row>
    <row r="126" spans="1:17" ht="11.1" customHeight="1" x14ac:dyDescent="0.25">
      <c r="A126" s="57">
        <v>27536</v>
      </c>
      <c r="B126" s="72">
        <v>46126</v>
      </c>
      <c r="C126" s="59" t="s">
        <v>1997</v>
      </c>
      <c r="D126" s="50" t="s">
        <v>1978</v>
      </c>
      <c r="E126" s="57">
        <v>36</v>
      </c>
      <c r="F126" s="57">
        <v>653</v>
      </c>
      <c r="G126" s="50" t="s">
        <v>426</v>
      </c>
      <c r="H126" s="73">
        <v>2102</v>
      </c>
      <c r="I126" s="57">
        <v>6</v>
      </c>
      <c r="J126" s="50" t="s">
        <v>50</v>
      </c>
      <c r="K126" s="63">
        <v>1474.18</v>
      </c>
      <c r="L126" s="50" t="s">
        <v>317</v>
      </c>
      <c r="M126" s="64">
        <v>1213.8900000000001</v>
      </c>
      <c r="N126" s="65">
        <v>4</v>
      </c>
      <c r="O126" s="64">
        <v>48.56</v>
      </c>
      <c r="P126" s="63">
        <v>0</v>
      </c>
      <c r="Q126" s="64">
        <v>39.450000000000003</v>
      </c>
    </row>
    <row r="127" spans="1:17" ht="11.1" customHeight="1" x14ac:dyDescent="0.25">
      <c r="L127" s="50" t="s">
        <v>317</v>
      </c>
      <c r="M127" s="64">
        <v>213.89</v>
      </c>
      <c r="N127" s="65">
        <v>7</v>
      </c>
      <c r="O127" s="64">
        <v>14.97</v>
      </c>
      <c r="P127" s="63">
        <v>0</v>
      </c>
      <c r="Q127" s="64">
        <v>6.95</v>
      </c>
    </row>
    <row r="128" spans="1:17" ht="11.1" customHeight="1" x14ac:dyDescent="0.25">
      <c r="A128" s="57">
        <v>27537</v>
      </c>
      <c r="B128" s="72">
        <v>46126</v>
      </c>
      <c r="C128" s="59" t="s">
        <v>1998</v>
      </c>
      <c r="D128" s="50" t="s">
        <v>1978</v>
      </c>
      <c r="E128" s="57">
        <v>36</v>
      </c>
      <c r="F128" s="57">
        <v>653</v>
      </c>
      <c r="G128" s="50" t="s">
        <v>426</v>
      </c>
      <c r="H128" s="73">
        <v>2102</v>
      </c>
      <c r="I128" s="57">
        <v>6</v>
      </c>
      <c r="J128" s="50" t="s">
        <v>50</v>
      </c>
      <c r="K128" s="63">
        <v>707.45</v>
      </c>
      <c r="L128" s="50" t="s">
        <v>317</v>
      </c>
      <c r="M128" s="64">
        <v>685.18</v>
      </c>
      <c r="N128" s="65">
        <v>7</v>
      </c>
      <c r="O128" s="64">
        <v>47.96</v>
      </c>
      <c r="P128" s="63">
        <v>0</v>
      </c>
      <c r="Q128" s="64">
        <v>22.27</v>
      </c>
    </row>
    <row r="129" spans="1:17" ht="11.1" customHeight="1" x14ac:dyDescent="0.25">
      <c r="A129" s="57">
        <v>27538</v>
      </c>
      <c r="B129" s="72">
        <v>46126</v>
      </c>
      <c r="C129" s="59" t="s">
        <v>1999</v>
      </c>
      <c r="D129" s="50" t="s">
        <v>1978</v>
      </c>
      <c r="E129" s="57">
        <v>36</v>
      </c>
      <c r="F129" s="57">
        <v>653</v>
      </c>
      <c r="G129" s="50" t="s">
        <v>426</v>
      </c>
      <c r="H129" s="73">
        <v>2102</v>
      </c>
      <c r="I129" s="57">
        <v>6</v>
      </c>
      <c r="J129" s="50" t="s">
        <v>50</v>
      </c>
      <c r="K129" s="63">
        <v>142805.76000000001</v>
      </c>
      <c r="L129" s="50" t="s">
        <v>317</v>
      </c>
      <c r="M129" s="64">
        <v>137191.9</v>
      </c>
      <c r="N129" s="65">
        <v>7</v>
      </c>
      <c r="O129" s="64">
        <v>9603.44</v>
      </c>
      <c r="P129" s="63">
        <v>0</v>
      </c>
      <c r="Q129" s="64">
        <v>5613.86</v>
      </c>
    </row>
    <row r="130" spans="1:17" ht="11.1" customHeight="1" x14ac:dyDescent="0.25">
      <c r="A130" s="57">
        <v>27539</v>
      </c>
      <c r="B130" s="72">
        <v>46127</v>
      </c>
      <c r="C130" s="59" t="s">
        <v>2000</v>
      </c>
      <c r="D130" s="50" t="s">
        <v>1978</v>
      </c>
      <c r="E130" s="57">
        <v>36</v>
      </c>
      <c r="F130" s="57">
        <v>653</v>
      </c>
      <c r="G130" s="50" t="s">
        <v>426</v>
      </c>
      <c r="H130" s="73">
        <v>2102</v>
      </c>
      <c r="I130" s="57">
        <v>6</v>
      </c>
      <c r="J130" s="50" t="s">
        <v>50</v>
      </c>
      <c r="K130" s="63">
        <v>2864.77</v>
      </c>
      <c r="L130" s="50" t="s">
        <v>317</v>
      </c>
      <c r="M130" s="64">
        <v>2841.68</v>
      </c>
      <c r="N130" s="65">
        <v>7</v>
      </c>
      <c r="O130" s="64">
        <v>198.91</v>
      </c>
      <c r="P130" s="63">
        <v>0</v>
      </c>
      <c r="Q130" s="64">
        <v>23.09</v>
      </c>
    </row>
    <row r="131" spans="1:17" ht="11.1" customHeight="1" x14ac:dyDescent="0.25">
      <c r="A131" s="57">
        <v>27540</v>
      </c>
      <c r="B131" s="72">
        <v>46132</v>
      </c>
      <c r="C131" s="59" t="s">
        <v>2001</v>
      </c>
      <c r="D131" s="50" t="s">
        <v>1978</v>
      </c>
      <c r="E131" s="57">
        <v>36</v>
      </c>
      <c r="F131" s="57">
        <v>653</v>
      </c>
      <c r="G131" s="50" t="s">
        <v>426</v>
      </c>
      <c r="H131" s="73">
        <v>2102</v>
      </c>
      <c r="I131" s="57">
        <v>6</v>
      </c>
      <c r="J131" s="50" t="s">
        <v>50</v>
      </c>
      <c r="K131" s="63">
        <v>179.23</v>
      </c>
      <c r="L131" s="50" t="s">
        <v>317</v>
      </c>
      <c r="M131" s="64">
        <v>173.59</v>
      </c>
      <c r="N131" s="65">
        <v>7</v>
      </c>
      <c r="O131" s="64">
        <v>12.15</v>
      </c>
      <c r="P131" s="63">
        <v>0</v>
      </c>
      <c r="Q131" s="64">
        <v>5.64</v>
      </c>
    </row>
    <row r="132" spans="1:17" ht="11.1" customHeight="1" x14ac:dyDescent="0.25">
      <c r="A132" s="57">
        <v>27541</v>
      </c>
      <c r="B132" s="72">
        <v>46132</v>
      </c>
      <c r="C132" s="59" t="s">
        <v>2002</v>
      </c>
      <c r="D132" s="50" t="s">
        <v>1978</v>
      </c>
      <c r="E132" s="57">
        <v>36</v>
      </c>
      <c r="F132" s="57">
        <v>653</v>
      </c>
      <c r="G132" s="50" t="s">
        <v>426</v>
      </c>
      <c r="H132" s="73">
        <v>2910</v>
      </c>
      <c r="I132" s="57">
        <v>23</v>
      </c>
      <c r="J132" s="50" t="s">
        <v>50</v>
      </c>
      <c r="K132" s="63">
        <v>2271.2199999999998</v>
      </c>
      <c r="L132" s="50" t="s">
        <v>317</v>
      </c>
      <c r="M132" s="64">
        <v>2199.73</v>
      </c>
      <c r="N132" s="65">
        <v>7</v>
      </c>
      <c r="O132" s="64">
        <v>153.97999999999999</v>
      </c>
      <c r="P132" s="63">
        <v>0</v>
      </c>
      <c r="Q132" s="64">
        <v>71.489999999999995</v>
      </c>
    </row>
    <row r="133" spans="1:17" ht="11.1" customHeight="1" x14ac:dyDescent="0.25">
      <c r="A133" s="57">
        <v>27542</v>
      </c>
      <c r="B133" s="72">
        <v>46136</v>
      </c>
      <c r="C133" s="59" t="s">
        <v>2003</v>
      </c>
      <c r="D133" s="50" t="s">
        <v>1978</v>
      </c>
      <c r="E133" s="57">
        <v>36</v>
      </c>
      <c r="F133" s="57">
        <v>653</v>
      </c>
      <c r="G133" s="50" t="s">
        <v>426</v>
      </c>
      <c r="H133" s="73">
        <v>2102</v>
      </c>
      <c r="I133" s="57">
        <v>6</v>
      </c>
      <c r="J133" s="50" t="s">
        <v>50</v>
      </c>
      <c r="K133" s="63">
        <v>21542.33</v>
      </c>
      <c r="L133" s="50" t="s">
        <v>317</v>
      </c>
      <c r="M133" s="64">
        <v>20864.240000000002</v>
      </c>
      <c r="N133" s="65">
        <v>7</v>
      </c>
      <c r="O133" s="64">
        <v>1460.49</v>
      </c>
      <c r="P133" s="63">
        <v>0</v>
      </c>
      <c r="Q133" s="64">
        <v>678.09</v>
      </c>
    </row>
    <row r="134" spans="1:17" ht="11.1" customHeight="1" x14ac:dyDescent="0.25">
      <c r="A134" s="57">
        <v>27543</v>
      </c>
      <c r="B134" s="72">
        <v>46139</v>
      </c>
      <c r="C134" s="59" t="s">
        <v>2004</v>
      </c>
      <c r="D134" s="50" t="s">
        <v>1978</v>
      </c>
      <c r="E134" s="57">
        <v>36</v>
      </c>
      <c r="F134" s="57">
        <v>653</v>
      </c>
      <c r="G134" s="50" t="s">
        <v>426</v>
      </c>
      <c r="H134" s="73">
        <v>2102</v>
      </c>
      <c r="I134" s="57">
        <v>6</v>
      </c>
      <c r="J134" s="50" t="s">
        <v>50</v>
      </c>
      <c r="K134" s="63">
        <v>7588.4</v>
      </c>
      <c r="L134" s="50" t="s">
        <v>317</v>
      </c>
      <c r="M134" s="64">
        <v>7407.64</v>
      </c>
      <c r="N134" s="65">
        <v>7</v>
      </c>
      <c r="O134" s="64">
        <v>518.52</v>
      </c>
      <c r="P134" s="63">
        <v>0</v>
      </c>
      <c r="Q134" s="64">
        <v>180.76</v>
      </c>
    </row>
    <row r="135" spans="1:17" ht="11.1" customHeight="1" x14ac:dyDescent="0.25">
      <c r="A135" s="57">
        <v>27544</v>
      </c>
      <c r="B135" s="72">
        <v>46140</v>
      </c>
      <c r="C135" s="59" t="s">
        <v>2005</v>
      </c>
      <c r="D135" s="50" t="s">
        <v>1978</v>
      </c>
      <c r="E135" s="57">
        <v>36</v>
      </c>
      <c r="F135" s="57">
        <v>653</v>
      </c>
      <c r="G135" s="50" t="s">
        <v>426</v>
      </c>
      <c r="H135" s="73">
        <v>2102</v>
      </c>
      <c r="I135" s="57">
        <v>6</v>
      </c>
      <c r="J135" s="50" t="s">
        <v>50</v>
      </c>
      <c r="K135" s="63">
        <v>31372.62</v>
      </c>
      <c r="L135" s="50" t="s">
        <v>317</v>
      </c>
      <c r="M135" s="64">
        <v>30378.400000000001</v>
      </c>
      <c r="N135" s="65">
        <v>7</v>
      </c>
      <c r="O135" s="64">
        <v>2126.5100000000002</v>
      </c>
      <c r="P135" s="63">
        <v>0</v>
      </c>
      <c r="Q135" s="64">
        <v>994.22</v>
      </c>
    </row>
    <row r="136" spans="1:17" ht="11.1" customHeight="1" x14ac:dyDescent="0.25">
      <c r="A136" s="57">
        <v>27545</v>
      </c>
      <c r="B136" s="72">
        <v>46140</v>
      </c>
      <c r="C136" s="59" t="s">
        <v>2006</v>
      </c>
      <c r="D136" s="50" t="s">
        <v>1978</v>
      </c>
      <c r="E136" s="57">
        <v>36</v>
      </c>
      <c r="F136" s="57">
        <v>653</v>
      </c>
      <c r="G136" s="50" t="s">
        <v>426</v>
      </c>
      <c r="H136" s="73">
        <v>2102</v>
      </c>
      <c r="I136" s="57">
        <v>6</v>
      </c>
      <c r="J136" s="50" t="s">
        <v>50</v>
      </c>
      <c r="K136" s="63">
        <v>57854.45</v>
      </c>
      <c r="L136" s="50" t="s">
        <v>317</v>
      </c>
      <c r="M136" s="64">
        <v>55743.28</v>
      </c>
      <c r="N136" s="65">
        <v>7</v>
      </c>
      <c r="O136" s="64">
        <v>3902.02</v>
      </c>
      <c r="P136" s="63">
        <v>0</v>
      </c>
      <c r="Q136" s="64">
        <v>2111.17</v>
      </c>
    </row>
    <row r="137" spans="1:17" ht="11.1" customHeight="1" x14ac:dyDescent="0.25">
      <c r="A137" s="57">
        <v>27546</v>
      </c>
      <c r="B137" s="72">
        <v>46142</v>
      </c>
      <c r="C137" s="59" t="s">
        <v>2007</v>
      </c>
      <c r="D137" s="50" t="s">
        <v>1978</v>
      </c>
      <c r="E137" s="57">
        <v>36</v>
      </c>
      <c r="F137" s="57">
        <v>653</v>
      </c>
      <c r="G137" s="50" t="s">
        <v>426</v>
      </c>
      <c r="H137" s="73">
        <v>2102</v>
      </c>
      <c r="I137" s="57">
        <v>6</v>
      </c>
      <c r="J137" s="50" t="s">
        <v>50</v>
      </c>
      <c r="K137" s="63">
        <v>6520.42</v>
      </c>
      <c r="L137" s="50" t="s">
        <v>317</v>
      </c>
      <c r="M137" s="64">
        <v>6423.77</v>
      </c>
      <c r="N137" s="65">
        <v>7</v>
      </c>
      <c r="O137" s="64">
        <v>449.66</v>
      </c>
      <c r="P137" s="63">
        <v>0</v>
      </c>
      <c r="Q137" s="64">
        <v>96.65</v>
      </c>
    </row>
    <row r="138" spans="1:17" ht="11.1" customHeight="1" x14ac:dyDescent="0.25">
      <c r="A138" s="57">
        <v>27547</v>
      </c>
      <c r="B138" s="72">
        <v>46142</v>
      </c>
      <c r="C138" s="59" t="s">
        <v>2008</v>
      </c>
      <c r="D138" s="50" t="s">
        <v>1978</v>
      </c>
      <c r="E138" s="57">
        <v>36</v>
      </c>
      <c r="F138" s="57">
        <v>653</v>
      </c>
      <c r="G138" s="50" t="s">
        <v>426</v>
      </c>
      <c r="H138" s="73">
        <v>2102</v>
      </c>
      <c r="I138" s="57">
        <v>6</v>
      </c>
      <c r="J138" s="50" t="s">
        <v>50</v>
      </c>
      <c r="K138" s="63">
        <v>353.71</v>
      </c>
      <c r="L138" s="50" t="s">
        <v>317</v>
      </c>
      <c r="M138" s="64">
        <v>342.58</v>
      </c>
      <c r="N138" s="65">
        <v>7</v>
      </c>
      <c r="O138" s="64">
        <v>23.98</v>
      </c>
      <c r="P138" s="63">
        <v>0</v>
      </c>
      <c r="Q138" s="64">
        <v>11.13</v>
      </c>
    </row>
    <row r="139" spans="1:17" ht="11.1" customHeight="1" x14ac:dyDescent="0.25">
      <c r="A139" s="57">
        <v>27548</v>
      </c>
      <c r="B139" s="72">
        <v>46142</v>
      </c>
      <c r="C139" s="59" t="s">
        <v>2009</v>
      </c>
      <c r="D139" s="50" t="s">
        <v>1978</v>
      </c>
      <c r="E139" s="57">
        <v>36</v>
      </c>
      <c r="F139" s="57">
        <v>653</v>
      </c>
      <c r="G139" s="50" t="s">
        <v>426</v>
      </c>
      <c r="H139" s="73">
        <v>2102</v>
      </c>
      <c r="I139" s="57">
        <v>6</v>
      </c>
      <c r="J139" s="50" t="s">
        <v>50</v>
      </c>
      <c r="K139" s="63">
        <v>9153.27</v>
      </c>
      <c r="L139" s="50" t="s">
        <v>317</v>
      </c>
      <c r="M139" s="64">
        <v>8945.98</v>
      </c>
      <c r="N139" s="65">
        <v>7</v>
      </c>
      <c r="O139" s="64">
        <v>626.21</v>
      </c>
      <c r="P139" s="63">
        <v>0</v>
      </c>
      <c r="Q139" s="64">
        <v>207.29</v>
      </c>
    </row>
    <row r="140" spans="1:17" ht="11.1" customHeight="1" x14ac:dyDescent="0.25">
      <c r="A140" s="57">
        <v>27629</v>
      </c>
      <c r="B140" s="72">
        <v>46113</v>
      </c>
      <c r="C140" s="59" t="s">
        <v>2010</v>
      </c>
      <c r="D140" s="50" t="s">
        <v>1978</v>
      </c>
      <c r="E140" s="57">
        <v>36</v>
      </c>
      <c r="F140" s="57">
        <v>653</v>
      </c>
      <c r="G140" s="50" t="s">
        <v>426</v>
      </c>
      <c r="H140" s="73">
        <v>2102</v>
      </c>
      <c r="I140" s="57">
        <v>6</v>
      </c>
      <c r="J140" s="50" t="s">
        <v>50</v>
      </c>
      <c r="K140" s="63">
        <v>0</v>
      </c>
      <c r="L140" s="50" t="s">
        <v>317</v>
      </c>
      <c r="M140" s="64">
        <v>0</v>
      </c>
      <c r="N140" s="65">
        <v>0</v>
      </c>
      <c r="O140" s="64">
        <v>0</v>
      </c>
      <c r="P140" s="63">
        <v>0</v>
      </c>
      <c r="Q140" s="64">
        <v>0</v>
      </c>
    </row>
    <row r="141" spans="1:17" ht="11.1" customHeight="1" x14ac:dyDescent="0.25">
      <c r="A141" s="15" t="s">
        <v>1912</v>
      </c>
      <c r="B141" s="15"/>
      <c r="C141" s="15"/>
      <c r="D141" s="15"/>
      <c r="E141" s="15"/>
      <c r="F141" s="15"/>
      <c r="G141" s="15"/>
      <c r="H141" s="15"/>
      <c r="I141" s="15"/>
    </row>
    <row r="142" spans="1:17" ht="11.1" customHeight="1" x14ac:dyDescent="0.25">
      <c r="K142" s="63">
        <v>673987.52</v>
      </c>
      <c r="L142" s="50" t="s">
        <v>317</v>
      </c>
      <c r="M142" s="64">
        <v>649044.26</v>
      </c>
      <c r="O142" s="64">
        <v>43621.29</v>
      </c>
      <c r="P142" s="63">
        <v>0</v>
      </c>
      <c r="Q142" s="64">
        <v>24943.26</v>
      </c>
    </row>
    <row r="143" spans="1:17" ht="11.1" customHeight="1" x14ac:dyDescent="0.25">
      <c r="A143" s="57">
        <v>28356</v>
      </c>
      <c r="B143" s="72">
        <v>46113</v>
      </c>
      <c r="C143" s="59" t="s">
        <v>2011</v>
      </c>
      <c r="D143" s="50" t="s">
        <v>75</v>
      </c>
      <c r="E143" s="57">
        <v>39</v>
      </c>
      <c r="F143" s="57">
        <v>1238</v>
      </c>
      <c r="G143" s="50" t="s">
        <v>2012</v>
      </c>
      <c r="H143" s="73">
        <v>2933</v>
      </c>
      <c r="I143" s="57">
        <v>29</v>
      </c>
      <c r="J143" s="50" t="s">
        <v>50</v>
      </c>
      <c r="K143" s="63">
        <v>1</v>
      </c>
      <c r="L143" s="50" t="s">
        <v>1962</v>
      </c>
      <c r="M143" s="64">
        <v>1</v>
      </c>
      <c r="N143" s="65">
        <v>2</v>
      </c>
      <c r="O143" s="64">
        <v>0.02</v>
      </c>
      <c r="P143" s="63">
        <v>0</v>
      </c>
      <c r="Q143" s="64">
        <v>0</v>
      </c>
    </row>
    <row r="144" spans="1:17" ht="11.1" customHeight="1" x14ac:dyDescent="0.25">
      <c r="A144" s="15" t="s">
        <v>1912</v>
      </c>
      <c r="B144" s="15"/>
      <c r="C144" s="15"/>
      <c r="D144" s="15"/>
      <c r="E144" s="15"/>
      <c r="F144" s="15"/>
      <c r="G144" s="15"/>
      <c r="H144" s="15"/>
      <c r="I144" s="15"/>
    </row>
    <row r="145" spans="1:17" ht="11.1" customHeight="1" x14ac:dyDescent="0.25">
      <c r="K145" s="63">
        <v>1</v>
      </c>
      <c r="L145" s="50" t="s">
        <v>1962</v>
      </c>
      <c r="M145" s="64">
        <v>1</v>
      </c>
      <c r="O145" s="64">
        <v>0.02</v>
      </c>
      <c r="P145" s="63">
        <v>0</v>
      </c>
      <c r="Q145" s="64">
        <v>0</v>
      </c>
    </row>
    <row r="146" spans="1:17" ht="11.1" customHeight="1" x14ac:dyDescent="0.25">
      <c r="A146" s="57">
        <v>28472</v>
      </c>
      <c r="B146" s="72">
        <v>46140</v>
      </c>
      <c r="C146" s="59" t="s">
        <v>1956</v>
      </c>
      <c r="D146" s="50" t="s">
        <v>75</v>
      </c>
      <c r="E146" s="57">
        <v>39</v>
      </c>
      <c r="F146" s="57">
        <v>1243</v>
      </c>
      <c r="G146" s="50" t="s">
        <v>2013</v>
      </c>
      <c r="H146" s="73">
        <v>2933</v>
      </c>
      <c r="I146" s="57">
        <v>29</v>
      </c>
      <c r="J146" s="50" t="s">
        <v>41</v>
      </c>
      <c r="K146" s="63">
        <v>4500</v>
      </c>
      <c r="L146" s="50" t="s">
        <v>75</v>
      </c>
      <c r="M146" s="64">
        <v>0</v>
      </c>
      <c r="N146" s="65">
        <v>0</v>
      </c>
      <c r="O146" s="64">
        <v>0</v>
      </c>
      <c r="P146" s="63">
        <v>0</v>
      </c>
      <c r="Q146" s="64">
        <v>0</v>
      </c>
    </row>
    <row r="147" spans="1:17" ht="11.1" customHeight="1" x14ac:dyDescent="0.25">
      <c r="A147" s="15" t="s">
        <v>1912</v>
      </c>
      <c r="B147" s="15"/>
      <c r="C147" s="15"/>
      <c r="D147" s="15"/>
      <c r="E147" s="15"/>
      <c r="F147" s="15"/>
      <c r="G147" s="15"/>
      <c r="H147" s="15"/>
      <c r="I147" s="15"/>
    </row>
    <row r="148" spans="1:17" ht="11.1" customHeight="1" x14ac:dyDescent="0.25">
      <c r="K148" s="63">
        <v>4500</v>
      </c>
      <c r="L148" s="50" t="s">
        <v>75</v>
      </c>
      <c r="M148" s="64">
        <v>0</v>
      </c>
      <c r="O148" s="64">
        <v>0</v>
      </c>
      <c r="P148" s="63">
        <v>0</v>
      </c>
      <c r="Q148" s="64">
        <v>0</v>
      </c>
    </row>
    <row r="149" spans="1:17" ht="11.1" customHeight="1" x14ac:dyDescent="0.25">
      <c r="A149" s="57">
        <v>27583</v>
      </c>
      <c r="B149" s="72">
        <v>46118</v>
      </c>
      <c r="C149" s="59" t="s">
        <v>2014</v>
      </c>
      <c r="D149" s="50" t="s">
        <v>1630</v>
      </c>
      <c r="E149" s="57">
        <v>36</v>
      </c>
      <c r="F149" s="57">
        <v>549</v>
      </c>
      <c r="G149" s="50" t="s">
        <v>2015</v>
      </c>
      <c r="H149" s="73">
        <v>2102</v>
      </c>
      <c r="I149" s="57">
        <v>6</v>
      </c>
      <c r="J149" s="50" t="s">
        <v>49</v>
      </c>
      <c r="K149" s="63">
        <v>4440.97</v>
      </c>
      <c r="L149" s="50" t="s">
        <v>317</v>
      </c>
      <c r="M149" s="64">
        <v>4384.29</v>
      </c>
      <c r="N149" s="65">
        <v>7</v>
      </c>
      <c r="O149" s="64">
        <v>306.89999999999998</v>
      </c>
      <c r="P149" s="63">
        <v>0</v>
      </c>
      <c r="Q149" s="64">
        <v>56.68</v>
      </c>
    </row>
    <row r="150" spans="1:17" ht="11.1" customHeight="1" x14ac:dyDescent="0.25">
      <c r="A150" s="57">
        <v>27584</v>
      </c>
      <c r="B150" s="72">
        <v>46142</v>
      </c>
      <c r="C150" s="59" t="s">
        <v>2016</v>
      </c>
      <c r="D150" s="50" t="s">
        <v>1630</v>
      </c>
      <c r="E150" s="57">
        <v>36</v>
      </c>
      <c r="F150" s="57">
        <v>549</v>
      </c>
      <c r="G150" s="50" t="s">
        <v>2015</v>
      </c>
      <c r="H150" s="73">
        <v>2102</v>
      </c>
      <c r="I150" s="57">
        <v>6</v>
      </c>
      <c r="J150" s="50" t="s">
        <v>49</v>
      </c>
      <c r="K150" s="63">
        <v>47182.98</v>
      </c>
      <c r="L150" s="50" t="s">
        <v>317</v>
      </c>
      <c r="M150" s="64">
        <v>45054.13</v>
      </c>
      <c r="N150" s="65">
        <v>7</v>
      </c>
      <c r="O150" s="64">
        <v>3153.79</v>
      </c>
      <c r="P150" s="63">
        <v>0</v>
      </c>
      <c r="Q150" s="64">
        <v>2128.85</v>
      </c>
    </row>
    <row r="151" spans="1:17" ht="11.1" customHeight="1" x14ac:dyDescent="0.25">
      <c r="A151" s="15" t="s">
        <v>1912</v>
      </c>
      <c r="B151" s="15"/>
      <c r="C151" s="15"/>
      <c r="D151" s="15"/>
      <c r="E151" s="15"/>
      <c r="F151" s="15"/>
      <c r="G151" s="15"/>
      <c r="H151" s="15"/>
      <c r="I151" s="15"/>
    </row>
    <row r="152" spans="1:17" ht="11.1" customHeight="1" x14ac:dyDescent="0.25">
      <c r="K152" s="63">
        <v>51623.95</v>
      </c>
      <c r="L152" s="50" t="s">
        <v>317</v>
      </c>
      <c r="M152" s="64">
        <v>49438.42</v>
      </c>
      <c r="O152" s="64">
        <v>3460.69</v>
      </c>
      <c r="P152" s="63">
        <v>0</v>
      </c>
      <c r="Q152" s="64">
        <v>2185.5300000000002</v>
      </c>
    </row>
    <row r="153" spans="1:17" ht="11.1" customHeight="1" x14ac:dyDescent="0.25">
      <c r="A153" s="57">
        <v>27586</v>
      </c>
      <c r="B153" s="72">
        <v>46114</v>
      </c>
      <c r="C153" s="59" t="s">
        <v>2017</v>
      </c>
      <c r="D153" s="50" t="s">
        <v>313</v>
      </c>
      <c r="E153" s="57">
        <v>36</v>
      </c>
      <c r="F153" s="57">
        <v>1203</v>
      </c>
      <c r="G153" s="50" t="s">
        <v>2018</v>
      </c>
      <c r="H153" s="73">
        <v>2403</v>
      </c>
      <c r="I153" s="57">
        <v>8</v>
      </c>
      <c r="J153" s="50" t="s">
        <v>34</v>
      </c>
      <c r="K153" s="63">
        <v>160.6</v>
      </c>
      <c r="L153" s="50" t="s">
        <v>317</v>
      </c>
      <c r="M153" s="64">
        <v>0</v>
      </c>
      <c r="N153" s="65">
        <v>0</v>
      </c>
      <c r="O153" s="64">
        <v>0</v>
      </c>
      <c r="P153" s="63">
        <v>0</v>
      </c>
      <c r="Q153" s="64">
        <v>136.44999999999999</v>
      </c>
    </row>
    <row r="154" spans="1:17" ht="11.1" customHeight="1" x14ac:dyDescent="0.25">
      <c r="L154" s="50" t="s">
        <v>318</v>
      </c>
      <c r="M154" s="64">
        <v>202.63</v>
      </c>
      <c r="N154" s="65">
        <v>20</v>
      </c>
      <c r="O154" s="64">
        <v>24.15</v>
      </c>
      <c r="P154" s="63">
        <v>0</v>
      </c>
      <c r="Q154" s="64">
        <v>0</v>
      </c>
    </row>
    <row r="155" spans="1:17" ht="11.1" customHeight="1" x14ac:dyDescent="0.25">
      <c r="A155" s="15" t="s">
        <v>1912</v>
      </c>
      <c r="B155" s="15"/>
      <c r="C155" s="15"/>
      <c r="D155" s="15"/>
      <c r="E155" s="15"/>
      <c r="F155" s="15"/>
      <c r="G155" s="15"/>
      <c r="H155" s="15"/>
      <c r="I155" s="15"/>
    </row>
    <row r="156" spans="1:17" ht="11.1" customHeight="1" x14ac:dyDescent="0.25">
      <c r="K156" s="63">
        <v>160.6</v>
      </c>
      <c r="L156" s="50" t="s">
        <v>317</v>
      </c>
      <c r="M156" s="64">
        <v>0</v>
      </c>
      <c r="O156" s="64">
        <v>0</v>
      </c>
      <c r="P156" s="63">
        <v>0</v>
      </c>
      <c r="Q156" s="64">
        <v>136.44999999999999</v>
      </c>
    </row>
    <row r="157" spans="1:17" ht="11.1" customHeight="1" x14ac:dyDescent="0.25">
      <c r="L157" s="50" t="s">
        <v>318</v>
      </c>
      <c r="M157" s="64">
        <v>202.63</v>
      </c>
      <c r="O157" s="64">
        <v>24.15</v>
      </c>
      <c r="P157" s="63">
        <v>0</v>
      </c>
      <c r="Q157" s="64">
        <v>0</v>
      </c>
    </row>
    <row r="158" spans="1:17" ht="11.1" customHeight="1" x14ac:dyDescent="0.25">
      <c r="A158" s="57">
        <v>27623</v>
      </c>
      <c r="B158" s="72">
        <v>46113</v>
      </c>
      <c r="C158" s="59" t="s">
        <v>2019</v>
      </c>
      <c r="D158" s="50" t="s">
        <v>2020</v>
      </c>
      <c r="E158" s="57">
        <v>36</v>
      </c>
      <c r="F158" s="57">
        <v>1090</v>
      </c>
      <c r="G158" s="50" t="s">
        <v>2021</v>
      </c>
      <c r="H158" s="73">
        <v>1403</v>
      </c>
      <c r="I158" s="57">
        <v>8</v>
      </c>
      <c r="J158" s="50" t="s">
        <v>26</v>
      </c>
      <c r="K158" s="63">
        <v>30.82</v>
      </c>
      <c r="L158" s="50" t="s">
        <v>317</v>
      </c>
      <c r="M158" s="64">
        <v>0</v>
      </c>
      <c r="N158" s="65">
        <v>0</v>
      </c>
      <c r="O158" s="64">
        <v>0</v>
      </c>
      <c r="P158" s="63">
        <v>0</v>
      </c>
      <c r="Q158" s="64">
        <v>30.82</v>
      </c>
    </row>
    <row r="159" spans="1:17" ht="11.1" customHeight="1" x14ac:dyDescent="0.25">
      <c r="A159" s="57">
        <v>27624</v>
      </c>
      <c r="B159" s="72">
        <v>46139</v>
      </c>
      <c r="C159" s="59" t="s">
        <v>2022</v>
      </c>
      <c r="D159" s="50" t="s">
        <v>2020</v>
      </c>
      <c r="E159" s="57">
        <v>36</v>
      </c>
      <c r="F159" s="57">
        <v>1090</v>
      </c>
      <c r="G159" s="50" t="s">
        <v>2021</v>
      </c>
      <c r="H159" s="73">
        <v>1403</v>
      </c>
      <c r="I159" s="57">
        <v>8</v>
      </c>
      <c r="J159" s="50" t="s">
        <v>26</v>
      </c>
      <c r="K159" s="63">
        <v>232.56</v>
      </c>
      <c r="L159" s="50" t="s">
        <v>317</v>
      </c>
      <c r="M159" s="64">
        <v>0</v>
      </c>
      <c r="N159" s="65">
        <v>0</v>
      </c>
      <c r="O159" s="64">
        <v>0</v>
      </c>
      <c r="P159" s="63">
        <v>0</v>
      </c>
      <c r="Q159" s="64">
        <v>232.56</v>
      </c>
    </row>
    <row r="160" spans="1:17" ht="11.1" customHeight="1" x14ac:dyDescent="0.25">
      <c r="A160" s="15" t="s">
        <v>1912</v>
      </c>
      <c r="B160" s="15"/>
      <c r="C160" s="15"/>
      <c r="D160" s="15"/>
      <c r="E160" s="15"/>
      <c r="F160" s="15"/>
      <c r="G160" s="15"/>
      <c r="H160" s="15"/>
      <c r="I160" s="15"/>
    </row>
    <row r="161" spans="1:17" ht="11.1" customHeight="1" x14ac:dyDescent="0.25">
      <c r="K161" s="63">
        <v>263.38</v>
      </c>
      <c r="L161" s="50" t="s">
        <v>317</v>
      </c>
      <c r="M161" s="64">
        <v>0</v>
      </c>
      <c r="O161" s="64">
        <v>0</v>
      </c>
      <c r="P161" s="63">
        <v>0</v>
      </c>
      <c r="Q161" s="64">
        <v>263.38</v>
      </c>
    </row>
    <row r="162" spans="1:17" ht="11.1" customHeight="1" x14ac:dyDescent="0.25">
      <c r="A162" s="15" t="s">
        <v>1907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</row>
    <row r="163" spans="1:17" ht="11.1" customHeight="1" x14ac:dyDescent="0.25">
      <c r="A163" s="10" t="s">
        <v>184</v>
      </c>
      <c r="B163" s="10" t="s">
        <v>1908</v>
      </c>
      <c r="C163" s="10" t="s">
        <v>298</v>
      </c>
      <c r="D163" s="71" t="s">
        <v>299</v>
      </c>
      <c r="E163" s="10" t="s">
        <v>300</v>
      </c>
      <c r="F163" s="10" t="s">
        <v>184</v>
      </c>
      <c r="G163" s="71" t="s">
        <v>1909</v>
      </c>
      <c r="H163" s="10" t="s">
        <v>304</v>
      </c>
      <c r="I163" s="10" t="s">
        <v>305</v>
      </c>
      <c r="J163" s="71" t="s">
        <v>24</v>
      </c>
      <c r="K163" s="15" t="s">
        <v>306</v>
      </c>
      <c r="L163" s="71" t="s">
        <v>307</v>
      </c>
      <c r="M163" s="10" t="s">
        <v>308</v>
      </c>
      <c r="N163" s="10" t="s">
        <v>309</v>
      </c>
      <c r="O163" s="10" t="s">
        <v>73</v>
      </c>
      <c r="P163" s="15" t="s">
        <v>310</v>
      </c>
      <c r="Q163" s="10" t="s">
        <v>311</v>
      </c>
    </row>
    <row r="164" spans="1:17" ht="11.1" customHeight="1" x14ac:dyDescent="0.25">
      <c r="A164" s="57">
        <v>27585</v>
      </c>
      <c r="B164" s="72">
        <v>46137</v>
      </c>
      <c r="C164" s="59" t="s">
        <v>2023</v>
      </c>
      <c r="D164" s="50" t="s">
        <v>2020</v>
      </c>
      <c r="E164" s="57">
        <v>36</v>
      </c>
      <c r="F164" s="57">
        <v>1191</v>
      </c>
      <c r="G164" s="50" t="s">
        <v>2024</v>
      </c>
      <c r="H164" s="73">
        <v>2102</v>
      </c>
      <c r="I164" s="57">
        <v>6</v>
      </c>
      <c r="J164" s="50" t="s">
        <v>46</v>
      </c>
      <c r="K164" s="63">
        <v>11289.1</v>
      </c>
      <c r="L164" s="50" t="s">
        <v>317</v>
      </c>
      <c r="M164" s="64">
        <v>5660.38</v>
      </c>
      <c r="N164" s="65">
        <v>4</v>
      </c>
      <c r="O164" s="64">
        <v>226.42</v>
      </c>
      <c r="P164" s="63">
        <v>0</v>
      </c>
      <c r="Q164" s="64">
        <v>304.13</v>
      </c>
    </row>
    <row r="165" spans="1:17" ht="11.1" customHeight="1" x14ac:dyDescent="0.25">
      <c r="L165" s="50" t="s">
        <v>317</v>
      </c>
      <c r="M165" s="64">
        <v>5244.48</v>
      </c>
      <c r="N165" s="65">
        <v>7</v>
      </c>
      <c r="O165" s="64">
        <v>367.12</v>
      </c>
      <c r="P165" s="63">
        <v>0</v>
      </c>
      <c r="Q165" s="64">
        <v>80.11</v>
      </c>
    </row>
    <row r="166" spans="1:17" ht="11.1" customHeight="1" x14ac:dyDescent="0.25">
      <c r="A166" s="15" t="s">
        <v>1912</v>
      </c>
      <c r="B166" s="15"/>
      <c r="C166" s="15"/>
      <c r="D166" s="15"/>
      <c r="E166" s="15"/>
      <c r="F166" s="15"/>
      <c r="G166" s="15"/>
      <c r="H166" s="15"/>
      <c r="I166" s="15"/>
    </row>
    <row r="167" spans="1:17" ht="11.1" customHeight="1" x14ac:dyDescent="0.25">
      <c r="K167" s="63">
        <v>11289.1</v>
      </c>
      <c r="L167" s="50" t="s">
        <v>317</v>
      </c>
      <c r="M167" s="64">
        <v>10904.86</v>
      </c>
      <c r="O167" s="64">
        <v>593.54</v>
      </c>
      <c r="P167" s="63">
        <v>0</v>
      </c>
      <c r="Q167" s="64">
        <v>384.24</v>
      </c>
    </row>
    <row r="168" spans="1:17" ht="11.1" customHeight="1" x14ac:dyDescent="0.25">
      <c r="A168" s="57">
        <v>27460</v>
      </c>
      <c r="B168" s="72">
        <v>46126</v>
      </c>
      <c r="C168" s="59" t="s">
        <v>2025</v>
      </c>
      <c r="D168" s="50" t="s">
        <v>313</v>
      </c>
      <c r="E168" s="57">
        <v>36</v>
      </c>
      <c r="F168" s="57">
        <v>721</v>
      </c>
      <c r="G168" s="50" t="s">
        <v>462</v>
      </c>
      <c r="H168" s="73">
        <v>1202</v>
      </c>
      <c r="I168" s="57">
        <v>38</v>
      </c>
      <c r="J168" s="50" t="s">
        <v>26</v>
      </c>
      <c r="K168" s="63">
        <v>3199.4</v>
      </c>
      <c r="L168" s="50" t="s">
        <v>317</v>
      </c>
      <c r="M168" s="64">
        <v>3199.4</v>
      </c>
      <c r="N168" s="65">
        <v>20</v>
      </c>
      <c r="O168" s="64">
        <v>639.88</v>
      </c>
      <c r="P168" s="63">
        <v>0</v>
      </c>
      <c r="Q168" s="64">
        <v>0</v>
      </c>
    </row>
    <row r="169" spans="1:17" ht="11.1" customHeight="1" x14ac:dyDescent="0.25">
      <c r="A169" s="15" t="s">
        <v>1912</v>
      </c>
      <c r="B169" s="15"/>
      <c r="C169" s="15"/>
      <c r="D169" s="15"/>
      <c r="E169" s="15"/>
      <c r="F169" s="15"/>
      <c r="G169" s="15"/>
      <c r="H169" s="15"/>
      <c r="I169" s="15"/>
    </row>
    <row r="170" spans="1:17" ht="11.1" customHeight="1" x14ac:dyDescent="0.25">
      <c r="K170" s="63">
        <v>3199.4</v>
      </c>
      <c r="L170" s="50" t="s">
        <v>317</v>
      </c>
      <c r="M170" s="64">
        <v>3199.4</v>
      </c>
      <c r="O170" s="64">
        <v>639.88</v>
      </c>
      <c r="P170" s="63">
        <v>0</v>
      </c>
      <c r="Q170" s="64">
        <v>0</v>
      </c>
    </row>
    <row r="171" spans="1:17" ht="11.1" customHeight="1" x14ac:dyDescent="0.25">
      <c r="A171" s="57">
        <v>27576</v>
      </c>
      <c r="B171" s="72">
        <v>46119</v>
      </c>
      <c r="C171" s="59" t="s">
        <v>2026</v>
      </c>
      <c r="D171" s="50" t="s">
        <v>313</v>
      </c>
      <c r="E171" s="57">
        <v>36</v>
      </c>
      <c r="F171" s="57">
        <v>546</v>
      </c>
      <c r="G171" s="50" t="s">
        <v>2027</v>
      </c>
      <c r="H171" s="73">
        <v>2102</v>
      </c>
      <c r="I171" s="57">
        <v>6</v>
      </c>
      <c r="J171" s="50" t="s">
        <v>41</v>
      </c>
      <c r="K171" s="63">
        <v>13814.57</v>
      </c>
      <c r="L171" s="50" t="s">
        <v>317</v>
      </c>
      <c r="M171" s="64">
        <v>897.11</v>
      </c>
      <c r="N171" s="65">
        <v>4</v>
      </c>
      <c r="O171" s="64">
        <v>35.880000000000003</v>
      </c>
      <c r="P171" s="63">
        <v>0</v>
      </c>
      <c r="Q171" s="64">
        <v>31.87</v>
      </c>
    </row>
    <row r="172" spans="1:17" ht="11.1" customHeight="1" x14ac:dyDescent="0.25">
      <c r="L172" s="50" t="s">
        <v>317</v>
      </c>
      <c r="M172" s="64">
        <v>12099.16</v>
      </c>
      <c r="N172" s="65">
        <v>7</v>
      </c>
      <c r="O172" s="64">
        <v>846.91</v>
      </c>
      <c r="P172" s="63">
        <v>0</v>
      </c>
      <c r="Q172" s="64">
        <v>786.43</v>
      </c>
    </row>
    <row r="173" spans="1:17" ht="11.1" customHeight="1" x14ac:dyDescent="0.25">
      <c r="A173" s="15" t="s">
        <v>1912</v>
      </c>
      <c r="B173" s="15"/>
      <c r="C173" s="15"/>
      <c r="D173" s="15"/>
      <c r="E173" s="15"/>
      <c r="F173" s="15"/>
      <c r="G173" s="15"/>
      <c r="H173" s="15"/>
      <c r="I173" s="15"/>
    </row>
    <row r="174" spans="1:17" ht="11.1" customHeight="1" x14ac:dyDescent="0.25">
      <c r="K174" s="63">
        <v>13814.57</v>
      </c>
      <c r="L174" s="50" t="s">
        <v>317</v>
      </c>
      <c r="M174" s="64">
        <v>12996.27</v>
      </c>
      <c r="O174" s="64">
        <v>882.79</v>
      </c>
      <c r="P174" s="63">
        <v>0</v>
      </c>
      <c r="Q174" s="64">
        <v>818.3</v>
      </c>
    </row>
    <row r="175" spans="1:17" ht="11.1" customHeight="1" x14ac:dyDescent="0.25">
      <c r="A175" s="57">
        <v>27600</v>
      </c>
      <c r="B175" s="72">
        <v>46125</v>
      </c>
      <c r="C175" s="59" t="s">
        <v>2028</v>
      </c>
      <c r="D175" s="50" t="s">
        <v>313</v>
      </c>
      <c r="E175" s="57">
        <v>36</v>
      </c>
      <c r="F175" s="57">
        <v>625</v>
      </c>
      <c r="G175" s="50" t="s">
        <v>2029</v>
      </c>
      <c r="H175" s="73">
        <v>1403</v>
      </c>
      <c r="I175" s="57">
        <v>8</v>
      </c>
      <c r="J175" s="50" t="s">
        <v>26</v>
      </c>
      <c r="K175" s="63">
        <v>5661.51</v>
      </c>
      <c r="L175" s="50" t="s">
        <v>317</v>
      </c>
      <c r="M175" s="64">
        <v>0</v>
      </c>
      <c r="N175" s="65">
        <v>0</v>
      </c>
      <c r="O175" s="64">
        <v>0</v>
      </c>
      <c r="P175" s="63">
        <v>0</v>
      </c>
      <c r="Q175" s="64">
        <v>5348.04</v>
      </c>
    </row>
    <row r="176" spans="1:17" ht="11.1" customHeight="1" x14ac:dyDescent="0.25">
      <c r="L176" s="50" t="s">
        <v>318</v>
      </c>
      <c r="M176" s="64">
        <v>6747.05</v>
      </c>
      <c r="N176" s="65">
        <v>20</v>
      </c>
      <c r="O176" s="64">
        <v>313.47000000000003</v>
      </c>
      <c r="P176" s="63">
        <v>0</v>
      </c>
      <c r="Q176" s="64">
        <v>0</v>
      </c>
    </row>
    <row r="177" spans="1:17" ht="11.1" customHeight="1" x14ac:dyDescent="0.25">
      <c r="A177" s="15" t="s">
        <v>1912</v>
      </c>
      <c r="B177" s="15"/>
      <c r="C177" s="15"/>
      <c r="D177" s="15"/>
      <c r="E177" s="15"/>
      <c r="F177" s="15"/>
      <c r="G177" s="15"/>
      <c r="H177" s="15"/>
      <c r="I177" s="15"/>
    </row>
    <row r="178" spans="1:17" ht="11.1" customHeight="1" x14ac:dyDescent="0.25">
      <c r="K178" s="63">
        <v>5661.51</v>
      </c>
      <c r="L178" s="50" t="s">
        <v>317</v>
      </c>
      <c r="M178" s="64">
        <v>0</v>
      </c>
      <c r="O178" s="64">
        <v>0</v>
      </c>
      <c r="P178" s="63">
        <v>0</v>
      </c>
      <c r="Q178" s="64">
        <v>5348.04</v>
      </c>
    </row>
    <row r="179" spans="1:17" ht="11.1" customHeight="1" x14ac:dyDescent="0.25">
      <c r="L179" s="50" t="s">
        <v>318</v>
      </c>
      <c r="M179" s="64">
        <v>6747.05</v>
      </c>
      <c r="O179" s="64">
        <v>313.47000000000003</v>
      </c>
      <c r="P179" s="63">
        <v>0</v>
      </c>
      <c r="Q179" s="64">
        <v>0</v>
      </c>
    </row>
    <row r="180" spans="1:17" ht="11.1" customHeight="1" x14ac:dyDescent="0.25">
      <c r="A180" s="57">
        <v>27622</v>
      </c>
      <c r="B180" s="72">
        <v>46120</v>
      </c>
      <c r="C180" s="59" t="s">
        <v>2030</v>
      </c>
      <c r="D180" s="50" t="s">
        <v>313</v>
      </c>
      <c r="E180" s="57">
        <v>36</v>
      </c>
      <c r="F180" s="57">
        <v>1172</v>
      </c>
      <c r="G180" s="50" t="s">
        <v>2031</v>
      </c>
      <c r="H180" s="73">
        <v>1102</v>
      </c>
      <c r="I180" s="57">
        <v>6</v>
      </c>
      <c r="J180" s="50" t="s">
        <v>26</v>
      </c>
      <c r="K180" s="63">
        <v>56</v>
      </c>
      <c r="L180" s="50" t="s">
        <v>317</v>
      </c>
      <c r="M180" s="64">
        <v>56</v>
      </c>
      <c r="N180" s="65">
        <v>20</v>
      </c>
      <c r="O180" s="64">
        <v>11.2</v>
      </c>
      <c r="P180" s="63">
        <v>0</v>
      </c>
      <c r="Q180" s="64">
        <v>0</v>
      </c>
    </row>
    <row r="181" spans="1:17" ht="11.1" customHeight="1" x14ac:dyDescent="0.25">
      <c r="A181" s="15" t="s">
        <v>1912</v>
      </c>
      <c r="B181" s="15"/>
      <c r="C181" s="15"/>
      <c r="D181" s="15"/>
      <c r="E181" s="15"/>
      <c r="F181" s="15"/>
      <c r="G181" s="15"/>
      <c r="H181" s="15"/>
      <c r="I181" s="15"/>
    </row>
    <row r="182" spans="1:17" ht="11.1" customHeight="1" x14ac:dyDescent="0.25">
      <c r="K182" s="63">
        <v>56</v>
      </c>
      <c r="L182" s="50" t="s">
        <v>317</v>
      </c>
      <c r="M182" s="64">
        <v>56</v>
      </c>
      <c r="O182" s="64">
        <v>11.2</v>
      </c>
      <c r="P182" s="63">
        <v>0</v>
      </c>
      <c r="Q182" s="64">
        <v>0</v>
      </c>
    </row>
    <row r="183" spans="1:17" ht="11.1" customHeight="1" x14ac:dyDescent="0.25">
      <c r="A183" s="57">
        <v>27579</v>
      </c>
      <c r="B183" s="72">
        <v>46119</v>
      </c>
      <c r="C183" s="59" t="s">
        <v>2032</v>
      </c>
      <c r="D183" s="50" t="s">
        <v>313</v>
      </c>
      <c r="E183" s="57">
        <v>36</v>
      </c>
      <c r="F183" s="57">
        <v>777</v>
      </c>
      <c r="G183" s="50" t="s">
        <v>2033</v>
      </c>
      <c r="H183" s="73">
        <v>2102</v>
      </c>
      <c r="I183" s="57">
        <v>6</v>
      </c>
      <c r="J183" s="50" t="s">
        <v>41</v>
      </c>
      <c r="K183" s="63">
        <v>9989.7199999999993</v>
      </c>
      <c r="L183" s="50" t="s">
        <v>317</v>
      </c>
      <c r="M183" s="64">
        <v>9690.35</v>
      </c>
      <c r="N183" s="65">
        <v>4</v>
      </c>
      <c r="O183" s="64">
        <v>387.62</v>
      </c>
      <c r="P183" s="63">
        <v>0</v>
      </c>
      <c r="Q183" s="64">
        <v>299.37</v>
      </c>
    </row>
    <row r="184" spans="1:17" ht="11.1" customHeight="1" x14ac:dyDescent="0.25">
      <c r="A184" s="57">
        <v>27580</v>
      </c>
      <c r="B184" s="72">
        <v>46134</v>
      </c>
      <c r="C184" s="59" t="s">
        <v>2034</v>
      </c>
      <c r="D184" s="50" t="s">
        <v>313</v>
      </c>
      <c r="E184" s="57">
        <v>36</v>
      </c>
      <c r="F184" s="57">
        <v>777</v>
      </c>
      <c r="G184" s="50" t="s">
        <v>2033</v>
      </c>
      <c r="H184" s="73">
        <v>2102</v>
      </c>
      <c r="I184" s="57">
        <v>6</v>
      </c>
      <c r="J184" s="50" t="s">
        <v>41</v>
      </c>
      <c r="K184" s="63">
        <v>4760.66</v>
      </c>
      <c r="L184" s="50" t="s">
        <v>317</v>
      </c>
      <c r="M184" s="64">
        <v>4625.8999999999996</v>
      </c>
      <c r="N184" s="65">
        <v>4</v>
      </c>
      <c r="O184" s="64">
        <v>185.04</v>
      </c>
      <c r="P184" s="63">
        <v>0</v>
      </c>
      <c r="Q184" s="64">
        <v>134.76</v>
      </c>
    </row>
    <row r="185" spans="1:17" ht="11.1" customHeight="1" x14ac:dyDescent="0.25">
      <c r="A185" s="15" t="s">
        <v>1912</v>
      </c>
      <c r="B185" s="15"/>
      <c r="C185" s="15"/>
      <c r="D185" s="15"/>
      <c r="E185" s="15"/>
      <c r="F185" s="15"/>
      <c r="G185" s="15"/>
      <c r="H185" s="15"/>
      <c r="I185" s="15"/>
    </row>
    <row r="186" spans="1:17" ht="11.1" customHeight="1" x14ac:dyDescent="0.25">
      <c r="K186" s="63">
        <v>14750.38</v>
      </c>
      <c r="L186" s="50" t="s">
        <v>317</v>
      </c>
      <c r="M186" s="64">
        <v>14316.25</v>
      </c>
      <c r="O186" s="64">
        <v>572.66</v>
      </c>
      <c r="P186" s="63">
        <v>0</v>
      </c>
      <c r="Q186" s="64">
        <v>434.13</v>
      </c>
    </row>
    <row r="187" spans="1:17" ht="11.1" customHeight="1" x14ac:dyDescent="0.25">
      <c r="A187" s="57">
        <v>27477</v>
      </c>
      <c r="B187" s="72">
        <v>46141</v>
      </c>
      <c r="C187" s="59" t="s">
        <v>2035</v>
      </c>
      <c r="D187" s="50" t="s">
        <v>2036</v>
      </c>
      <c r="E187" s="57">
        <v>36</v>
      </c>
      <c r="F187" s="57">
        <v>1113</v>
      </c>
      <c r="G187" s="50" t="s">
        <v>2037</v>
      </c>
      <c r="H187" s="73">
        <v>2102</v>
      </c>
      <c r="I187" s="57">
        <v>6</v>
      </c>
      <c r="J187" s="50" t="s">
        <v>38</v>
      </c>
      <c r="K187" s="63">
        <v>8413.42</v>
      </c>
      <c r="L187" s="50" t="s">
        <v>317</v>
      </c>
      <c r="M187" s="64">
        <v>4589.28</v>
      </c>
      <c r="N187" s="65">
        <v>4</v>
      </c>
      <c r="O187" s="64">
        <v>183.57</v>
      </c>
      <c r="P187" s="63">
        <v>0</v>
      </c>
      <c r="Q187" s="64">
        <v>238.64</v>
      </c>
    </row>
    <row r="188" spans="1:17" ht="11.1" customHeight="1" x14ac:dyDescent="0.25">
      <c r="L188" s="50" t="s">
        <v>317</v>
      </c>
      <c r="M188" s="64">
        <v>2626.98</v>
      </c>
      <c r="N188" s="65">
        <v>7</v>
      </c>
      <c r="O188" s="64">
        <v>183.89</v>
      </c>
      <c r="P188" s="63">
        <v>0</v>
      </c>
      <c r="Q188" s="64">
        <v>958.52</v>
      </c>
    </row>
    <row r="189" spans="1:17" ht="11.1" customHeight="1" x14ac:dyDescent="0.25">
      <c r="A189" s="15" t="s">
        <v>1912</v>
      </c>
      <c r="B189" s="15"/>
      <c r="C189" s="15"/>
      <c r="D189" s="15"/>
      <c r="E189" s="15"/>
      <c r="F189" s="15"/>
      <c r="G189" s="15"/>
      <c r="H189" s="15"/>
      <c r="I189" s="15"/>
    </row>
    <row r="190" spans="1:17" ht="11.1" customHeight="1" x14ac:dyDescent="0.25">
      <c r="K190" s="63">
        <v>8413.42</v>
      </c>
      <c r="L190" s="50" t="s">
        <v>317</v>
      </c>
      <c r="M190" s="64">
        <v>7216.26</v>
      </c>
      <c r="O190" s="64">
        <v>367.46</v>
      </c>
      <c r="P190" s="63">
        <v>0</v>
      </c>
      <c r="Q190" s="64">
        <v>1197.1600000000001</v>
      </c>
    </row>
    <row r="191" spans="1:17" ht="11.1" customHeight="1" x14ac:dyDescent="0.25">
      <c r="A191" s="57">
        <v>27612</v>
      </c>
      <c r="B191" s="72">
        <v>46135</v>
      </c>
      <c r="C191" s="59" t="s">
        <v>2038</v>
      </c>
      <c r="D191" s="50" t="s">
        <v>313</v>
      </c>
      <c r="E191" s="57">
        <v>36</v>
      </c>
      <c r="F191" s="57">
        <v>607</v>
      </c>
      <c r="G191" s="50" t="s">
        <v>2039</v>
      </c>
      <c r="H191" s="73">
        <v>1102</v>
      </c>
      <c r="I191" s="57">
        <v>6</v>
      </c>
      <c r="J191" s="50" t="s">
        <v>26</v>
      </c>
      <c r="K191" s="63">
        <v>78</v>
      </c>
      <c r="L191" s="50" t="s">
        <v>317</v>
      </c>
      <c r="M191" s="64">
        <v>78</v>
      </c>
      <c r="N191" s="65">
        <v>20</v>
      </c>
      <c r="O191" s="64">
        <v>15.6</v>
      </c>
      <c r="P191" s="63">
        <v>0</v>
      </c>
      <c r="Q191" s="64">
        <v>0</v>
      </c>
    </row>
    <row r="192" spans="1:17" ht="11.1" customHeight="1" x14ac:dyDescent="0.25">
      <c r="A192" s="15" t="s">
        <v>1912</v>
      </c>
      <c r="B192" s="15"/>
      <c r="C192" s="15"/>
      <c r="D192" s="15"/>
      <c r="E192" s="15"/>
      <c r="F192" s="15"/>
      <c r="G192" s="15"/>
      <c r="H192" s="15"/>
      <c r="I192" s="15"/>
    </row>
    <row r="193" spans="1:17" ht="11.1" customHeight="1" x14ac:dyDescent="0.25">
      <c r="K193" s="63">
        <v>78</v>
      </c>
      <c r="L193" s="50" t="s">
        <v>317</v>
      </c>
      <c r="M193" s="64">
        <v>78</v>
      </c>
      <c r="O193" s="64">
        <v>15.6</v>
      </c>
      <c r="P193" s="63">
        <v>0</v>
      </c>
      <c r="Q193" s="64">
        <v>0</v>
      </c>
    </row>
    <row r="194" spans="1:17" ht="11.1" customHeight="1" x14ac:dyDescent="0.25">
      <c r="A194" s="57">
        <v>27570</v>
      </c>
      <c r="B194" s="72">
        <v>46122</v>
      </c>
      <c r="C194" s="59" t="s">
        <v>2040</v>
      </c>
      <c r="D194" s="50" t="s">
        <v>313</v>
      </c>
      <c r="E194" s="57">
        <v>36</v>
      </c>
      <c r="F194" s="57">
        <v>726</v>
      </c>
      <c r="G194" s="50" t="s">
        <v>503</v>
      </c>
      <c r="H194" s="73">
        <v>2102</v>
      </c>
      <c r="I194" s="57">
        <v>6</v>
      </c>
      <c r="J194" s="50" t="s">
        <v>50</v>
      </c>
      <c r="K194" s="63">
        <v>1822.38</v>
      </c>
      <c r="L194" s="50" t="s">
        <v>317</v>
      </c>
      <c r="M194" s="64">
        <v>1765.02</v>
      </c>
      <c r="N194" s="65">
        <v>7</v>
      </c>
      <c r="O194" s="64">
        <v>123.55</v>
      </c>
      <c r="P194" s="63">
        <v>0</v>
      </c>
      <c r="Q194" s="64">
        <v>57.36</v>
      </c>
    </row>
    <row r="195" spans="1:17" ht="11.1" customHeight="1" x14ac:dyDescent="0.25">
      <c r="A195" s="57">
        <v>27571</v>
      </c>
      <c r="B195" s="72">
        <v>46126</v>
      </c>
      <c r="C195" s="59" t="s">
        <v>2041</v>
      </c>
      <c r="D195" s="50" t="s">
        <v>313</v>
      </c>
      <c r="E195" s="57">
        <v>36</v>
      </c>
      <c r="F195" s="57">
        <v>726</v>
      </c>
      <c r="G195" s="50" t="s">
        <v>503</v>
      </c>
      <c r="H195" s="73">
        <v>2102</v>
      </c>
      <c r="I195" s="57">
        <v>6</v>
      </c>
      <c r="J195" s="50" t="s">
        <v>50</v>
      </c>
      <c r="K195" s="63">
        <v>3220.3</v>
      </c>
      <c r="L195" s="50" t="s">
        <v>317</v>
      </c>
      <c r="M195" s="64">
        <v>3220.3</v>
      </c>
      <c r="N195" s="65">
        <v>7</v>
      </c>
      <c r="O195" s="64">
        <v>225.42</v>
      </c>
      <c r="P195" s="63">
        <v>0</v>
      </c>
      <c r="Q195" s="64">
        <v>0</v>
      </c>
    </row>
    <row r="196" spans="1:17" ht="11.1" customHeight="1" x14ac:dyDescent="0.25">
      <c r="A196" s="57">
        <v>27572</v>
      </c>
      <c r="B196" s="72">
        <v>46129</v>
      </c>
      <c r="C196" s="59" t="s">
        <v>2042</v>
      </c>
      <c r="D196" s="50" t="s">
        <v>313</v>
      </c>
      <c r="E196" s="57">
        <v>36</v>
      </c>
      <c r="F196" s="57">
        <v>726</v>
      </c>
      <c r="G196" s="50" t="s">
        <v>503</v>
      </c>
      <c r="H196" s="73">
        <v>2102</v>
      </c>
      <c r="I196" s="57">
        <v>6</v>
      </c>
      <c r="J196" s="50" t="s">
        <v>50</v>
      </c>
      <c r="K196" s="63">
        <v>48221.03</v>
      </c>
      <c r="L196" s="50" t="s">
        <v>317</v>
      </c>
      <c r="M196" s="64">
        <v>45615.53</v>
      </c>
      <c r="N196" s="65">
        <v>7</v>
      </c>
      <c r="O196" s="64">
        <v>3193.09</v>
      </c>
      <c r="P196" s="63">
        <v>0</v>
      </c>
      <c r="Q196" s="64">
        <v>2605.5</v>
      </c>
    </row>
    <row r="197" spans="1:17" ht="11.1" customHeight="1" x14ac:dyDescent="0.25">
      <c r="A197" s="57">
        <v>27573</v>
      </c>
      <c r="B197" s="72">
        <v>46129</v>
      </c>
      <c r="C197" s="59" t="s">
        <v>2043</v>
      </c>
      <c r="D197" s="50" t="s">
        <v>313</v>
      </c>
      <c r="E197" s="57">
        <v>36</v>
      </c>
      <c r="F197" s="57">
        <v>726</v>
      </c>
      <c r="G197" s="50" t="s">
        <v>503</v>
      </c>
      <c r="H197" s="73">
        <v>2102</v>
      </c>
      <c r="I197" s="57">
        <v>6</v>
      </c>
      <c r="J197" s="50" t="s">
        <v>50</v>
      </c>
      <c r="K197" s="63">
        <v>57101.85</v>
      </c>
      <c r="L197" s="50" t="s">
        <v>317</v>
      </c>
      <c r="M197" s="64">
        <v>199.59</v>
      </c>
      <c r="N197" s="65">
        <v>4</v>
      </c>
      <c r="O197" s="64">
        <v>7.98</v>
      </c>
      <c r="P197" s="63">
        <v>0</v>
      </c>
      <c r="Q197" s="64">
        <v>6.49</v>
      </c>
    </row>
    <row r="198" spans="1:17" ht="11.1" customHeight="1" x14ac:dyDescent="0.25">
      <c r="L198" s="50" t="s">
        <v>317</v>
      </c>
      <c r="M198" s="64">
        <v>55707.53</v>
      </c>
      <c r="N198" s="65">
        <v>7</v>
      </c>
      <c r="O198" s="64">
        <v>3899.53</v>
      </c>
      <c r="P198" s="63">
        <v>0</v>
      </c>
      <c r="Q198" s="64">
        <v>1188.24</v>
      </c>
    </row>
    <row r="199" spans="1:17" ht="11.1" customHeight="1" x14ac:dyDescent="0.25">
      <c r="A199" s="57">
        <v>27574</v>
      </c>
      <c r="B199" s="72">
        <v>46129</v>
      </c>
      <c r="C199" s="59" t="s">
        <v>2044</v>
      </c>
      <c r="D199" s="50" t="s">
        <v>313</v>
      </c>
      <c r="E199" s="57">
        <v>36</v>
      </c>
      <c r="F199" s="57">
        <v>726</v>
      </c>
      <c r="G199" s="50" t="s">
        <v>503</v>
      </c>
      <c r="H199" s="73">
        <v>2910</v>
      </c>
      <c r="I199" s="57">
        <v>23</v>
      </c>
      <c r="J199" s="50" t="s">
        <v>50</v>
      </c>
      <c r="K199" s="63">
        <v>41140.980000000003</v>
      </c>
      <c r="L199" s="50" t="s">
        <v>317</v>
      </c>
      <c r="M199" s="64">
        <v>39938.080000000002</v>
      </c>
      <c r="N199" s="65">
        <v>7</v>
      </c>
      <c r="O199" s="64">
        <v>2795.67</v>
      </c>
      <c r="P199" s="63">
        <v>0</v>
      </c>
      <c r="Q199" s="64">
        <v>1202.9000000000001</v>
      </c>
    </row>
    <row r="200" spans="1:17" ht="11.1" customHeight="1" x14ac:dyDescent="0.25">
      <c r="A200" s="15" t="s">
        <v>1912</v>
      </c>
      <c r="B200" s="15"/>
      <c r="C200" s="15"/>
      <c r="D200" s="15"/>
      <c r="E200" s="15"/>
      <c r="F200" s="15"/>
      <c r="G200" s="15"/>
      <c r="H200" s="15"/>
      <c r="I200" s="15"/>
    </row>
    <row r="201" spans="1:17" ht="11.1" customHeight="1" x14ac:dyDescent="0.25">
      <c r="K201" s="63">
        <v>151506.54</v>
      </c>
      <c r="L201" s="50" t="s">
        <v>317</v>
      </c>
      <c r="M201" s="64">
        <v>146446.04999999999</v>
      </c>
      <c r="O201" s="64">
        <v>10245.24</v>
      </c>
      <c r="P201" s="63">
        <v>0</v>
      </c>
      <c r="Q201" s="64">
        <v>5060.49</v>
      </c>
    </row>
    <row r="202" spans="1:17" ht="11.1" customHeight="1" x14ac:dyDescent="0.25">
      <c r="A202" s="57">
        <v>27471</v>
      </c>
      <c r="B202" s="72">
        <v>46140</v>
      </c>
      <c r="C202" s="59" t="s">
        <v>2045</v>
      </c>
      <c r="D202" s="50" t="s">
        <v>313</v>
      </c>
      <c r="E202" s="57">
        <v>36</v>
      </c>
      <c r="F202" s="57">
        <v>1051</v>
      </c>
      <c r="G202" s="50" t="s">
        <v>528</v>
      </c>
      <c r="H202" s="73">
        <v>1202</v>
      </c>
      <c r="I202" s="57">
        <v>38</v>
      </c>
      <c r="J202" s="50" t="s">
        <v>26</v>
      </c>
      <c r="K202" s="63">
        <v>124.2</v>
      </c>
      <c r="L202" s="50" t="s">
        <v>317</v>
      </c>
      <c r="M202" s="64">
        <v>124.2</v>
      </c>
      <c r="N202" s="65">
        <v>20</v>
      </c>
      <c r="O202" s="64">
        <v>24.84</v>
      </c>
      <c r="P202" s="63">
        <v>0</v>
      </c>
      <c r="Q202" s="64">
        <v>0</v>
      </c>
    </row>
    <row r="203" spans="1:17" ht="11.1" customHeight="1" x14ac:dyDescent="0.25">
      <c r="A203" s="15" t="s">
        <v>1912</v>
      </c>
      <c r="B203" s="15"/>
      <c r="C203" s="15"/>
      <c r="D203" s="15"/>
      <c r="E203" s="15"/>
      <c r="F203" s="15"/>
      <c r="G203" s="15"/>
      <c r="H203" s="15"/>
      <c r="I203" s="15"/>
    </row>
    <row r="204" spans="1:17" ht="11.1" customHeight="1" x14ac:dyDescent="0.25">
      <c r="K204" s="63">
        <v>124.2</v>
      </c>
      <c r="L204" s="50" t="s">
        <v>317</v>
      </c>
      <c r="M204" s="64">
        <v>124.2</v>
      </c>
      <c r="O204" s="64">
        <v>24.84</v>
      </c>
      <c r="P204" s="63">
        <v>0</v>
      </c>
      <c r="Q204" s="64">
        <v>0</v>
      </c>
    </row>
    <row r="205" spans="1:17" ht="11.1" customHeight="1" x14ac:dyDescent="0.25">
      <c r="A205" s="57">
        <v>27450</v>
      </c>
      <c r="B205" s="72">
        <v>46113</v>
      </c>
      <c r="C205" s="59" t="s">
        <v>2046</v>
      </c>
      <c r="D205" s="50" t="s">
        <v>313</v>
      </c>
      <c r="E205" s="57">
        <v>36</v>
      </c>
      <c r="F205" s="57">
        <v>792</v>
      </c>
      <c r="G205" s="50" t="s">
        <v>550</v>
      </c>
      <c r="H205" s="73">
        <v>1202</v>
      </c>
      <c r="I205" s="57">
        <v>38</v>
      </c>
      <c r="J205" s="50" t="s">
        <v>26</v>
      </c>
      <c r="K205" s="63">
        <v>235</v>
      </c>
      <c r="L205" s="50" t="s">
        <v>317</v>
      </c>
      <c r="M205" s="64">
        <v>235</v>
      </c>
      <c r="N205" s="65">
        <v>20</v>
      </c>
      <c r="O205" s="64">
        <v>47</v>
      </c>
      <c r="P205" s="63">
        <v>0</v>
      </c>
      <c r="Q205" s="64">
        <v>0</v>
      </c>
    </row>
    <row r="206" spans="1:17" ht="11.1" customHeight="1" x14ac:dyDescent="0.25">
      <c r="A206" s="57">
        <v>27453</v>
      </c>
      <c r="B206" s="72">
        <v>46120</v>
      </c>
      <c r="C206" s="59" t="s">
        <v>2047</v>
      </c>
      <c r="D206" s="50" t="s">
        <v>313</v>
      </c>
      <c r="E206" s="57">
        <v>36</v>
      </c>
      <c r="F206" s="57">
        <v>792</v>
      </c>
      <c r="G206" s="50" t="s">
        <v>550</v>
      </c>
      <c r="H206" s="73">
        <v>1202</v>
      </c>
      <c r="I206" s="57">
        <v>38</v>
      </c>
      <c r="J206" s="50" t="s">
        <v>26</v>
      </c>
      <c r="K206" s="63">
        <v>469.65</v>
      </c>
      <c r="L206" s="50" t="s">
        <v>317</v>
      </c>
      <c r="M206" s="64">
        <v>469.65</v>
      </c>
      <c r="N206" s="65">
        <v>20</v>
      </c>
      <c r="O206" s="64">
        <v>93.93</v>
      </c>
      <c r="P206" s="63">
        <v>0</v>
      </c>
      <c r="Q206" s="64">
        <v>0</v>
      </c>
    </row>
    <row r="207" spans="1:17" ht="11.1" customHeight="1" x14ac:dyDescent="0.25">
      <c r="A207" s="57">
        <v>27457</v>
      </c>
      <c r="B207" s="72">
        <v>46125</v>
      </c>
      <c r="C207" s="59" t="s">
        <v>2048</v>
      </c>
      <c r="D207" s="50" t="s">
        <v>313</v>
      </c>
      <c r="E207" s="57">
        <v>36</v>
      </c>
      <c r="F207" s="57">
        <v>792</v>
      </c>
      <c r="G207" s="50" t="s">
        <v>550</v>
      </c>
      <c r="H207" s="73">
        <v>1202</v>
      </c>
      <c r="I207" s="57">
        <v>38</v>
      </c>
      <c r="J207" s="50" t="s">
        <v>26</v>
      </c>
      <c r="K207" s="63">
        <v>996.48</v>
      </c>
      <c r="L207" s="50" t="s">
        <v>317</v>
      </c>
      <c r="M207" s="64">
        <v>996.48</v>
      </c>
      <c r="N207" s="65">
        <v>20</v>
      </c>
      <c r="O207" s="64">
        <v>199.3</v>
      </c>
      <c r="P207" s="63">
        <v>0</v>
      </c>
      <c r="Q207" s="64">
        <v>0</v>
      </c>
    </row>
    <row r="208" spans="1:17" ht="11.1" customHeight="1" x14ac:dyDescent="0.25">
      <c r="A208" s="57">
        <v>27464</v>
      </c>
      <c r="B208" s="72">
        <v>46132</v>
      </c>
      <c r="C208" s="59" t="s">
        <v>2049</v>
      </c>
      <c r="D208" s="50" t="s">
        <v>313</v>
      </c>
      <c r="E208" s="57">
        <v>36</v>
      </c>
      <c r="F208" s="57">
        <v>792</v>
      </c>
      <c r="G208" s="50" t="s">
        <v>550</v>
      </c>
      <c r="H208" s="73">
        <v>1202</v>
      </c>
      <c r="I208" s="57">
        <v>38</v>
      </c>
      <c r="J208" s="50" t="s">
        <v>26</v>
      </c>
      <c r="K208" s="63">
        <v>4423.5</v>
      </c>
      <c r="L208" s="50" t="s">
        <v>317</v>
      </c>
      <c r="M208" s="64">
        <v>4423.5</v>
      </c>
      <c r="N208" s="65">
        <v>20</v>
      </c>
      <c r="O208" s="64">
        <v>884.7</v>
      </c>
      <c r="P208" s="63">
        <v>0</v>
      </c>
      <c r="Q208" s="64">
        <v>0</v>
      </c>
    </row>
    <row r="209" spans="1:17" ht="11.1" customHeight="1" x14ac:dyDescent="0.25">
      <c r="A209" s="57">
        <v>27465</v>
      </c>
      <c r="B209" s="72">
        <v>46132</v>
      </c>
      <c r="C209" s="59" t="s">
        <v>2050</v>
      </c>
      <c r="D209" s="50" t="s">
        <v>313</v>
      </c>
      <c r="E209" s="57">
        <v>36</v>
      </c>
      <c r="F209" s="57">
        <v>792</v>
      </c>
      <c r="G209" s="50" t="s">
        <v>550</v>
      </c>
      <c r="H209" s="73">
        <v>1202</v>
      </c>
      <c r="I209" s="57">
        <v>38</v>
      </c>
      <c r="J209" s="50" t="s">
        <v>26</v>
      </c>
      <c r="K209" s="63">
        <v>3167.75</v>
      </c>
      <c r="L209" s="50" t="s">
        <v>317</v>
      </c>
      <c r="M209" s="64">
        <v>3167.75</v>
      </c>
      <c r="N209" s="65">
        <v>20</v>
      </c>
      <c r="O209" s="64">
        <v>633.54999999999995</v>
      </c>
      <c r="P209" s="63">
        <v>0</v>
      </c>
      <c r="Q209" s="64">
        <v>0</v>
      </c>
    </row>
    <row r="210" spans="1:17" ht="11.1" customHeight="1" x14ac:dyDescent="0.25">
      <c r="A210" s="57">
        <v>27466</v>
      </c>
      <c r="B210" s="72">
        <v>46132</v>
      </c>
      <c r="C210" s="59" t="s">
        <v>2051</v>
      </c>
      <c r="D210" s="50" t="s">
        <v>313</v>
      </c>
      <c r="E210" s="57">
        <v>36</v>
      </c>
      <c r="F210" s="57">
        <v>792</v>
      </c>
      <c r="G210" s="50" t="s">
        <v>550</v>
      </c>
      <c r="H210" s="73">
        <v>1202</v>
      </c>
      <c r="I210" s="57">
        <v>38</v>
      </c>
      <c r="J210" s="50" t="s">
        <v>26</v>
      </c>
      <c r="K210" s="63">
        <v>2162.75</v>
      </c>
      <c r="L210" s="50" t="s">
        <v>317</v>
      </c>
      <c r="M210" s="64">
        <v>2162.75</v>
      </c>
      <c r="N210" s="65">
        <v>20</v>
      </c>
      <c r="O210" s="64">
        <v>432.55</v>
      </c>
      <c r="P210" s="63">
        <v>0</v>
      </c>
      <c r="Q210" s="64">
        <v>0</v>
      </c>
    </row>
    <row r="211" spans="1:17" ht="11.1" customHeight="1" x14ac:dyDescent="0.25">
      <c r="A211" s="57">
        <v>27467</v>
      </c>
      <c r="B211" s="72">
        <v>46134</v>
      </c>
      <c r="C211" s="59" t="s">
        <v>2052</v>
      </c>
      <c r="D211" s="50" t="s">
        <v>313</v>
      </c>
      <c r="E211" s="57">
        <v>36</v>
      </c>
      <c r="F211" s="57">
        <v>792</v>
      </c>
      <c r="G211" s="50" t="s">
        <v>550</v>
      </c>
      <c r="H211" s="73">
        <v>1202</v>
      </c>
      <c r="I211" s="57">
        <v>38</v>
      </c>
      <c r="J211" s="50" t="s">
        <v>26</v>
      </c>
      <c r="K211" s="63">
        <v>996.48</v>
      </c>
      <c r="L211" s="50" t="s">
        <v>317</v>
      </c>
      <c r="M211" s="64">
        <v>996.48</v>
      </c>
      <c r="N211" s="65">
        <v>20</v>
      </c>
      <c r="O211" s="64">
        <v>199.3</v>
      </c>
      <c r="P211" s="63">
        <v>0</v>
      </c>
      <c r="Q211" s="64">
        <v>0</v>
      </c>
    </row>
    <row r="212" spans="1:17" ht="11.1" customHeight="1" x14ac:dyDescent="0.25">
      <c r="A212" s="57">
        <v>27473</v>
      </c>
      <c r="B212" s="72">
        <v>46141</v>
      </c>
      <c r="C212" s="59" t="s">
        <v>2053</v>
      </c>
      <c r="D212" s="50" t="s">
        <v>313</v>
      </c>
      <c r="E212" s="57">
        <v>36</v>
      </c>
      <c r="F212" s="57">
        <v>792</v>
      </c>
      <c r="G212" s="50" t="s">
        <v>550</v>
      </c>
      <c r="H212" s="73">
        <v>1411</v>
      </c>
      <c r="I212" s="57">
        <v>40</v>
      </c>
      <c r="J212" s="50" t="s">
        <v>26</v>
      </c>
      <c r="K212" s="63">
        <v>364.4</v>
      </c>
      <c r="L212" s="50" t="s">
        <v>317</v>
      </c>
      <c r="M212" s="64">
        <v>340.56</v>
      </c>
      <c r="N212" s="65">
        <v>20</v>
      </c>
      <c r="O212" s="64">
        <v>68.11</v>
      </c>
      <c r="P212" s="63">
        <v>0</v>
      </c>
      <c r="Q212" s="64">
        <v>23.84</v>
      </c>
    </row>
    <row r="213" spans="1:17" ht="11.1" customHeight="1" x14ac:dyDescent="0.25">
      <c r="L213" s="50" t="s">
        <v>318</v>
      </c>
      <c r="M213" s="64">
        <v>459.76</v>
      </c>
      <c r="N213" s="65">
        <v>20</v>
      </c>
      <c r="O213" s="64">
        <v>23.84</v>
      </c>
      <c r="P213" s="63">
        <v>0</v>
      </c>
      <c r="Q213" s="64">
        <v>0</v>
      </c>
    </row>
    <row r="214" spans="1:17" ht="11.1" customHeight="1" x14ac:dyDescent="0.25">
      <c r="A214" s="15" t="s">
        <v>1907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</row>
    <row r="215" spans="1:17" ht="11.1" customHeight="1" x14ac:dyDescent="0.25">
      <c r="A215" s="10" t="s">
        <v>184</v>
      </c>
      <c r="B215" s="10" t="s">
        <v>1908</v>
      </c>
      <c r="C215" s="10" t="s">
        <v>298</v>
      </c>
      <c r="D215" s="71" t="s">
        <v>299</v>
      </c>
      <c r="E215" s="10" t="s">
        <v>300</v>
      </c>
      <c r="F215" s="10" t="s">
        <v>184</v>
      </c>
      <c r="G215" s="71" t="s">
        <v>1909</v>
      </c>
      <c r="H215" s="10" t="s">
        <v>304</v>
      </c>
      <c r="I215" s="10" t="s">
        <v>305</v>
      </c>
      <c r="J215" s="71" t="s">
        <v>24</v>
      </c>
      <c r="K215" s="15" t="s">
        <v>306</v>
      </c>
      <c r="L215" s="71" t="s">
        <v>307</v>
      </c>
      <c r="M215" s="10" t="s">
        <v>308</v>
      </c>
      <c r="N215" s="10" t="s">
        <v>309</v>
      </c>
      <c r="O215" s="10" t="s">
        <v>73</v>
      </c>
      <c r="P215" s="15" t="s">
        <v>310</v>
      </c>
      <c r="Q215" s="10" t="s">
        <v>311</v>
      </c>
    </row>
    <row r="216" spans="1:17" ht="11.1" customHeight="1" x14ac:dyDescent="0.25">
      <c r="A216" s="15" t="s">
        <v>1912</v>
      </c>
      <c r="B216" s="15"/>
      <c r="C216" s="15"/>
      <c r="D216" s="15"/>
      <c r="E216" s="15"/>
      <c r="F216" s="15"/>
      <c r="G216" s="15"/>
      <c r="H216" s="15"/>
      <c r="I216" s="15"/>
    </row>
    <row r="217" spans="1:17" ht="11.1" customHeight="1" x14ac:dyDescent="0.25">
      <c r="K217" s="63">
        <v>12816.01</v>
      </c>
      <c r="L217" s="50" t="s">
        <v>317</v>
      </c>
      <c r="M217" s="64">
        <v>12792.17</v>
      </c>
      <c r="O217" s="64">
        <v>2558.44</v>
      </c>
      <c r="P217" s="63">
        <v>0</v>
      </c>
      <c r="Q217" s="64">
        <v>23.84</v>
      </c>
    </row>
    <row r="218" spans="1:17" ht="11.1" customHeight="1" x14ac:dyDescent="0.25">
      <c r="L218" s="50" t="s">
        <v>318</v>
      </c>
      <c r="M218" s="64">
        <v>459.76</v>
      </c>
      <c r="O218" s="64">
        <v>23.84</v>
      </c>
      <c r="P218" s="63">
        <v>0</v>
      </c>
      <c r="Q218" s="64">
        <v>0</v>
      </c>
    </row>
    <row r="219" spans="1:17" ht="11.1" customHeight="1" x14ac:dyDescent="0.25">
      <c r="A219" s="57">
        <v>27480</v>
      </c>
      <c r="B219" s="72">
        <v>46121</v>
      </c>
      <c r="C219" s="59" t="s">
        <v>2054</v>
      </c>
      <c r="D219" s="50" t="s">
        <v>313</v>
      </c>
      <c r="E219" s="57">
        <v>36</v>
      </c>
      <c r="F219" s="57">
        <v>1015</v>
      </c>
      <c r="G219" s="50" t="s">
        <v>2055</v>
      </c>
      <c r="H219" s="73">
        <v>2102</v>
      </c>
      <c r="I219" s="57">
        <v>6</v>
      </c>
      <c r="J219" s="50" t="s">
        <v>50</v>
      </c>
      <c r="K219" s="63">
        <v>4975</v>
      </c>
      <c r="L219" s="50" t="s">
        <v>317</v>
      </c>
      <c r="M219" s="64">
        <v>0</v>
      </c>
      <c r="N219" s="65">
        <v>0</v>
      </c>
      <c r="O219" s="64">
        <v>0</v>
      </c>
      <c r="P219" s="63">
        <v>0</v>
      </c>
      <c r="Q219" s="64">
        <v>4975</v>
      </c>
    </row>
    <row r="220" spans="1:17" ht="11.1" customHeight="1" x14ac:dyDescent="0.25">
      <c r="A220" s="15" t="s">
        <v>1912</v>
      </c>
      <c r="B220" s="15"/>
      <c r="C220" s="15"/>
      <c r="D220" s="15"/>
      <c r="E220" s="15"/>
      <c r="F220" s="15"/>
      <c r="G220" s="15"/>
      <c r="H220" s="15"/>
      <c r="I220" s="15"/>
    </row>
    <row r="221" spans="1:17" ht="11.1" customHeight="1" x14ac:dyDescent="0.25">
      <c r="K221" s="63">
        <v>4975</v>
      </c>
      <c r="L221" s="50" t="s">
        <v>317</v>
      </c>
      <c r="M221" s="64">
        <v>0</v>
      </c>
      <c r="O221" s="64">
        <v>0</v>
      </c>
      <c r="P221" s="63">
        <v>0</v>
      </c>
      <c r="Q221" s="64">
        <v>4975</v>
      </c>
    </row>
    <row r="222" spans="1:17" ht="11.1" customHeight="1" x14ac:dyDescent="0.25">
      <c r="A222" s="57">
        <v>27522</v>
      </c>
      <c r="B222" s="72">
        <v>46127</v>
      </c>
      <c r="C222" s="59" t="s">
        <v>2056</v>
      </c>
      <c r="D222" s="50" t="s">
        <v>313</v>
      </c>
      <c r="E222" s="57">
        <v>36</v>
      </c>
      <c r="F222" s="57">
        <v>614</v>
      </c>
      <c r="G222" s="50" t="s">
        <v>2057</v>
      </c>
      <c r="H222" s="73">
        <v>2102</v>
      </c>
      <c r="I222" s="57">
        <v>6</v>
      </c>
      <c r="J222" s="50" t="s">
        <v>50</v>
      </c>
      <c r="K222" s="63">
        <v>2464.59</v>
      </c>
      <c r="L222" s="50" t="s">
        <v>317</v>
      </c>
      <c r="M222" s="64">
        <v>2457.7199999999998</v>
      </c>
      <c r="N222" s="65">
        <v>7</v>
      </c>
      <c r="O222" s="64">
        <v>172.04</v>
      </c>
      <c r="P222" s="63">
        <v>0</v>
      </c>
      <c r="Q222" s="64">
        <v>6.87</v>
      </c>
    </row>
    <row r="223" spans="1:17" ht="11.1" customHeight="1" x14ac:dyDescent="0.25">
      <c r="A223" s="57">
        <v>27523</v>
      </c>
      <c r="B223" s="72">
        <v>46134</v>
      </c>
      <c r="C223" s="59" t="s">
        <v>2058</v>
      </c>
      <c r="D223" s="50" t="s">
        <v>313</v>
      </c>
      <c r="E223" s="57">
        <v>36</v>
      </c>
      <c r="F223" s="57">
        <v>614</v>
      </c>
      <c r="G223" s="50" t="s">
        <v>2057</v>
      </c>
      <c r="H223" s="73">
        <v>2102</v>
      </c>
      <c r="I223" s="57">
        <v>6</v>
      </c>
      <c r="J223" s="50" t="s">
        <v>50</v>
      </c>
      <c r="K223" s="63">
        <v>4731.53</v>
      </c>
      <c r="L223" s="50" t="s">
        <v>317</v>
      </c>
      <c r="M223" s="64">
        <v>4680.25</v>
      </c>
      <c r="N223" s="65">
        <v>4</v>
      </c>
      <c r="O223" s="64">
        <v>187.21</v>
      </c>
      <c r="P223" s="63">
        <v>0</v>
      </c>
      <c r="Q223" s="64">
        <v>51.28</v>
      </c>
    </row>
    <row r="224" spans="1:17" ht="11.1" customHeight="1" x14ac:dyDescent="0.25">
      <c r="A224" s="57">
        <v>27524</v>
      </c>
      <c r="B224" s="72">
        <v>46142</v>
      </c>
      <c r="C224" s="59" t="s">
        <v>2059</v>
      </c>
      <c r="D224" s="50" t="s">
        <v>313</v>
      </c>
      <c r="E224" s="57">
        <v>36</v>
      </c>
      <c r="F224" s="57">
        <v>614</v>
      </c>
      <c r="G224" s="50" t="s">
        <v>2057</v>
      </c>
      <c r="H224" s="73">
        <v>2102</v>
      </c>
      <c r="I224" s="57">
        <v>6</v>
      </c>
      <c r="J224" s="50" t="s">
        <v>50</v>
      </c>
      <c r="K224" s="63">
        <v>2464.59</v>
      </c>
      <c r="L224" s="50" t="s">
        <v>317</v>
      </c>
      <c r="M224" s="64">
        <v>2457.7199999999998</v>
      </c>
      <c r="N224" s="65">
        <v>7</v>
      </c>
      <c r="O224" s="64">
        <v>172.04</v>
      </c>
      <c r="P224" s="63">
        <v>0</v>
      </c>
      <c r="Q224" s="64">
        <v>6.87</v>
      </c>
    </row>
    <row r="225" spans="1:17" ht="11.1" customHeight="1" x14ac:dyDescent="0.25">
      <c r="A225" s="15" t="s">
        <v>1912</v>
      </c>
      <c r="B225" s="15"/>
      <c r="C225" s="15"/>
      <c r="D225" s="15"/>
      <c r="E225" s="15"/>
      <c r="F225" s="15"/>
      <c r="G225" s="15"/>
      <c r="H225" s="15"/>
      <c r="I225" s="15"/>
    </row>
    <row r="226" spans="1:17" ht="11.1" customHeight="1" x14ac:dyDescent="0.25">
      <c r="K226" s="63">
        <v>9660.7099999999991</v>
      </c>
      <c r="L226" s="50" t="s">
        <v>317</v>
      </c>
      <c r="M226" s="64">
        <v>9595.69</v>
      </c>
      <c r="O226" s="64">
        <v>531.29</v>
      </c>
      <c r="P226" s="63">
        <v>0</v>
      </c>
      <c r="Q226" s="64">
        <v>65.02</v>
      </c>
    </row>
    <row r="227" spans="1:17" ht="11.1" customHeight="1" x14ac:dyDescent="0.25">
      <c r="A227" s="57">
        <v>28463</v>
      </c>
      <c r="B227" s="72">
        <v>46125</v>
      </c>
      <c r="C227" s="59" t="s">
        <v>2060</v>
      </c>
      <c r="D227" s="50" t="s">
        <v>75</v>
      </c>
      <c r="E227" s="57">
        <v>39</v>
      </c>
      <c r="F227" s="57">
        <v>1241</v>
      </c>
      <c r="G227" s="50" t="s">
        <v>2061</v>
      </c>
      <c r="H227" s="73">
        <v>2933</v>
      </c>
      <c r="I227" s="57">
        <v>29</v>
      </c>
      <c r="J227" s="50" t="s">
        <v>50</v>
      </c>
      <c r="K227" s="63">
        <v>1010.71</v>
      </c>
      <c r="L227" s="50" t="s">
        <v>1962</v>
      </c>
      <c r="M227" s="64">
        <v>1010.71</v>
      </c>
      <c r="N227" s="65">
        <v>2</v>
      </c>
      <c r="O227" s="64">
        <v>20.21</v>
      </c>
      <c r="P227" s="63">
        <v>0</v>
      </c>
      <c r="Q227" s="64">
        <v>0</v>
      </c>
    </row>
    <row r="228" spans="1:17" ht="11.1" customHeight="1" x14ac:dyDescent="0.25">
      <c r="L228" s="50" t="s">
        <v>2062</v>
      </c>
      <c r="M228" s="64">
        <v>1010.71</v>
      </c>
      <c r="N228" s="65">
        <v>1.5</v>
      </c>
      <c r="O228" s="64">
        <v>15.16</v>
      </c>
      <c r="P228" s="63">
        <v>0</v>
      </c>
      <c r="Q228" s="64">
        <v>0</v>
      </c>
    </row>
    <row r="229" spans="1:17" ht="11.1" customHeight="1" x14ac:dyDescent="0.25">
      <c r="A229" s="57">
        <v>28464</v>
      </c>
      <c r="B229" s="72">
        <v>46140</v>
      </c>
      <c r="C229" s="59" t="s">
        <v>2063</v>
      </c>
      <c r="D229" s="50" t="s">
        <v>75</v>
      </c>
      <c r="E229" s="57">
        <v>39</v>
      </c>
      <c r="F229" s="57">
        <v>1241</v>
      </c>
      <c r="G229" s="50" t="s">
        <v>2061</v>
      </c>
      <c r="H229" s="73">
        <v>2933</v>
      </c>
      <c r="I229" s="57">
        <v>29</v>
      </c>
      <c r="J229" s="50" t="s">
        <v>50</v>
      </c>
      <c r="K229" s="63">
        <v>13527.92</v>
      </c>
      <c r="L229" s="50" t="s">
        <v>1962</v>
      </c>
      <c r="M229" s="64">
        <v>13527.92</v>
      </c>
      <c r="N229" s="65">
        <v>2</v>
      </c>
      <c r="O229" s="64">
        <v>270.56</v>
      </c>
      <c r="P229" s="63">
        <v>0</v>
      </c>
      <c r="Q229" s="64">
        <v>0</v>
      </c>
    </row>
    <row r="230" spans="1:17" ht="11.1" customHeight="1" x14ac:dyDescent="0.25">
      <c r="L230" s="50" t="s">
        <v>2062</v>
      </c>
      <c r="M230" s="64">
        <v>13527.92</v>
      </c>
      <c r="N230" s="65">
        <v>1.5</v>
      </c>
      <c r="O230" s="64">
        <v>202.92</v>
      </c>
      <c r="P230" s="63">
        <v>0</v>
      </c>
      <c r="Q230" s="64">
        <v>0</v>
      </c>
    </row>
    <row r="231" spans="1:17" ht="11.1" customHeight="1" x14ac:dyDescent="0.25">
      <c r="A231" s="15" t="s">
        <v>1912</v>
      </c>
      <c r="B231" s="15"/>
      <c r="C231" s="15"/>
      <c r="D231" s="15"/>
      <c r="E231" s="15"/>
      <c r="F231" s="15"/>
      <c r="G231" s="15"/>
      <c r="H231" s="15"/>
      <c r="I231" s="15"/>
    </row>
    <row r="232" spans="1:17" ht="11.1" customHeight="1" x14ac:dyDescent="0.25">
      <c r="K232" s="63">
        <v>14538.63</v>
      </c>
      <c r="L232" s="50" t="s">
        <v>1962</v>
      </c>
      <c r="M232" s="64">
        <v>14538.63</v>
      </c>
      <c r="O232" s="64">
        <v>290.77</v>
      </c>
      <c r="P232" s="63">
        <v>0</v>
      </c>
      <c r="Q232" s="64">
        <v>0</v>
      </c>
    </row>
    <row r="233" spans="1:17" ht="11.1" customHeight="1" x14ac:dyDescent="0.25">
      <c r="L233" s="50" t="s">
        <v>2062</v>
      </c>
      <c r="M233" s="64">
        <v>14538.63</v>
      </c>
      <c r="O233" s="64">
        <v>218.08</v>
      </c>
      <c r="P233" s="63">
        <v>0</v>
      </c>
      <c r="Q233" s="64">
        <v>0</v>
      </c>
    </row>
    <row r="234" spans="1:17" ht="11.1" customHeight="1" x14ac:dyDescent="0.25">
      <c r="A234" s="57">
        <v>29158</v>
      </c>
      <c r="B234" s="72">
        <v>46137</v>
      </c>
      <c r="C234" s="59" t="s">
        <v>2064</v>
      </c>
      <c r="D234" s="50" t="s">
        <v>75</v>
      </c>
      <c r="E234" s="57">
        <v>39</v>
      </c>
      <c r="F234" s="57">
        <v>1305</v>
      </c>
      <c r="G234" s="50" t="s">
        <v>2065</v>
      </c>
      <c r="H234" s="73">
        <v>2933</v>
      </c>
      <c r="I234" s="57">
        <v>29</v>
      </c>
      <c r="J234" s="50" t="s">
        <v>50</v>
      </c>
      <c r="K234" s="63">
        <v>10.75</v>
      </c>
      <c r="L234" s="50" t="s">
        <v>1962</v>
      </c>
      <c r="M234" s="64">
        <v>10.75</v>
      </c>
      <c r="N234" s="65">
        <v>2.9</v>
      </c>
      <c r="O234" s="64">
        <v>0.31</v>
      </c>
      <c r="P234" s="63">
        <v>0</v>
      </c>
      <c r="Q234" s="64">
        <v>0</v>
      </c>
    </row>
    <row r="235" spans="1:17" ht="11.1" customHeight="1" x14ac:dyDescent="0.25">
      <c r="A235" s="15" t="s">
        <v>1912</v>
      </c>
      <c r="B235" s="15"/>
      <c r="C235" s="15"/>
      <c r="D235" s="15"/>
      <c r="E235" s="15"/>
      <c r="F235" s="15"/>
      <c r="G235" s="15"/>
      <c r="H235" s="15"/>
      <c r="I235" s="15"/>
    </row>
    <row r="236" spans="1:17" ht="11.1" customHeight="1" x14ac:dyDescent="0.25">
      <c r="K236" s="63">
        <v>10.75</v>
      </c>
      <c r="L236" s="50" t="s">
        <v>1962</v>
      </c>
      <c r="M236" s="64">
        <v>10.75</v>
      </c>
      <c r="O236" s="64">
        <v>0.31</v>
      </c>
      <c r="P236" s="63">
        <v>0</v>
      </c>
      <c r="Q236" s="64">
        <v>0</v>
      </c>
    </row>
    <row r="237" spans="1:17" ht="11.1" customHeight="1" x14ac:dyDescent="0.25">
      <c r="A237" s="57">
        <v>27597</v>
      </c>
      <c r="B237" s="72">
        <v>46122</v>
      </c>
      <c r="C237" s="59" t="s">
        <v>2066</v>
      </c>
      <c r="D237" s="50" t="s">
        <v>313</v>
      </c>
      <c r="E237" s="57">
        <v>36</v>
      </c>
      <c r="F237" s="57">
        <v>688</v>
      </c>
      <c r="G237" s="50" t="s">
        <v>2067</v>
      </c>
      <c r="H237" s="73">
        <v>1403</v>
      </c>
      <c r="I237" s="57">
        <v>8</v>
      </c>
      <c r="J237" s="50" t="s">
        <v>26</v>
      </c>
      <c r="K237" s="63">
        <v>1419.12</v>
      </c>
      <c r="L237" s="50" t="s">
        <v>317</v>
      </c>
      <c r="M237" s="64">
        <v>0</v>
      </c>
      <c r="N237" s="65">
        <v>0</v>
      </c>
      <c r="O237" s="64">
        <v>0</v>
      </c>
      <c r="P237" s="63">
        <v>0</v>
      </c>
      <c r="Q237" s="64">
        <v>1343.46</v>
      </c>
    </row>
    <row r="238" spans="1:17" ht="11.1" customHeight="1" x14ac:dyDescent="0.25">
      <c r="L238" s="50" t="s">
        <v>318</v>
      </c>
      <c r="M238" s="64">
        <v>1380.51</v>
      </c>
      <c r="N238" s="65">
        <v>20</v>
      </c>
      <c r="O238" s="64">
        <v>75.66</v>
      </c>
      <c r="P238" s="63">
        <v>0</v>
      </c>
      <c r="Q238" s="64">
        <v>0</v>
      </c>
    </row>
    <row r="239" spans="1:17" ht="11.1" customHeight="1" x14ac:dyDescent="0.25">
      <c r="A239" s="57">
        <v>27598</v>
      </c>
      <c r="B239" s="72">
        <v>46122</v>
      </c>
      <c r="C239" s="59" t="s">
        <v>2066</v>
      </c>
      <c r="D239" s="50" t="s">
        <v>313</v>
      </c>
      <c r="E239" s="57">
        <v>36</v>
      </c>
      <c r="F239" s="57">
        <v>688</v>
      </c>
      <c r="G239" s="50" t="s">
        <v>2067</v>
      </c>
      <c r="H239" s="73">
        <v>1556</v>
      </c>
      <c r="I239" s="57">
        <v>12</v>
      </c>
      <c r="J239" s="50" t="s">
        <v>26</v>
      </c>
      <c r="K239" s="63">
        <v>4346.71</v>
      </c>
      <c r="L239" s="50" t="s">
        <v>75</v>
      </c>
      <c r="M239" s="64">
        <v>0</v>
      </c>
      <c r="N239" s="65">
        <v>0</v>
      </c>
      <c r="O239" s="64">
        <v>0</v>
      </c>
      <c r="P239" s="63">
        <v>0</v>
      </c>
      <c r="Q239" s="64">
        <v>0</v>
      </c>
    </row>
    <row r="240" spans="1:17" ht="11.1" customHeight="1" x14ac:dyDescent="0.25">
      <c r="A240" s="57">
        <v>27599</v>
      </c>
      <c r="B240" s="72">
        <v>46136</v>
      </c>
      <c r="C240" s="59" t="s">
        <v>2068</v>
      </c>
      <c r="D240" s="50" t="s">
        <v>313</v>
      </c>
      <c r="E240" s="57">
        <v>36</v>
      </c>
      <c r="F240" s="57">
        <v>688</v>
      </c>
      <c r="G240" s="50" t="s">
        <v>2067</v>
      </c>
      <c r="H240" s="73">
        <v>1556</v>
      </c>
      <c r="I240" s="57">
        <v>12</v>
      </c>
      <c r="J240" s="50" t="s">
        <v>26</v>
      </c>
      <c r="K240" s="63">
        <v>736.79</v>
      </c>
      <c r="L240" s="50" t="s">
        <v>75</v>
      </c>
      <c r="M240" s="64">
        <v>0</v>
      </c>
      <c r="N240" s="65">
        <v>0</v>
      </c>
      <c r="O240" s="64">
        <v>0</v>
      </c>
      <c r="P240" s="63">
        <v>0</v>
      </c>
      <c r="Q240" s="64">
        <v>0</v>
      </c>
    </row>
    <row r="241" spans="1:17" ht="11.1" customHeight="1" x14ac:dyDescent="0.25">
      <c r="A241" s="15" t="s">
        <v>1912</v>
      </c>
      <c r="B241" s="15"/>
      <c r="C241" s="15"/>
      <c r="D241" s="15"/>
      <c r="E241" s="15"/>
      <c r="F241" s="15"/>
      <c r="G241" s="15"/>
      <c r="H241" s="15"/>
      <c r="I241" s="15"/>
    </row>
    <row r="242" spans="1:17" ht="11.1" customHeight="1" x14ac:dyDescent="0.25">
      <c r="K242" s="63">
        <v>6502.62</v>
      </c>
      <c r="L242" s="50" t="s">
        <v>317</v>
      </c>
      <c r="M242" s="64">
        <v>0</v>
      </c>
      <c r="O242" s="64">
        <v>0</v>
      </c>
      <c r="P242" s="63">
        <v>0</v>
      </c>
      <c r="Q242" s="64">
        <v>1343.46</v>
      </c>
    </row>
    <row r="243" spans="1:17" ht="11.1" customHeight="1" x14ac:dyDescent="0.25">
      <c r="L243" s="50" t="s">
        <v>318</v>
      </c>
      <c r="M243" s="64">
        <v>1380.51</v>
      </c>
      <c r="O243" s="64">
        <v>75.66</v>
      </c>
      <c r="P243" s="63">
        <v>0</v>
      </c>
      <c r="Q243" s="64">
        <v>0</v>
      </c>
    </row>
    <row r="244" spans="1:17" ht="11.1" customHeight="1" x14ac:dyDescent="0.25">
      <c r="A244" s="57">
        <v>27462</v>
      </c>
      <c r="B244" s="72">
        <v>46126</v>
      </c>
      <c r="C244" s="59" t="s">
        <v>2069</v>
      </c>
      <c r="D244" s="50" t="s">
        <v>313</v>
      </c>
      <c r="E244" s="57">
        <v>36</v>
      </c>
      <c r="F244" s="57">
        <v>1179</v>
      </c>
      <c r="G244" s="50" t="s">
        <v>653</v>
      </c>
      <c r="H244" s="73">
        <v>1411</v>
      </c>
      <c r="I244" s="57">
        <v>40</v>
      </c>
      <c r="J244" s="50" t="s">
        <v>26</v>
      </c>
      <c r="K244" s="63">
        <v>629</v>
      </c>
      <c r="L244" s="50" t="s">
        <v>317</v>
      </c>
      <c r="M244" s="64">
        <v>629</v>
      </c>
      <c r="N244" s="65">
        <v>20</v>
      </c>
      <c r="O244" s="64">
        <v>125.8</v>
      </c>
      <c r="P244" s="63">
        <v>0</v>
      </c>
      <c r="Q244" s="64">
        <v>0</v>
      </c>
    </row>
    <row r="245" spans="1:17" ht="11.1" customHeight="1" x14ac:dyDescent="0.25">
      <c r="A245" s="15" t="s">
        <v>1912</v>
      </c>
      <c r="B245" s="15"/>
      <c r="C245" s="15"/>
      <c r="D245" s="15"/>
      <c r="E245" s="15"/>
      <c r="F245" s="15"/>
      <c r="G245" s="15"/>
      <c r="H245" s="15"/>
      <c r="I245" s="15"/>
    </row>
    <row r="246" spans="1:17" ht="11.1" customHeight="1" x14ac:dyDescent="0.25">
      <c r="K246" s="63">
        <v>629</v>
      </c>
      <c r="L246" s="50" t="s">
        <v>317</v>
      </c>
      <c r="M246" s="64">
        <v>629</v>
      </c>
      <c r="O246" s="64">
        <v>125.8</v>
      </c>
      <c r="P246" s="63">
        <v>0</v>
      </c>
      <c r="Q246" s="64">
        <v>0</v>
      </c>
    </row>
    <row r="247" spans="1:17" ht="11.1" customHeight="1" x14ac:dyDescent="0.25">
      <c r="A247" s="57">
        <v>27588</v>
      </c>
      <c r="B247" s="72">
        <v>46116</v>
      </c>
      <c r="C247" s="59" t="s">
        <v>2070</v>
      </c>
      <c r="D247" s="50" t="s">
        <v>313</v>
      </c>
      <c r="E247" s="57">
        <v>36</v>
      </c>
      <c r="F247" s="57">
        <v>773</v>
      </c>
      <c r="G247" s="50" t="s">
        <v>2071</v>
      </c>
      <c r="H247" s="73">
        <v>2102</v>
      </c>
      <c r="I247" s="57">
        <v>6</v>
      </c>
      <c r="J247" s="50" t="s">
        <v>34</v>
      </c>
      <c r="K247" s="63">
        <v>51200</v>
      </c>
      <c r="L247" s="50" t="s">
        <v>317</v>
      </c>
      <c r="M247" s="64">
        <v>51200</v>
      </c>
      <c r="N247" s="65">
        <v>18</v>
      </c>
      <c r="O247" s="64">
        <v>9216</v>
      </c>
      <c r="P247" s="63">
        <v>0</v>
      </c>
      <c r="Q247" s="64">
        <v>0</v>
      </c>
    </row>
    <row r="248" spans="1:17" ht="11.1" customHeight="1" x14ac:dyDescent="0.25">
      <c r="A248" s="15" t="s">
        <v>1912</v>
      </c>
      <c r="B248" s="15"/>
      <c r="C248" s="15"/>
      <c r="D248" s="15"/>
      <c r="E248" s="15"/>
      <c r="F248" s="15"/>
      <c r="G248" s="15"/>
      <c r="H248" s="15"/>
      <c r="I248" s="15"/>
    </row>
    <row r="249" spans="1:17" ht="11.1" customHeight="1" x14ac:dyDescent="0.25">
      <c r="K249" s="63">
        <v>51200</v>
      </c>
      <c r="L249" s="50" t="s">
        <v>317</v>
      </c>
      <c r="M249" s="64">
        <v>51200</v>
      </c>
      <c r="O249" s="64">
        <v>9216</v>
      </c>
      <c r="P249" s="63">
        <v>0</v>
      </c>
      <c r="Q249" s="64">
        <v>0</v>
      </c>
    </row>
    <row r="250" spans="1:17" ht="11.1" customHeight="1" x14ac:dyDescent="0.25">
      <c r="A250" s="57">
        <v>28920</v>
      </c>
      <c r="B250" s="72">
        <v>46142</v>
      </c>
      <c r="C250" s="59" t="s">
        <v>2072</v>
      </c>
      <c r="D250" s="50" t="s">
        <v>75</v>
      </c>
      <c r="E250" s="57">
        <v>39</v>
      </c>
      <c r="F250" s="57">
        <v>1281</v>
      </c>
      <c r="G250" s="50" t="s">
        <v>2073</v>
      </c>
      <c r="H250" s="73">
        <v>1933</v>
      </c>
      <c r="I250" s="57">
        <v>29</v>
      </c>
      <c r="J250" s="50" t="s">
        <v>26</v>
      </c>
      <c r="K250" s="63">
        <v>2475</v>
      </c>
      <c r="L250" s="50" t="s">
        <v>75</v>
      </c>
      <c r="M250" s="64">
        <v>0</v>
      </c>
      <c r="N250" s="65">
        <v>0</v>
      </c>
      <c r="O250" s="64">
        <v>0</v>
      </c>
      <c r="P250" s="63">
        <v>0</v>
      </c>
      <c r="Q250" s="64">
        <v>0</v>
      </c>
    </row>
    <row r="251" spans="1:17" ht="11.1" customHeight="1" x14ac:dyDescent="0.25">
      <c r="A251" s="15" t="s">
        <v>1912</v>
      </c>
      <c r="B251" s="15"/>
      <c r="C251" s="15"/>
      <c r="D251" s="15"/>
      <c r="E251" s="15"/>
      <c r="F251" s="15"/>
      <c r="G251" s="15"/>
      <c r="H251" s="15"/>
      <c r="I251" s="15"/>
    </row>
    <row r="252" spans="1:17" ht="11.1" customHeight="1" x14ac:dyDescent="0.25">
      <c r="K252" s="63">
        <v>2475</v>
      </c>
      <c r="L252" s="50" t="s">
        <v>75</v>
      </c>
      <c r="M252" s="64">
        <v>0</v>
      </c>
      <c r="O252" s="64">
        <v>0</v>
      </c>
      <c r="P252" s="63">
        <v>0</v>
      </c>
      <c r="Q252" s="64">
        <v>0</v>
      </c>
    </row>
    <row r="253" spans="1:17" ht="11.1" customHeight="1" x14ac:dyDescent="0.25">
      <c r="A253" s="57">
        <v>27472</v>
      </c>
      <c r="B253" s="72">
        <v>46140</v>
      </c>
      <c r="C253" s="59" t="s">
        <v>2074</v>
      </c>
      <c r="D253" s="50" t="s">
        <v>313</v>
      </c>
      <c r="E253" s="57">
        <v>36</v>
      </c>
      <c r="F253" s="57">
        <v>1198</v>
      </c>
      <c r="G253" s="50" t="s">
        <v>715</v>
      </c>
      <c r="H253" s="73">
        <v>1202</v>
      </c>
      <c r="I253" s="57">
        <v>38</v>
      </c>
      <c r="J253" s="50" t="s">
        <v>26</v>
      </c>
      <c r="K253" s="63">
        <v>194.4</v>
      </c>
      <c r="L253" s="50" t="s">
        <v>317</v>
      </c>
      <c r="M253" s="64">
        <v>194.4</v>
      </c>
      <c r="N253" s="65">
        <v>20</v>
      </c>
      <c r="O253" s="64">
        <v>38.880000000000003</v>
      </c>
      <c r="P253" s="63">
        <v>0</v>
      </c>
      <c r="Q253" s="64">
        <v>0</v>
      </c>
    </row>
    <row r="254" spans="1:17" ht="11.1" customHeight="1" x14ac:dyDescent="0.25">
      <c r="A254" s="15" t="s">
        <v>1912</v>
      </c>
      <c r="B254" s="15"/>
      <c r="C254" s="15"/>
      <c r="D254" s="15"/>
      <c r="E254" s="15"/>
      <c r="F254" s="15"/>
      <c r="G254" s="15"/>
      <c r="H254" s="15"/>
      <c r="I254" s="15"/>
    </row>
    <row r="255" spans="1:17" ht="11.1" customHeight="1" x14ac:dyDescent="0.25">
      <c r="K255" s="63">
        <v>194.4</v>
      </c>
      <c r="L255" s="50" t="s">
        <v>317</v>
      </c>
      <c r="M255" s="64">
        <v>194.4</v>
      </c>
      <c r="O255" s="64">
        <v>38.880000000000003</v>
      </c>
      <c r="P255" s="63">
        <v>0</v>
      </c>
      <c r="Q255" s="64">
        <v>0</v>
      </c>
    </row>
    <row r="256" spans="1:17" ht="11.1" customHeight="1" x14ac:dyDescent="0.25">
      <c r="A256" s="57">
        <v>27619</v>
      </c>
      <c r="B256" s="72">
        <v>46119</v>
      </c>
      <c r="C256" s="59" t="s">
        <v>2075</v>
      </c>
      <c r="D256" s="50" t="s">
        <v>313</v>
      </c>
      <c r="E256" s="57">
        <v>36</v>
      </c>
      <c r="F256" s="57">
        <v>609</v>
      </c>
      <c r="G256" s="50" t="s">
        <v>2076</v>
      </c>
      <c r="H256" s="73">
        <v>1556</v>
      </c>
      <c r="I256" s="57">
        <v>12</v>
      </c>
      <c r="J256" s="50" t="s">
        <v>26</v>
      </c>
      <c r="K256" s="63">
        <v>2890</v>
      </c>
      <c r="L256" s="50" t="s">
        <v>75</v>
      </c>
      <c r="M256" s="64">
        <v>0</v>
      </c>
      <c r="N256" s="65">
        <v>0</v>
      </c>
      <c r="O256" s="64">
        <v>0</v>
      </c>
      <c r="P256" s="63">
        <v>0</v>
      </c>
      <c r="Q256" s="64">
        <v>0</v>
      </c>
    </row>
    <row r="257" spans="1:17" ht="11.1" customHeight="1" x14ac:dyDescent="0.25">
      <c r="A257" s="15" t="s">
        <v>1912</v>
      </c>
      <c r="B257" s="15"/>
      <c r="C257" s="15"/>
      <c r="D257" s="15"/>
      <c r="E257" s="15"/>
      <c r="F257" s="15"/>
      <c r="G257" s="15"/>
      <c r="H257" s="15"/>
      <c r="I257" s="15"/>
    </row>
    <row r="258" spans="1:17" ht="11.1" customHeight="1" x14ac:dyDescent="0.25">
      <c r="K258" s="63">
        <v>2890</v>
      </c>
      <c r="L258" s="50" t="s">
        <v>75</v>
      </c>
      <c r="M258" s="64">
        <v>0</v>
      </c>
      <c r="O258" s="64">
        <v>0</v>
      </c>
      <c r="P258" s="63">
        <v>0</v>
      </c>
      <c r="Q258" s="64">
        <v>0</v>
      </c>
    </row>
    <row r="259" spans="1:17" ht="11.1" customHeight="1" x14ac:dyDescent="0.25">
      <c r="A259" s="57">
        <v>27525</v>
      </c>
      <c r="B259" s="72">
        <v>46127</v>
      </c>
      <c r="C259" s="59" t="s">
        <v>2077</v>
      </c>
      <c r="D259" s="50" t="s">
        <v>313</v>
      </c>
      <c r="E259" s="57">
        <v>36</v>
      </c>
      <c r="F259" s="57">
        <v>896</v>
      </c>
      <c r="G259" s="50" t="s">
        <v>2078</v>
      </c>
      <c r="H259" s="73">
        <v>2102</v>
      </c>
      <c r="I259" s="57">
        <v>6</v>
      </c>
      <c r="J259" s="50" t="s">
        <v>50</v>
      </c>
      <c r="K259" s="63">
        <v>9002.76</v>
      </c>
      <c r="L259" s="50" t="s">
        <v>317</v>
      </c>
      <c r="M259" s="64">
        <v>3789.45</v>
      </c>
      <c r="N259" s="65">
        <v>4</v>
      </c>
      <c r="O259" s="64">
        <v>151.58000000000001</v>
      </c>
      <c r="P259" s="63">
        <v>0</v>
      </c>
      <c r="Q259" s="64">
        <v>123.16</v>
      </c>
    </row>
    <row r="260" spans="1:17" ht="11.1" customHeight="1" x14ac:dyDescent="0.25">
      <c r="L260" s="50" t="s">
        <v>317</v>
      </c>
      <c r="M260" s="64">
        <v>4929.93</v>
      </c>
      <c r="N260" s="65">
        <v>7</v>
      </c>
      <c r="O260" s="64">
        <v>345.09</v>
      </c>
      <c r="P260" s="63">
        <v>0</v>
      </c>
      <c r="Q260" s="64">
        <v>160.22</v>
      </c>
    </row>
    <row r="261" spans="1:17" ht="11.1" customHeight="1" x14ac:dyDescent="0.25">
      <c r="A261" s="15" t="s">
        <v>1912</v>
      </c>
      <c r="B261" s="15"/>
      <c r="C261" s="15"/>
      <c r="D261" s="15"/>
      <c r="E261" s="15"/>
      <c r="F261" s="15"/>
      <c r="G261" s="15"/>
      <c r="H261" s="15"/>
      <c r="I261" s="15"/>
    </row>
    <row r="262" spans="1:17" ht="11.1" customHeight="1" x14ac:dyDescent="0.25">
      <c r="K262" s="63">
        <v>9002.76</v>
      </c>
      <c r="L262" s="50" t="s">
        <v>317</v>
      </c>
      <c r="M262" s="64">
        <v>8719.3799999999992</v>
      </c>
      <c r="O262" s="64">
        <v>496.67</v>
      </c>
      <c r="P262" s="63">
        <v>0</v>
      </c>
      <c r="Q262" s="64">
        <v>283.38</v>
      </c>
    </row>
    <row r="263" spans="1:17" ht="11.1" customHeight="1" x14ac:dyDescent="0.25">
      <c r="A263" s="57">
        <v>27620</v>
      </c>
      <c r="B263" s="72">
        <v>46119</v>
      </c>
      <c r="C263" s="59" t="s">
        <v>2079</v>
      </c>
      <c r="D263" s="50" t="s">
        <v>313</v>
      </c>
      <c r="E263" s="57">
        <v>36</v>
      </c>
      <c r="F263" s="57">
        <v>575</v>
      </c>
      <c r="G263" s="50" t="s">
        <v>2080</v>
      </c>
      <c r="H263" s="73">
        <v>1202</v>
      </c>
      <c r="I263" s="57">
        <v>38</v>
      </c>
      <c r="J263" s="50" t="s">
        <v>26</v>
      </c>
      <c r="K263" s="63">
        <v>131.5</v>
      </c>
      <c r="L263" s="50" t="s">
        <v>317</v>
      </c>
      <c r="M263" s="64">
        <v>131.5</v>
      </c>
      <c r="N263" s="65">
        <v>20</v>
      </c>
      <c r="O263" s="64">
        <v>26.3</v>
      </c>
      <c r="P263" s="63">
        <v>0</v>
      </c>
      <c r="Q263" s="64">
        <v>0</v>
      </c>
    </row>
    <row r="264" spans="1:17" ht="11.1" customHeight="1" x14ac:dyDescent="0.25">
      <c r="A264" s="15" t="s">
        <v>1907</v>
      </c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</row>
    <row r="265" spans="1:17" ht="11.1" customHeight="1" x14ac:dyDescent="0.25">
      <c r="A265" s="10" t="s">
        <v>184</v>
      </c>
      <c r="B265" s="10" t="s">
        <v>1908</v>
      </c>
      <c r="C265" s="10" t="s">
        <v>298</v>
      </c>
      <c r="D265" s="71" t="s">
        <v>299</v>
      </c>
      <c r="E265" s="10" t="s">
        <v>300</v>
      </c>
      <c r="F265" s="10" t="s">
        <v>184</v>
      </c>
      <c r="G265" s="71" t="s">
        <v>1909</v>
      </c>
      <c r="H265" s="10" t="s">
        <v>304</v>
      </c>
      <c r="I265" s="10" t="s">
        <v>305</v>
      </c>
      <c r="J265" s="71" t="s">
        <v>24</v>
      </c>
      <c r="K265" s="15" t="s">
        <v>306</v>
      </c>
      <c r="L265" s="71" t="s">
        <v>307</v>
      </c>
      <c r="M265" s="10" t="s">
        <v>308</v>
      </c>
      <c r="N265" s="10" t="s">
        <v>309</v>
      </c>
      <c r="O265" s="10" t="s">
        <v>73</v>
      </c>
      <c r="P265" s="15" t="s">
        <v>310</v>
      </c>
      <c r="Q265" s="10" t="s">
        <v>311</v>
      </c>
    </row>
    <row r="266" spans="1:17" ht="11.1" customHeight="1" x14ac:dyDescent="0.25">
      <c r="A266" s="15" t="s">
        <v>1912</v>
      </c>
      <c r="B266" s="15"/>
      <c r="C266" s="15"/>
      <c r="D266" s="15"/>
      <c r="E266" s="15"/>
      <c r="F266" s="15"/>
      <c r="G266" s="15"/>
      <c r="H266" s="15"/>
      <c r="I266" s="15"/>
    </row>
    <row r="267" spans="1:17" ht="11.1" customHeight="1" x14ac:dyDescent="0.25">
      <c r="K267" s="63">
        <v>131.5</v>
      </c>
      <c r="L267" s="50" t="s">
        <v>317</v>
      </c>
      <c r="M267" s="64">
        <v>131.5</v>
      </c>
      <c r="O267" s="64">
        <v>26.3</v>
      </c>
      <c r="P267" s="63">
        <v>0</v>
      </c>
      <c r="Q267" s="64">
        <v>0</v>
      </c>
    </row>
    <row r="268" spans="1:17" ht="11.1" customHeight="1" x14ac:dyDescent="0.25">
      <c r="A268" s="57">
        <v>27621</v>
      </c>
      <c r="B268" s="72">
        <v>46123</v>
      </c>
      <c r="C268" s="59" t="s">
        <v>2081</v>
      </c>
      <c r="D268" s="50" t="s">
        <v>313</v>
      </c>
      <c r="E268" s="57">
        <v>36</v>
      </c>
      <c r="F268" s="57">
        <v>576</v>
      </c>
      <c r="G268" s="50" t="s">
        <v>2082</v>
      </c>
      <c r="H268" s="73">
        <v>1102</v>
      </c>
      <c r="I268" s="57">
        <v>6</v>
      </c>
      <c r="J268" s="50" t="s">
        <v>26</v>
      </c>
      <c r="K268" s="63">
        <v>31.97</v>
      </c>
      <c r="L268" s="50" t="s">
        <v>317</v>
      </c>
      <c r="M268" s="64">
        <v>31.97</v>
      </c>
      <c r="N268" s="65">
        <v>20</v>
      </c>
      <c r="O268" s="64">
        <v>6.39</v>
      </c>
      <c r="P268" s="63">
        <v>0</v>
      </c>
      <c r="Q268" s="64">
        <v>0</v>
      </c>
    </row>
    <row r="269" spans="1:17" ht="11.1" customHeight="1" x14ac:dyDescent="0.25">
      <c r="A269" s="15" t="s">
        <v>1912</v>
      </c>
      <c r="B269" s="15"/>
      <c r="C269" s="15"/>
      <c r="D269" s="15"/>
      <c r="E269" s="15"/>
      <c r="F269" s="15"/>
      <c r="G269" s="15"/>
      <c r="H269" s="15"/>
      <c r="I269" s="15"/>
    </row>
    <row r="270" spans="1:17" ht="11.1" customHeight="1" x14ac:dyDescent="0.25">
      <c r="K270" s="63">
        <v>31.97</v>
      </c>
      <c r="L270" s="50" t="s">
        <v>317</v>
      </c>
      <c r="M270" s="64">
        <v>31.97</v>
      </c>
      <c r="O270" s="64">
        <v>6.39</v>
      </c>
      <c r="P270" s="63">
        <v>0</v>
      </c>
      <c r="Q270" s="64">
        <v>0</v>
      </c>
    </row>
    <row r="271" spans="1:17" ht="11.1" customHeight="1" x14ac:dyDescent="0.25">
      <c r="A271" s="57">
        <v>27602</v>
      </c>
      <c r="B271" s="72">
        <v>46118</v>
      </c>
      <c r="C271" s="59" t="s">
        <v>2083</v>
      </c>
      <c r="D271" s="50" t="s">
        <v>1630</v>
      </c>
      <c r="E271" s="57">
        <v>36</v>
      </c>
      <c r="F271" s="57">
        <v>1103</v>
      </c>
      <c r="G271" s="50" t="s">
        <v>2084</v>
      </c>
      <c r="H271" s="73">
        <v>1403</v>
      </c>
      <c r="I271" s="57">
        <v>8</v>
      </c>
      <c r="J271" s="50" t="s">
        <v>26</v>
      </c>
      <c r="K271" s="63">
        <v>1079.7</v>
      </c>
      <c r="L271" s="50" t="s">
        <v>317</v>
      </c>
      <c r="M271" s="64">
        <v>0</v>
      </c>
      <c r="N271" s="65">
        <v>0</v>
      </c>
      <c r="O271" s="64">
        <v>0</v>
      </c>
      <c r="P271" s="63">
        <v>0</v>
      </c>
      <c r="Q271" s="64">
        <v>1079.7</v>
      </c>
    </row>
    <row r="272" spans="1:17" ht="11.1" customHeight="1" x14ac:dyDescent="0.25">
      <c r="A272" s="57">
        <v>27603</v>
      </c>
      <c r="B272" s="72">
        <v>46119</v>
      </c>
      <c r="C272" s="59" t="s">
        <v>2085</v>
      </c>
      <c r="D272" s="50" t="s">
        <v>1630</v>
      </c>
      <c r="E272" s="57">
        <v>36</v>
      </c>
      <c r="F272" s="57">
        <v>1103</v>
      </c>
      <c r="G272" s="50" t="s">
        <v>2084</v>
      </c>
      <c r="H272" s="73">
        <v>1403</v>
      </c>
      <c r="I272" s="57">
        <v>8</v>
      </c>
      <c r="J272" s="50" t="s">
        <v>26</v>
      </c>
      <c r="K272" s="63">
        <v>1079.7</v>
      </c>
      <c r="L272" s="50" t="s">
        <v>317</v>
      </c>
      <c r="M272" s="64">
        <v>0</v>
      </c>
      <c r="N272" s="65">
        <v>0</v>
      </c>
      <c r="O272" s="64">
        <v>0</v>
      </c>
      <c r="P272" s="63">
        <v>0</v>
      </c>
      <c r="Q272" s="64">
        <v>1079.7</v>
      </c>
    </row>
    <row r="273" spans="1:17" ht="11.1" customHeight="1" x14ac:dyDescent="0.25">
      <c r="A273" s="57">
        <v>27604</v>
      </c>
      <c r="B273" s="72">
        <v>46121</v>
      </c>
      <c r="C273" s="59" t="s">
        <v>2086</v>
      </c>
      <c r="D273" s="50" t="s">
        <v>1630</v>
      </c>
      <c r="E273" s="57">
        <v>36</v>
      </c>
      <c r="F273" s="57">
        <v>1103</v>
      </c>
      <c r="G273" s="50" t="s">
        <v>2084</v>
      </c>
      <c r="H273" s="73">
        <v>1403</v>
      </c>
      <c r="I273" s="57">
        <v>8</v>
      </c>
      <c r="J273" s="50" t="s">
        <v>26</v>
      </c>
      <c r="K273" s="63">
        <v>2391.5500000000002</v>
      </c>
      <c r="L273" s="50" t="s">
        <v>317</v>
      </c>
      <c r="M273" s="64">
        <v>0</v>
      </c>
      <c r="N273" s="65">
        <v>0</v>
      </c>
      <c r="O273" s="64">
        <v>0</v>
      </c>
      <c r="P273" s="63">
        <v>0</v>
      </c>
      <c r="Q273" s="64">
        <v>2391.5500000000002</v>
      </c>
    </row>
    <row r="274" spans="1:17" ht="11.1" customHeight="1" x14ac:dyDescent="0.25">
      <c r="A274" s="57">
        <v>27605</v>
      </c>
      <c r="B274" s="72">
        <v>46122</v>
      </c>
      <c r="C274" s="59" t="s">
        <v>2087</v>
      </c>
      <c r="D274" s="50" t="s">
        <v>1630</v>
      </c>
      <c r="E274" s="57">
        <v>36</v>
      </c>
      <c r="F274" s="57">
        <v>1103</v>
      </c>
      <c r="G274" s="50" t="s">
        <v>2084</v>
      </c>
      <c r="H274" s="73">
        <v>1403</v>
      </c>
      <c r="I274" s="57">
        <v>8</v>
      </c>
      <c r="J274" s="50" t="s">
        <v>26</v>
      </c>
      <c r="K274" s="63">
        <v>215.94</v>
      </c>
      <c r="L274" s="50" t="s">
        <v>317</v>
      </c>
      <c r="M274" s="64">
        <v>0</v>
      </c>
      <c r="N274" s="65">
        <v>0</v>
      </c>
      <c r="O274" s="64">
        <v>0</v>
      </c>
      <c r="P274" s="63">
        <v>0</v>
      </c>
      <c r="Q274" s="64">
        <v>215.94</v>
      </c>
    </row>
    <row r="275" spans="1:17" ht="11.1" customHeight="1" x14ac:dyDescent="0.25">
      <c r="A275" s="15" t="s">
        <v>1912</v>
      </c>
      <c r="B275" s="15"/>
      <c r="C275" s="15"/>
      <c r="D275" s="15"/>
      <c r="E275" s="15"/>
      <c r="F275" s="15"/>
      <c r="G275" s="15"/>
      <c r="H275" s="15"/>
      <c r="I275" s="15"/>
    </row>
    <row r="276" spans="1:17" ht="11.1" customHeight="1" x14ac:dyDescent="0.25">
      <c r="K276" s="63">
        <v>4766.8900000000003</v>
      </c>
      <c r="L276" s="50" t="s">
        <v>317</v>
      </c>
      <c r="M276" s="64">
        <v>0</v>
      </c>
      <c r="O276" s="64">
        <v>0</v>
      </c>
      <c r="P276" s="63">
        <v>0</v>
      </c>
      <c r="Q276" s="64">
        <v>4766.8900000000003</v>
      </c>
    </row>
    <row r="277" spans="1:17" ht="11.1" customHeight="1" x14ac:dyDescent="0.25">
      <c r="A277" s="57">
        <v>27614</v>
      </c>
      <c r="B277" s="72">
        <v>46119</v>
      </c>
      <c r="C277" s="59" t="s">
        <v>2088</v>
      </c>
      <c r="D277" s="50" t="s">
        <v>313</v>
      </c>
      <c r="E277" s="57">
        <v>36</v>
      </c>
      <c r="F277" s="57">
        <v>798</v>
      </c>
      <c r="G277" s="50" t="s">
        <v>2089</v>
      </c>
      <c r="H277" s="73">
        <v>1949</v>
      </c>
      <c r="I277" s="57">
        <v>64</v>
      </c>
      <c r="J277" s="50" t="s">
        <v>26</v>
      </c>
      <c r="K277" s="63">
        <v>62.15</v>
      </c>
      <c r="L277" s="50" t="s">
        <v>317</v>
      </c>
      <c r="M277" s="64">
        <v>0</v>
      </c>
      <c r="N277" s="65">
        <v>0</v>
      </c>
      <c r="O277" s="64">
        <v>0</v>
      </c>
      <c r="P277" s="63">
        <v>0</v>
      </c>
      <c r="Q277" s="64">
        <v>62.15</v>
      </c>
    </row>
    <row r="278" spans="1:17" ht="11.1" customHeight="1" x14ac:dyDescent="0.25">
      <c r="A278" s="57">
        <v>27615</v>
      </c>
      <c r="B278" s="72">
        <v>46142</v>
      </c>
      <c r="C278" s="59" t="s">
        <v>2090</v>
      </c>
      <c r="D278" s="50" t="s">
        <v>313</v>
      </c>
      <c r="E278" s="57">
        <v>36</v>
      </c>
      <c r="F278" s="57">
        <v>798</v>
      </c>
      <c r="G278" s="50" t="s">
        <v>2089</v>
      </c>
      <c r="H278" s="73">
        <v>1908</v>
      </c>
      <c r="I278" s="57">
        <v>26</v>
      </c>
      <c r="J278" s="50" t="s">
        <v>26</v>
      </c>
      <c r="K278" s="63">
        <v>2925</v>
      </c>
      <c r="L278" s="50" t="s">
        <v>317</v>
      </c>
      <c r="M278" s="64">
        <v>0</v>
      </c>
      <c r="N278" s="65">
        <v>0</v>
      </c>
      <c r="O278" s="64">
        <v>0</v>
      </c>
      <c r="P278" s="63">
        <v>0</v>
      </c>
      <c r="Q278" s="64">
        <v>2925</v>
      </c>
    </row>
    <row r="279" spans="1:17" ht="11.1" customHeight="1" x14ac:dyDescent="0.25">
      <c r="A279" s="57">
        <v>27616</v>
      </c>
      <c r="B279" s="72">
        <v>46142</v>
      </c>
      <c r="C279" s="59" t="s">
        <v>2091</v>
      </c>
      <c r="D279" s="50" t="s">
        <v>313</v>
      </c>
      <c r="E279" s="57">
        <v>36</v>
      </c>
      <c r="F279" s="57">
        <v>798</v>
      </c>
      <c r="G279" s="50" t="s">
        <v>2089</v>
      </c>
      <c r="H279" s="73">
        <v>1908</v>
      </c>
      <c r="I279" s="57">
        <v>26</v>
      </c>
      <c r="J279" s="50" t="s">
        <v>26</v>
      </c>
      <c r="K279" s="63">
        <v>5490</v>
      </c>
      <c r="L279" s="50" t="s">
        <v>317</v>
      </c>
      <c r="M279" s="64">
        <v>0</v>
      </c>
      <c r="N279" s="65">
        <v>0</v>
      </c>
      <c r="O279" s="64">
        <v>0</v>
      </c>
      <c r="P279" s="63">
        <v>0</v>
      </c>
      <c r="Q279" s="64">
        <v>5490</v>
      </c>
    </row>
    <row r="280" spans="1:17" ht="11.1" customHeight="1" x14ac:dyDescent="0.25">
      <c r="A280" s="15" t="s">
        <v>1912</v>
      </c>
      <c r="B280" s="15"/>
      <c r="C280" s="15"/>
      <c r="D280" s="15"/>
      <c r="E280" s="15"/>
      <c r="F280" s="15"/>
      <c r="G280" s="15"/>
      <c r="H280" s="15"/>
      <c r="I280" s="15"/>
    </row>
    <row r="281" spans="1:17" ht="11.1" customHeight="1" x14ac:dyDescent="0.25">
      <c r="K281" s="63">
        <v>8477.15</v>
      </c>
      <c r="L281" s="50" t="s">
        <v>317</v>
      </c>
      <c r="M281" s="64">
        <v>0</v>
      </c>
      <c r="O281" s="64">
        <v>0</v>
      </c>
      <c r="P281" s="63">
        <v>0</v>
      </c>
      <c r="Q281" s="64">
        <v>8477.15</v>
      </c>
    </row>
    <row r="282" spans="1:17" ht="11.1" customHeight="1" x14ac:dyDescent="0.25">
      <c r="A282" s="57">
        <v>27474</v>
      </c>
      <c r="B282" s="72">
        <v>46122</v>
      </c>
      <c r="C282" s="59" t="s">
        <v>2092</v>
      </c>
      <c r="D282" s="50" t="s">
        <v>313</v>
      </c>
      <c r="E282" s="57">
        <v>36</v>
      </c>
      <c r="F282" s="57">
        <v>698</v>
      </c>
      <c r="G282" s="50" t="s">
        <v>2093</v>
      </c>
      <c r="H282" s="73">
        <v>2102</v>
      </c>
      <c r="I282" s="57">
        <v>6</v>
      </c>
      <c r="J282" s="50" t="s">
        <v>32</v>
      </c>
      <c r="K282" s="63">
        <v>38911.1</v>
      </c>
      <c r="L282" s="50" t="s">
        <v>317</v>
      </c>
      <c r="M282" s="64">
        <v>1878.02</v>
      </c>
      <c r="N282" s="65">
        <v>4</v>
      </c>
      <c r="O282" s="64">
        <v>75.13</v>
      </c>
      <c r="P282" s="63">
        <v>0</v>
      </c>
      <c r="Q282" s="64">
        <v>36.409999999999997</v>
      </c>
    </row>
    <row r="283" spans="1:17" ht="11.1" customHeight="1" x14ac:dyDescent="0.25">
      <c r="L283" s="50" t="s">
        <v>317</v>
      </c>
      <c r="M283" s="64">
        <v>35202.76</v>
      </c>
      <c r="N283" s="65">
        <v>12</v>
      </c>
      <c r="O283" s="64">
        <v>4224.3500000000004</v>
      </c>
      <c r="P283" s="63">
        <v>0</v>
      </c>
      <c r="Q283" s="64">
        <v>1793.91</v>
      </c>
    </row>
    <row r="284" spans="1:17" ht="11.1" customHeight="1" x14ac:dyDescent="0.25">
      <c r="A284" s="15" t="s">
        <v>1912</v>
      </c>
      <c r="B284" s="15"/>
      <c r="C284" s="15"/>
      <c r="D284" s="15"/>
      <c r="E284" s="15"/>
      <c r="F284" s="15"/>
      <c r="G284" s="15"/>
      <c r="H284" s="15"/>
      <c r="I284" s="15"/>
    </row>
    <row r="285" spans="1:17" ht="11.1" customHeight="1" x14ac:dyDescent="0.25">
      <c r="K285" s="63">
        <v>38911.1</v>
      </c>
      <c r="L285" s="50" t="s">
        <v>317</v>
      </c>
      <c r="M285" s="64">
        <v>37080.78</v>
      </c>
      <c r="O285" s="64">
        <v>4299.4799999999996</v>
      </c>
      <c r="P285" s="63">
        <v>0</v>
      </c>
      <c r="Q285" s="64">
        <v>1830.32</v>
      </c>
    </row>
    <row r="286" spans="1:17" ht="11.1" customHeight="1" x14ac:dyDescent="0.25">
      <c r="A286" s="57">
        <v>27601</v>
      </c>
      <c r="B286" s="72">
        <v>46140</v>
      </c>
      <c r="C286" s="59" t="s">
        <v>2094</v>
      </c>
      <c r="D286" s="50" t="s">
        <v>313</v>
      </c>
      <c r="E286" s="57">
        <v>36</v>
      </c>
      <c r="F286" s="57">
        <v>1206</v>
      </c>
      <c r="G286" s="50" t="s">
        <v>2095</v>
      </c>
      <c r="H286" s="73">
        <v>1102</v>
      </c>
      <c r="I286" s="57">
        <v>6</v>
      </c>
      <c r="J286" s="50" t="s">
        <v>26</v>
      </c>
      <c r="K286" s="63">
        <v>231</v>
      </c>
      <c r="L286" s="50" t="s">
        <v>317</v>
      </c>
      <c r="M286" s="64">
        <v>0</v>
      </c>
      <c r="N286" s="65">
        <v>0</v>
      </c>
      <c r="O286" s="64">
        <v>0</v>
      </c>
      <c r="P286" s="63">
        <v>0</v>
      </c>
      <c r="Q286" s="64">
        <v>231</v>
      </c>
    </row>
    <row r="287" spans="1:17" ht="11.1" customHeight="1" x14ac:dyDescent="0.25">
      <c r="A287" s="15" t="s">
        <v>1912</v>
      </c>
      <c r="B287" s="15"/>
      <c r="C287" s="15"/>
      <c r="D287" s="15"/>
      <c r="E287" s="15"/>
      <c r="F287" s="15"/>
      <c r="G287" s="15"/>
      <c r="H287" s="15"/>
      <c r="I287" s="15"/>
    </row>
    <row r="288" spans="1:17" ht="11.1" customHeight="1" x14ac:dyDescent="0.25">
      <c r="K288" s="63">
        <v>231</v>
      </c>
      <c r="L288" s="50" t="s">
        <v>317</v>
      </c>
      <c r="M288" s="64">
        <v>0</v>
      </c>
      <c r="O288" s="64">
        <v>0</v>
      </c>
      <c r="P288" s="63">
        <v>0</v>
      </c>
      <c r="Q288" s="64">
        <v>231</v>
      </c>
    </row>
    <row r="289" spans="1:17" ht="11.1" customHeight="1" x14ac:dyDescent="0.25">
      <c r="A289" s="57">
        <v>29156</v>
      </c>
      <c r="B289" s="72">
        <v>46142</v>
      </c>
      <c r="C289" s="59" t="s">
        <v>2096</v>
      </c>
      <c r="D289" s="50" t="s">
        <v>75</v>
      </c>
      <c r="E289" s="57">
        <v>39</v>
      </c>
      <c r="F289" s="57">
        <v>1242</v>
      </c>
      <c r="G289" s="50" t="s">
        <v>2097</v>
      </c>
      <c r="H289" s="73">
        <v>2933</v>
      </c>
      <c r="I289" s="57">
        <v>29</v>
      </c>
      <c r="J289" s="50" t="s">
        <v>50</v>
      </c>
      <c r="K289" s="63">
        <v>1960.02</v>
      </c>
      <c r="L289" s="50" t="s">
        <v>1962</v>
      </c>
      <c r="M289" s="64">
        <v>1960.02</v>
      </c>
      <c r="N289" s="65">
        <v>2.9</v>
      </c>
      <c r="O289" s="64">
        <v>56.84</v>
      </c>
      <c r="P289" s="63">
        <v>0</v>
      </c>
      <c r="Q289" s="64">
        <v>0</v>
      </c>
    </row>
    <row r="290" spans="1:17" ht="11.1" customHeight="1" x14ac:dyDescent="0.25">
      <c r="A290" s="15" t="s">
        <v>1912</v>
      </c>
      <c r="B290" s="15"/>
      <c r="C290" s="15"/>
      <c r="D290" s="15"/>
      <c r="E290" s="15"/>
      <c r="F290" s="15"/>
      <c r="G290" s="15"/>
      <c r="H290" s="15"/>
      <c r="I290" s="15"/>
    </row>
    <row r="291" spans="1:17" ht="11.1" customHeight="1" x14ac:dyDescent="0.25">
      <c r="K291" s="63">
        <v>1960.02</v>
      </c>
      <c r="L291" s="50" t="s">
        <v>1962</v>
      </c>
      <c r="M291" s="64">
        <v>1960.02</v>
      </c>
      <c r="O291" s="64">
        <v>56.84</v>
      </c>
      <c r="P291" s="63">
        <v>0</v>
      </c>
      <c r="Q291" s="64">
        <v>0</v>
      </c>
    </row>
    <row r="292" spans="1:17" ht="11.1" customHeight="1" x14ac:dyDescent="0.25">
      <c r="A292" s="57">
        <v>27475</v>
      </c>
      <c r="B292" s="72">
        <v>46113</v>
      </c>
      <c r="C292" s="59" t="s">
        <v>2098</v>
      </c>
      <c r="D292" s="50" t="s">
        <v>313</v>
      </c>
      <c r="E292" s="57">
        <v>36</v>
      </c>
      <c r="F292" s="57">
        <v>1199</v>
      </c>
      <c r="G292" s="50" t="s">
        <v>2099</v>
      </c>
      <c r="H292" s="73">
        <v>2102</v>
      </c>
      <c r="I292" s="57">
        <v>6</v>
      </c>
      <c r="J292" s="50" t="s">
        <v>45</v>
      </c>
      <c r="K292" s="63">
        <v>5250</v>
      </c>
      <c r="L292" s="50" t="s">
        <v>317</v>
      </c>
      <c r="M292" s="64">
        <v>0</v>
      </c>
      <c r="N292" s="65">
        <v>0</v>
      </c>
      <c r="O292" s="64">
        <v>0</v>
      </c>
      <c r="P292" s="63">
        <v>0</v>
      </c>
      <c r="Q292" s="64">
        <v>5250</v>
      </c>
    </row>
    <row r="293" spans="1:17" ht="11.1" customHeight="1" x14ac:dyDescent="0.25">
      <c r="A293" s="15" t="s">
        <v>1912</v>
      </c>
      <c r="B293" s="15"/>
      <c r="C293" s="15"/>
      <c r="D293" s="15"/>
      <c r="E293" s="15"/>
      <c r="F293" s="15"/>
      <c r="G293" s="15"/>
      <c r="H293" s="15"/>
      <c r="I293" s="15"/>
    </row>
    <row r="294" spans="1:17" ht="11.1" customHeight="1" x14ac:dyDescent="0.25">
      <c r="K294" s="63">
        <v>5250</v>
      </c>
      <c r="L294" s="50" t="s">
        <v>317</v>
      </c>
      <c r="M294" s="64">
        <v>0</v>
      </c>
      <c r="O294" s="64">
        <v>0</v>
      </c>
      <c r="P294" s="63">
        <v>0</v>
      </c>
      <c r="Q294" s="64">
        <v>5250</v>
      </c>
    </row>
    <row r="295" spans="1:17" ht="11.1" customHeight="1" x14ac:dyDescent="0.25">
      <c r="A295" s="57">
        <v>27592</v>
      </c>
      <c r="B295" s="72">
        <v>46119</v>
      </c>
      <c r="C295" s="59" t="s">
        <v>2100</v>
      </c>
      <c r="D295" s="50" t="s">
        <v>1630</v>
      </c>
      <c r="E295" s="57">
        <v>36</v>
      </c>
      <c r="F295" s="57">
        <v>603</v>
      </c>
      <c r="G295" s="50" t="s">
        <v>2101</v>
      </c>
      <c r="H295" s="73">
        <v>1407</v>
      </c>
      <c r="I295" s="57">
        <v>14</v>
      </c>
      <c r="J295" s="50" t="s">
        <v>26</v>
      </c>
      <c r="K295" s="63">
        <v>204</v>
      </c>
      <c r="L295" s="50" t="s">
        <v>317</v>
      </c>
      <c r="M295" s="64">
        <v>0</v>
      </c>
      <c r="N295" s="65">
        <v>0</v>
      </c>
      <c r="O295" s="64">
        <v>0</v>
      </c>
      <c r="P295" s="63">
        <v>0</v>
      </c>
      <c r="Q295" s="64">
        <v>204</v>
      </c>
    </row>
    <row r="296" spans="1:17" ht="11.1" customHeight="1" x14ac:dyDescent="0.25">
      <c r="A296" s="15" t="s">
        <v>1912</v>
      </c>
      <c r="B296" s="15"/>
      <c r="C296" s="15"/>
      <c r="D296" s="15"/>
      <c r="E296" s="15"/>
      <c r="F296" s="15"/>
      <c r="G296" s="15"/>
      <c r="H296" s="15"/>
      <c r="I296" s="15"/>
    </row>
    <row r="297" spans="1:17" ht="11.1" customHeight="1" x14ac:dyDescent="0.25">
      <c r="K297" s="63">
        <v>204</v>
      </c>
      <c r="L297" s="50" t="s">
        <v>317</v>
      </c>
      <c r="M297" s="64">
        <v>0</v>
      </c>
      <c r="O297" s="64">
        <v>0</v>
      </c>
      <c r="P297" s="63">
        <v>0</v>
      </c>
      <c r="Q297" s="64">
        <v>204</v>
      </c>
    </row>
    <row r="298" spans="1:17" ht="11.1" customHeight="1" x14ac:dyDescent="0.25">
      <c r="A298" s="57">
        <v>27470</v>
      </c>
      <c r="B298" s="72">
        <v>46140</v>
      </c>
      <c r="C298" s="59" t="s">
        <v>2102</v>
      </c>
      <c r="D298" s="50" t="s">
        <v>313</v>
      </c>
      <c r="E298" s="57">
        <v>36</v>
      </c>
      <c r="F298" s="57">
        <v>985</v>
      </c>
      <c r="G298" s="50" t="s">
        <v>1201</v>
      </c>
      <c r="H298" s="73">
        <v>1411</v>
      </c>
      <c r="I298" s="57">
        <v>40</v>
      </c>
      <c r="J298" s="50" t="s">
        <v>26</v>
      </c>
      <c r="K298" s="63">
        <v>169.7</v>
      </c>
      <c r="L298" s="50" t="s">
        <v>317</v>
      </c>
      <c r="M298" s="64">
        <v>158.6</v>
      </c>
      <c r="N298" s="65">
        <v>20</v>
      </c>
      <c r="O298" s="64">
        <v>31.72</v>
      </c>
      <c r="P298" s="63">
        <v>0</v>
      </c>
      <c r="Q298" s="64">
        <v>11.1</v>
      </c>
    </row>
    <row r="299" spans="1:17" ht="11.1" customHeight="1" x14ac:dyDescent="0.25">
      <c r="L299" s="50" t="s">
        <v>318</v>
      </c>
      <c r="M299" s="64">
        <v>214.11</v>
      </c>
      <c r="N299" s="65">
        <v>20</v>
      </c>
      <c r="O299" s="64">
        <v>11.1</v>
      </c>
      <c r="P299" s="63">
        <v>0</v>
      </c>
      <c r="Q299" s="64">
        <v>0</v>
      </c>
    </row>
    <row r="300" spans="1:17" ht="11.1" customHeight="1" x14ac:dyDescent="0.25">
      <c r="A300" s="15" t="s">
        <v>1912</v>
      </c>
      <c r="B300" s="15"/>
      <c r="C300" s="15"/>
      <c r="D300" s="15"/>
      <c r="E300" s="15"/>
      <c r="F300" s="15"/>
      <c r="G300" s="15"/>
      <c r="H300" s="15"/>
      <c r="I300" s="15"/>
    </row>
    <row r="301" spans="1:17" ht="11.1" customHeight="1" x14ac:dyDescent="0.25">
      <c r="K301" s="63">
        <v>169.7</v>
      </c>
      <c r="L301" s="50" t="s">
        <v>317</v>
      </c>
      <c r="M301" s="64">
        <v>158.6</v>
      </c>
      <c r="O301" s="64">
        <v>31.72</v>
      </c>
      <c r="P301" s="63">
        <v>0</v>
      </c>
      <c r="Q301" s="64">
        <v>11.1</v>
      </c>
    </row>
    <row r="302" spans="1:17" ht="11.1" customHeight="1" x14ac:dyDescent="0.25">
      <c r="L302" s="50" t="s">
        <v>318</v>
      </c>
      <c r="M302" s="64">
        <v>214.11</v>
      </c>
      <c r="O302" s="64">
        <v>11.1</v>
      </c>
      <c r="P302" s="63">
        <v>0</v>
      </c>
      <c r="Q302" s="64">
        <v>0</v>
      </c>
    </row>
    <row r="303" spans="1:17" ht="11.1" customHeight="1" x14ac:dyDescent="0.25">
      <c r="A303" s="57">
        <v>27479</v>
      </c>
      <c r="B303" s="72">
        <v>46136</v>
      </c>
      <c r="C303" s="59" t="s">
        <v>2103</v>
      </c>
      <c r="D303" s="50" t="s">
        <v>2020</v>
      </c>
      <c r="E303" s="57">
        <v>36</v>
      </c>
      <c r="F303" s="57">
        <v>1201</v>
      </c>
      <c r="G303" s="50" t="s">
        <v>2104</v>
      </c>
      <c r="H303" s="73">
        <v>2102</v>
      </c>
      <c r="I303" s="57">
        <v>6</v>
      </c>
      <c r="J303" s="50" t="s">
        <v>50</v>
      </c>
      <c r="K303" s="63">
        <v>16871.05</v>
      </c>
      <c r="L303" s="50" t="s">
        <v>317</v>
      </c>
      <c r="M303" s="64">
        <v>16340</v>
      </c>
      <c r="N303" s="65">
        <v>7</v>
      </c>
      <c r="O303" s="64">
        <v>1143.8</v>
      </c>
      <c r="P303" s="63">
        <v>0</v>
      </c>
      <c r="Q303" s="64">
        <v>531.04999999999995</v>
      </c>
    </row>
    <row r="304" spans="1:17" ht="11.1" customHeight="1" x14ac:dyDescent="0.25">
      <c r="A304" s="15" t="s">
        <v>1912</v>
      </c>
      <c r="B304" s="15"/>
      <c r="C304" s="15"/>
      <c r="D304" s="15"/>
      <c r="E304" s="15"/>
      <c r="F304" s="15"/>
      <c r="G304" s="15"/>
      <c r="H304" s="15"/>
      <c r="I304" s="15"/>
    </row>
    <row r="305" spans="1:17" ht="11.1" customHeight="1" x14ac:dyDescent="0.25">
      <c r="K305" s="63">
        <v>16871.05</v>
      </c>
      <c r="L305" s="50" t="s">
        <v>317</v>
      </c>
      <c r="M305" s="64">
        <v>16340</v>
      </c>
      <c r="O305" s="64">
        <v>1143.8</v>
      </c>
      <c r="P305" s="63">
        <v>0</v>
      </c>
      <c r="Q305" s="64">
        <v>531.04999999999995</v>
      </c>
    </row>
    <row r="306" spans="1:17" ht="11.1" customHeight="1" x14ac:dyDescent="0.25">
      <c r="A306" s="57">
        <v>27625</v>
      </c>
      <c r="B306" s="72">
        <v>46129</v>
      </c>
      <c r="C306" s="59" t="s">
        <v>2105</v>
      </c>
      <c r="D306" s="50" t="s">
        <v>313</v>
      </c>
      <c r="E306" s="57">
        <v>36</v>
      </c>
      <c r="F306" s="57">
        <v>958</v>
      </c>
      <c r="G306" s="50" t="s">
        <v>2106</v>
      </c>
      <c r="H306" s="73">
        <v>1556</v>
      </c>
      <c r="I306" s="57">
        <v>12</v>
      </c>
      <c r="J306" s="50" t="s">
        <v>26</v>
      </c>
      <c r="K306" s="63">
        <v>1805</v>
      </c>
      <c r="L306" s="50" t="s">
        <v>75</v>
      </c>
      <c r="M306" s="64">
        <v>0</v>
      </c>
      <c r="N306" s="65">
        <v>0</v>
      </c>
      <c r="O306" s="64">
        <v>0</v>
      </c>
      <c r="P306" s="63">
        <v>0</v>
      </c>
      <c r="Q306" s="64">
        <v>0</v>
      </c>
    </row>
    <row r="307" spans="1:17" ht="11.1" customHeight="1" x14ac:dyDescent="0.25">
      <c r="A307" s="15" t="s">
        <v>1912</v>
      </c>
      <c r="B307" s="15"/>
      <c r="C307" s="15"/>
      <c r="D307" s="15"/>
      <c r="E307" s="15"/>
      <c r="F307" s="15"/>
      <c r="G307" s="15"/>
      <c r="H307" s="15"/>
      <c r="I307" s="15"/>
    </row>
    <row r="308" spans="1:17" ht="11.1" customHeight="1" x14ac:dyDescent="0.25">
      <c r="K308" s="63">
        <v>1805</v>
      </c>
      <c r="L308" s="50" t="s">
        <v>75</v>
      </c>
      <c r="M308" s="64">
        <v>0</v>
      </c>
      <c r="O308" s="64">
        <v>0</v>
      </c>
      <c r="P308" s="63">
        <v>0</v>
      </c>
      <c r="Q308" s="64">
        <v>0</v>
      </c>
    </row>
    <row r="309" spans="1:17" ht="11.1" customHeight="1" x14ac:dyDescent="0.25">
      <c r="A309" s="57">
        <v>27613</v>
      </c>
      <c r="B309" s="72">
        <v>46129</v>
      </c>
      <c r="C309" s="59" t="s">
        <v>2107</v>
      </c>
      <c r="D309" s="50" t="s">
        <v>313</v>
      </c>
      <c r="E309" s="57">
        <v>36</v>
      </c>
      <c r="F309" s="57">
        <v>1207</v>
      </c>
      <c r="G309" s="50" t="s">
        <v>2108</v>
      </c>
      <c r="H309" s="73">
        <v>1102</v>
      </c>
      <c r="I309" s="57">
        <v>6</v>
      </c>
      <c r="J309" s="50" t="s">
        <v>26</v>
      </c>
      <c r="K309" s="63">
        <v>2056</v>
      </c>
      <c r="L309" s="50" t="s">
        <v>317</v>
      </c>
      <c r="M309" s="64">
        <v>0</v>
      </c>
      <c r="N309" s="65">
        <v>0</v>
      </c>
      <c r="O309" s="64">
        <v>0</v>
      </c>
      <c r="P309" s="63">
        <v>0</v>
      </c>
      <c r="Q309" s="64">
        <v>2056</v>
      </c>
    </row>
    <row r="310" spans="1:17" ht="11.1" customHeight="1" x14ac:dyDescent="0.25">
      <c r="A310" s="15" t="s">
        <v>1912</v>
      </c>
      <c r="B310" s="15"/>
      <c r="C310" s="15"/>
      <c r="D310" s="15"/>
      <c r="E310" s="15"/>
      <c r="F310" s="15"/>
      <c r="G310" s="15"/>
      <c r="H310" s="15"/>
      <c r="I310" s="15"/>
    </row>
    <row r="311" spans="1:17" ht="11.1" customHeight="1" x14ac:dyDescent="0.25">
      <c r="K311" s="63">
        <v>2056</v>
      </c>
      <c r="L311" s="50" t="s">
        <v>317</v>
      </c>
      <c r="M311" s="64">
        <v>0</v>
      </c>
      <c r="O311" s="64">
        <v>0</v>
      </c>
      <c r="P311" s="63">
        <v>0</v>
      </c>
      <c r="Q311" s="64">
        <v>2056</v>
      </c>
    </row>
    <row r="312" spans="1:17" ht="11.1" customHeight="1" x14ac:dyDescent="0.25">
      <c r="A312" s="57">
        <v>27666</v>
      </c>
      <c r="B312" s="72">
        <v>46113</v>
      </c>
      <c r="C312" s="59" t="s">
        <v>2109</v>
      </c>
      <c r="D312" s="50" t="s">
        <v>75</v>
      </c>
      <c r="E312" s="57">
        <v>39</v>
      </c>
      <c r="F312" s="57">
        <v>936</v>
      </c>
      <c r="G312" s="50" t="s">
        <v>2110</v>
      </c>
      <c r="H312" s="73">
        <v>1933</v>
      </c>
      <c r="I312" s="57">
        <v>29</v>
      </c>
      <c r="J312" s="50" t="s">
        <v>26</v>
      </c>
      <c r="K312" s="63">
        <v>1100</v>
      </c>
      <c r="L312" s="50" t="s">
        <v>1962</v>
      </c>
      <c r="M312" s="64">
        <v>1100</v>
      </c>
      <c r="N312" s="65">
        <v>2</v>
      </c>
      <c r="O312" s="64">
        <v>22</v>
      </c>
      <c r="P312" s="63">
        <v>0</v>
      </c>
      <c r="Q312" s="64">
        <v>0</v>
      </c>
    </row>
    <row r="313" spans="1:17" ht="11.1" customHeight="1" x14ac:dyDescent="0.25">
      <c r="A313" s="15" t="s">
        <v>1907</v>
      </c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</row>
    <row r="314" spans="1:17" ht="11.1" customHeight="1" x14ac:dyDescent="0.25">
      <c r="A314" s="10" t="s">
        <v>184</v>
      </c>
      <c r="B314" s="10" t="s">
        <v>1908</v>
      </c>
      <c r="C314" s="10" t="s">
        <v>298</v>
      </c>
      <c r="D314" s="71" t="s">
        <v>299</v>
      </c>
      <c r="E314" s="10" t="s">
        <v>300</v>
      </c>
      <c r="F314" s="10" t="s">
        <v>184</v>
      </c>
      <c r="G314" s="71" t="s">
        <v>1909</v>
      </c>
      <c r="H314" s="10" t="s">
        <v>304</v>
      </c>
      <c r="I314" s="10" t="s">
        <v>305</v>
      </c>
      <c r="J314" s="71" t="s">
        <v>24</v>
      </c>
      <c r="K314" s="15" t="s">
        <v>306</v>
      </c>
      <c r="L314" s="71" t="s">
        <v>307</v>
      </c>
      <c r="M314" s="10" t="s">
        <v>308</v>
      </c>
      <c r="N314" s="10" t="s">
        <v>309</v>
      </c>
      <c r="O314" s="10" t="s">
        <v>73</v>
      </c>
      <c r="P314" s="15" t="s">
        <v>310</v>
      </c>
      <c r="Q314" s="10" t="s">
        <v>311</v>
      </c>
    </row>
    <row r="315" spans="1:17" ht="11.1" customHeight="1" x14ac:dyDescent="0.25">
      <c r="A315" s="15" t="s">
        <v>1912</v>
      </c>
      <c r="B315" s="15"/>
      <c r="C315" s="15"/>
      <c r="D315" s="15"/>
      <c r="E315" s="15"/>
      <c r="F315" s="15"/>
      <c r="G315" s="15"/>
      <c r="H315" s="15"/>
      <c r="I315" s="15"/>
    </row>
    <row r="316" spans="1:17" ht="11.1" customHeight="1" x14ac:dyDescent="0.25">
      <c r="K316" s="63">
        <v>1100</v>
      </c>
      <c r="L316" s="50" t="s">
        <v>1962</v>
      </c>
      <c r="M316" s="64">
        <v>1100</v>
      </c>
      <c r="O316" s="64">
        <v>22</v>
      </c>
      <c r="P316" s="63">
        <v>0</v>
      </c>
      <c r="Q316" s="64">
        <v>0</v>
      </c>
    </row>
    <row r="317" spans="1:17" ht="11.1" customHeight="1" x14ac:dyDescent="0.25">
      <c r="A317" s="57">
        <v>28614</v>
      </c>
      <c r="B317" s="72">
        <v>46113</v>
      </c>
      <c r="C317" s="59" t="s">
        <v>2109</v>
      </c>
      <c r="D317" s="50" t="s">
        <v>75</v>
      </c>
      <c r="E317" s="57">
        <v>39</v>
      </c>
      <c r="F317" s="57">
        <v>1260</v>
      </c>
      <c r="G317" s="50" t="s">
        <v>2111</v>
      </c>
      <c r="H317" s="73">
        <v>1933</v>
      </c>
      <c r="I317" s="57">
        <v>29</v>
      </c>
      <c r="J317" s="50" t="s">
        <v>26</v>
      </c>
      <c r="K317" s="63">
        <v>1100</v>
      </c>
      <c r="L317" s="50" t="s">
        <v>1962</v>
      </c>
      <c r="M317" s="64">
        <v>1100</v>
      </c>
      <c r="N317" s="65">
        <v>2</v>
      </c>
      <c r="O317" s="64">
        <v>22</v>
      </c>
      <c r="P317" s="63">
        <v>0</v>
      </c>
      <c r="Q317" s="64">
        <v>0</v>
      </c>
    </row>
    <row r="318" spans="1:17" ht="11.1" customHeight="1" x14ac:dyDescent="0.25">
      <c r="A318" s="15" t="s">
        <v>1912</v>
      </c>
      <c r="B318" s="15"/>
      <c r="C318" s="15"/>
      <c r="D318" s="15"/>
      <c r="E318" s="15"/>
      <c r="F318" s="15"/>
      <c r="G318" s="15"/>
      <c r="H318" s="15"/>
      <c r="I318" s="15"/>
    </row>
    <row r="319" spans="1:17" ht="11.1" customHeight="1" x14ac:dyDescent="0.25">
      <c r="K319" s="63">
        <v>1100</v>
      </c>
      <c r="L319" s="50" t="s">
        <v>1962</v>
      </c>
      <c r="M319" s="64">
        <v>1100</v>
      </c>
      <c r="O319" s="64">
        <v>22</v>
      </c>
      <c r="P319" s="63">
        <v>0</v>
      </c>
      <c r="Q319" s="64">
        <v>0</v>
      </c>
    </row>
    <row r="320" spans="1:17" ht="11.1" customHeight="1" x14ac:dyDescent="0.25">
      <c r="A320" s="57">
        <v>27519</v>
      </c>
      <c r="B320" s="72">
        <v>46134</v>
      </c>
      <c r="C320" s="59" t="s">
        <v>2112</v>
      </c>
      <c r="D320" s="50" t="s">
        <v>313</v>
      </c>
      <c r="E320" s="57">
        <v>36</v>
      </c>
      <c r="F320" s="57">
        <v>1052</v>
      </c>
      <c r="G320" s="50" t="s">
        <v>2113</v>
      </c>
      <c r="H320" s="73">
        <v>2102</v>
      </c>
      <c r="I320" s="57">
        <v>6</v>
      </c>
      <c r="J320" s="50" t="s">
        <v>50</v>
      </c>
      <c r="K320" s="63">
        <v>1592.5</v>
      </c>
      <c r="L320" s="50" t="s">
        <v>317</v>
      </c>
      <c r="M320" s="64">
        <v>1560</v>
      </c>
      <c r="N320" s="65">
        <v>4</v>
      </c>
      <c r="O320" s="64">
        <v>62.4</v>
      </c>
      <c r="P320" s="63">
        <v>0</v>
      </c>
      <c r="Q320" s="64">
        <v>32.5</v>
      </c>
    </row>
    <row r="321" spans="1:17" ht="11.1" customHeight="1" x14ac:dyDescent="0.25">
      <c r="A321" s="57">
        <v>27520</v>
      </c>
      <c r="B321" s="72">
        <v>46142</v>
      </c>
      <c r="C321" s="59" t="s">
        <v>2114</v>
      </c>
      <c r="D321" s="50" t="s">
        <v>313</v>
      </c>
      <c r="E321" s="57">
        <v>36</v>
      </c>
      <c r="F321" s="57">
        <v>1052</v>
      </c>
      <c r="G321" s="50" t="s">
        <v>2113</v>
      </c>
      <c r="H321" s="73">
        <v>2102</v>
      </c>
      <c r="I321" s="57">
        <v>6</v>
      </c>
      <c r="J321" s="50" t="s">
        <v>50</v>
      </c>
      <c r="K321" s="63">
        <v>3799.98</v>
      </c>
      <c r="L321" s="50" t="s">
        <v>317</v>
      </c>
      <c r="M321" s="64">
        <v>3799.98</v>
      </c>
      <c r="N321" s="65">
        <v>7</v>
      </c>
      <c r="O321" s="64">
        <v>266</v>
      </c>
      <c r="P321" s="63">
        <v>0</v>
      </c>
      <c r="Q321" s="64">
        <v>0</v>
      </c>
    </row>
    <row r="322" spans="1:17" ht="11.1" customHeight="1" x14ac:dyDescent="0.25">
      <c r="A322" s="15" t="s">
        <v>1912</v>
      </c>
      <c r="B322" s="15"/>
      <c r="C322" s="15"/>
      <c r="D322" s="15"/>
      <c r="E322" s="15"/>
      <c r="F322" s="15"/>
      <c r="G322" s="15"/>
      <c r="H322" s="15"/>
      <c r="I322" s="15"/>
    </row>
    <row r="323" spans="1:17" ht="11.1" customHeight="1" x14ac:dyDescent="0.25">
      <c r="K323" s="63">
        <v>5392.48</v>
      </c>
      <c r="L323" s="50" t="s">
        <v>317</v>
      </c>
      <c r="M323" s="64">
        <v>5359.98</v>
      </c>
      <c r="O323" s="64">
        <v>328.4</v>
      </c>
      <c r="P323" s="63">
        <v>0</v>
      </c>
      <c r="Q323" s="64">
        <v>32.5</v>
      </c>
    </row>
    <row r="324" spans="1:17" ht="11.1" customHeight="1" x14ac:dyDescent="0.25">
      <c r="A324" s="57">
        <v>27631</v>
      </c>
      <c r="B324" s="72">
        <v>46123</v>
      </c>
      <c r="C324" s="59" t="s">
        <v>2115</v>
      </c>
      <c r="D324" s="50" t="s">
        <v>1956</v>
      </c>
      <c r="E324" s="57">
        <v>38</v>
      </c>
      <c r="F324" s="57">
        <v>1137</v>
      </c>
      <c r="G324" s="50" t="s">
        <v>2116</v>
      </c>
      <c r="H324" s="73">
        <v>2353</v>
      </c>
      <c r="I324" s="57">
        <v>716</v>
      </c>
      <c r="J324" s="50" t="s">
        <v>32</v>
      </c>
      <c r="K324" s="63">
        <v>2318.14</v>
      </c>
      <c r="L324" s="50" t="s">
        <v>317</v>
      </c>
      <c r="M324" s="64">
        <v>2318.14</v>
      </c>
      <c r="N324" s="65">
        <v>12</v>
      </c>
      <c r="O324" s="64">
        <v>278.18</v>
      </c>
      <c r="P324" s="63">
        <v>0</v>
      </c>
      <c r="Q324" s="64">
        <v>0</v>
      </c>
    </row>
    <row r="325" spans="1:17" ht="11.1" customHeight="1" x14ac:dyDescent="0.25">
      <c r="A325" s="15" t="s">
        <v>1912</v>
      </c>
      <c r="B325" s="15"/>
      <c r="C325" s="15"/>
      <c r="D325" s="15"/>
      <c r="E325" s="15"/>
      <c r="F325" s="15"/>
      <c r="G325" s="15"/>
      <c r="H325" s="15"/>
      <c r="I325" s="15"/>
    </row>
    <row r="326" spans="1:17" ht="11.1" customHeight="1" x14ac:dyDescent="0.25">
      <c r="K326" s="63">
        <v>2318.14</v>
      </c>
      <c r="L326" s="50" t="s">
        <v>317</v>
      </c>
      <c r="M326" s="64">
        <v>2318.14</v>
      </c>
      <c r="O326" s="64">
        <v>278.18</v>
      </c>
      <c r="P326" s="63">
        <v>0</v>
      </c>
      <c r="Q326" s="64">
        <v>0</v>
      </c>
    </row>
    <row r="327" spans="1:17" ht="11.1" customHeight="1" x14ac:dyDescent="0.25">
      <c r="A327" s="57">
        <v>27456</v>
      </c>
      <c r="B327" s="72">
        <v>46122</v>
      </c>
      <c r="C327" s="59" t="s">
        <v>2117</v>
      </c>
      <c r="D327" s="50" t="s">
        <v>313</v>
      </c>
      <c r="E327" s="57">
        <v>36</v>
      </c>
      <c r="F327" s="57">
        <v>1195</v>
      </c>
      <c r="G327" s="50" t="s">
        <v>1321</v>
      </c>
      <c r="H327" s="73">
        <v>1411</v>
      </c>
      <c r="I327" s="57">
        <v>40</v>
      </c>
      <c r="J327" s="50" t="s">
        <v>26</v>
      </c>
      <c r="K327" s="63">
        <v>39.479999999999997</v>
      </c>
      <c r="L327" s="50" t="s">
        <v>317</v>
      </c>
      <c r="M327" s="64">
        <v>36.9</v>
      </c>
      <c r="N327" s="65">
        <v>20</v>
      </c>
      <c r="O327" s="64">
        <v>7.38</v>
      </c>
      <c r="P327" s="63">
        <v>0</v>
      </c>
      <c r="Q327" s="64">
        <v>2.58</v>
      </c>
    </row>
    <row r="328" spans="1:17" ht="11.1" customHeight="1" x14ac:dyDescent="0.25">
      <c r="L328" s="50" t="s">
        <v>318</v>
      </c>
      <c r="M328" s="64">
        <v>49.82</v>
      </c>
      <c r="N328" s="65">
        <v>20</v>
      </c>
      <c r="O328" s="64">
        <v>2.58</v>
      </c>
      <c r="P328" s="63">
        <v>0</v>
      </c>
      <c r="Q328" s="64">
        <v>0</v>
      </c>
    </row>
    <row r="329" spans="1:17" ht="11.1" customHeight="1" x14ac:dyDescent="0.25">
      <c r="A329" s="15" t="s">
        <v>1912</v>
      </c>
      <c r="B329" s="15"/>
      <c r="C329" s="15"/>
      <c r="D329" s="15"/>
      <c r="E329" s="15"/>
      <c r="F329" s="15"/>
      <c r="G329" s="15"/>
      <c r="H329" s="15"/>
      <c r="I329" s="15"/>
    </row>
    <row r="330" spans="1:17" ht="11.1" customHeight="1" x14ac:dyDescent="0.25">
      <c r="K330" s="63">
        <v>39.479999999999997</v>
      </c>
      <c r="L330" s="50" t="s">
        <v>317</v>
      </c>
      <c r="M330" s="64">
        <v>36.9</v>
      </c>
      <c r="O330" s="64">
        <v>7.38</v>
      </c>
      <c r="P330" s="63">
        <v>0</v>
      </c>
      <c r="Q330" s="64">
        <v>2.58</v>
      </c>
    </row>
    <row r="331" spans="1:17" ht="11.1" customHeight="1" x14ac:dyDescent="0.25">
      <c r="L331" s="50" t="s">
        <v>318</v>
      </c>
      <c r="M331" s="64">
        <v>49.82</v>
      </c>
      <c r="O331" s="64">
        <v>2.58</v>
      </c>
      <c r="P331" s="63">
        <v>0</v>
      </c>
      <c r="Q331" s="64">
        <v>0</v>
      </c>
    </row>
    <row r="332" spans="1:17" ht="11.1" customHeight="1" x14ac:dyDescent="0.25">
      <c r="A332" s="57">
        <v>27461</v>
      </c>
      <c r="B332" s="72">
        <v>46126</v>
      </c>
      <c r="C332" s="59" t="s">
        <v>2118</v>
      </c>
      <c r="D332" s="50" t="s">
        <v>313</v>
      </c>
      <c r="E332" s="57">
        <v>36</v>
      </c>
      <c r="F332" s="57">
        <v>791</v>
      </c>
      <c r="G332" s="50" t="s">
        <v>1335</v>
      </c>
      <c r="H332" s="73">
        <v>1411</v>
      </c>
      <c r="I332" s="57">
        <v>40</v>
      </c>
      <c r="J332" s="50" t="s">
        <v>26</v>
      </c>
      <c r="K332" s="63">
        <v>47.54</v>
      </c>
      <c r="L332" s="50" t="s">
        <v>317</v>
      </c>
      <c r="M332" s="64">
        <v>47.54</v>
      </c>
      <c r="N332" s="65">
        <v>20</v>
      </c>
      <c r="O332" s="64">
        <v>9.51</v>
      </c>
      <c r="P332" s="63">
        <v>0</v>
      </c>
      <c r="Q332" s="64">
        <v>0</v>
      </c>
    </row>
    <row r="333" spans="1:17" ht="11.1" customHeight="1" x14ac:dyDescent="0.25">
      <c r="A333" s="15" t="s">
        <v>1912</v>
      </c>
      <c r="B333" s="15"/>
      <c r="C333" s="15"/>
      <c r="D333" s="15"/>
      <c r="E333" s="15"/>
      <c r="F333" s="15"/>
      <c r="G333" s="15"/>
      <c r="H333" s="15"/>
      <c r="I333" s="15"/>
    </row>
    <row r="334" spans="1:17" ht="11.1" customHeight="1" x14ac:dyDescent="0.25">
      <c r="K334" s="63">
        <v>47.54</v>
      </c>
      <c r="L334" s="50" t="s">
        <v>317</v>
      </c>
      <c r="M334" s="64">
        <v>47.54</v>
      </c>
      <c r="O334" s="64">
        <v>9.51</v>
      </c>
      <c r="P334" s="63">
        <v>0</v>
      </c>
      <c r="Q334" s="64">
        <v>0</v>
      </c>
    </row>
    <row r="335" spans="1:17" ht="11.1" customHeight="1" x14ac:dyDescent="0.25">
      <c r="A335" s="57">
        <v>27451</v>
      </c>
      <c r="B335" s="72">
        <v>46113</v>
      </c>
      <c r="C335" s="59" t="s">
        <v>2119</v>
      </c>
      <c r="D335" s="50" t="s">
        <v>313</v>
      </c>
      <c r="E335" s="57">
        <v>36</v>
      </c>
      <c r="F335" s="57">
        <v>1192</v>
      </c>
      <c r="G335" s="50" t="s">
        <v>2120</v>
      </c>
      <c r="H335" s="73">
        <v>1202</v>
      </c>
      <c r="I335" s="57">
        <v>38</v>
      </c>
      <c r="J335" s="50" t="s">
        <v>26</v>
      </c>
      <c r="K335" s="63">
        <v>1510.42</v>
      </c>
      <c r="L335" s="50" t="s">
        <v>317</v>
      </c>
      <c r="M335" s="64">
        <v>1510.42</v>
      </c>
      <c r="N335" s="65">
        <v>20</v>
      </c>
      <c r="O335" s="64">
        <v>302.08</v>
      </c>
      <c r="P335" s="63">
        <v>0</v>
      </c>
      <c r="Q335" s="64">
        <v>0</v>
      </c>
    </row>
    <row r="336" spans="1:17" ht="11.1" customHeight="1" x14ac:dyDescent="0.25">
      <c r="A336" s="57">
        <v>27452</v>
      </c>
      <c r="B336" s="72">
        <v>46113</v>
      </c>
      <c r="C336" s="59" t="s">
        <v>2119</v>
      </c>
      <c r="D336" s="50" t="s">
        <v>313</v>
      </c>
      <c r="E336" s="57">
        <v>36</v>
      </c>
      <c r="F336" s="57">
        <v>1192</v>
      </c>
      <c r="G336" s="50" t="s">
        <v>2120</v>
      </c>
      <c r="H336" s="73">
        <v>1411</v>
      </c>
      <c r="I336" s="57">
        <v>40</v>
      </c>
      <c r="J336" s="50" t="s">
        <v>26</v>
      </c>
      <c r="K336" s="63">
        <v>1364.16</v>
      </c>
      <c r="L336" s="50" t="s">
        <v>317</v>
      </c>
      <c r="M336" s="64">
        <v>1364.16</v>
      </c>
      <c r="N336" s="65">
        <v>20</v>
      </c>
      <c r="O336" s="64">
        <v>272.83999999999997</v>
      </c>
      <c r="P336" s="63">
        <v>0</v>
      </c>
      <c r="Q336" s="64">
        <v>0</v>
      </c>
    </row>
    <row r="337" spans="1:17" ht="11.1" customHeight="1" x14ac:dyDescent="0.25">
      <c r="A337" s="15" t="s">
        <v>1912</v>
      </c>
      <c r="B337" s="15"/>
      <c r="C337" s="15"/>
      <c r="D337" s="15"/>
      <c r="E337" s="15"/>
      <c r="F337" s="15"/>
      <c r="G337" s="15"/>
      <c r="H337" s="15"/>
      <c r="I337" s="15"/>
    </row>
    <row r="338" spans="1:17" ht="11.1" customHeight="1" x14ac:dyDescent="0.25">
      <c r="K338" s="63">
        <v>2874.58</v>
      </c>
      <c r="L338" s="50" t="s">
        <v>317</v>
      </c>
      <c r="M338" s="64">
        <v>2874.58</v>
      </c>
      <c r="O338" s="64">
        <v>574.91999999999996</v>
      </c>
      <c r="P338" s="63">
        <v>0</v>
      </c>
      <c r="Q338" s="64">
        <v>0</v>
      </c>
    </row>
    <row r="339" spans="1:17" ht="11.1" customHeight="1" x14ac:dyDescent="0.25">
      <c r="A339" s="57">
        <v>27454</v>
      </c>
      <c r="B339" s="72">
        <v>46120</v>
      </c>
      <c r="C339" s="59" t="s">
        <v>2121</v>
      </c>
      <c r="D339" s="50" t="s">
        <v>313</v>
      </c>
      <c r="E339" s="57">
        <v>36</v>
      </c>
      <c r="F339" s="57">
        <v>1193</v>
      </c>
      <c r="G339" s="50" t="s">
        <v>1384</v>
      </c>
      <c r="H339" s="73">
        <v>1202</v>
      </c>
      <c r="I339" s="57">
        <v>38</v>
      </c>
      <c r="J339" s="50" t="s">
        <v>26</v>
      </c>
      <c r="K339" s="63">
        <v>1127.1600000000001</v>
      </c>
      <c r="L339" s="50" t="s">
        <v>317</v>
      </c>
      <c r="M339" s="64">
        <v>1127.1600000000001</v>
      </c>
      <c r="N339" s="65">
        <v>20</v>
      </c>
      <c r="O339" s="64">
        <v>225.44</v>
      </c>
      <c r="P339" s="63">
        <v>0</v>
      </c>
      <c r="Q339" s="64">
        <v>0</v>
      </c>
    </row>
    <row r="340" spans="1:17" ht="11.1" customHeight="1" x14ac:dyDescent="0.25">
      <c r="A340" s="15" t="s">
        <v>1912</v>
      </c>
      <c r="B340" s="15"/>
      <c r="C340" s="15"/>
      <c r="D340" s="15"/>
      <c r="E340" s="15"/>
      <c r="F340" s="15"/>
      <c r="G340" s="15"/>
      <c r="H340" s="15"/>
      <c r="I340" s="15"/>
    </row>
    <row r="341" spans="1:17" ht="11.1" customHeight="1" x14ac:dyDescent="0.25">
      <c r="K341" s="63">
        <v>1127.1600000000001</v>
      </c>
      <c r="L341" s="50" t="s">
        <v>317</v>
      </c>
      <c r="M341" s="64">
        <v>1127.1600000000001</v>
      </c>
      <c r="O341" s="64">
        <v>225.44</v>
      </c>
      <c r="P341" s="63">
        <v>0</v>
      </c>
      <c r="Q341" s="64">
        <v>0</v>
      </c>
    </row>
    <row r="342" spans="1:17" ht="11.1" customHeight="1" x14ac:dyDescent="0.25">
      <c r="A342" s="57">
        <v>27478</v>
      </c>
      <c r="B342" s="72">
        <v>46136</v>
      </c>
      <c r="C342" s="59" t="s">
        <v>2122</v>
      </c>
      <c r="D342" s="50" t="s">
        <v>2123</v>
      </c>
      <c r="E342" s="57">
        <v>36</v>
      </c>
      <c r="F342" s="57">
        <v>534</v>
      </c>
      <c r="G342" s="50" t="s">
        <v>2124</v>
      </c>
      <c r="H342" s="73">
        <v>2102</v>
      </c>
      <c r="I342" s="57">
        <v>6</v>
      </c>
      <c r="J342" s="50" t="s">
        <v>50</v>
      </c>
      <c r="K342" s="63">
        <v>26553.66</v>
      </c>
      <c r="L342" s="50" t="s">
        <v>317</v>
      </c>
      <c r="M342" s="64">
        <v>26312.76</v>
      </c>
      <c r="N342" s="65">
        <v>7</v>
      </c>
      <c r="O342" s="64">
        <v>1841.87</v>
      </c>
      <c r="P342" s="63">
        <v>0</v>
      </c>
      <c r="Q342" s="64">
        <v>240.9</v>
      </c>
    </row>
    <row r="343" spans="1:17" ht="11.1" customHeight="1" x14ac:dyDescent="0.25">
      <c r="A343" s="15" t="s">
        <v>1912</v>
      </c>
      <c r="B343" s="15"/>
      <c r="C343" s="15"/>
      <c r="D343" s="15"/>
      <c r="E343" s="15"/>
      <c r="F343" s="15"/>
      <c r="G343" s="15"/>
      <c r="H343" s="15"/>
      <c r="I343" s="15"/>
    </row>
    <row r="344" spans="1:17" ht="11.1" customHeight="1" x14ac:dyDescent="0.25">
      <c r="K344" s="63">
        <v>26553.66</v>
      </c>
      <c r="L344" s="50" t="s">
        <v>317</v>
      </c>
      <c r="M344" s="64">
        <v>26312.76</v>
      </c>
      <c r="O344" s="64">
        <v>1841.87</v>
      </c>
      <c r="P344" s="63">
        <v>0</v>
      </c>
      <c r="Q344" s="64">
        <v>240.9</v>
      </c>
    </row>
    <row r="345" spans="1:17" ht="11.1" customHeight="1" x14ac:dyDescent="0.25">
      <c r="A345" s="57">
        <v>27575</v>
      </c>
      <c r="B345" s="72">
        <v>46132</v>
      </c>
      <c r="C345" s="59" t="s">
        <v>2125</v>
      </c>
      <c r="D345" s="50" t="s">
        <v>313</v>
      </c>
      <c r="E345" s="57">
        <v>36</v>
      </c>
      <c r="F345" s="57">
        <v>824</v>
      </c>
      <c r="G345" s="50" t="s">
        <v>2126</v>
      </c>
      <c r="H345" s="73">
        <v>2102</v>
      </c>
      <c r="I345" s="57">
        <v>6</v>
      </c>
      <c r="J345" s="50" t="s">
        <v>50</v>
      </c>
      <c r="K345" s="63">
        <v>3298.72</v>
      </c>
      <c r="L345" s="50" t="s">
        <v>317</v>
      </c>
      <c r="M345" s="64">
        <v>3194.88</v>
      </c>
      <c r="N345" s="65">
        <v>7</v>
      </c>
      <c r="O345" s="64">
        <v>223.64</v>
      </c>
      <c r="P345" s="63">
        <v>0</v>
      </c>
      <c r="Q345" s="64">
        <v>103.84</v>
      </c>
    </row>
    <row r="346" spans="1:17" ht="11.1" customHeight="1" x14ac:dyDescent="0.25">
      <c r="A346" s="15" t="s">
        <v>1912</v>
      </c>
      <c r="B346" s="15"/>
      <c r="C346" s="15"/>
      <c r="D346" s="15"/>
      <c r="E346" s="15"/>
      <c r="F346" s="15"/>
      <c r="G346" s="15"/>
      <c r="H346" s="15"/>
      <c r="I346" s="15"/>
    </row>
    <row r="347" spans="1:17" ht="11.1" customHeight="1" x14ac:dyDescent="0.25">
      <c r="K347" s="63">
        <v>3298.72</v>
      </c>
      <c r="L347" s="50" t="s">
        <v>317</v>
      </c>
      <c r="M347" s="64">
        <v>3194.88</v>
      </c>
      <c r="O347" s="64">
        <v>223.64</v>
      </c>
      <c r="P347" s="63">
        <v>0</v>
      </c>
      <c r="Q347" s="64">
        <v>103.84</v>
      </c>
    </row>
    <row r="348" spans="1:17" ht="11.1" customHeight="1" x14ac:dyDescent="0.25">
      <c r="A348" s="57">
        <v>27587</v>
      </c>
      <c r="B348" s="72">
        <v>46129</v>
      </c>
      <c r="C348" s="59" t="s">
        <v>2127</v>
      </c>
      <c r="D348" s="50" t="s">
        <v>313</v>
      </c>
      <c r="E348" s="57">
        <v>36</v>
      </c>
      <c r="F348" s="57">
        <v>1204</v>
      </c>
      <c r="G348" s="50" t="s">
        <v>2128</v>
      </c>
      <c r="H348" s="73">
        <v>2102</v>
      </c>
      <c r="I348" s="57">
        <v>6</v>
      </c>
      <c r="J348" s="50" t="s">
        <v>34</v>
      </c>
      <c r="K348" s="63">
        <v>555.83000000000004</v>
      </c>
      <c r="L348" s="50" t="s">
        <v>317</v>
      </c>
      <c r="M348" s="64">
        <v>555.83000000000004</v>
      </c>
      <c r="N348" s="65">
        <v>12</v>
      </c>
      <c r="O348" s="64">
        <v>66.7</v>
      </c>
      <c r="P348" s="63">
        <v>0</v>
      </c>
      <c r="Q348" s="64">
        <v>0</v>
      </c>
    </row>
    <row r="349" spans="1:17" ht="11.1" customHeight="1" x14ac:dyDescent="0.25">
      <c r="A349" s="15" t="s">
        <v>1912</v>
      </c>
      <c r="B349" s="15"/>
      <c r="C349" s="15"/>
      <c r="D349" s="15"/>
      <c r="E349" s="15"/>
      <c r="F349" s="15"/>
      <c r="G349" s="15"/>
      <c r="H349" s="15"/>
      <c r="I349" s="15"/>
    </row>
    <row r="350" spans="1:17" ht="11.1" customHeight="1" x14ac:dyDescent="0.25">
      <c r="K350" s="63">
        <v>555.83000000000004</v>
      </c>
      <c r="L350" s="50" t="s">
        <v>317</v>
      </c>
      <c r="M350" s="64">
        <v>555.83000000000004</v>
      </c>
      <c r="O350" s="64">
        <v>66.7</v>
      </c>
      <c r="P350" s="63">
        <v>0</v>
      </c>
      <c r="Q350" s="64">
        <v>0</v>
      </c>
    </row>
    <row r="351" spans="1:17" ht="11.1" customHeight="1" x14ac:dyDescent="0.25">
      <c r="A351" s="57">
        <v>27591</v>
      </c>
      <c r="B351" s="72">
        <v>46136</v>
      </c>
      <c r="C351" s="59" t="s">
        <v>2129</v>
      </c>
      <c r="D351" s="50" t="s">
        <v>313</v>
      </c>
      <c r="E351" s="57">
        <v>36</v>
      </c>
      <c r="F351" s="57">
        <v>1205</v>
      </c>
      <c r="G351" s="50" t="s">
        <v>2130</v>
      </c>
      <c r="H351" s="73">
        <v>1403</v>
      </c>
      <c r="I351" s="57">
        <v>8</v>
      </c>
      <c r="J351" s="50" t="s">
        <v>26</v>
      </c>
      <c r="K351" s="63">
        <v>2495.8000000000002</v>
      </c>
      <c r="L351" s="50" t="s">
        <v>317</v>
      </c>
      <c r="M351" s="64">
        <v>0</v>
      </c>
      <c r="N351" s="65">
        <v>0</v>
      </c>
      <c r="O351" s="64">
        <v>0</v>
      </c>
      <c r="P351" s="63">
        <v>0</v>
      </c>
      <c r="Q351" s="64">
        <v>2495.8000000000002</v>
      </c>
    </row>
    <row r="352" spans="1:17" ht="11.1" customHeight="1" x14ac:dyDescent="0.25">
      <c r="A352" s="15" t="s">
        <v>1912</v>
      </c>
      <c r="B352" s="15"/>
      <c r="C352" s="15"/>
      <c r="D352" s="15"/>
      <c r="E352" s="15"/>
      <c r="F352" s="15"/>
      <c r="G352" s="15"/>
      <c r="H352" s="15"/>
      <c r="I352" s="15"/>
    </row>
    <row r="353" spans="1:17" ht="11.1" customHeight="1" x14ac:dyDescent="0.25">
      <c r="K353" s="63">
        <v>2495.8000000000002</v>
      </c>
      <c r="L353" s="50" t="s">
        <v>317</v>
      </c>
      <c r="M353" s="64">
        <v>0</v>
      </c>
      <c r="O353" s="64">
        <v>0</v>
      </c>
      <c r="P353" s="63">
        <v>0</v>
      </c>
      <c r="Q353" s="64">
        <v>2495.8000000000002</v>
      </c>
    </row>
    <row r="354" spans="1:17" ht="11.1" customHeight="1" x14ac:dyDescent="0.25">
      <c r="A354" s="57">
        <v>28410</v>
      </c>
      <c r="B354" s="72">
        <v>46127</v>
      </c>
      <c r="C354" s="59" t="s">
        <v>2131</v>
      </c>
      <c r="D354" s="50" t="s">
        <v>75</v>
      </c>
      <c r="E354" s="57">
        <v>39</v>
      </c>
      <c r="F354" s="57">
        <v>1240</v>
      </c>
      <c r="G354" s="50" t="s">
        <v>2132</v>
      </c>
      <c r="H354" s="73">
        <v>2933</v>
      </c>
      <c r="I354" s="57">
        <v>29</v>
      </c>
      <c r="J354" s="50" t="s">
        <v>50</v>
      </c>
      <c r="K354" s="63">
        <v>3043.65</v>
      </c>
      <c r="L354" s="50" t="s">
        <v>1962</v>
      </c>
      <c r="M354" s="64">
        <v>3043.65</v>
      </c>
      <c r="N354" s="65">
        <v>2</v>
      </c>
      <c r="O354" s="64">
        <v>60.87</v>
      </c>
      <c r="P354" s="63">
        <v>0</v>
      </c>
      <c r="Q354" s="64">
        <v>0</v>
      </c>
    </row>
    <row r="355" spans="1:17" ht="11.1" customHeight="1" x14ac:dyDescent="0.25">
      <c r="L355" s="50" t="s">
        <v>2062</v>
      </c>
      <c r="M355" s="64">
        <v>3043.65</v>
      </c>
      <c r="N355" s="65">
        <v>1.5</v>
      </c>
      <c r="O355" s="64">
        <v>45.65</v>
      </c>
      <c r="P355" s="63">
        <v>0</v>
      </c>
      <c r="Q355" s="64">
        <v>0</v>
      </c>
    </row>
    <row r="356" spans="1:17" ht="11.1" customHeight="1" x14ac:dyDescent="0.25">
      <c r="A356" s="15" t="s">
        <v>1912</v>
      </c>
      <c r="B356" s="15"/>
      <c r="C356" s="15"/>
      <c r="D356" s="15"/>
      <c r="E356" s="15"/>
      <c r="F356" s="15"/>
      <c r="G356" s="15"/>
      <c r="H356" s="15"/>
      <c r="I356" s="15"/>
    </row>
    <row r="357" spans="1:17" ht="11.1" customHeight="1" x14ac:dyDescent="0.25">
      <c r="K357" s="63">
        <v>3043.65</v>
      </c>
      <c r="L357" s="50" t="s">
        <v>1962</v>
      </c>
      <c r="M357" s="64">
        <v>3043.65</v>
      </c>
      <c r="O357" s="64">
        <v>60.87</v>
      </c>
      <c r="P357" s="63">
        <v>0</v>
      </c>
      <c r="Q357" s="64">
        <v>0</v>
      </c>
    </row>
    <row r="358" spans="1:17" ht="11.1" customHeight="1" x14ac:dyDescent="0.25">
      <c r="L358" s="50" t="s">
        <v>2062</v>
      </c>
      <c r="M358" s="64">
        <v>3043.65</v>
      </c>
      <c r="O358" s="64">
        <v>45.65</v>
      </c>
      <c r="P358" s="63">
        <v>0</v>
      </c>
      <c r="Q358" s="64">
        <v>0</v>
      </c>
    </row>
    <row r="359" spans="1:17" ht="11.1" customHeight="1" x14ac:dyDescent="0.25">
      <c r="A359" s="57">
        <v>27668</v>
      </c>
      <c r="B359" s="72">
        <v>46114</v>
      </c>
      <c r="C359" s="59" t="s">
        <v>2133</v>
      </c>
      <c r="D359" s="50" t="s">
        <v>75</v>
      </c>
      <c r="E359" s="57">
        <v>39</v>
      </c>
      <c r="F359" s="57">
        <v>937</v>
      </c>
      <c r="G359" s="50" t="s">
        <v>2134</v>
      </c>
      <c r="H359" s="73">
        <v>1933</v>
      </c>
      <c r="I359" s="57">
        <v>29</v>
      </c>
      <c r="J359" s="50" t="s">
        <v>26</v>
      </c>
      <c r="K359" s="63">
        <v>1600</v>
      </c>
      <c r="L359" s="50" t="s">
        <v>75</v>
      </c>
      <c r="M359" s="64">
        <v>0</v>
      </c>
      <c r="N359" s="65">
        <v>0</v>
      </c>
      <c r="O359" s="64">
        <v>0</v>
      </c>
      <c r="P359" s="63">
        <v>0</v>
      </c>
      <c r="Q359" s="64">
        <v>0</v>
      </c>
    </row>
    <row r="360" spans="1:17" ht="11.1" customHeight="1" x14ac:dyDescent="0.25">
      <c r="A360" s="15" t="s">
        <v>1907</v>
      </c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</row>
    <row r="361" spans="1:17" ht="11.1" customHeight="1" x14ac:dyDescent="0.25">
      <c r="A361" s="10" t="s">
        <v>184</v>
      </c>
      <c r="B361" s="10" t="s">
        <v>1908</v>
      </c>
      <c r="C361" s="10" t="s">
        <v>298</v>
      </c>
      <c r="D361" s="71" t="s">
        <v>299</v>
      </c>
      <c r="E361" s="10" t="s">
        <v>300</v>
      </c>
      <c r="F361" s="10" t="s">
        <v>184</v>
      </c>
      <c r="G361" s="71" t="s">
        <v>1909</v>
      </c>
      <c r="H361" s="10" t="s">
        <v>304</v>
      </c>
      <c r="I361" s="10" t="s">
        <v>305</v>
      </c>
      <c r="J361" s="71" t="s">
        <v>24</v>
      </c>
      <c r="K361" s="15" t="s">
        <v>306</v>
      </c>
      <c r="L361" s="71" t="s">
        <v>307</v>
      </c>
      <c r="M361" s="10" t="s">
        <v>308</v>
      </c>
      <c r="N361" s="10" t="s">
        <v>309</v>
      </c>
      <c r="O361" s="10" t="s">
        <v>73</v>
      </c>
      <c r="P361" s="15" t="s">
        <v>310</v>
      </c>
      <c r="Q361" s="10" t="s">
        <v>311</v>
      </c>
    </row>
    <row r="362" spans="1:17" ht="11.1" customHeight="1" x14ac:dyDescent="0.25">
      <c r="A362" s="15" t="s">
        <v>1912</v>
      </c>
      <c r="B362" s="15"/>
      <c r="C362" s="15"/>
      <c r="D362" s="15"/>
      <c r="E362" s="15"/>
      <c r="F362" s="15"/>
      <c r="G362" s="15"/>
      <c r="H362" s="15"/>
      <c r="I362" s="15"/>
    </row>
    <row r="363" spans="1:17" ht="11.1" customHeight="1" x14ac:dyDescent="0.25">
      <c r="K363" s="63">
        <v>1600</v>
      </c>
      <c r="L363" s="50" t="s">
        <v>75</v>
      </c>
      <c r="M363" s="64">
        <v>0</v>
      </c>
      <c r="O363" s="64">
        <v>0</v>
      </c>
      <c r="P363" s="63">
        <v>0</v>
      </c>
      <c r="Q363" s="64">
        <v>0</v>
      </c>
    </row>
    <row r="364" spans="1:17" ht="11.1" customHeight="1" x14ac:dyDescent="0.25">
      <c r="A364" s="57">
        <v>28633</v>
      </c>
      <c r="B364" s="72">
        <v>46114</v>
      </c>
      <c r="C364" s="59" t="s">
        <v>2133</v>
      </c>
      <c r="D364" s="50" t="s">
        <v>75</v>
      </c>
      <c r="E364" s="57">
        <v>39</v>
      </c>
      <c r="F364" s="57">
        <v>1264</v>
      </c>
      <c r="G364" s="50" t="s">
        <v>2135</v>
      </c>
      <c r="H364" s="73">
        <v>1933</v>
      </c>
      <c r="I364" s="57">
        <v>29</v>
      </c>
      <c r="J364" s="50" t="s">
        <v>26</v>
      </c>
      <c r="K364" s="63">
        <v>1600</v>
      </c>
      <c r="L364" s="50" t="s">
        <v>75</v>
      </c>
      <c r="M364" s="64">
        <v>0</v>
      </c>
      <c r="N364" s="65">
        <v>0</v>
      </c>
      <c r="O364" s="64">
        <v>0</v>
      </c>
      <c r="P364" s="63">
        <v>0</v>
      </c>
      <c r="Q364" s="64">
        <v>0</v>
      </c>
    </row>
    <row r="365" spans="1:17" ht="11.1" customHeight="1" x14ac:dyDescent="0.25">
      <c r="A365" s="15" t="s">
        <v>1912</v>
      </c>
      <c r="B365" s="15"/>
      <c r="C365" s="15"/>
      <c r="D365" s="15"/>
      <c r="E365" s="15"/>
      <c r="F365" s="15"/>
      <c r="G365" s="15"/>
      <c r="H365" s="15"/>
      <c r="I365" s="15"/>
    </row>
    <row r="366" spans="1:17" ht="11.1" customHeight="1" x14ac:dyDescent="0.25">
      <c r="K366" s="63">
        <v>1600</v>
      </c>
      <c r="L366" s="50" t="s">
        <v>75</v>
      </c>
      <c r="M366" s="64">
        <v>0</v>
      </c>
      <c r="O366" s="64">
        <v>0</v>
      </c>
      <c r="P366" s="63">
        <v>0</v>
      </c>
      <c r="Q366" s="64">
        <v>0</v>
      </c>
    </row>
    <row r="367" spans="1:17" ht="11.1" customHeight="1" x14ac:dyDescent="0.25">
      <c r="A367" s="57">
        <v>27455</v>
      </c>
      <c r="B367" s="72">
        <v>46120</v>
      </c>
      <c r="C367" s="59" t="s">
        <v>2136</v>
      </c>
      <c r="D367" s="50" t="s">
        <v>313</v>
      </c>
      <c r="E367" s="57">
        <v>36</v>
      </c>
      <c r="F367" s="57">
        <v>1194</v>
      </c>
      <c r="G367" s="50" t="s">
        <v>1535</v>
      </c>
      <c r="H367" s="73">
        <v>1202</v>
      </c>
      <c r="I367" s="57">
        <v>38</v>
      </c>
      <c r="J367" s="50" t="s">
        <v>26</v>
      </c>
      <c r="K367" s="63">
        <v>29.7</v>
      </c>
      <c r="L367" s="50" t="s">
        <v>317</v>
      </c>
      <c r="M367" s="64">
        <v>29.7</v>
      </c>
      <c r="N367" s="65">
        <v>20</v>
      </c>
      <c r="O367" s="64">
        <v>5.94</v>
      </c>
      <c r="P367" s="63">
        <v>0</v>
      </c>
      <c r="Q367" s="64">
        <v>0</v>
      </c>
    </row>
    <row r="368" spans="1:17" ht="11.1" customHeight="1" x14ac:dyDescent="0.25">
      <c r="A368" s="57">
        <v>27463</v>
      </c>
      <c r="B368" s="72">
        <v>46132</v>
      </c>
      <c r="C368" s="59" t="s">
        <v>2137</v>
      </c>
      <c r="D368" s="50" t="s">
        <v>313</v>
      </c>
      <c r="E368" s="57">
        <v>36</v>
      </c>
      <c r="F368" s="57">
        <v>1194</v>
      </c>
      <c r="G368" s="50" t="s">
        <v>1535</v>
      </c>
      <c r="H368" s="73">
        <v>1202</v>
      </c>
      <c r="I368" s="57">
        <v>38</v>
      </c>
      <c r="J368" s="50" t="s">
        <v>26</v>
      </c>
      <c r="K368" s="63">
        <v>27.99</v>
      </c>
      <c r="L368" s="50" t="s">
        <v>317</v>
      </c>
      <c r="M368" s="64">
        <v>27.99</v>
      </c>
      <c r="N368" s="65">
        <v>20</v>
      </c>
      <c r="O368" s="64">
        <v>5.6</v>
      </c>
      <c r="P368" s="63">
        <v>0</v>
      </c>
      <c r="Q368" s="64">
        <v>0</v>
      </c>
    </row>
    <row r="369" spans="1:17" ht="11.1" customHeight="1" x14ac:dyDescent="0.25">
      <c r="A369" s="15" t="s">
        <v>1912</v>
      </c>
      <c r="B369" s="15"/>
      <c r="C369" s="15"/>
      <c r="D369" s="15"/>
      <c r="E369" s="15"/>
      <c r="F369" s="15"/>
      <c r="G369" s="15"/>
      <c r="H369" s="15"/>
      <c r="I369" s="15"/>
    </row>
    <row r="370" spans="1:17" ht="11.1" customHeight="1" x14ac:dyDescent="0.25">
      <c r="K370" s="63">
        <v>57.69</v>
      </c>
      <c r="L370" s="50" t="s">
        <v>317</v>
      </c>
      <c r="M370" s="64">
        <v>57.69</v>
      </c>
      <c r="O370" s="64">
        <v>11.54</v>
      </c>
      <c r="P370" s="63">
        <v>0</v>
      </c>
      <c r="Q370" s="64">
        <v>0</v>
      </c>
    </row>
    <row r="371" spans="1:17" ht="11.1" customHeight="1" x14ac:dyDescent="0.25">
      <c r="A371" s="57">
        <v>27458</v>
      </c>
      <c r="B371" s="72">
        <v>46125</v>
      </c>
      <c r="C371" s="59" t="s">
        <v>2138</v>
      </c>
      <c r="D371" s="50" t="s">
        <v>313</v>
      </c>
      <c r="E371" s="57">
        <v>36</v>
      </c>
      <c r="F371" s="57">
        <v>1196</v>
      </c>
      <c r="G371" s="50" t="s">
        <v>1542</v>
      </c>
      <c r="H371" s="73">
        <v>1202</v>
      </c>
      <c r="I371" s="57">
        <v>38</v>
      </c>
      <c r="J371" s="50" t="s">
        <v>26</v>
      </c>
      <c r="K371" s="63">
        <v>649.64</v>
      </c>
      <c r="L371" s="50" t="s">
        <v>317</v>
      </c>
      <c r="M371" s="64">
        <v>649.64</v>
      </c>
      <c r="N371" s="65">
        <v>20</v>
      </c>
      <c r="O371" s="64">
        <v>129.93</v>
      </c>
      <c r="P371" s="63">
        <v>0</v>
      </c>
      <c r="Q371" s="64">
        <v>0</v>
      </c>
    </row>
    <row r="372" spans="1:17" ht="11.1" customHeight="1" x14ac:dyDescent="0.25">
      <c r="A372" s="15" t="s">
        <v>1912</v>
      </c>
      <c r="B372" s="15"/>
      <c r="C372" s="15"/>
      <c r="D372" s="15"/>
      <c r="E372" s="15"/>
      <c r="F372" s="15"/>
      <c r="G372" s="15"/>
      <c r="H372" s="15"/>
      <c r="I372" s="15"/>
    </row>
    <row r="373" spans="1:17" ht="11.1" customHeight="1" x14ac:dyDescent="0.25">
      <c r="K373" s="63">
        <v>649.64</v>
      </c>
      <c r="L373" s="50" t="s">
        <v>317</v>
      </c>
      <c r="M373" s="64">
        <v>649.64</v>
      </c>
      <c r="O373" s="64">
        <v>129.93</v>
      </c>
      <c r="P373" s="63">
        <v>0</v>
      </c>
      <c r="Q373" s="64">
        <v>0</v>
      </c>
    </row>
    <row r="374" spans="1:17" ht="11.1" customHeight="1" x14ac:dyDescent="0.25">
      <c r="A374" s="57">
        <v>27628</v>
      </c>
      <c r="B374" s="72">
        <v>46132</v>
      </c>
      <c r="C374" s="59" t="s">
        <v>2139</v>
      </c>
      <c r="D374" s="50" t="s">
        <v>313</v>
      </c>
      <c r="E374" s="57">
        <v>36</v>
      </c>
      <c r="F374" s="57">
        <v>822</v>
      </c>
      <c r="G374" s="50" t="s">
        <v>2140</v>
      </c>
      <c r="H374" s="73">
        <v>1102</v>
      </c>
      <c r="I374" s="57">
        <v>6</v>
      </c>
      <c r="J374" s="50" t="s">
        <v>26</v>
      </c>
      <c r="K374" s="63">
        <v>2416.8000000000002</v>
      </c>
      <c r="L374" s="50" t="s">
        <v>317</v>
      </c>
      <c r="M374" s="64">
        <v>2416.8000000000002</v>
      </c>
      <c r="N374" s="65">
        <v>20</v>
      </c>
      <c r="O374" s="64">
        <v>483.36</v>
      </c>
      <c r="P374" s="63">
        <v>0</v>
      </c>
      <c r="Q374" s="64">
        <v>0</v>
      </c>
    </row>
    <row r="375" spans="1:17" ht="11.1" customHeight="1" x14ac:dyDescent="0.25">
      <c r="A375" s="15" t="s">
        <v>1912</v>
      </c>
      <c r="B375" s="15"/>
      <c r="C375" s="15"/>
      <c r="D375" s="15"/>
      <c r="E375" s="15"/>
      <c r="F375" s="15"/>
      <c r="G375" s="15"/>
      <c r="H375" s="15"/>
      <c r="I375" s="15"/>
    </row>
    <row r="376" spans="1:17" ht="11.1" customHeight="1" x14ac:dyDescent="0.25">
      <c r="K376" s="63">
        <v>2416.8000000000002</v>
      </c>
      <c r="L376" s="50" t="s">
        <v>317</v>
      </c>
      <c r="M376" s="64">
        <v>2416.8000000000002</v>
      </c>
      <c r="O376" s="64">
        <v>483.36</v>
      </c>
      <c r="P376" s="63">
        <v>0</v>
      </c>
      <c r="Q376" s="64">
        <v>0</v>
      </c>
    </row>
    <row r="377" spans="1:17" ht="11.1" customHeight="1" x14ac:dyDescent="0.25">
      <c r="A377" s="57">
        <v>27617</v>
      </c>
      <c r="B377" s="72">
        <v>46128</v>
      </c>
      <c r="C377" s="59" t="s">
        <v>2141</v>
      </c>
      <c r="D377" s="50" t="s">
        <v>313</v>
      </c>
      <c r="E377" s="57">
        <v>36</v>
      </c>
      <c r="F377" s="57">
        <v>1120</v>
      </c>
      <c r="G377" s="50" t="s">
        <v>1564</v>
      </c>
      <c r="H377" s="73">
        <v>1102</v>
      </c>
      <c r="I377" s="57">
        <v>6</v>
      </c>
      <c r="J377" s="50" t="s">
        <v>26</v>
      </c>
      <c r="K377" s="63">
        <v>3314.03</v>
      </c>
      <c r="L377" s="50" t="s">
        <v>317</v>
      </c>
      <c r="M377" s="64">
        <v>2031.39</v>
      </c>
      <c r="N377" s="65">
        <v>12</v>
      </c>
      <c r="O377" s="64">
        <v>243.77</v>
      </c>
      <c r="P377" s="63">
        <v>0</v>
      </c>
      <c r="Q377" s="64">
        <v>366.57</v>
      </c>
    </row>
    <row r="378" spans="1:17" ht="11.1" customHeight="1" x14ac:dyDescent="0.25">
      <c r="L378" s="50" t="s">
        <v>317</v>
      </c>
      <c r="M378" s="64">
        <v>916.07</v>
      </c>
      <c r="N378" s="65">
        <v>20</v>
      </c>
      <c r="O378" s="64">
        <v>183.24</v>
      </c>
      <c r="P378" s="63">
        <v>0</v>
      </c>
      <c r="Q378" s="64">
        <v>0</v>
      </c>
    </row>
    <row r="379" spans="1:17" ht="11.1" customHeight="1" x14ac:dyDescent="0.25">
      <c r="A379" s="57">
        <v>27618</v>
      </c>
      <c r="B379" s="72">
        <v>46132</v>
      </c>
      <c r="C379" s="59" t="s">
        <v>2142</v>
      </c>
      <c r="D379" s="50" t="s">
        <v>313</v>
      </c>
      <c r="E379" s="57">
        <v>36</v>
      </c>
      <c r="F379" s="57">
        <v>1120</v>
      </c>
      <c r="G379" s="50" t="s">
        <v>1564</v>
      </c>
      <c r="H379" s="73">
        <v>1102</v>
      </c>
      <c r="I379" s="57">
        <v>6</v>
      </c>
      <c r="J379" s="50" t="s">
        <v>26</v>
      </c>
      <c r="K379" s="63">
        <v>42</v>
      </c>
      <c r="L379" s="50" t="s">
        <v>317</v>
      </c>
      <c r="M379" s="64">
        <v>42</v>
      </c>
      <c r="N379" s="65">
        <v>20</v>
      </c>
      <c r="O379" s="64">
        <v>8.4</v>
      </c>
      <c r="P379" s="63">
        <v>0</v>
      </c>
      <c r="Q379" s="64">
        <v>0</v>
      </c>
    </row>
    <row r="380" spans="1:17" ht="11.1" customHeight="1" x14ac:dyDescent="0.25">
      <c r="A380" s="57">
        <v>27630</v>
      </c>
      <c r="B380" s="72">
        <v>46132</v>
      </c>
      <c r="C380" s="59" t="s">
        <v>2143</v>
      </c>
      <c r="D380" s="50" t="s">
        <v>313</v>
      </c>
      <c r="E380" s="57">
        <v>36</v>
      </c>
      <c r="F380" s="57">
        <v>1120</v>
      </c>
      <c r="G380" s="50" t="s">
        <v>1564</v>
      </c>
      <c r="H380" s="73">
        <v>1102</v>
      </c>
      <c r="I380" s="57">
        <v>6</v>
      </c>
      <c r="J380" s="50" t="s">
        <v>26</v>
      </c>
      <c r="K380" s="63">
        <v>0</v>
      </c>
      <c r="L380" s="50" t="s">
        <v>317</v>
      </c>
      <c r="M380" s="64">
        <v>0</v>
      </c>
      <c r="N380" s="65">
        <v>0</v>
      </c>
      <c r="O380" s="64">
        <v>0</v>
      </c>
      <c r="P380" s="63">
        <v>0</v>
      </c>
      <c r="Q380" s="64">
        <v>0</v>
      </c>
    </row>
    <row r="381" spans="1:17" ht="11.1" customHeight="1" x14ac:dyDescent="0.25">
      <c r="A381" s="15" t="s">
        <v>1912</v>
      </c>
      <c r="B381" s="15"/>
      <c r="C381" s="15"/>
      <c r="D381" s="15"/>
      <c r="E381" s="15"/>
      <c r="F381" s="15"/>
      <c r="G381" s="15"/>
      <c r="H381" s="15"/>
      <c r="I381" s="15"/>
    </row>
    <row r="382" spans="1:17" ht="11.1" customHeight="1" x14ac:dyDescent="0.25">
      <c r="K382" s="63">
        <v>3356.03</v>
      </c>
      <c r="L382" s="50" t="s">
        <v>317</v>
      </c>
      <c r="M382" s="64">
        <v>2989.46</v>
      </c>
      <c r="O382" s="64">
        <v>435.41</v>
      </c>
      <c r="P382" s="63">
        <v>0</v>
      </c>
      <c r="Q382" s="64">
        <v>366.57</v>
      </c>
    </row>
    <row r="383" spans="1:17" ht="11.1" customHeight="1" x14ac:dyDescent="0.25">
      <c r="A383" s="57">
        <v>27581</v>
      </c>
      <c r="B383" s="72">
        <v>46128</v>
      </c>
      <c r="C383" s="59" t="s">
        <v>2144</v>
      </c>
      <c r="D383" s="50" t="s">
        <v>313</v>
      </c>
      <c r="E383" s="57">
        <v>36</v>
      </c>
      <c r="F383" s="57">
        <v>871</v>
      </c>
      <c r="G383" s="50" t="s">
        <v>2145</v>
      </c>
      <c r="H383" s="73">
        <v>2102</v>
      </c>
      <c r="I383" s="57">
        <v>6</v>
      </c>
      <c r="J383" s="50" t="s">
        <v>41</v>
      </c>
      <c r="K383" s="63">
        <v>27877.5</v>
      </c>
      <c r="L383" s="50" t="s">
        <v>317</v>
      </c>
      <c r="M383" s="64">
        <v>27000</v>
      </c>
      <c r="N383" s="65">
        <v>7</v>
      </c>
      <c r="O383" s="64">
        <v>1890</v>
      </c>
      <c r="P383" s="63">
        <v>0</v>
      </c>
      <c r="Q383" s="64">
        <v>877.5</v>
      </c>
    </row>
    <row r="384" spans="1:17" ht="11.1" customHeight="1" x14ac:dyDescent="0.25">
      <c r="A384" s="57">
        <v>27582</v>
      </c>
      <c r="B384" s="72">
        <v>46128</v>
      </c>
      <c r="C384" s="59" t="s">
        <v>2146</v>
      </c>
      <c r="D384" s="50" t="s">
        <v>313</v>
      </c>
      <c r="E384" s="57">
        <v>36</v>
      </c>
      <c r="F384" s="57">
        <v>871</v>
      </c>
      <c r="G384" s="50" t="s">
        <v>2145</v>
      </c>
      <c r="H384" s="73">
        <v>2910</v>
      </c>
      <c r="I384" s="57">
        <v>23</v>
      </c>
      <c r="J384" s="50" t="s">
        <v>41</v>
      </c>
      <c r="K384" s="63">
        <v>2090.81</v>
      </c>
      <c r="L384" s="50" t="s">
        <v>317</v>
      </c>
      <c r="M384" s="64">
        <v>2025</v>
      </c>
      <c r="N384" s="65">
        <v>7</v>
      </c>
      <c r="O384" s="64">
        <v>141.75</v>
      </c>
      <c r="P384" s="63">
        <v>0</v>
      </c>
      <c r="Q384" s="64">
        <v>65.81</v>
      </c>
    </row>
    <row r="385" spans="1:17" ht="11.1" customHeight="1" x14ac:dyDescent="0.25">
      <c r="A385" s="15" t="s">
        <v>1912</v>
      </c>
      <c r="B385" s="15"/>
      <c r="C385" s="15"/>
      <c r="D385" s="15"/>
      <c r="E385" s="15"/>
      <c r="F385" s="15"/>
      <c r="G385" s="15"/>
      <c r="H385" s="15"/>
      <c r="I385" s="15"/>
    </row>
    <row r="386" spans="1:17" ht="11.1" customHeight="1" x14ac:dyDescent="0.25">
      <c r="K386" s="63">
        <v>29968.31</v>
      </c>
      <c r="L386" s="50" t="s">
        <v>317</v>
      </c>
      <c r="M386" s="64">
        <v>29025</v>
      </c>
      <c r="O386" s="64">
        <v>2031.75</v>
      </c>
      <c r="P386" s="63">
        <v>0</v>
      </c>
      <c r="Q386" s="64">
        <v>943.31</v>
      </c>
    </row>
    <row r="387" spans="1:17" ht="11.1" customHeight="1" x14ac:dyDescent="0.25">
      <c r="A387" s="57">
        <v>27609</v>
      </c>
      <c r="B387" s="72">
        <v>46119</v>
      </c>
      <c r="C387" s="59" t="s">
        <v>2147</v>
      </c>
      <c r="D387" s="50" t="s">
        <v>1630</v>
      </c>
      <c r="E387" s="57">
        <v>36</v>
      </c>
      <c r="F387" s="57">
        <v>1153</v>
      </c>
      <c r="G387" s="50" t="s">
        <v>2148</v>
      </c>
      <c r="H387" s="73">
        <v>1102</v>
      </c>
      <c r="I387" s="57">
        <v>6</v>
      </c>
      <c r="J387" s="50" t="s">
        <v>26</v>
      </c>
      <c r="K387" s="63">
        <v>376</v>
      </c>
      <c r="L387" s="50" t="s">
        <v>317</v>
      </c>
      <c r="M387" s="64">
        <v>376</v>
      </c>
      <c r="N387" s="65">
        <v>20</v>
      </c>
      <c r="O387" s="64">
        <v>75.2</v>
      </c>
      <c r="P387" s="63">
        <v>0</v>
      </c>
      <c r="Q387" s="64">
        <v>0</v>
      </c>
    </row>
    <row r="388" spans="1:17" ht="11.1" customHeight="1" x14ac:dyDescent="0.25">
      <c r="A388" s="57">
        <v>27610</v>
      </c>
      <c r="B388" s="72">
        <v>46121</v>
      </c>
      <c r="C388" s="59" t="s">
        <v>2149</v>
      </c>
      <c r="D388" s="50" t="s">
        <v>1630</v>
      </c>
      <c r="E388" s="57">
        <v>36</v>
      </c>
      <c r="F388" s="57">
        <v>1153</v>
      </c>
      <c r="G388" s="50" t="s">
        <v>2148</v>
      </c>
      <c r="H388" s="73">
        <v>1102</v>
      </c>
      <c r="I388" s="57">
        <v>6</v>
      </c>
      <c r="J388" s="50" t="s">
        <v>26</v>
      </c>
      <c r="K388" s="63">
        <v>1610</v>
      </c>
      <c r="L388" s="50" t="s">
        <v>317</v>
      </c>
      <c r="M388" s="64">
        <v>1610</v>
      </c>
      <c r="N388" s="65">
        <v>20</v>
      </c>
      <c r="O388" s="64">
        <v>322</v>
      </c>
      <c r="P388" s="63">
        <v>0</v>
      </c>
      <c r="Q388" s="64">
        <v>0</v>
      </c>
    </row>
    <row r="389" spans="1:17" ht="11.1" customHeight="1" x14ac:dyDescent="0.25">
      <c r="A389" s="15" t="s">
        <v>1912</v>
      </c>
      <c r="B389" s="15"/>
      <c r="C389" s="15"/>
      <c r="D389" s="15"/>
      <c r="E389" s="15"/>
      <c r="F389" s="15"/>
      <c r="G389" s="15"/>
      <c r="H389" s="15"/>
      <c r="I389" s="15"/>
    </row>
    <row r="390" spans="1:17" ht="11.1" customHeight="1" x14ac:dyDescent="0.25">
      <c r="K390" s="63">
        <v>1986</v>
      </c>
      <c r="L390" s="50" t="s">
        <v>317</v>
      </c>
      <c r="M390" s="64">
        <v>1986</v>
      </c>
      <c r="O390" s="64">
        <v>397.2</v>
      </c>
      <c r="P390" s="63">
        <v>0</v>
      </c>
      <c r="Q390" s="64">
        <v>0</v>
      </c>
    </row>
    <row r="391" spans="1:17" ht="11.1" customHeight="1" x14ac:dyDescent="0.25">
      <c r="A391" s="57">
        <v>27626</v>
      </c>
      <c r="B391" s="72">
        <v>46119</v>
      </c>
      <c r="C391" s="59" t="s">
        <v>2150</v>
      </c>
      <c r="D391" s="50" t="s">
        <v>313</v>
      </c>
      <c r="E391" s="57">
        <v>36</v>
      </c>
      <c r="F391" s="57">
        <v>1084</v>
      </c>
      <c r="G391" s="50" t="s">
        <v>2151</v>
      </c>
      <c r="H391" s="73">
        <v>1102</v>
      </c>
      <c r="I391" s="57">
        <v>6</v>
      </c>
      <c r="J391" s="50" t="s">
        <v>26</v>
      </c>
      <c r="K391" s="63">
        <v>61.82</v>
      </c>
      <c r="L391" s="50" t="s">
        <v>317</v>
      </c>
      <c r="M391" s="64">
        <v>61.82</v>
      </c>
      <c r="N391" s="65">
        <v>20</v>
      </c>
      <c r="O391" s="64">
        <v>12.36</v>
      </c>
      <c r="P391" s="63">
        <v>0</v>
      </c>
      <c r="Q391" s="64">
        <v>0</v>
      </c>
    </row>
    <row r="392" spans="1:17" ht="11.1" customHeight="1" x14ac:dyDescent="0.25">
      <c r="A392" s="57">
        <v>27627</v>
      </c>
      <c r="B392" s="72">
        <v>46128</v>
      </c>
      <c r="C392" s="59" t="s">
        <v>2152</v>
      </c>
      <c r="D392" s="50" t="s">
        <v>313</v>
      </c>
      <c r="E392" s="57">
        <v>36</v>
      </c>
      <c r="F392" s="57">
        <v>1084</v>
      </c>
      <c r="G392" s="50" t="s">
        <v>2151</v>
      </c>
      <c r="H392" s="73">
        <v>1102</v>
      </c>
      <c r="I392" s="57">
        <v>6</v>
      </c>
      <c r="J392" s="50" t="s">
        <v>26</v>
      </c>
      <c r="K392" s="63">
        <v>875.6</v>
      </c>
      <c r="L392" s="50" t="s">
        <v>317</v>
      </c>
      <c r="M392" s="64">
        <v>875.6</v>
      </c>
      <c r="N392" s="65">
        <v>20</v>
      </c>
      <c r="O392" s="64">
        <v>175.12</v>
      </c>
      <c r="P392" s="63">
        <v>0</v>
      </c>
      <c r="Q392" s="64">
        <v>0</v>
      </c>
    </row>
    <row r="393" spans="1:17" ht="11.1" customHeight="1" x14ac:dyDescent="0.25">
      <c r="A393" s="15" t="s">
        <v>1912</v>
      </c>
      <c r="B393" s="15"/>
      <c r="C393" s="15"/>
      <c r="D393" s="15"/>
      <c r="E393" s="15"/>
      <c r="F393" s="15"/>
      <c r="G393" s="15"/>
      <c r="H393" s="15"/>
      <c r="I393" s="15"/>
    </row>
    <row r="394" spans="1:17" ht="11.1" customHeight="1" x14ac:dyDescent="0.25">
      <c r="K394" s="63">
        <v>937.42</v>
      </c>
      <c r="L394" s="50" t="s">
        <v>317</v>
      </c>
      <c r="M394" s="64">
        <v>937.42</v>
      </c>
      <c r="O394" s="64">
        <v>187.48</v>
      </c>
      <c r="P394" s="63">
        <v>0</v>
      </c>
      <c r="Q394" s="64">
        <v>0</v>
      </c>
    </row>
    <row r="395" spans="1:17" ht="11.1" customHeight="1" x14ac:dyDescent="0.25">
      <c r="A395" s="57">
        <v>27632</v>
      </c>
      <c r="B395" s="72">
        <v>46121</v>
      </c>
      <c r="C395" s="59" t="s">
        <v>2153</v>
      </c>
      <c r="D395" s="50" t="s">
        <v>1956</v>
      </c>
      <c r="E395" s="57">
        <v>38</v>
      </c>
      <c r="F395" s="57">
        <v>813</v>
      </c>
      <c r="G395" s="50" t="s">
        <v>2154</v>
      </c>
      <c r="H395" s="73">
        <v>2353</v>
      </c>
      <c r="I395" s="57">
        <v>716</v>
      </c>
      <c r="J395" s="50" t="s">
        <v>50</v>
      </c>
      <c r="K395" s="63">
        <v>806.03</v>
      </c>
      <c r="L395" s="50" t="s">
        <v>317</v>
      </c>
      <c r="M395" s="64">
        <v>806.03</v>
      </c>
      <c r="N395" s="65">
        <v>7</v>
      </c>
      <c r="O395" s="64">
        <v>56.42</v>
      </c>
      <c r="P395" s="63">
        <v>0</v>
      </c>
      <c r="Q395" s="64">
        <v>0</v>
      </c>
    </row>
    <row r="396" spans="1:17" ht="11.1" customHeight="1" x14ac:dyDescent="0.25">
      <c r="A396" s="57">
        <v>27633</v>
      </c>
      <c r="B396" s="72">
        <v>46134</v>
      </c>
      <c r="C396" s="59" t="s">
        <v>2155</v>
      </c>
      <c r="D396" s="50" t="s">
        <v>1956</v>
      </c>
      <c r="E396" s="57">
        <v>38</v>
      </c>
      <c r="F396" s="57">
        <v>813</v>
      </c>
      <c r="G396" s="50" t="s">
        <v>2154</v>
      </c>
      <c r="H396" s="73">
        <v>2353</v>
      </c>
      <c r="I396" s="57">
        <v>716</v>
      </c>
      <c r="J396" s="50" t="s">
        <v>50</v>
      </c>
      <c r="K396" s="63">
        <v>4806.09</v>
      </c>
      <c r="L396" s="50" t="s">
        <v>317</v>
      </c>
      <c r="M396" s="64">
        <v>4806.09</v>
      </c>
      <c r="N396" s="65">
        <v>7</v>
      </c>
      <c r="O396" s="64">
        <v>336.43</v>
      </c>
      <c r="P396" s="63">
        <v>0</v>
      </c>
      <c r="Q396" s="64">
        <v>0</v>
      </c>
    </row>
    <row r="397" spans="1:17" ht="11.1" customHeight="1" x14ac:dyDescent="0.25">
      <c r="A397" s="57">
        <v>27664</v>
      </c>
      <c r="B397" s="72">
        <v>46134</v>
      </c>
      <c r="C397" s="59" t="s">
        <v>2156</v>
      </c>
      <c r="D397" s="50" t="s">
        <v>1956</v>
      </c>
      <c r="E397" s="57">
        <v>38</v>
      </c>
      <c r="F397" s="57">
        <v>813</v>
      </c>
      <c r="G397" s="50" t="s">
        <v>2154</v>
      </c>
      <c r="H397" s="73">
        <v>2353</v>
      </c>
      <c r="I397" s="57">
        <v>716</v>
      </c>
      <c r="J397" s="50" t="s">
        <v>50</v>
      </c>
      <c r="K397" s="63">
        <v>4491.2299999999996</v>
      </c>
      <c r="L397" s="50" t="s">
        <v>317</v>
      </c>
      <c r="M397" s="64">
        <v>4491.2299999999996</v>
      </c>
      <c r="N397" s="65">
        <v>7</v>
      </c>
      <c r="O397" s="64">
        <v>314.39</v>
      </c>
      <c r="P397" s="63">
        <v>0</v>
      </c>
      <c r="Q397" s="64">
        <v>0</v>
      </c>
    </row>
    <row r="398" spans="1:17" ht="11.1" customHeight="1" x14ac:dyDescent="0.25">
      <c r="A398" s="15" t="s">
        <v>1912</v>
      </c>
      <c r="B398" s="15"/>
      <c r="C398" s="15"/>
      <c r="D398" s="15"/>
      <c r="E398" s="15"/>
      <c r="F398" s="15"/>
      <c r="G398" s="15"/>
      <c r="H398" s="15"/>
      <c r="I398" s="15"/>
    </row>
    <row r="399" spans="1:17" ht="11.1" customHeight="1" x14ac:dyDescent="0.25">
      <c r="K399" s="63">
        <v>10103.35</v>
      </c>
      <c r="L399" s="50" t="s">
        <v>317</v>
      </c>
      <c r="M399" s="64">
        <v>10103.35</v>
      </c>
      <c r="O399" s="64">
        <v>707.24</v>
      </c>
      <c r="P399" s="63">
        <v>0</v>
      </c>
      <c r="Q399" s="64">
        <v>0</v>
      </c>
    </row>
    <row r="400" spans="1:17" ht="11.1" customHeight="1" x14ac:dyDescent="0.25">
      <c r="A400" s="57">
        <v>27607</v>
      </c>
      <c r="B400" s="72">
        <v>46132</v>
      </c>
      <c r="C400" s="59" t="s">
        <v>2157</v>
      </c>
      <c r="D400" s="50" t="s">
        <v>1956</v>
      </c>
      <c r="E400" s="57">
        <v>36</v>
      </c>
      <c r="F400" s="57">
        <v>629</v>
      </c>
      <c r="G400" s="50" t="s">
        <v>2158</v>
      </c>
      <c r="H400" s="73">
        <v>1102</v>
      </c>
      <c r="I400" s="57">
        <v>6</v>
      </c>
      <c r="J400" s="50" t="s">
        <v>26</v>
      </c>
      <c r="K400" s="63">
        <v>2238.5</v>
      </c>
      <c r="L400" s="50" t="s">
        <v>317</v>
      </c>
      <c r="M400" s="64">
        <v>1891.58</v>
      </c>
      <c r="N400" s="65">
        <v>12</v>
      </c>
      <c r="O400" s="64">
        <v>226.99</v>
      </c>
      <c r="P400" s="63">
        <v>0</v>
      </c>
      <c r="Q400" s="64">
        <v>346.92</v>
      </c>
    </row>
    <row r="401" spans="1:17" ht="11.1" customHeight="1" x14ac:dyDescent="0.25">
      <c r="A401" s="15" t="s">
        <v>1912</v>
      </c>
      <c r="B401" s="15"/>
      <c r="C401" s="15"/>
      <c r="D401" s="15"/>
      <c r="E401" s="15"/>
      <c r="F401" s="15"/>
      <c r="G401" s="15"/>
      <c r="H401" s="15"/>
      <c r="I401" s="15"/>
    </row>
    <row r="402" spans="1:17" ht="11.1" customHeight="1" x14ac:dyDescent="0.25">
      <c r="K402" s="63">
        <v>2238.5</v>
      </c>
      <c r="L402" s="50" t="s">
        <v>317</v>
      </c>
      <c r="M402" s="64">
        <v>1891.58</v>
      </c>
      <c r="O402" s="64">
        <v>226.99</v>
      </c>
      <c r="P402" s="63">
        <v>0</v>
      </c>
      <c r="Q402" s="64">
        <v>346.92</v>
      </c>
    </row>
    <row r="403" spans="1:17" ht="11.1" customHeight="1" x14ac:dyDescent="0.25">
      <c r="A403" s="57">
        <v>27483</v>
      </c>
      <c r="B403" s="72">
        <v>46134</v>
      </c>
      <c r="C403" s="59" t="s">
        <v>2159</v>
      </c>
      <c r="D403" s="50" t="s">
        <v>2020</v>
      </c>
      <c r="E403" s="57">
        <v>36</v>
      </c>
      <c r="F403" s="57">
        <v>613</v>
      </c>
      <c r="G403" s="50" t="s">
        <v>2160</v>
      </c>
      <c r="H403" s="73">
        <v>2556</v>
      </c>
      <c r="I403" s="57">
        <v>16</v>
      </c>
      <c r="J403" s="50" t="s">
        <v>50</v>
      </c>
      <c r="K403" s="63">
        <v>13414</v>
      </c>
      <c r="L403" s="50" t="s">
        <v>317</v>
      </c>
      <c r="M403" s="64">
        <v>0</v>
      </c>
      <c r="N403" s="65">
        <v>0</v>
      </c>
      <c r="O403" s="64">
        <v>0</v>
      </c>
      <c r="P403" s="63">
        <v>0</v>
      </c>
      <c r="Q403" s="64">
        <v>13414</v>
      </c>
    </row>
    <row r="404" spans="1:17" ht="11.1" customHeight="1" x14ac:dyDescent="0.25">
      <c r="A404" s="15" t="s">
        <v>1912</v>
      </c>
      <c r="B404" s="15"/>
      <c r="C404" s="15"/>
      <c r="D404" s="15"/>
      <c r="E404" s="15"/>
      <c r="F404" s="15"/>
      <c r="G404" s="15"/>
      <c r="H404" s="15"/>
      <c r="I404" s="15"/>
    </row>
    <row r="405" spans="1:17" ht="11.1" customHeight="1" x14ac:dyDescent="0.25">
      <c r="K405" s="63">
        <v>13414</v>
      </c>
      <c r="L405" s="50" t="s">
        <v>317</v>
      </c>
      <c r="M405" s="64">
        <v>0</v>
      </c>
      <c r="O405" s="64">
        <v>0</v>
      </c>
      <c r="P405" s="63">
        <v>0</v>
      </c>
      <c r="Q405" s="64">
        <v>13414</v>
      </c>
    </row>
    <row r="406" spans="1:17" ht="11.1" customHeight="1" x14ac:dyDescent="0.25">
      <c r="A406" s="57">
        <v>27482</v>
      </c>
      <c r="B406" s="72">
        <v>46136</v>
      </c>
      <c r="C406" s="59" t="s">
        <v>2161</v>
      </c>
      <c r="D406" s="50" t="s">
        <v>2162</v>
      </c>
      <c r="E406" s="57">
        <v>36</v>
      </c>
      <c r="F406" s="57">
        <v>596</v>
      </c>
      <c r="G406" s="50" t="s">
        <v>2163</v>
      </c>
      <c r="H406" s="73">
        <v>2102</v>
      </c>
      <c r="I406" s="57">
        <v>6</v>
      </c>
      <c r="J406" s="50" t="s">
        <v>50</v>
      </c>
      <c r="K406" s="63">
        <v>4679.28</v>
      </c>
      <c r="L406" s="50" t="s">
        <v>317</v>
      </c>
      <c r="M406" s="64">
        <v>4467.84</v>
      </c>
      <c r="N406" s="65">
        <v>7</v>
      </c>
      <c r="O406" s="64">
        <v>312.75</v>
      </c>
      <c r="P406" s="63">
        <v>0</v>
      </c>
      <c r="Q406" s="64">
        <v>211.44</v>
      </c>
    </row>
    <row r="407" spans="1:17" ht="11.1" customHeight="1" x14ac:dyDescent="0.25">
      <c r="A407" s="15" t="s">
        <v>1912</v>
      </c>
      <c r="B407" s="15"/>
      <c r="C407" s="15"/>
      <c r="D407" s="15"/>
      <c r="E407" s="15"/>
      <c r="F407" s="15"/>
      <c r="G407" s="15"/>
      <c r="H407" s="15"/>
      <c r="I407" s="15"/>
    </row>
    <row r="408" spans="1:17" ht="11.1" customHeight="1" x14ac:dyDescent="0.25">
      <c r="K408" s="63">
        <v>4679.28</v>
      </c>
      <c r="L408" s="50" t="s">
        <v>317</v>
      </c>
      <c r="M408" s="64">
        <v>4467.84</v>
      </c>
      <c r="O408" s="64">
        <v>312.75</v>
      </c>
      <c r="P408" s="63">
        <v>0</v>
      </c>
      <c r="Q408" s="64">
        <v>211.44</v>
      </c>
    </row>
    <row r="409" spans="1:17" ht="11.1" customHeight="1" x14ac:dyDescent="0.25">
      <c r="A409" s="15" t="s">
        <v>1907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</row>
    <row r="410" spans="1:17" ht="11.1" customHeight="1" x14ac:dyDescent="0.25">
      <c r="A410" s="10" t="s">
        <v>184</v>
      </c>
      <c r="B410" s="10" t="s">
        <v>1908</v>
      </c>
      <c r="C410" s="10" t="s">
        <v>298</v>
      </c>
      <c r="D410" s="71" t="s">
        <v>299</v>
      </c>
      <c r="E410" s="10" t="s">
        <v>300</v>
      </c>
      <c r="F410" s="10" t="s">
        <v>184</v>
      </c>
      <c r="G410" s="71" t="s">
        <v>1909</v>
      </c>
      <c r="H410" s="10" t="s">
        <v>304</v>
      </c>
      <c r="I410" s="10" t="s">
        <v>305</v>
      </c>
      <c r="J410" s="71" t="s">
        <v>24</v>
      </c>
      <c r="K410" s="15" t="s">
        <v>306</v>
      </c>
      <c r="L410" s="71" t="s">
        <v>307</v>
      </c>
      <c r="M410" s="10" t="s">
        <v>308</v>
      </c>
      <c r="N410" s="10" t="s">
        <v>309</v>
      </c>
      <c r="O410" s="10" t="s">
        <v>73</v>
      </c>
      <c r="P410" s="15" t="s">
        <v>310</v>
      </c>
      <c r="Q410" s="10" t="s">
        <v>311</v>
      </c>
    </row>
    <row r="411" spans="1:17" ht="11.1" customHeight="1" x14ac:dyDescent="0.25">
      <c r="A411" s="57">
        <v>27590</v>
      </c>
      <c r="B411" s="72">
        <v>46127</v>
      </c>
      <c r="C411" s="59" t="s">
        <v>2164</v>
      </c>
      <c r="D411" s="50" t="s">
        <v>1630</v>
      </c>
      <c r="E411" s="57">
        <v>36</v>
      </c>
      <c r="F411" s="57">
        <v>701</v>
      </c>
      <c r="G411" s="50" t="s">
        <v>1631</v>
      </c>
      <c r="H411" s="73">
        <v>1949</v>
      </c>
      <c r="I411" s="57">
        <v>64</v>
      </c>
      <c r="J411" s="50" t="s">
        <v>26</v>
      </c>
      <c r="K411" s="63">
        <v>23.54</v>
      </c>
      <c r="L411" s="50" t="s">
        <v>317</v>
      </c>
      <c r="M411" s="64">
        <v>0</v>
      </c>
      <c r="N411" s="65">
        <v>0</v>
      </c>
      <c r="O411" s="64">
        <v>0</v>
      </c>
      <c r="P411" s="63">
        <v>0</v>
      </c>
      <c r="Q411" s="64">
        <v>23.54</v>
      </c>
    </row>
    <row r="412" spans="1:17" ht="11.1" customHeight="1" x14ac:dyDescent="0.25">
      <c r="A412" s="15" t="s">
        <v>1912</v>
      </c>
      <c r="B412" s="15"/>
      <c r="C412" s="15"/>
      <c r="D412" s="15"/>
      <c r="E412" s="15"/>
      <c r="F412" s="15"/>
      <c r="G412" s="15"/>
      <c r="H412" s="15"/>
      <c r="I412" s="15"/>
    </row>
    <row r="413" spans="1:17" ht="11.1" customHeight="1" x14ac:dyDescent="0.25">
      <c r="K413" s="63">
        <v>23.54</v>
      </c>
      <c r="L413" s="50" t="s">
        <v>317</v>
      </c>
      <c r="M413" s="64">
        <v>0</v>
      </c>
      <c r="O413" s="64">
        <v>0</v>
      </c>
      <c r="P413" s="63">
        <v>0</v>
      </c>
      <c r="Q413" s="64">
        <v>23.54</v>
      </c>
    </row>
    <row r="414" spans="1:17" ht="11.1" customHeight="1" x14ac:dyDescent="0.25">
      <c r="A414" s="57">
        <v>27469</v>
      </c>
      <c r="B414" s="72">
        <v>46140</v>
      </c>
      <c r="C414" s="59" t="s">
        <v>2165</v>
      </c>
      <c r="D414" s="50" t="s">
        <v>313</v>
      </c>
      <c r="E414" s="57">
        <v>36</v>
      </c>
      <c r="F414" s="57">
        <v>1197</v>
      </c>
      <c r="G414" s="50" t="s">
        <v>1643</v>
      </c>
      <c r="H414" s="73">
        <v>1202</v>
      </c>
      <c r="I414" s="57">
        <v>38</v>
      </c>
      <c r="J414" s="50" t="s">
        <v>26</v>
      </c>
      <c r="K414" s="63">
        <v>82.18</v>
      </c>
      <c r="L414" s="50" t="s">
        <v>317</v>
      </c>
      <c r="M414" s="64">
        <v>82.18</v>
      </c>
      <c r="N414" s="65">
        <v>20</v>
      </c>
      <c r="O414" s="64">
        <v>16.440000000000001</v>
      </c>
      <c r="P414" s="63">
        <v>0</v>
      </c>
      <c r="Q414" s="64">
        <v>0</v>
      </c>
    </row>
    <row r="415" spans="1:17" ht="11.1" customHeight="1" x14ac:dyDescent="0.25">
      <c r="A415" s="15" t="s">
        <v>1912</v>
      </c>
      <c r="B415" s="15"/>
      <c r="C415" s="15"/>
      <c r="D415" s="15"/>
      <c r="E415" s="15"/>
      <c r="F415" s="15"/>
      <c r="G415" s="15"/>
      <c r="H415" s="15"/>
      <c r="I415" s="15"/>
    </row>
    <row r="416" spans="1:17" ht="11.1" customHeight="1" x14ac:dyDescent="0.25">
      <c r="K416" s="63">
        <v>82.18</v>
      </c>
      <c r="L416" s="50" t="s">
        <v>317</v>
      </c>
      <c r="M416" s="64">
        <v>82.18</v>
      </c>
      <c r="O416" s="64">
        <v>16.440000000000001</v>
      </c>
      <c r="P416" s="63">
        <v>0</v>
      </c>
      <c r="Q416" s="64">
        <v>0</v>
      </c>
    </row>
    <row r="417" spans="1:17" ht="11.1" customHeight="1" x14ac:dyDescent="0.25">
      <c r="A417" s="57">
        <v>27481</v>
      </c>
      <c r="B417" s="72">
        <v>46120</v>
      </c>
      <c r="C417" s="59" t="s">
        <v>2166</v>
      </c>
      <c r="D417" s="50" t="s">
        <v>313</v>
      </c>
      <c r="E417" s="57">
        <v>36</v>
      </c>
      <c r="F417" s="57">
        <v>1022</v>
      </c>
      <c r="G417" s="50" t="s">
        <v>2167</v>
      </c>
      <c r="H417" s="73">
        <v>2102</v>
      </c>
      <c r="I417" s="57">
        <v>6</v>
      </c>
      <c r="J417" s="50" t="s">
        <v>50</v>
      </c>
      <c r="K417" s="63">
        <v>2580</v>
      </c>
      <c r="L417" s="50" t="s">
        <v>317</v>
      </c>
      <c r="M417" s="64">
        <v>0</v>
      </c>
      <c r="N417" s="65">
        <v>0</v>
      </c>
      <c r="O417" s="64">
        <v>0</v>
      </c>
      <c r="P417" s="63">
        <v>0</v>
      </c>
      <c r="Q417" s="64">
        <v>2580</v>
      </c>
    </row>
    <row r="418" spans="1:17" ht="11.1" customHeight="1" x14ac:dyDescent="0.25">
      <c r="A418" s="15" t="s">
        <v>1912</v>
      </c>
      <c r="B418" s="15"/>
      <c r="C418" s="15"/>
      <c r="D418" s="15"/>
      <c r="E418" s="15"/>
      <c r="F418" s="15"/>
      <c r="G418" s="15"/>
      <c r="H418" s="15"/>
      <c r="I418" s="15"/>
    </row>
    <row r="419" spans="1:17" ht="11.1" customHeight="1" x14ac:dyDescent="0.25">
      <c r="K419" s="63">
        <v>2580</v>
      </c>
      <c r="L419" s="50" t="s">
        <v>317</v>
      </c>
      <c r="M419" s="64">
        <v>0</v>
      </c>
      <c r="O419" s="64">
        <v>0</v>
      </c>
      <c r="P419" s="63">
        <v>0</v>
      </c>
      <c r="Q419" s="64">
        <v>2580</v>
      </c>
    </row>
    <row r="420" spans="1:17" ht="11.1" customHeight="1" x14ac:dyDescent="0.25">
      <c r="A420" s="57">
        <v>28512</v>
      </c>
      <c r="B420" s="72">
        <v>46119</v>
      </c>
      <c r="C420" s="59" t="s">
        <v>2168</v>
      </c>
      <c r="D420" s="50" t="s">
        <v>75</v>
      </c>
      <c r="E420" s="57">
        <v>39</v>
      </c>
      <c r="F420" s="57">
        <v>1252</v>
      </c>
      <c r="G420" s="50" t="s">
        <v>2169</v>
      </c>
      <c r="H420" s="73">
        <v>2933</v>
      </c>
      <c r="I420" s="57">
        <v>29</v>
      </c>
      <c r="J420" s="50" t="s">
        <v>34</v>
      </c>
      <c r="K420" s="63">
        <v>5000</v>
      </c>
      <c r="L420" s="50" t="s">
        <v>1962</v>
      </c>
      <c r="M420" s="64">
        <v>5000</v>
      </c>
      <c r="N420" s="65">
        <v>3</v>
      </c>
      <c r="O420" s="64">
        <v>150</v>
      </c>
      <c r="P420" s="63">
        <v>0</v>
      </c>
      <c r="Q420" s="64">
        <v>0</v>
      </c>
    </row>
    <row r="421" spans="1:17" ht="11.1" customHeight="1" x14ac:dyDescent="0.25">
      <c r="A421" s="15" t="s">
        <v>1912</v>
      </c>
      <c r="B421" s="15"/>
      <c r="C421" s="15"/>
      <c r="D421" s="15"/>
      <c r="E421" s="15"/>
      <c r="F421" s="15"/>
      <c r="G421" s="15"/>
      <c r="H421" s="15"/>
      <c r="I421" s="15"/>
    </row>
    <row r="422" spans="1:17" ht="11.1" customHeight="1" x14ac:dyDescent="0.25">
      <c r="K422" s="63">
        <v>5000</v>
      </c>
      <c r="L422" s="50" t="s">
        <v>1962</v>
      </c>
      <c r="M422" s="64">
        <v>5000</v>
      </c>
      <c r="O422" s="64">
        <v>150</v>
      </c>
      <c r="P422" s="63">
        <v>0</v>
      </c>
      <c r="Q422" s="64">
        <v>0</v>
      </c>
    </row>
    <row r="423" spans="1:17" ht="11.1" customHeight="1" x14ac:dyDescent="0.25">
      <c r="A423" s="57">
        <v>27577</v>
      </c>
      <c r="B423" s="72">
        <v>46122</v>
      </c>
      <c r="C423" s="59" t="s">
        <v>2170</v>
      </c>
      <c r="D423" s="50" t="s">
        <v>313</v>
      </c>
      <c r="E423" s="57">
        <v>36</v>
      </c>
      <c r="F423" s="57">
        <v>548</v>
      </c>
      <c r="G423" s="50" t="s">
        <v>2171</v>
      </c>
      <c r="H423" s="73">
        <v>2102</v>
      </c>
      <c r="I423" s="57">
        <v>6</v>
      </c>
      <c r="J423" s="50" t="s">
        <v>41</v>
      </c>
      <c r="K423" s="63">
        <v>22632.13</v>
      </c>
      <c r="L423" s="50" t="s">
        <v>317</v>
      </c>
      <c r="M423" s="64">
        <v>22075.759999999998</v>
      </c>
      <c r="N423" s="65">
        <v>7</v>
      </c>
      <c r="O423" s="64">
        <v>1545.3</v>
      </c>
      <c r="P423" s="63">
        <v>0</v>
      </c>
      <c r="Q423" s="64">
        <v>556.37</v>
      </c>
    </row>
    <row r="424" spans="1:17" ht="11.1" customHeight="1" x14ac:dyDescent="0.25">
      <c r="A424" s="57">
        <v>27578</v>
      </c>
      <c r="B424" s="72">
        <v>46134</v>
      </c>
      <c r="C424" s="59" t="s">
        <v>2172</v>
      </c>
      <c r="D424" s="50" t="s">
        <v>313</v>
      </c>
      <c r="E424" s="57">
        <v>36</v>
      </c>
      <c r="F424" s="57">
        <v>548</v>
      </c>
      <c r="G424" s="50" t="s">
        <v>2171</v>
      </c>
      <c r="H424" s="73">
        <v>2102</v>
      </c>
      <c r="I424" s="57">
        <v>6</v>
      </c>
      <c r="J424" s="50" t="s">
        <v>41</v>
      </c>
      <c r="K424" s="63">
        <v>47610.78</v>
      </c>
      <c r="L424" s="50" t="s">
        <v>317</v>
      </c>
      <c r="M424" s="64">
        <v>9184.59</v>
      </c>
      <c r="N424" s="65">
        <v>4</v>
      </c>
      <c r="O424" s="64">
        <v>367.38</v>
      </c>
      <c r="P424" s="63">
        <v>0</v>
      </c>
      <c r="Q424" s="64">
        <v>119.4</v>
      </c>
    </row>
    <row r="425" spans="1:17" ht="11.1" customHeight="1" x14ac:dyDescent="0.25">
      <c r="L425" s="50" t="s">
        <v>317</v>
      </c>
      <c r="M425" s="64">
        <v>37804.69</v>
      </c>
      <c r="N425" s="65">
        <v>7</v>
      </c>
      <c r="O425" s="64">
        <v>2646.33</v>
      </c>
      <c r="P425" s="63">
        <v>0</v>
      </c>
      <c r="Q425" s="64">
        <v>502.1</v>
      </c>
    </row>
    <row r="426" spans="1:17" ht="11.1" customHeight="1" x14ac:dyDescent="0.25">
      <c r="A426" s="15" t="s">
        <v>1912</v>
      </c>
      <c r="B426" s="15"/>
      <c r="C426" s="15"/>
      <c r="D426" s="15"/>
      <c r="E426" s="15"/>
      <c r="F426" s="15"/>
      <c r="G426" s="15"/>
      <c r="H426" s="15"/>
      <c r="I426" s="15"/>
    </row>
    <row r="427" spans="1:17" ht="11.1" customHeight="1" x14ac:dyDescent="0.25">
      <c r="K427" s="63">
        <v>70242.91</v>
      </c>
      <c r="L427" s="50" t="s">
        <v>317</v>
      </c>
      <c r="M427" s="64">
        <v>69065.039999999994</v>
      </c>
      <c r="O427" s="64">
        <v>4559.01</v>
      </c>
      <c r="P427" s="63">
        <v>0</v>
      </c>
      <c r="Q427" s="64">
        <v>1177.8699999999999</v>
      </c>
    </row>
    <row r="428" spans="1:17" ht="11.1" customHeight="1" x14ac:dyDescent="0.25">
      <c r="A428" s="57">
        <v>27635</v>
      </c>
      <c r="B428" s="72">
        <v>46113</v>
      </c>
      <c r="C428" s="59" t="s">
        <v>2173</v>
      </c>
      <c r="D428" s="50" t="s">
        <v>2174</v>
      </c>
      <c r="E428" s="57">
        <v>38</v>
      </c>
      <c r="F428" s="57">
        <v>1139</v>
      </c>
      <c r="G428" s="50" t="s">
        <v>2175</v>
      </c>
      <c r="H428" s="73">
        <v>2353</v>
      </c>
      <c r="I428" s="57">
        <v>716</v>
      </c>
      <c r="J428" s="50" t="s">
        <v>50</v>
      </c>
      <c r="K428" s="63">
        <v>85</v>
      </c>
      <c r="L428" s="50" t="s">
        <v>317</v>
      </c>
      <c r="M428" s="64">
        <v>85</v>
      </c>
      <c r="N428" s="65">
        <v>7</v>
      </c>
      <c r="O428" s="64">
        <v>5.95</v>
      </c>
      <c r="P428" s="63">
        <v>0</v>
      </c>
      <c r="Q428" s="64">
        <v>0</v>
      </c>
    </row>
    <row r="429" spans="1:17" ht="11.1" customHeight="1" x14ac:dyDescent="0.25">
      <c r="A429" s="57">
        <v>27636</v>
      </c>
      <c r="B429" s="72">
        <v>46113</v>
      </c>
      <c r="C429" s="59" t="s">
        <v>2176</v>
      </c>
      <c r="D429" s="50" t="s">
        <v>2174</v>
      </c>
      <c r="E429" s="57">
        <v>38</v>
      </c>
      <c r="F429" s="57">
        <v>1139</v>
      </c>
      <c r="G429" s="50" t="s">
        <v>2175</v>
      </c>
      <c r="H429" s="73">
        <v>2353</v>
      </c>
      <c r="I429" s="57">
        <v>716</v>
      </c>
      <c r="J429" s="50" t="s">
        <v>50</v>
      </c>
      <c r="K429" s="63">
        <v>172.85</v>
      </c>
      <c r="L429" s="50" t="s">
        <v>317</v>
      </c>
      <c r="M429" s="64">
        <v>172.85</v>
      </c>
      <c r="N429" s="65">
        <v>7</v>
      </c>
      <c r="O429" s="64">
        <v>12.1</v>
      </c>
      <c r="P429" s="63">
        <v>0</v>
      </c>
      <c r="Q429" s="64">
        <v>0</v>
      </c>
    </row>
    <row r="430" spans="1:17" ht="11.1" customHeight="1" x14ac:dyDescent="0.25">
      <c r="A430" s="57">
        <v>27637</v>
      </c>
      <c r="B430" s="72">
        <v>46114</v>
      </c>
      <c r="C430" s="59" t="s">
        <v>2177</v>
      </c>
      <c r="D430" s="50" t="s">
        <v>2174</v>
      </c>
      <c r="E430" s="57">
        <v>38</v>
      </c>
      <c r="F430" s="57">
        <v>1139</v>
      </c>
      <c r="G430" s="50" t="s">
        <v>2175</v>
      </c>
      <c r="H430" s="73">
        <v>2353</v>
      </c>
      <c r="I430" s="57">
        <v>716</v>
      </c>
      <c r="J430" s="50" t="s">
        <v>50</v>
      </c>
      <c r="K430" s="63">
        <v>122.61</v>
      </c>
      <c r="L430" s="50" t="s">
        <v>317</v>
      </c>
      <c r="M430" s="64">
        <v>122.61</v>
      </c>
      <c r="N430" s="65">
        <v>7</v>
      </c>
      <c r="O430" s="64">
        <v>8.58</v>
      </c>
      <c r="P430" s="63">
        <v>0</v>
      </c>
      <c r="Q430" s="64">
        <v>0</v>
      </c>
    </row>
    <row r="431" spans="1:17" ht="11.1" customHeight="1" x14ac:dyDescent="0.25">
      <c r="A431" s="57">
        <v>27638</v>
      </c>
      <c r="B431" s="72">
        <v>46118</v>
      </c>
      <c r="C431" s="59" t="s">
        <v>2178</v>
      </c>
      <c r="D431" s="50" t="s">
        <v>2174</v>
      </c>
      <c r="E431" s="57">
        <v>38</v>
      </c>
      <c r="F431" s="57">
        <v>1139</v>
      </c>
      <c r="G431" s="50" t="s">
        <v>2175</v>
      </c>
      <c r="H431" s="73">
        <v>2353</v>
      </c>
      <c r="I431" s="57">
        <v>716</v>
      </c>
      <c r="J431" s="50" t="s">
        <v>50</v>
      </c>
      <c r="K431" s="63">
        <v>3498.11</v>
      </c>
      <c r="L431" s="50" t="s">
        <v>317</v>
      </c>
      <c r="M431" s="64">
        <v>3498.11</v>
      </c>
      <c r="N431" s="65">
        <v>7</v>
      </c>
      <c r="O431" s="64">
        <v>244.87</v>
      </c>
      <c r="P431" s="63">
        <v>0</v>
      </c>
      <c r="Q431" s="64">
        <v>0</v>
      </c>
    </row>
    <row r="432" spans="1:17" ht="11.1" customHeight="1" x14ac:dyDescent="0.25">
      <c r="A432" s="57">
        <v>27639</v>
      </c>
      <c r="B432" s="72">
        <v>46120</v>
      </c>
      <c r="C432" s="59" t="s">
        <v>2179</v>
      </c>
      <c r="D432" s="50" t="s">
        <v>2174</v>
      </c>
      <c r="E432" s="57">
        <v>38</v>
      </c>
      <c r="F432" s="57">
        <v>1139</v>
      </c>
      <c r="G432" s="50" t="s">
        <v>2175</v>
      </c>
      <c r="H432" s="73">
        <v>2353</v>
      </c>
      <c r="I432" s="57">
        <v>716</v>
      </c>
      <c r="J432" s="50" t="s">
        <v>50</v>
      </c>
      <c r="K432" s="63">
        <v>1327.21</v>
      </c>
      <c r="L432" s="50" t="s">
        <v>317</v>
      </c>
      <c r="M432" s="64">
        <v>1327.21</v>
      </c>
      <c r="N432" s="65">
        <v>7</v>
      </c>
      <c r="O432" s="64">
        <v>92.9</v>
      </c>
      <c r="P432" s="63">
        <v>0</v>
      </c>
      <c r="Q432" s="64">
        <v>0</v>
      </c>
    </row>
    <row r="433" spans="1:17" ht="11.1" customHeight="1" x14ac:dyDescent="0.25">
      <c r="A433" s="57">
        <v>27640</v>
      </c>
      <c r="B433" s="72">
        <v>46121</v>
      </c>
      <c r="C433" s="59" t="s">
        <v>2180</v>
      </c>
      <c r="D433" s="50" t="s">
        <v>2174</v>
      </c>
      <c r="E433" s="57">
        <v>38</v>
      </c>
      <c r="F433" s="57">
        <v>1139</v>
      </c>
      <c r="G433" s="50" t="s">
        <v>2175</v>
      </c>
      <c r="H433" s="73">
        <v>2353</v>
      </c>
      <c r="I433" s="57">
        <v>716</v>
      </c>
      <c r="J433" s="50" t="s">
        <v>50</v>
      </c>
      <c r="K433" s="63">
        <v>85</v>
      </c>
      <c r="L433" s="50" t="s">
        <v>317</v>
      </c>
      <c r="M433" s="64">
        <v>85</v>
      </c>
      <c r="N433" s="65">
        <v>7</v>
      </c>
      <c r="O433" s="64">
        <v>5.95</v>
      </c>
      <c r="P433" s="63">
        <v>0</v>
      </c>
      <c r="Q433" s="64">
        <v>0</v>
      </c>
    </row>
    <row r="434" spans="1:17" ht="11.1" customHeight="1" x14ac:dyDescent="0.25">
      <c r="A434" s="57">
        <v>27641</v>
      </c>
      <c r="B434" s="72">
        <v>46121</v>
      </c>
      <c r="C434" s="59" t="s">
        <v>2181</v>
      </c>
      <c r="D434" s="50" t="s">
        <v>2174</v>
      </c>
      <c r="E434" s="57">
        <v>38</v>
      </c>
      <c r="F434" s="57">
        <v>1139</v>
      </c>
      <c r="G434" s="50" t="s">
        <v>2175</v>
      </c>
      <c r="H434" s="73">
        <v>2353</v>
      </c>
      <c r="I434" s="57">
        <v>716</v>
      </c>
      <c r="J434" s="50" t="s">
        <v>50</v>
      </c>
      <c r="K434" s="63">
        <v>570.34</v>
      </c>
      <c r="L434" s="50" t="s">
        <v>317</v>
      </c>
      <c r="M434" s="64">
        <v>570.34</v>
      </c>
      <c r="N434" s="65">
        <v>7</v>
      </c>
      <c r="O434" s="64">
        <v>39.92</v>
      </c>
      <c r="P434" s="63">
        <v>0</v>
      </c>
      <c r="Q434" s="64">
        <v>0</v>
      </c>
    </row>
    <row r="435" spans="1:17" ht="11.1" customHeight="1" x14ac:dyDescent="0.25">
      <c r="A435" s="57">
        <v>27642</v>
      </c>
      <c r="B435" s="72">
        <v>46122</v>
      </c>
      <c r="C435" s="59" t="s">
        <v>2182</v>
      </c>
      <c r="D435" s="50" t="s">
        <v>2174</v>
      </c>
      <c r="E435" s="57">
        <v>38</v>
      </c>
      <c r="F435" s="57">
        <v>1139</v>
      </c>
      <c r="G435" s="50" t="s">
        <v>2175</v>
      </c>
      <c r="H435" s="73">
        <v>2353</v>
      </c>
      <c r="I435" s="57">
        <v>716</v>
      </c>
      <c r="J435" s="50" t="s">
        <v>50</v>
      </c>
      <c r="K435" s="63">
        <v>1990</v>
      </c>
      <c r="L435" s="50" t="s">
        <v>317</v>
      </c>
      <c r="M435" s="64">
        <v>1990</v>
      </c>
      <c r="N435" s="65">
        <v>7</v>
      </c>
      <c r="O435" s="64">
        <v>139.30000000000001</v>
      </c>
      <c r="P435" s="63">
        <v>0</v>
      </c>
      <c r="Q435" s="64">
        <v>0</v>
      </c>
    </row>
    <row r="436" spans="1:17" ht="11.1" customHeight="1" x14ac:dyDescent="0.25">
      <c r="A436" s="57">
        <v>27643</v>
      </c>
      <c r="B436" s="72">
        <v>46126</v>
      </c>
      <c r="C436" s="59" t="s">
        <v>2183</v>
      </c>
      <c r="D436" s="50" t="s">
        <v>2174</v>
      </c>
      <c r="E436" s="57">
        <v>38</v>
      </c>
      <c r="F436" s="57">
        <v>1139</v>
      </c>
      <c r="G436" s="50" t="s">
        <v>2175</v>
      </c>
      <c r="H436" s="73">
        <v>2353</v>
      </c>
      <c r="I436" s="57">
        <v>716</v>
      </c>
      <c r="J436" s="50" t="s">
        <v>50</v>
      </c>
      <c r="K436" s="63">
        <v>1289.18</v>
      </c>
      <c r="L436" s="50" t="s">
        <v>317</v>
      </c>
      <c r="M436" s="64">
        <v>1289.18</v>
      </c>
      <c r="N436" s="65">
        <v>7</v>
      </c>
      <c r="O436" s="64">
        <v>90.24</v>
      </c>
      <c r="P436" s="63">
        <v>0</v>
      </c>
      <c r="Q436" s="64">
        <v>0</v>
      </c>
    </row>
    <row r="437" spans="1:17" ht="11.1" customHeight="1" x14ac:dyDescent="0.25">
      <c r="A437" s="57">
        <v>27644</v>
      </c>
      <c r="B437" s="72">
        <v>46126</v>
      </c>
      <c r="C437" s="59" t="s">
        <v>2184</v>
      </c>
      <c r="D437" s="50" t="s">
        <v>2174</v>
      </c>
      <c r="E437" s="57">
        <v>38</v>
      </c>
      <c r="F437" s="57">
        <v>1139</v>
      </c>
      <c r="G437" s="50" t="s">
        <v>2175</v>
      </c>
      <c r="H437" s="73">
        <v>2353</v>
      </c>
      <c r="I437" s="57">
        <v>716</v>
      </c>
      <c r="J437" s="50" t="s">
        <v>50</v>
      </c>
      <c r="K437" s="63">
        <v>740.77</v>
      </c>
      <c r="L437" s="50" t="s">
        <v>317</v>
      </c>
      <c r="M437" s="64">
        <v>740.77</v>
      </c>
      <c r="N437" s="65">
        <v>7</v>
      </c>
      <c r="O437" s="64">
        <v>51.85</v>
      </c>
      <c r="P437" s="63">
        <v>0</v>
      </c>
      <c r="Q437" s="64">
        <v>0</v>
      </c>
    </row>
    <row r="438" spans="1:17" ht="11.1" customHeight="1" x14ac:dyDescent="0.25">
      <c r="A438" s="57">
        <v>27645</v>
      </c>
      <c r="B438" s="72">
        <v>46127</v>
      </c>
      <c r="C438" s="59" t="s">
        <v>2185</v>
      </c>
      <c r="D438" s="50" t="s">
        <v>2174</v>
      </c>
      <c r="E438" s="57">
        <v>38</v>
      </c>
      <c r="F438" s="57">
        <v>1139</v>
      </c>
      <c r="G438" s="50" t="s">
        <v>2175</v>
      </c>
      <c r="H438" s="73">
        <v>2353</v>
      </c>
      <c r="I438" s="57">
        <v>716</v>
      </c>
      <c r="J438" s="50" t="s">
        <v>50</v>
      </c>
      <c r="K438" s="63">
        <v>239.11</v>
      </c>
      <c r="L438" s="50" t="s">
        <v>317</v>
      </c>
      <c r="M438" s="64">
        <v>239.11</v>
      </c>
      <c r="N438" s="65">
        <v>7</v>
      </c>
      <c r="O438" s="64">
        <v>16.739999999999998</v>
      </c>
      <c r="P438" s="63">
        <v>0</v>
      </c>
      <c r="Q438" s="64">
        <v>0</v>
      </c>
    </row>
    <row r="439" spans="1:17" ht="11.1" customHeight="1" x14ac:dyDescent="0.25">
      <c r="A439" s="57">
        <v>27646</v>
      </c>
      <c r="B439" s="72">
        <v>46127</v>
      </c>
      <c r="C439" s="59" t="s">
        <v>2186</v>
      </c>
      <c r="D439" s="50" t="s">
        <v>2174</v>
      </c>
      <c r="E439" s="57">
        <v>38</v>
      </c>
      <c r="F439" s="57">
        <v>1139</v>
      </c>
      <c r="G439" s="50" t="s">
        <v>2175</v>
      </c>
      <c r="H439" s="73">
        <v>2353</v>
      </c>
      <c r="I439" s="57">
        <v>716</v>
      </c>
      <c r="J439" s="50" t="s">
        <v>50</v>
      </c>
      <c r="K439" s="63">
        <v>85</v>
      </c>
      <c r="L439" s="50" t="s">
        <v>317</v>
      </c>
      <c r="M439" s="64">
        <v>85</v>
      </c>
      <c r="N439" s="65">
        <v>7</v>
      </c>
      <c r="O439" s="64">
        <v>5.95</v>
      </c>
      <c r="P439" s="63">
        <v>0</v>
      </c>
      <c r="Q439" s="64">
        <v>0</v>
      </c>
    </row>
    <row r="440" spans="1:17" ht="11.1" customHeight="1" x14ac:dyDescent="0.25">
      <c r="A440" s="57">
        <v>27647</v>
      </c>
      <c r="B440" s="72">
        <v>46128</v>
      </c>
      <c r="C440" s="59" t="s">
        <v>2187</v>
      </c>
      <c r="D440" s="50" t="s">
        <v>2174</v>
      </c>
      <c r="E440" s="57">
        <v>38</v>
      </c>
      <c r="F440" s="57">
        <v>1139</v>
      </c>
      <c r="G440" s="50" t="s">
        <v>2175</v>
      </c>
      <c r="H440" s="73">
        <v>2353</v>
      </c>
      <c r="I440" s="57">
        <v>716</v>
      </c>
      <c r="J440" s="50" t="s">
        <v>50</v>
      </c>
      <c r="K440" s="63">
        <v>85</v>
      </c>
      <c r="L440" s="50" t="s">
        <v>317</v>
      </c>
      <c r="M440" s="64">
        <v>85</v>
      </c>
      <c r="N440" s="65">
        <v>7</v>
      </c>
      <c r="O440" s="64">
        <v>5.95</v>
      </c>
      <c r="P440" s="63">
        <v>0</v>
      </c>
      <c r="Q440" s="64">
        <v>0</v>
      </c>
    </row>
    <row r="441" spans="1:17" ht="11.1" customHeight="1" x14ac:dyDescent="0.25">
      <c r="A441" s="57">
        <v>27648</v>
      </c>
      <c r="B441" s="72">
        <v>46128</v>
      </c>
      <c r="C441" s="59" t="s">
        <v>2188</v>
      </c>
      <c r="D441" s="50" t="s">
        <v>2174</v>
      </c>
      <c r="E441" s="57">
        <v>38</v>
      </c>
      <c r="F441" s="57">
        <v>1139</v>
      </c>
      <c r="G441" s="50" t="s">
        <v>2175</v>
      </c>
      <c r="H441" s="73">
        <v>2353</v>
      </c>
      <c r="I441" s="57">
        <v>716</v>
      </c>
      <c r="J441" s="50" t="s">
        <v>50</v>
      </c>
      <c r="K441" s="63">
        <v>126.06</v>
      </c>
      <c r="L441" s="50" t="s">
        <v>317</v>
      </c>
      <c r="M441" s="64">
        <v>126.06</v>
      </c>
      <c r="N441" s="65">
        <v>7</v>
      </c>
      <c r="O441" s="64">
        <v>8.82</v>
      </c>
      <c r="P441" s="63">
        <v>0</v>
      </c>
      <c r="Q441" s="64">
        <v>0</v>
      </c>
    </row>
    <row r="442" spans="1:17" ht="11.1" customHeight="1" x14ac:dyDescent="0.25">
      <c r="A442" s="57">
        <v>27649</v>
      </c>
      <c r="B442" s="72">
        <v>46128</v>
      </c>
      <c r="C442" s="59" t="s">
        <v>2189</v>
      </c>
      <c r="D442" s="50" t="s">
        <v>2174</v>
      </c>
      <c r="E442" s="57">
        <v>38</v>
      </c>
      <c r="F442" s="57">
        <v>1139</v>
      </c>
      <c r="G442" s="50" t="s">
        <v>2175</v>
      </c>
      <c r="H442" s="73">
        <v>2353</v>
      </c>
      <c r="I442" s="57">
        <v>716</v>
      </c>
      <c r="J442" s="50" t="s">
        <v>50</v>
      </c>
      <c r="K442" s="63">
        <v>2595.2800000000002</v>
      </c>
      <c r="L442" s="50" t="s">
        <v>317</v>
      </c>
      <c r="M442" s="64">
        <v>2595.2800000000002</v>
      </c>
      <c r="N442" s="65">
        <v>7</v>
      </c>
      <c r="O442" s="64">
        <v>181.67</v>
      </c>
      <c r="P442" s="63">
        <v>0</v>
      </c>
      <c r="Q442" s="64">
        <v>0</v>
      </c>
    </row>
    <row r="443" spans="1:17" ht="11.1" customHeight="1" x14ac:dyDescent="0.25">
      <c r="A443" s="57">
        <v>27650</v>
      </c>
      <c r="B443" s="72">
        <v>46129</v>
      </c>
      <c r="C443" s="59" t="s">
        <v>2190</v>
      </c>
      <c r="D443" s="50" t="s">
        <v>2174</v>
      </c>
      <c r="E443" s="57">
        <v>38</v>
      </c>
      <c r="F443" s="57">
        <v>1139</v>
      </c>
      <c r="G443" s="50" t="s">
        <v>2175</v>
      </c>
      <c r="H443" s="73">
        <v>2353</v>
      </c>
      <c r="I443" s="57">
        <v>716</v>
      </c>
      <c r="J443" s="50" t="s">
        <v>50</v>
      </c>
      <c r="K443" s="63">
        <v>195.52</v>
      </c>
      <c r="L443" s="50" t="s">
        <v>317</v>
      </c>
      <c r="M443" s="64">
        <v>195.52</v>
      </c>
      <c r="N443" s="65">
        <v>7</v>
      </c>
      <c r="O443" s="64">
        <v>13.69</v>
      </c>
      <c r="P443" s="63">
        <v>0</v>
      </c>
      <c r="Q443" s="64">
        <v>0</v>
      </c>
    </row>
    <row r="444" spans="1:17" ht="11.1" customHeight="1" x14ac:dyDescent="0.25">
      <c r="A444" s="57">
        <v>27651</v>
      </c>
      <c r="B444" s="72">
        <v>46129</v>
      </c>
      <c r="C444" s="59" t="s">
        <v>2191</v>
      </c>
      <c r="D444" s="50" t="s">
        <v>2174</v>
      </c>
      <c r="E444" s="57">
        <v>38</v>
      </c>
      <c r="F444" s="57">
        <v>1139</v>
      </c>
      <c r="G444" s="50" t="s">
        <v>2175</v>
      </c>
      <c r="H444" s="73">
        <v>2353</v>
      </c>
      <c r="I444" s="57">
        <v>716</v>
      </c>
      <c r="J444" s="50" t="s">
        <v>50</v>
      </c>
      <c r="K444" s="63">
        <v>85</v>
      </c>
      <c r="L444" s="50" t="s">
        <v>317</v>
      </c>
      <c r="M444" s="64">
        <v>85</v>
      </c>
      <c r="N444" s="65">
        <v>7</v>
      </c>
      <c r="O444" s="64">
        <v>5.95</v>
      </c>
      <c r="P444" s="63">
        <v>0</v>
      </c>
      <c r="Q444" s="64">
        <v>0</v>
      </c>
    </row>
    <row r="445" spans="1:17" ht="11.1" customHeight="1" x14ac:dyDescent="0.25">
      <c r="A445" s="57">
        <v>27652</v>
      </c>
      <c r="B445" s="72">
        <v>46129</v>
      </c>
      <c r="C445" s="59" t="s">
        <v>2192</v>
      </c>
      <c r="D445" s="50" t="s">
        <v>2174</v>
      </c>
      <c r="E445" s="57">
        <v>38</v>
      </c>
      <c r="F445" s="57">
        <v>1139</v>
      </c>
      <c r="G445" s="50" t="s">
        <v>2175</v>
      </c>
      <c r="H445" s="73">
        <v>2353</v>
      </c>
      <c r="I445" s="57">
        <v>716</v>
      </c>
      <c r="J445" s="50" t="s">
        <v>50</v>
      </c>
      <c r="K445" s="63">
        <v>85</v>
      </c>
      <c r="L445" s="50" t="s">
        <v>317</v>
      </c>
      <c r="M445" s="64">
        <v>85</v>
      </c>
      <c r="N445" s="65">
        <v>7</v>
      </c>
      <c r="O445" s="64">
        <v>5.95</v>
      </c>
      <c r="P445" s="63">
        <v>0</v>
      </c>
      <c r="Q445" s="64">
        <v>0</v>
      </c>
    </row>
    <row r="446" spans="1:17" ht="11.1" customHeight="1" x14ac:dyDescent="0.25">
      <c r="A446" s="57">
        <v>27653</v>
      </c>
      <c r="B446" s="72">
        <v>46135</v>
      </c>
      <c r="C446" s="59" t="s">
        <v>2193</v>
      </c>
      <c r="D446" s="50" t="s">
        <v>2174</v>
      </c>
      <c r="E446" s="57">
        <v>38</v>
      </c>
      <c r="F446" s="57">
        <v>1139</v>
      </c>
      <c r="G446" s="50" t="s">
        <v>2175</v>
      </c>
      <c r="H446" s="73">
        <v>2353</v>
      </c>
      <c r="I446" s="57">
        <v>716</v>
      </c>
      <c r="J446" s="50" t="s">
        <v>50</v>
      </c>
      <c r="K446" s="63">
        <v>1470.1</v>
      </c>
      <c r="L446" s="50" t="s">
        <v>317</v>
      </c>
      <c r="M446" s="64">
        <v>1470.1</v>
      </c>
      <c r="N446" s="65">
        <v>7</v>
      </c>
      <c r="O446" s="64">
        <v>102.91</v>
      </c>
      <c r="P446" s="63">
        <v>0</v>
      </c>
      <c r="Q446" s="64">
        <v>0</v>
      </c>
    </row>
    <row r="447" spans="1:17" ht="11.1" customHeight="1" x14ac:dyDescent="0.25">
      <c r="A447" s="57">
        <v>27654</v>
      </c>
      <c r="B447" s="72">
        <v>46135</v>
      </c>
      <c r="C447" s="59" t="s">
        <v>2194</v>
      </c>
      <c r="D447" s="50" t="s">
        <v>2174</v>
      </c>
      <c r="E447" s="57">
        <v>38</v>
      </c>
      <c r="F447" s="57">
        <v>1139</v>
      </c>
      <c r="G447" s="50" t="s">
        <v>2175</v>
      </c>
      <c r="H447" s="73">
        <v>2353</v>
      </c>
      <c r="I447" s="57">
        <v>716</v>
      </c>
      <c r="J447" s="50" t="s">
        <v>50</v>
      </c>
      <c r="K447" s="63">
        <v>85</v>
      </c>
      <c r="L447" s="50" t="s">
        <v>317</v>
      </c>
      <c r="M447" s="64">
        <v>85</v>
      </c>
      <c r="N447" s="65">
        <v>7</v>
      </c>
      <c r="O447" s="64">
        <v>5.95</v>
      </c>
      <c r="P447" s="63">
        <v>0</v>
      </c>
      <c r="Q447" s="64">
        <v>0</v>
      </c>
    </row>
    <row r="448" spans="1:17" ht="11.1" customHeight="1" x14ac:dyDescent="0.25">
      <c r="A448" s="57">
        <v>27655</v>
      </c>
      <c r="B448" s="72">
        <v>46135</v>
      </c>
      <c r="C448" s="59" t="s">
        <v>2195</v>
      </c>
      <c r="D448" s="50" t="s">
        <v>2174</v>
      </c>
      <c r="E448" s="57">
        <v>38</v>
      </c>
      <c r="F448" s="57">
        <v>1139</v>
      </c>
      <c r="G448" s="50" t="s">
        <v>2175</v>
      </c>
      <c r="H448" s="73">
        <v>2353</v>
      </c>
      <c r="I448" s="57">
        <v>716</v>
      </c>
      <c r="J448" s="50" t="s">
        <v>50</v>
      </c>
      <c r="K448" s="63">
        <v>231.8</v>
      </c>
      <c r="L448" s="50" t="s">
        <v>317</v>
      </c>
      <c r="M448" s="64">
        <v>231.8</v>
      </c>
      <c r="N448" s="65">
        <v>7</v>
      </c>
      <c r="O448" s="64">
        <v>16.23</v>
      </c>
      <c r="P448" s="63">
        <v>0</v>
      </c>
      <c r="Q448" s="64">
        <v>0</v>
      </c>
    </row>
    <row r="449" spans="1:17" ht="11.1" customHeight="1" x14ac:dyDescent="0.25">
      <c r="A449" s="57">
        <v>27656</v>
      </c>
      <c r="B449" s="72">
        <v>46136</v>
      </c>
      <c r="C449" s="59" t="s">
        <v>2196</v>
      </c>
      <c r="D449" s="50" t="s">
        <v>2174</v>
      </c>
      <c r="E449" s="57">
        <v>38</v>
      </c>
      <c r="F449" s="57">
        <v>1139</v>
      </c>
      <c r="G449" s="50" t="s">
        <v>2175</v>
      </c>
      <c r="H449" s="73">
        <v>2353</v>
      </c>
      <c r="I449" s="57">
        <v>716</v>
      </c>
      <c r="J449" s="50" t="s">
        <v>50</v>
      </c>
      <c r="K449" s="63">
        <v>2176.69</v>
      </c>
      <c r="L449" s="50" t="s">
        <v>317</v>
      </c>
      <c r="M449" s="64">
        <v>2176.69</v>
      </c>
      <c r="N449" s="65">
        <v>7</v>
      </c>
      <c r="O449" s="64">
        <v>152.37</v>
      </c>
      <c r="P449" s="63">
        <v>0</v>
      </c>
      <c r="Q449" s="64">
        <v>0</v>
      </c>
    </row>
    <row r="450" spans="1:17" ht="11.1" customHeight="1" x14ac:dyDescent="0.25">
      <c r="A450" s="57">
        <v>27657</v>
      </c>
      <c r="B450" s="72">
        <v>46139</v>
      </c>
      <c r="C450" s="59" t="s">
        <v>2197</v>
      </c>
      <c r="D450" s="50" t="s">
        <v>2174</v>
      </c>
      <c r="E450" s="57">
        <v>38</v>
      </c>
      <c r="F450" s="57">
        <v>1139</v>
      </c>
      <c r="G450" s="50" t="s">
        <v>2175</v>
      </c>
      <c r="H450" s="73">
        <v>2353</v>
      </c>
      <c r="I450" s="57">
        <v>716</v>
      </c>
      <c r="J450" s="50" t="s">
        <v>50</v>
      </c>
      <c r="K450" s="63">
        <v>604.65</v>
      </c>
      <c r="L450" s="50" t="s">
        <v>317</v>
      </c>
      <c r="M450" s="64">
        <v>604.65</v>
      </c>
      <c r="N450" s="65">
        <v>7</v>
      </c>
      <c r="O450" s="64">
        <v>42.33</v>
      </c>
      <c r="P450" s="63">
        <v>0</v>
      </c>
      <c r="Q450" s="64">
        <v>0</v>
      </c>
    </row>
    <row r="451" spans="1:17" ht="11.1" customHeight="1" x14ac:dyDescent="0.25">
      <c r="A451" s="57">
        <v>27658</v>
      </c>
      <c r="B451" s="72">
        <v>46139</v>
      </c>
      <c r="C451" s="59" t="s">
        <v>2198</v>
      </c>
      <c r="D451" s="50" t="s">
        <v>2174</v>
      </c>
      <c r="E451" s="57">
        <v>38</v>
      </c>
      <c r="F451" s="57">
        <v>1139</v>
      </c>
      <c r="G451" s="50" t="s">
        <v>2175</v>
      </c>
      <c r="H451" s="73">
        <v>2353</v>
      </c>
      <c r="I451" s="57">
        <v>716</v>
      </c>
      <c r="J451" s="50" t="s">
        <v>50</v>
      </c>
      <c r="K451" s="63">
        <v>101.79</v>
      </c>
      <c r="L451" s="50" t="s">
        <v>317</v>
      </c>
      <c r="M451" s="64">
        <v>101.79</v>
      </c>
      <c r="N451" s="65">
        <v>7</v>
      </c>
      <c r="O451" s="64">
        <v>7.13</v>
      </c>
      <c r="P451" s="63">
        <v>0</v>
      </c>
      <c r="Q451" s="64">
        <v>0</v>
      </c>
    </row>
    <row r="452" spans="1:17" ht="11.1" customHeight="1" x14ac:dyDescent="0.25">
      <c r="A452" s="57">
        <v>27659</v>
      </c>
      <c r="B452" s="72">
        <v>46140</v>
      </c>
      <c r="C452" s="59" t="s">
        <v>2199</v>
      </c>
      <c r="D452" s="50" t="s">
        <v>2174</v>
      </c>
      <c r="E452" s="57">
        <v>38</v>
      </c>
      <c r="F452" s="57">
        <v>1139</v>
      </c>
      <c r="G452" s="50" t="s">
        <v>2175</v>
      </c>
      <c r="H452" s="73">
        <v>2353</v>
      </c>
      <c r="I452" s="57">
        <v>716</v>
      </c>
      <c r="J452" s="50" t="s">
        <v>50</v>
      </c>
      <c r="K452" s="63">
        <v>309.97000000000003</v>
      </c>
      <c r="L452" s="50" t="s">
        <v>317</v>
      </c>
      <c r="M452" s="64">
        <v>309.97000000000003</v>
      </c>
      <c r="N452" s="65">
        <v>7</v>
      </c>
      <c r="O452" s="64">
        <v>21.7</v>
      </c>
      <c r="P452" s="63">
        <v>0</v>
      </c>
      <c r="Q452" s="64">
        <v>0</v>
      </c>
    </row>
    <row r="453" spans="1:17" ht="11.1" customHeight="1" x14ac:dyDescent="0.25">
      <c r="A453" s="57">
        <v>27660</v>
      </c>
      <c r="B453" s="72">
        <v>46140</v>
      </c>
      <c r="C453" s="59" t="s">
        <v>2200</v>
      </c>
      <c r="D453" s="50" t="s">
        <v>2174</v>
      </c>
      <c r="E453" s="57">
        <v>38</v>
      </c>
      <c r="F453" s="57">
        <v>1139</v>
      </c>
      <c r="G453" s="50" t="s">
        <v>2175</v>
      </c>
      <c r="H453" s="73">
        <v>2353</v>
      </c>
      <c r="I453" s="57">
        <v>716</v>
      </c>
      <c r="J453" s="50" t="s">
        <v>50</v>
      </c>
      <c r="K453" s="63">
        <v>1159</v>
      </c>
      <c r="L453" s="50" t="s">
        <v>317</v>
      </c>
      <c r="M453" s="64">
        <v>1159</v>
      </c>
      <c r="N453" s="65">
        <v>7</v>
      </c>
      <c r="O453" s="64">
        <v>81.13</v>
      </c>
      <c r="P453" s="63">
        <v>0</v>
      </c>
      <c r="Q453" s="64">
        <v>0</v>
      </c>
    </row>
    <row r="454" spans="1:17" ht="11.1" customHeight="1" x14ac:dyDescent="0.25">
      <c r="A454" s="57">
        <v>27661</v>
      </c>
      <c r="B454" s="72">
        <v>46140</v>
      </c>
      <c r="C454" s="59" t="s">
        <v>2201</v>
      </c>
      <c r="D454" s="50" t="s">
        <v>2174</v>
      </c>
      <c r="E454" s="57">
        <v>38</v>
      </c>
      <c r="F454" s="57">
        <v>1139</v>
      </c>
      <c r="G454" s="50" t="s">
        <v>2175</v>
      </c>
      <c r="H454" s="73">
        <v>2353</v>
      </c>
      <c r="I454" s="57">
        <v>716</v>
      </c>
      <c r="J454" s="50" t="s">
        <v>50</v>
      </c>
      <c r="K454" s="63">
        <v>197.64</v>
      </c>
      <c r="L454" s="50" t="s">
        <v>317</v>
      </c>
      <c r="M454" s="64">
        <v>197.64</v>
      </c>
      <c r="N454" s="65">
        <v>7</v>
      </c>
      <c r="O454" s="64">
        <v>13.83</v>
      </c>
      <c r="P454" s="63">
        <v>0</v>
      </c>
      <c r="Q454" s="64">
        <v>0</v>
      </c>
    </row>
    <row r="455" spans="1:17" ht="11.1" customHeight="1" x14ac:dyDescent="0.25">
      <c r="A455" s="57">
        <v>27662</v>
      </c>
      <c r="B455" s="72">
        <v>46140</v>
      </c>
      <c r="C455" s="59" t="s">
        <v>2202</v>
      </c>
      <c r="D455" s="50" t="s">
        <v>2174</v>
      </c>
      <c r="E455" s="57">
        <v>38</v>
      </c>
      <c r="F455" s="57">
        <v>1139</v>
      </c>
      <c r="G455" s="50" t="s">
        <v>2175</v>
      </c>
      <c r="H455" s="73">
        <v>2353</v>
      </c>
      <c r="I455" s="57">
        <v>716</v>
      </c>
      <c r="J455" s="50" t="s">
        <v>50</v>
      </c>
      <c r="K455" s="63">
        <v>85</v>
      </c>
      <c r="L455" s="50" t="s">
        <v>317</v>
      </c>
      <c r="M455" s="64">
        <v>85</v>
      </c>
      <c r="N455" s="65">
        <v>7</v>
      </c>
      <c r="O455" s="64">
        <v>5.95</v>
      </c>
      <c r="P455" s="63">
        <v>0</v>
      </c>
      <c r="Q455" s="64">
        <v>0</v>
      </c>
    </row>
    <row r="456" spans="1:17" ht="11.1" customHeight="1" x14ac:dyDescent="0.25">
      <c r="A456" s="57">
        <v>27663</v>
      </c>
      <c r="B456" s="72">
        <v>46141</v>
      </c>
      <c r="C456" s="59" t="s">
        <v>2203</v>
      </c>
      <c r="D456" s="50" t="s">
        <v>2174</v>
      </c>
      <c r="E456" s="57">
        <v>38</v>
      </c>
      <c r="F456" s="57">
        <v>1139</v>
      </c>
      <c r="G456" s="50" t="s">
        <v>2175</v>
      </c>
      <c r="H456" s="73">
        <v>2353</v>
      </c>
      <c r="I456" s="57">
        <v>716</v>
      </c>
      <c r="J456" s="50" t="s">
        <v>50</v>
      </c>
      <c r="K456" s="63">
        <v>1591.3</v>
      </c>
      <c r="L456" s="50" t="s">
        <v>317</v>
      </c>
      <c r="M456" s="64">
        <v>1591.3</v>
      </c>
      <c r="N456" s="65">
        <v>7</v>
      </c>
      <c r="O456" s="64">
        <v>111.39</v>
      </c>
      <c r="P456" s="63">
        <v>0</v>
      </c>
      <c r="Q456" s="64">
        <v>0</v>
      </c>
    </row>
    <row r="457" spans="1:17" ht="11.1" customHeight="1" x14ac:dyDescent="0.25">
      <c r="A457" s="15" t="s">
        <v>1912</v>
      </c>
      <c r="B457" s="15"/>
      <c r="C457" s="15"/>
      <c r="D457" s="15"/>
      <c r="E457" s="15"/>
      <c r="F457" s="15"/>
      <c r="G457" s="15"/>
      <c r="H457" s="15"/>
      <c r="I457" s="15"/>
    </row>
    <row r="458" spans="1:17" ht="11.1" customHeight="1" x14ac:dyDescent="0.25">
      <c r="K458" s="63">
        <v>21389.98</v>
      </c>
      <c r="L458" s="50" t="s">
        <v>317</v>
      </c>
      <c r="M458" s="64">
        <v>21389.98</v>
      </c>
      <c r="O458" s="64">
        <v>1497.3</v>
      </c>
      <c r="P458" s="63">
        <v>0</v>
      </c>
      <c r="Q458" s="64">
        <v>0</v>
      </c>
    </row>
    <row r="459" spans="1:17" ht="11.1" customHeight="1" x14ac:dyDescent="0.25">
      <c r="A459" s="57">
        <v>27667</v>
      </c>
      <c r="B459" s="72">
        <v>46122</v>
      </c>
      <c r="C459" s="59" t="s">
        <v>2204</v>
      </c>
      <c r="D459" s="50" t="s">
        <v>75</v>
      </c>
      <c r="E459" s="57">
        <v>39</v>
      </c>
      <c r="F459" s="57">
        <v>939</v>
      </c>
      <c r="G459" s="50" t="s">
        <v>2205</v>
      </c>
      <c r="H459" s="73">
        <v>1933</v>
      </c>
      <c r="I459" s="57">
        <v>29</v>
      </c>
      <c r="J459" s="50" t="s">
        <v>26</v>
      </c>
      <c r="K459" s="63">
        <v>2500</v>
      </c>
      <c r="L459" s="50" t="s">
        <v>75</v>
      </c>
      <c r="M459" s="64">
        <v>0</v>
      </c>
      <c r="N459" s="65">
        <v>0</v>
      </c>
      <c r="O459" s="64">
        <v>0</v>
      </c>
      <c r="P459" s="63">
        <v>0</v>
      </c>
      <c r="Q459" s="64">
        <v>0</v>
      </c>
    </row>
    <row r="460" spans="1:17" ht="11.1" customHeight="1" x14ac:dyDescent="0.25">
      <c r="A460" s="15" t="s">
        <v>1912</v>
      </c>
      <c r="B460" s="15"/>
      <c r="C460" s="15"/>
      <c r="D460" s="15"/>
      <c r="E460" s="15"/>
      <c r="F460" s="15"/>
      <c r="G460" s="15"/>
      <c r="H460" s="15"/>
      <c r="I460" s="15"/>
    </row>
    <row r="461" spans="1:17" ht="11.1" customHeight="1" x14ac:dyDescent="0.25">
      <c r="K461" s="63">
        <v>2500</v>
      </c>
      <c r="L461" s="50" t="s">
        <v>75</v>
      </c>
      <c r="M461" s="64">
        <v>0</v>
      </c>
      <c r="O461" s="64">
        <v>0</v>
      </c>
      <c r="P461" s="63">
        <v>0</v>
      </c>
      <c r="Q461" s="64">
        <v>0</v>
      </c>
    </row>
    <row r="462" spans="1:17" ht="11.1" customHeight="1" x14ac:dyDescent="0.25">
      <c r="A462" s="57">
        <v>27560</v>
      </c>
      <c r="B462" s="72">
        <v>46125</v>
      </c>
      <c r="C462" s="59" t="s">
        <v>2206</v>
      </c>
      <c r="D462" s="50" t="s">
        <v>313</v>
      </c>
      <c r="E462" s="57">
        <v>36</v>
      </c>
      <c r="F462" s="57">
        <v>543</v>
      </c>
      <c r="G462" s="50" t="s">
        <v>2207</v>
      </c>
      <c r="H462" s="73">
        <v>2102</v>
      </c>
      <c r="I462" s="57">
        <v>6</v>
      </c>
      <c r="J462" s="50" t="s">
        <v>50</v>
      </c>
      <c r="K462" s="63">
        <v>7419.69</v>
      </c>
      <c r="L462" s="50" t="s">
        <v>317</v>
      </c>
      <c r="M462" s="64">
        <v>7419.69</v>
      </c>
      <c r="N462" s="65">
        <v>7</v>
      </c>
      <c r="O462" s="64">
        <v>519.38</v>
      </c>
      <c r="P462" s="63">
        <v>0</v>
      </c>
      <c r="Q462" s="64">
        <v>0</v>
      </c>
    </row>
    <row r="463" spans="1:17" ht="11.1" customHeight="1" x14ac:dyDescent="0.25">
      <c r="A463" s="57">
        <v>27561</v>
      </c>
      <c r="B463" s="72">
        <v>46125</v>
      </c>
      <c r="C463" s="59" t="s">
        <v>2208</v>
      </c>
      <c r="D463" s="50" t="s">
        <v>313</v>
      </c>
      <c r="E463" s="57">
        <v>36</v>
      </c>
      <c r="F463" s="57">
        <v>543</v>
      </c>
      <c r="G463" s="50" t="s">
        <v>2207</v>
      </c>
      <c r="H463" s="73">
        <v>2102</v>
      </c>
      <c r="I463" s="57">
        <v>6</v>
      </c>
      <c r="J463" s="50" t="s">
        <v>50</v>
      </c>
      <c r="K463" s="63">
        <v>2706.74</v>
      </c>
      <c r="L463" s="50" t="s">
        <v>317</v>
      </c>
      <c r="M463" s="64">
        <v>2706.74</v>
      </c>
      <c r="N463" s="65">
        <v>7</v>
      </c>
      <c r="O463" s="64">
        <v>189.47</v>
      </c>
      <c r="P463" s="63">
        <v>0</v>
      </c>
      <c r="Q463" s="64">
        <v>0</v>
      </c>
    </row>
    <row r="464" spans="1:17" ht="11.1" customHeight="1" x14ac:dyDescent="0.25">
      <c r="A464" s="15" t="s">
        <v>1907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</row>
    <row r="465" spans="1:17" ht="11.1" customHeight="1" x14ac:dyDescent="0.25">
      <c r="A465" s="10" t="s">
        <v>184</v>
      </c>
      <c r="B465" s="10" t="s">
        <v>1908</v>
      </c>
      <c r="C465" s="10" t="s">
        <v>298</v>
      </c>
      <c r="D465" s="71" t="s">
        <v>299</v>
      </c>
      <c r="E465" s="10" t="s">
        <v>300</v>
      </c>
      <c r="F465" s="10" t="s">
        <v>184</v>
      </c>
      <c r="G465" s="71" t="s">
        <v>1909</v>
      </c>
      <c r="H465" s="10" t="s">
        <v>304</v>
      </c>
      <c r="I465" s="10" t="s">
        <v>305</v>
      </c>
      <c r="J465" s="71" t="s">
        <v>24</v>
      </c>
      <c r="K465" s="15" t="s">
        <v>306</v>
      </c>
      <c r="L465" s="71" t="s">
        <v>307</v>
      </c>
      <c r="M465" s="10" t="s">
        <v>308</v>
      </c>
      <c r="N465" s="10" t="s">
        <v>309</v>
      </c>
      <c r="O465" s="10" t="s">
        <v>73</v>
      </c>
      <c r="P465" s="15" t="s">
        <v>310</v>
      </c>
      <c r="Q465" s="10" t="s">
        <v>311</v>
      </c>
    </row>
    <row r="466" spans="1:17" ht="11.1" customHeight="1" x14ac:dyDescent="0.25">
      <c r="A466" s="57">
        <v>27562</v>
      </c>
      <c r="B466" s="72">
        <v>46125</v>
      </c>
      <c r="C466" s="59" t="s">
        <v>2209</v>
      </c>
      <c r="D466" s="50" t="s">
        <v>313</v>
      </c>
      <c r="E466" s="57">
        <v>36</v>
      </c>
      <c r="F466" s="57">
        <v>543</v>
      </c>
      <c r="G466" s="50" t="s">
        <v>2207</v>
      </c>
      <c r="H466" s="73">
        <v>2102</v>
      </c>
      <c r="I466" s="57">
        <v>6</v>
      </c>
      <c r="J466" s="50" t="s">
        <v>50</v>
      </c>
      <c r="K466" s="63">
        <v>10291.81</v>
      </c>
      <c r="L466" s="50" t="s">
        <v>317</v>
      </c>
      <c r="M466" s="64">
        <v>10291.81</v>
      </c>
      <c r="N466" s="65">
        <v>7</v>
      </c>
      <c r="O466" s="64">
        <v>720.42</v>
      </c>
      <c r="P466" s="63">
        <v>0</v>
      </c>
      <c r="Q466" s="64">
        <v>0</v>
      </c>
    </row>
    <row r="467" spans="1:17" ht="11.1" customHeight="1" x14ac:dyDescent="0.25">
      <c r="A467" s="57">
        <v>27563</v>
      </c>
      <c r="B467" s="72">
        <v>46128</v>
      </c>
      <c r="C467" s="59" t="s">
        <v>2210</v>
      </c>
      <c r="D467" s="50" t="s">
        <v>313</v>
      </c>
      <c r="E467" s="57">
        <v>36</v>
      </c>
      <c r="F467" s="57">
        <v>543</v>
      </c>
      <c r="G467" s="50" t="s">
        <v>2207</v>
      </c>
      <c r="H467" s="73">
        <v>2102</v>
      </c>
      <c r="I467" s="57">
        <v>6</v>
      </c>
      <c r="J467" s="50" t="s">
        <v>50</v>
      </c>
      <c r="K467" s="63">
        <v>2707</v>
      </c>
      <c r="L467" s="50" t="s">
        <v>317</v>
      </c>
      <c r="M467" s="64">
        <v>2707</v>
      </c>
      <c r="N467" s="65">
        <v>7</v>
      </c>
      <c r="O467" s="64">
        <v>189.49</v>
      </c>
      <c r="P467" s="63">
        <v>0</v>
      </c>
      <c r="Q467" s="64">
        <v>0</v>
      </c>
    </row>
    <row r="468" spans="1:17" ht="11.1" customHeight="1" x14ac:dyDescent="0.25">
      <c r="A468" s="57">
        <v>27564</v>
      </c>
      <c r="B468" s="72">
        <v>46128</v>
      </c>
      <c r="C468" s="59" t="s">
        <v>2211</v>
      </c>
      <c r="D468" s="50" t="s">
        <v>313</v>
      </c>
      <c r="E468" s="57">
        <v>36</v>
      </c>
      <c r="F468" s="57">
        <v>543</v>
      </c>
      <c r="G468" s="50" t="s">
        <v>2207</v>
      </c>
      <c r="H468" s="73">
        <v>2102</v>
      </c>
      <c r="I468" s="57">
        <v>6</v>
      </c>
      <c r="J468" s="50" t="s">
        <v>50</v>
      </c>
      <c r="K468" s="63">
        <v>1196.78</v>
      </c>
      <c r="L468" s="50" t="s">
        <v>317</v>
      </c>
      <c r="M468" s="64">
        <v>1196.78</v>
      </c>
      <c r="N468" s="65">
        <v>7</v>
      </c>
      <c r="O468" s="64">
        <v>83.77</v>
      </c>
      <c r="P468" s="63">
        <v>0</v>
      </c>
      <c r="Q468" s="64">
        <v>0</v>
      </c>
    </row>
    <row r="469" spans="1:17" ht="11.1" customHeight="1" x14ac:dyDescent="0.25">
      <c r="A469" s="57">
        <v>27565</v>
      </c>
      <c r="B469" s="72">
        <v>46128</v>
      </c>
      <c r="C469" s="59" t="s">
        <v>2212</v>
      </c>
      <c r="D469" s="50" t="s">
        <v>313</v>
      </c>
      <c r="E469" s="57">
        <v>36</v>
      </c>
      <c r="F469" s="57">
        <v>543</v>
      </c>
      <c r="G469" s="50" t="s">
        <v>2207</v>
      </c>
      <c r="H469" s="73">
        <v>2102</v>
      </c>
      <c r="I469" s="57">
        <v>6</v>
      </c>
      <c r="J469" s="50" t="s">
        <v>50</v>
      </c>
      <c r="K469" s="63">
        <v>837.72</v>
      </c>
      <c r="L469" s="50" t="s">
        <v>317</v>
      </c>
      <c r="M469" s="64">
        <v>837.72</v>
      </c>
      <c r="N469" s="65">
        <v>7</v>
      </c>
      <c r="O469" s="64">
        <v>58.64</v>
      </c>
      <c r="P469" s="63">
        <v>0</v>
      </c>
      <c r="Q469" s="64">
        <v>0</v>
      </c>
    </row>
    <row r="470" spans="1:17" ht="11.1" customHeight="1" x14ac:dyDescent="0.25">
      <c r="A470" s="57">
        <v>27566</v>
      </c>
      <c r="B470" s="72">
        <v>46136</v>
      </c>
      <c r="C470" s="59" t="s">
        <v>2213</v>
      </c>
      <c r="D470" s="50" t="s">
        <v>313</v>
      </c>
      <c r="E470" s="57">
        <v>36</v>
      </c>
      <c r="F470" s="57">
        <v>543</v>
      </c>
      <c r="G470" s="50" t="s">
        <v>2207</v>
      </c>
      <c r="H470" s="73">
        <v>2102</v>
      </c>
      <c r="I470" s="57">
        <v>6</v>
      </c>
      <c r="J470" s="50" t="s">
        <v>50</v>
      </c>
      <c r="K470" s="63">
        <v>1446.36</v>
      </c>
      <c r="L470" s="50" t="s">
        <v>317</v>
      </c>
      <c r="M470" s="64">
        <v>1446.36</v>
      </c>
      <c r="N470" s="65">
        <v>4</v>
      </c>
      <c r="O470" s="64">
        <v>57.86</v>
      </c>
      <c r="P470" s="63">
        <v>0</v>
      </c>
      <c r="Q470" s="64">
        <v>0</v>
      </c>
    </row>
    <row r="471" spans="1:17" ht="11.1" customHeight="1" x14ac:dyDescent="0.25">
      <c r="A471" s="57">
        <v>27567</v>
      </c>
      <c r="B471" s="72">
        <v>46136</v>
      </c>
      <c r="C471" s="59" t="s">
        <v>2214</v>
      </c>
      <c r="D471" s="50" t="s">
        <v>313</v>
      </c>
      <c r="E471" s="57">
        <v>36</v>
      </c>
      <c r="F471" s="57">
        <v>543</v>
      </c>
      <c r="G471" s="50" t="s">
        <v>2207</v>
      </c>
      <c r="H471" s="73">
        <v>2102</v>
      </c>
      <c r="I471" s="57">
        <v>6</v>
      </c>
      <c r="J471" s="50" t="s">
        <v>50</v>
      </c>
      <c r="K471" s="63">
        <v>1406.82</v>
      </c>
      <c r="L471" s="50" t="s">
        <v>317</v>
      </c>
      <c r="M471" s="64">
        <v>1406.82</v>
      </c>
      <c r="N471" s="65">
        <v>4</v>
      </c>
      <c r="O471" s="64">
        <v>56.28</v>
      </c>
      <c r="P471" s="63">
        <v>0</v>
      </c>
      <c r="Q471" s="64">
        <v>0</v>
      </c>
    </row>
    <row r="472" spans="1:17" ht="11.1" customHeight="1" x14ac:dyDescent="0.25">
      <c r="A472" s="57">
        <v>27568</v>
      </c>
      <c r="B472" s="72">
        <v>46136</v>
      </c>
      <c r="C472" s="59" t="s">
        <v>2215</v>
      </c>
      <c r="D472" s="50" t="s">
        <v>313</v>
      </c>
      <c r="E472" s="57">
        <v>36</v>
      </c>
      <c r="F472" s="57">
        <v>543</v>
      </c>
      <c r="G472" s="50" t="s">
        <v>2207</v>
      </c>
      <c r="H472" s="73">
        <v>2102</v>
      </c>
      <c r="I472" s="57">
        <v>6</v>
      </c>
      <c r="J472" s="50" t="s">
        <v>50</v>
      </c>
      <c r="K472" s="63">
        <v>703.41</v>
      </c>
      <c r="L472" s="50" t="s">
        <v>317</v>
      </c>
      <c r="M472" s="64">
        <v>703.41</v>
      </c>
      <c r="N472" s="65">
        <v>4</v>
      </c>
      <c r="O472" s="64">
        <v>28.14</v>
      </c>
      <c r="P472" s="63">
        <v>0</v>
      </c>
      <c r="Q472" s="64">
        <v>0</v>
      </c>
    </row>
    <row r="473" spans="1:17" ht="11.1" customHeight="1" x14ac:dyDescent="0.25">
      <c r="A473" s="57">
        <v>27569</v>
      </c>
      <c r="B473" s="72">
        <v>46142</v>
      </c>
      <c r="C473" s="59" t="s">
        <v>2216</v>
      </c>
      <c r="D473" s="50" t="s">
        <v>313</v>
      </c>
      <c r="E473" s="57">
        <v>36</v>
      </c>
      <c r="F473" s="57">
        <v>543</v>
      </c>
      <c r="G473" s="50" t="s">
        <v>2207</v>
      </c>
      <c r="H473" s="73">
        <v>2102</v>
      </c>
      <c r="I473" s="57">
        <v>6</v>
      </c>
      <c r="J473" s="50" t="s">
        <v>50</v>
      </c>
      <c r="K473" s="63">
        <v>6642</v>
      </c>
      <c r="L473" s="50" t="s">
        <v>317</v>
      </c>
      <c r="M473" s="64">
        <v>6642</v>
      </c>
      <c r="N473" s="65">
        <v>7</v>
      </c>
      <c r="O473" s="64">
        <v>464.94</v>
      </c>
      <c r="P473" s="63">
        <v>0</v>
      </c>
      <c r="Q473" s="64">
        <v>0</v>
      </c>
    </row>
    <row r="474" spans="1:17" ht="11.1" customHeight="1" x14ac:dyDescent="0.25">
      <c r="A474" s="15" t="s">
        <v>1912</v>
      </c>
      <c r="B474" s="15"/>
      <c r="C474" s="15"/>
      <c r="D474" s="15"/>
      <c r="E474" s="15"/>
      <c r="F474" s="15"/>
      <c r="G474" s="15"/>
      <c r="H474" s="15"/>
      <c r="I474" s="15"/>
    </row>
    <row r="475" spans="1:17" ht="11.1" customHeight="1" x14ac:dyDescent="0.25">
      <c r="K475" s="63">
        <v>35358.33</v>
      </c>
      <c r="L475" s="50" t="s">
        <v>317</v>
      </c>
      <c r="M475" s="64">
        <v>35358.33</v>
      </c>
      <c r="O475" s="64">
        <v>2368.39</v>
      </c>
      <c r="P475" s="63">
        <v>0</v>
      </c>
      <c r="Q475" s="64">
        <v>0</v>
      </c>
    </row>
    <row r="476" spans="1:17" ht="11.1" customHeight="1" x14ac:dyDescent="0.25">
      <c r="A476" s="57">
        <v>27589</v>
      </c>
      <c r="B476" s="72">
        <v>46134</v>
      </c>
      <c r="C476" s="59" t="s">
        <v>2217</v>
      </c>
      <c r="D476" s="50" t="s">
        <v>313</v>
      </c>
      <c r="E476" s="57">
        <v>36</v>
      </c>
      <c r="F476" s="57">
        <v>1170</v>
      </c>
      <c r="G476" s="50" t="s">
        <v>2218</v>
      </c>
      <c r="H476" s="73">
        <v>1403</v>
      </c>
      <c r="I476" s="57">
        <v>8</v>
      </c>
      <c r="J476" s="50" t="s">
        <v>26</v>
      </c>
      <c r="K476" s="63">
        <v>170.49</v>
      </c>
      <c r="L476" s="50" t="s">
        <v>317</v>
      </c>
      <c r="M476" s="64">
        <v>0</v>
      </c>
      <c r="N476" s="65">
        <v>0</v>
      </c>
      <c r="O476" s="64">
        <v>0</v>
      </c>
      <c r="P476" s="63">
        <v>0</v>
      </c>
      <c r="Q476" s="64">
        <v>160.44</v>
      </c>
    </row>
    <row r="477" spans="1:17" ht="11.1" customHeight="1" x14ac:dyDescent="0.25">
      <c r="L477" s="50" t="s">
        <v>318</v>
      </c>
      <c r="M477" s="64">
        <v>210.71</v>
      </c>
      <c r="N477" s="65">
        <v>20</v>
      </c>
      <c r="O477" s="64">
        <v>10.050000000000001</v>
      </c>
      <c r="P477" s="63">
        <v>0</v>
      </c>
      <c r="Q477" s="64">
        <v>0</v>
      </c>
    </row>
    <row r="478" spans="1:17" ht="11.1" customHeight="1" x14ac:dyDescent="0.25">
      <c r="A478" s="15" t="s">
        <v>1912</v>
      </c>
      <c r="B478" s="15"/>
      <c r="C478" s="15"/>
      <c r="D478" s="15"/>
      <c r="E478" s="15"/>
      <c r="F478" s="15"/>
      <c r="G478" s="15"/>
      <c r="H478" s="15"/>
      <c r="I478" s="15"/>
    </row>
    <row r="479" spans="1:17" ht="11.1" customHeight="1" x14ac:dyDescent="0.25">
      <c r="K479" s="63">
        <v>170.49</v>
      </c>
      <c r="L479" s="50" t="s">
        <v>317</v>
      </c>
      <c r="M479" s="64">
        <v>0</v>
      </c>
      <c r="O479" s="64">
        <v>0</v>
      </c>
      <c r="P479" s="63">
        <v>0</v>
      </c>
      <c r="Q479" s="64">
        <v>160.44</v>
      </c>
    </row>
    <row r="480" spans="1:17" ht="11.1" customHeight="1" x14ac:dyDescent="0.25">
      <c r="L480" s="50" t="s">
        <v>318</v>
      </c>
      <c r="M480" s="64">
        <v>210.71</v>
      </c>
      <c r="O480" s="64">
        <v>10.050000000000001</v>
      </c>
      <c r="P480" s="63">
        <v>0</v>
      </c>
      <c r="Q480" s="64">
        <v>0</v>
      </c>
    </row>
    <row r="481" spans="1:17" ht="11.1" customHeight="1" x14ac:dyDescent="0.25">
      <c r="A481" s="57">
        <v>27558</v>
      </c>
      <c r="B481" s="72">
        <v>46120</v>
      </c>
      <c r="C481" s="59" t="s">
        <v>2219</v>
      </c>
      <c r="D481" s="50" t="s">
        <v>2123</v>
      </c>
      <c r="E481" s="57">
        <v>36</v>
      </c>
      <c r="F481" s="57">
        <v>544</v>
      </c>
      <c r="G481" s="50" t="s">
        <v>2220</v>
      </c>
      <c r="H481" s="73">
        <v>2102</v>
      </c>
      <c r="I481" s="57">
        <v>6</v>
      </c>
      <c r="J481" s="50" t="s">
        <v>50</v>
      </c>
      <c r="K481" s="63">
        <v>72972.009999999995</v>
      </c>
      <c r="L481" s="50" t="s">
        <v>317</v>
      </c>
      <c r="M481" s="64">
        <v>18127.2</v>
      </c>
      <c r="N481" s="65">
        <v>4</v>
      </c>
      <c r="O481" s="64">
        <v>725.09</v>
      </c>
      <c r="P481" s="63">
        <v>0</v>
      </c>
      <c r="Q481" s="64">
        <v>235.66</v>
      </c>
    </row>
    <row r="482" spans="1:17" ht="11.1" customHeight="1" x14ac:dyDescent="0.25">
      <c r="L482" s="50" t="s">
        <v>317</v>
      </c>
      <c r="M482" s="64">
        <v>52553.75</v>
      </c>
      <c r="N482" s="65">
        <v>7</v>
      </c>
      <c r="O482" s="64">
        <v>3678.76</v>
      </c>
      <c r="P482" s="63">
        <v>0</v>
      </c>
      <c r="Q482" s="64">
        <v>2055.4</v>
      </c>
    </row>
    <row r="483" spans="1:17" ht="11.1" customHeight="1" x14ac:dyDescent="0.25">
      <c r="A483" s="57">
        <v>27559</v>
      </c>
      <c r="B483" s="72">
        <v>46134</v>
      </c>
      <c r="C483" s="59" t="s">
        <v>2221</v>
      </c>
      <c r="D483" s="50" t="s">
        <v>2123</v>
      </c>
      <c r="E483" s="57">
        <v>36</v>
      </c>
      <c r="F483" s="57">
        <v>544</v>
      </c>
      <c r="G483" s="50" t="s">
        <v>2220</v>
      </c>
      <c r="H483" s="73">
        <v>2102</v>
      </c>
      <c r="I483" s="57">
        <v>6</v>
      </c>
      <c r="J483" s="50" t="s">
        <v>50</v>
      </c>
      <c r="K483" s="63">
        <v>87115.89</v>
      </c>
      <c r="L483" s="50" t="s">
        <v>317</v>
      </c>
      <c r="M483" s="64">
        <v>7697.76</v>
      </c>
      <c r="N483" s="65">
        <v>4</v>
      </c>
      <c r="O483" s="64">
        <v>307.92</v>
      </c>
      <c r="P483" s="63">
        <v>0</v>
      </c>
      <c r="Q483" s="64">
        <v>121.62</v>
      </c>
    </row>
    <row r="484" spans="1:17" ht="11.1" customHeight="1" x14ac:dyDescent="0.25">
      <c r="L484" s="50" t="s">
        <v>317</v>
      </c>
      <c r="M484" s="64">
        <v>76216.45</v>
      </c>
      <c r="N484" s="65">
        <v>7</v>
      </c>
      <c r="O484" s="64">
        <v>5335.15</v>
      </c>
      <c r="P484" s="63">
        <v>0</v>
      </c>
      <c r="Q484" s="64">
        <v>3080.06</v>
      </c>
    </row>
    <row r="485" spans="1:17" ht="11.1" customHeight="1" x14ac:dyDescent="0.25">
      <c r="A485" s="15" t="s">
        <v>1912</v>
      </c>
      <c r="B485" s="15"/>
      <c r="C485" s="15"/>
      <c r="D485" s="15"/>
      <c r="E485" s="15"/>
      <c r="F485" s="15"/>
      <c r="G485" s="15"/>
      <c r="H485" s="15"/>
      <c r="I485" s="15"/>
    </row>
    <row r="486" spans="1:17" ht="11.1" customHeight="1" x14ac:dyDescent="0.25">
      <c r="K486" s="63">
        <v>160087.9</v>
      </c>
      <c r="L486" s="50" t="s">
        <v>317</v>
      </c>
      <c r="M486" s="64">
        <v>154595.16</v>
      </c>
      <c r="O486" s="64">
        <v>10046.92</v>
      </c>
      <c r="P486" s="63">
        <v>0</v>
      </c>
      <c r="Q486" s="64">
        <v>5492.74</v>
      </c>
    </row>
    <row r="487" spans="1:17" ht="11.1" customHeight="1" x14ac:dyDescent="0.25">
      <c r="A487" s="57">
        <v>28610</v>
      </c>
      <c r="B487" s="72">
        <v>46122</v>
      </c>
      <c r="C487" s="59" t="s">
        <v>2204</v>
      </c>
      <c r="D487" s="50" t="s">
        <v>75</v>
      </c>
      <c r="E487" s="57">
        <v>39</v>
      </c>
      <c r="F487" s="57">
        <v>563</v>
      </c>
      <c r="G487" s="50" t="s">
        <v>2222</v>
      </c>
      <c r="H487" s="73">
        <v>1933</v>
      </c>
      <c r="I487" s="57">
        <v>29</v>
      </c>
      <c r="J487" s="50" t="s">
        <v>26</v>
      </c>
      <c r="K487" s="63">
        <v>2500</v>
      </c>
      <c r="L487" s="50" t="s">
        <v>75</v>
      </c>
      <c r="M487" s="64">
        <v>0</v>
      </c>
      <c r="N487" s="65">
        <v>0</v>
      </c>
      <c r="O487" s="64">
        <v>0</v>
      </c>
      <c r="P487" s="63">
        <v>0</v>
      </c>
      <c r="Q487" s="64">
        <v>0</v>
      </c>
    </row>
    <row r="488" spans="1:17" ht="11.1" customHeight="1" x14ac:dyDescent="0.25">
      <c r="A488" s="15" t="s">
        <v>1912</v>
      </c>
      <c r="B488" s="15"/>
      <c r="C488" s="15"/>
      <c r="D488" s="15"/>
      <c r="E488" s="15"/>
      <c r="F488" s="15"/>
      <c r="G488" s="15"/>
      <c r="H488" s="15"/>
      <c r="I488" s="15"/>
    </row>
    <row r="489" spans="1:17" ht="11.1" customHeight="1" x14ac:dyDescent="0.25">
      <c r="K489" s="63">
        <v>2500</v>
      </c>
      <c r="L489" s="50" t="s">
        <v>75</v>
      </c>
      <c r="M489" s="64">
        <v>0</v>
      </c>
      <c r="O489" s="64">
        <v>0</v>
      </c>
      <c r="P489" s="63">
        <v>0</v>
      </c>
      <c r="Q489" s="64">
        <v>0</v>
      </c>
    </row>
    <row r="490" spans="1:17" ht="11.1" customHeight="1" x14ac:dyDescent="0.25">
      <c r="A490" s="57">
        <v>27593</v>
      </c>
      <c r="B490" s="72">
        <v>46127</v>
      </c>
      <c r="C490" s="59" t="s">
        <v>2223</v>
      </c>
      <c r="D490" s="50" t="s">
        <v>313</v>
      </c>
      <c r="E490" s="57">
        <v>36</v>
      </c>
      <c r="F490" s="57">
        <v>1024</v>
      </c>
      <c r="G490" s="50" t="s">
        <v>2224</v>
      </c>
      <c r="H490" s="73">
        <v>1556</v>
      </c>
      <c r="I490" s="57">
        <v>12</v>
      </c>
      <c r="J490" s="50" t="s">
        <v>26</v>
      </c>
      <c r="K490" s="63">
        <v>97.9</v>
      </c>
      <c r="L490" s="50" t="s">
        <v>75</v>
      </c>
      <c r="M490" s="64">
        <v>0</v>
      </c>
      <c r="N490" s="65">
        <v>0</v>
      </c>
      <c r="O490" s="64">
        <v>0</v>
      </c>
      <c r="P490" s="63">
        <v>0</v>
      </c>
      <c r="Q490" s="64">
        <v>0</v>
      </c>
    </row>
    <row r="491" spans="1:17" ht="11.1" customHeight="1" x14ac:dyDescent="0.25">
      <c r="A491" s="15" t="s">
        <v>1912</v>
      </c>
      <c r="B491" s="15"/>
      <c r="C491" s="15"/>
      <c r="D491" s="15"/>
      <c r="E491" s="15"/>
      <c r="F491" s="15"/>
      <c r="G491" s="15"/>
      <c r="H491" s="15"/>
      <c r="I491" s="15"/>
    </row>
    <row r="492" spans="1:17" ht="11.1" customHeight="1" x14ac:dyDescent="0.25">
      <c r="K492" s="63">
        <v>97.9</v>
      </c>
      <c r="L492" s="50" t="s">
        <v>75</v>
      </c>
      <c r="M492" s="64">
        <v>0</v>
      </c>
      <c r="O492" s="64">
        <v>0</v>
      </c>
      <c r="P492" s="63">
        <v>0</v>
      </c>
      <c r="Q492" s="64">
        <v>0</v>
      </c>
    </row>
    <row r="493" spans="1:17" ht="11.1" customHeight="1" x14ac:dyDescent="0.25">
      <c r="A493" s="57">
        <v>27459</v>
      </c>
      <c r="B493" s="72">
        <v>46125</v>
      </c>
      <c r="C493" s="59" t="s">
        <v>2225</v>
      </c>
      <c r="D493" s="50" t="s">
        <v>313</v>
      </c>
      <c r="E493" s="57">
        <v>36</v>
      </c>
      <c r="F493" s="57">
        <v>914</v>
      </c>
      <c r="G493" s="50" t="s">
        <v>1763</v>
      </c>
      <c r="H493" s="73">
        <v>2202</v>
      </c>
      <c r="I493" s="57">
        <v>38</v>
      </c>
      <c r="J493" s="50" t="s">
        <v>38</v>
      </c>
      <c r="K493" s="63">
        <v>481.5</v>
      </c>
      <c r="L493" s="50" t="s">
        <v>317</v>
      </c>
      <c r="M493" s="64">
        <v>481.5</v>
      </c>
      <c r="N493" s="65">
        <v>12</v>
      </c>
      <c r="O493" s="64">
        <v>57.78</v>
      </c>
      <c r="P493" s="63">
        <v>0</v>
      </c>
      <c r="Q493" s="64">
        <v>0</v>
      </c>
    </row>
    <row r="494" spans="1:17" ht="11.1" customHeight="1" x14ac:dyDescent="0.25">
      <c r="A494" s="15" t="s">
        <v>1912</v>
      </c>
      <c r="B494" s="15"/>
      <c r="C494" s="15"/>
      <c r="D494" s="15"/>
      <c r="E494" s="15"/>
      <c r="F494" s="15"/>
      <c r="G494" s="15"/>
      <c r="H494" s="15"/>
      <c r="I494" s="15"/>
    </row>
    <row r="495" spans="1:17" ht="11.1" customHeight="1" x14ac:dyDescent="0.25">
      <c r="K495" s="63">
        <v>481.5</v>
      </c>
      <c r="L495" s="50" t="s">
        <v>317</v>
      </c>
      <c r="M495" s="64">
        <v>481.5</v>
      </c>
      <c r="O495" s="64">
        <v>57.78</v>
      </c>
      <c r="P495" s="63">
        <v>0</v>
      </c>
      <c r="Q495" s="64">
        <v>0</v>
      </c>
    </row>
    <row r="496" spans="1:17" ht="11.1" customHeight="1" x14ac:dyDescent="0.25">
      <c r="A496" s="57">
        <v>27608</v>
      </c>
      <c r="B496" s="72">
        <v>46141</v>
      </c>
      <c r="C496" s="59" t="s">
        <v>2226</v>
      </c>
      <c r="D496" s="50" t="s">
        <v>313</v>
      </c>
      <c r="E496" s="57">
        <v>36</v>
      </c>
      <c r="F496" s="57">
        <v>567</v>
      </c>
      <c r="G496" s="50" t="s">
        <v>2227</v>
      </c>
      <c r="H496" s="73">
        <v>1102</v>
      </c>
      <c r="I496" s="57">
        <v>6</v>
      </c>
      <c r="J496" s="50" t="s">
        <v>26</v>
      </c>
      <c r="K496" s="63">
        <v>3978</v>
      </c>
      <c r="L496" s="50" t="s">
        <v>317</v>
      </c>
      <c r="M496" s="64">
        <v>0</v>
      </c>
      <c r="N496" s="65">
        <v>0</v>
      </c>
      <c r="O496" s="64">
        <v>0</v>
      </c>
      <c r="P496" s="63">
        <v>0</v>
      </c>
      <c r="Q496" s="64">
        <v>3978</v>
      </c>
    </row>
    <row r="497" spans="1:17" ht="11.1" customHeight="1" x14ac:dyDescent="0.25">
      <c r="A497" s="15" t="s">
        <v>1912</v>
      </c>
      <c r="B497" s="15"/>
      <c r="C497" s="15"/>
      <c r="D497" s="15"/>
      <c r="E497" s="15"/>
      <c r="F497" s="15"/>
      <c r="G497" s="15"/>
      <c r="H497" s="15"/>
      <c r="I497" s="15"/>
    </row>
    <row r="498" spans="1:17" ht="11.1" customHeight="1" x14ac:dyDescent="0.25">
      <c r="K498" s="63">
        <v>3978</v>
      </c>
      <c r="L498" s="50" t="s">
        <v>317</v>
      </c>
      <c r="M498" s="64">
        <v>0</v>
      </c>
      <c r="O498" s="64">
        <v>0</v>
      </c>
      <c r="P498" s="63">
        <v>0</v>
      </c>
      <c r="Q498" s="64">
        <v>3978</v>
      </c>
    </row>
    <row r="499" spans="1:17" ht="11.1" customHeight="1" x14ac:dyDescent="0.25">
      <c r="A499" s="57">
        <v>27594</v>
      </c>
      <c r="B499" s="72">
        <v>46121</v>
      </c>
      <c r="C499" s="59" t="s">
        <v>2228</v>
      </c>
      <c r="D499" s="50" t="s">
        <v>313</v>
      </c>
      <c r="E499" s="57">
        <v>36</v>
      </c>
      <c r="F499" s="57">
        <v>562</v>
      </c>
      <c r="G499" s="50" t="s">
        <v>2229</v>
      </c>
      <c r="H499" s="73">
        <v>1102</v>
      </c>
      <c r="I499" s="57">
        <v>6</v>
      </c>
      <c r="J499" s="50" t="s">
        <v>26</v>
      </c>
      <c r="K499" s="63">
        <v>650</v>
      </c>
      <c r="L499" s="50" t="s">
        <v>317</v>
      </c>
      <c r="M499" s="64">
        <v>214.11</v>
      </c>
      <c r="N499" s="65">
        <v>20</v>
      </c>
      <c r="O499" s="64">
        <v>42.82</v>
      </c>
      <c r="P499" s="63">
        <v>0</v>
      </c>
      <c r="Q499" s="64">
        <v>435.89</v>
      </c>
    </row>
    <row r="500" spans="1:17" ht="11.1" customHeight="1" x14ac:dyDescent="0.25">
      <c r="A500" s="57">
        <v>27595</v>
      </c>
      <c r="B500" s="72">
        <v>46128</v>
      </c>
      <c r="C500" s="59" t="s">
        <v>2230</v>
      </c>
      <c r="D500" s="50" t="s">
        <v>313</v>
      </c>
      <c r="E500" s="57">
        <v>36</v>
      </c>
      <c r="F500" s="57">
        <v>562</v>
      </c>
      <c r="G500" s="50" t="s">
        <v>2229</v>
      </c>
      <c r="H500" s="73">
        <v>1102</v>
      </c>
      <c r="I500" s="57">
        <v>6</v>
      </c>
      <c r="J500" s="50" t="s">
        <v>26</v>
      </c>
      <c r="K500" s="63">
        <v>105</v>
      </c>
      <c r="L500" s="50" t="s">
        <v>317</v>
      </c>
      <c r="M500" s="64">
        <v>105</v>
      </c>
      <c r="N500" s="65">
        <v>20</v>
      </c>
      <c r="O500" s="64">
        <v>21</v>
      </c>
      <c r="P500" s="63">
        <v>0</v>
      </c>
      <c r="Q500" s="64">
        <v>0</v>
      </c>
    </row>
    <row r="501" spans="1:17" ht="11.1" customHeight="1" x14ac:dyDescent="0.25">
      <c r="A501" s="57">
        <v>27596</v>
      </c>
      <c r="B501" s="72">
        <v>46128</v>
      </c>
      <c r="C501" s="59" t="s">
        <v>2230</v>
      </c>
      <c r="D501" s="50" t="s">
        <v>313</v>
      </c>
      <c r="E501" s="57">
        <v>36</v>
      </c>
      <c r="F501" s="57">
        <v>562</v>
      </c>
      <c r="G501" s="50" t="s">
        <v>2229</v>
      </c>
      <c r="H501" s="73">
        <v>1403</v>
      </c>
      <c r="I501" s="57">
        <v>8</v>
      </c>
      <c r="J501" s="50" t="s">
        <v>26</v>
      </c>
      <c r="K501" s="63">
        <v>65.010000000000005</v>
      </c>
      <c r="L501" s="50" t="s">
        <v>317</v>
      </c>
      <c r="M501" s="64">
        <v>0</v>
      </c>
      <c r="N501" s="65">
        <v>0</v>
      </c>
      <c r="O501" s="64">
        <v>0</v>
      </c>
      <c r="P501" s="63">
        <v>0</v>
      </c>
      <c r="Q501" s="64">
        <v>60</v>
      </c>
    </row>
    <row r="502" spans="1:17" ht="11.1" customHeight="1" x14ac:dyDescent="0.25">
      <c r="L502" s="50" t="s">
        <v>318</v>
      </c>
      <c r="M502" s="64">
        <v>85.06</v>
      </c>
      <c r="N502" s="65">
        <v>20</v>
      </c>
      <c r="O502" s="64">
        <v>5.01</v>
      </c>
      <c r="P502" s="63">
        <v>0</v>
      </c>
      <c r="Q502" s="64">
        <v>0</v>
      </c>
    </row>
    <row r="503" spans="1:17" ht="11.1" customHeight="1" x14ac:dyDescent="0.25">
      <c r="A503" s="15" t="s">
        <v>1912</v>
      </c>
      <c r="B503" s="15"/>
      <c r="C503" s="15"/>
      <c r="D503" s="15"/>
      <c r="E503" s="15"/>
      <c r="F503" s="15"/>
      <c r="G503" s="15"/>
      <c r="H503" s="15"/>
      <c r="I503" s="15"/>
    </row>
    <row r="504" spans="1:17" ht="11.1" customHeight="1" x14ac:dyDescent="0.25">
      <c r="K504" s="63">
        <v>820.01</v>
      </c>
      <c r="L504" s="50" t="s">
        <v>317</v>
      </c>
      <c r="M504" s="64">
        <v>319.11</v>
      </c>
      <c r="O504" s="64">
        <v>63.82</v>
      </c>
      <c r="P504" s="63">
        <v>0</v>
      </c>
      <c r="Q504" s="64">
        <v>495.89</v>
      </c>
    </row>
    <row r="505" spans="1:17" ht="11.1" customHeight="1" x14ac:dyDescent="0.25">
      <c r="L505" s="50" t="s">
        <v>318</v>
      </c>
      <c r="M505" s="64">
        <v>85.06</v>
      </c>
      <c r="O505" s="64">
        <v>5.01</v>
      </c>
      <c r="P505" s="63">
        <v>0</v>
      </c>
      <c r="Q505" s="64">
        <v>0</v>
      </c>
    </row>
    <row r="506" spans="1:17" ht="11.1" customHeight="1" x14ac:dyDescent="0.25">
      <c r="A506" s="57">
        <v>28582</v>
      </c>
      <c r="B506" s="72">
        <v>46113</v>
      </c>
      <c r="C506" s="59" t="s">
        <v>2231</v>
      </c>
      <c r="D506" s="50" t="s">
        <v>75</v>
      </c>
      <c r="E506" s="57">
        <v>39</v>
      </c>
      <c r="F506" s="57">
        <v>559</v>
      </c>
      <c r="G506" s="50" t="s">
        <v>2232</v>
      </c>
      <c r="H506" s="73">
        <v>1933</v>
      </c>
      <c r="I506" s="57">
        <v>29</v>
      </c>
      <c r="J506" s="50" t="s">
        <v>26</v>
      </c>
      <c r="K506" s="63">
        <v>12560.09</v>
      </c>
      <c r="L506" s="50" t="s">
        <v>75</v>
      </c>
      <c r="M506" s="64">
        <v>0</v>
      </c>
      <c r="N506" s="65">
        <v>0</v>
      </c>
      <c r="O506" s="64">
        <v>0</v>
      </c>
      <c r="P506" s="63">
        <v>0</v>
      </c>
      <c r="Q506" s="64">
        <v>0</v>
      </c>
    </row>
    <row r="507" spans="1:17" ht="11.1" customHeight="1" x14ac:dyDescent="0.25">
      <c r="A507" s="57">
        <v>28583</v>
      </c>
      <c r="B507" s="72">
        <v>46113</v>
      </c>
      <c r="C507" s="59" t="s">
        <v>2233</v>
      </c>
      <c r="D507" s="50" t="s">
        <v>75</v>
      </c>
      <c r="E507" s="57">
        <v>39</v>
      </c>
      <c r="F507" s="57">
        <v>559</v>
      </c>
      <c r="G507" s="50" t="s">
        <v>2232</v>
      </c>
      <c r="H507" s="73">
        <v>1933</v>
      </c>
      <c r="I507" s="57">
        <v>29</v>
      </c>
      <c r="J507" s="50" t="s">
        <v>26</v>
      </c>
      <c r="K507" s="63">
        <v>1121.21</v>
      </c>
      <c r="L507" s="50" t="s">
        <v>75</v>
      </c>
      <c r="M507" s="64">
        <v>0</v>
      </c>
      <c r="N507" s="65">
        <v>0</v>
      </c>
      <c r="O507" s="64">
        <v>0</v>
      </c>
      <c r="P507" s="63">
        <v>0</v>
      </c>
      <c r="Q507" s="64">
        <v>0</v>
      </c>
    </row>
    <row r="508" spans="1:17" ht="11.1" customHeight="1" x14ac:dyDescent="0.25">
      <c r="A508" s="57">
        <v>28584</v>
      </c>
      <c r="B508" s="72">
        <v>46128</v>
      </c>
      <c r="C508" s="59" t="s">
        <v>2234</v>
      </c>
      <c r="D508" s="50" t="s">
        <v>75</v>
      </c>
      <c r="E508" s="57">
        <v>39</v>
      </c>
      <c r="F508" s="57">
        <v>559</v>
      </c>
      <c r="G508" s="50" t="s">
        <v>2232</v>
      </c>
      <c r="H508" s="73">
        <v>1933</v>
      </c>
      <c r="I508" s="57">
        <v>29</v>
      </c>
      <c r="J508" s="50" t="s">
        <v>26</v>
      </c>
      <c r="K508" s="63">
        <v>1647.37</v>
      </c>
      <c r="L508" s="50" t="s">
        <v>75</v>
      </c>
      <c r="M508" s="64">
        <v>0</v>
      </c>
      <c r="N508" s="65">
        <v>0</v>
      </c>
      <c r="O508" s="64">
        <v>0</v>
      </c>
      <c r="P508" s="63">
        <v>0</v>
      </c>
      <c r="Q508" s="64">
        <v>0</v>
      </c>
    </row>
    <row r="509" spans="1:17" ht="11.1" customHeight="1" x14ac:dyDescent="0.25">
      <c r="A509" s="57">
        <v>28585</v>
      </c>
      <c r="B509" s="72">
        <v>46128</v>
      </c>
      <c r="C509" s="59" t="s">
        <v>2235</v>
      </c>
      <c r="D509" s="50" t="s">
        <v>75</v>
      </c>
      <c r="E509" s="57">
        <v>39</v>
      </c>
      <c r="F509" s="57">
        <v>559</v>
      </c>
      <c r="G509" s="50" t="s">
        <v>2232</v>
      </c>
      <c r="H509" s="73">
        <v>1933</v>
      </c>
      <c r="I509" s="57">
        <v>29</v>
      </c>
      <c r="J509" s="50" t="s">
        <v>26</v>
      </c>
      <c r="K509" s="63">
        <v>12471.89</v>
      </c>
      <c r="L509" s="50" t="s">
        <v>75</v>
      </c>
      <c r="M509" s="64">
        <v>0</v>
      </c>
      <c r="N509" s="65">
        <v>0</v>
      </c>
      <c r="O509" s="64">
        <v>0</v>
      </c>
      <c r="P509" s="63">
        <v>0</v>
      </c>
      <c r="Q509" s="64">
        <v>0</v>
      </c>
    </row>
    <row r="510" spans="1:17" ht="11.1" customHeight="1" x14ac:dyDescent="0.25">
      <c r="A510" s="15" t="s">
        <v>1912</v>
      </c>
      <c r="B510" s="15"/>
      <c r="C510" s="15"/>
      <c r="D510" s="15"/>
      <c r="E510" s="15"/>
      <c r="F510" s="15"/>
      <c r="G510" s="15"/>
      <c r="H510" s="15"/>
      <c r="I510" s="15"/>
    </row>
    <row r="511" spans="1:17" ht="11.1" customHeight="1" x14ac:dyDescent="0.25">
      <c r="K511" s="63">
        <v>27800.560000000001</v>
      </c>
      <c r="L511" s="50" t="s">
        <v>75</v>
      </c>
      <c r="M511" s="64">
        <v>0</v>
      </c>
      <c r="O511" s="64">
        <v>0</v>
      </c>
      <c r="P511" s="63">
        <v>0</v>
      </c>
      <c r="Q511" s="64">
        <v>0</v>
      </c>
    </row>
    <row r="512" spans="1:17" ht="11.1" customHeight="1" x14ac:dyDescent="0.25">
      <c r="A512" s="57">
        <v>27611</v>
      </c>
      <c r="B512" s="72">
        <v>46139</v>
      </c>
      <c r="C512" s="59" t="s">
        <v>2236</v>
      </c>
      <c r="D512" s="50" t="s">
        <v>313</v>
      </c>
      <c r="E512" s="57">
        <v>36</v>
      </c>
      <c r="F512" s="57">
        <v>1118</v>
      </c>
      <c r="G512" s="50" t="s">
        <v>2237</v>
      </c>
      <c r="H512" s="73">
        <v>1556</v>
      </c>
      <c r="I512" s="57">
        <v>12</v>
      </c>
      <c r="J512" s="50" t="s">
        <v>26</v>
      </c>
      <c r="K512" s="63">
        <v>40</v>
      </c>
      <c r="L512" s="50" t="s">
        <v>75</v>
      </c>
      <c r="M512" s="64">
        <v>0</v>
      </c>
      <c r="N512" s="65">
        <v>0</v>
      </c>
      <c r="O512" s="64">
        <v>0</v>
      </c>
      <c r="P512" s="63">
        <v>0</v>
      </c>
      <c r="Q512" s="64">
        <v>0</v>
      </c>
    </row>
    <row r="513" spans="1:17" ht="11.1" customHeight="1" x14ac:dyDescent="0.25">
      <c r="A513" s="15" t="s">
        <v>1912</v>
      </c>
      <c r="B513" s="15"/>
      <c r="C513" s="15"/>
      <c r="D513" s="15"/>
      <c r="E513" s="15"/>
      <c r="F513" s="15"/>
      <c r="G513" s="15"/>
      <c r="H513" s="15"/>
      <c r="I513" s="15"/>
    </row>
    <row r="514" spans="1:17" ht="11.1" customHeight="1" x14ac:dyDescent="0.25">
      <c r="K514" s="63">
        <v>40</v>
      </c>
      <c r="L514" s="50" t="s">
        <v>75</v>
      </c>
      <c r="M514" s="64">
        <v>0</v>
      </c>
      <c r="O514" s="64">
        <v>0</v>
      </c>
      <c r="P514" s="63">
        <v>0</v>
      </c>
      <c r="Q514" s="64">
        <v>0</v>
      </c>
    </row>
    <row r="515" spans="1:17" ht="11.1" customHeight="1" x14ac:dyDescent="0.25">
      <c r="A515" s="15" t="s">
        <v>1907</v>
      </c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</row>
    <row r="516" spans="1:17" ht="11.1" customHeight="1" x14ac:dyDescent="0.25">
      <c r="A516" s="10" t="s">
        <v>184</v>
      </c>
      <c r="B516" s="10" t="s">
        <v>1908</v>
      </c>
      <c r="C516" s="10" t="s">
        <v>298</v>
      </c>
      <c r="D516" s="71" t="s">
        <v>299</v>
      </c>
      <c r="E516" s="10" t="s">
        <v>300</v>
      </c>
      <c r="F516" s="10" t="s">
        <v>184</v>
      </c>
      <c r="G516" s="71" t="s">
        <v>1909</v>
      </c>
      <c r="H516" s="10" t="s">
        <v>304</v>
      </c>
      <c r="I516" s="10" t="s">
        <v>305</v>
      </c>
      <c r="J516" s="71" t="s">
        <v>24</v>
      </c>
      <c r="K516" s="15" t="s">
        <v>306</v>
      </c>
      <c r="L516" s="71" t="s">
        <v>307</v>
      </c>
      <c r="M516" s="10" t="s">
        <v>308</v>
      </c>
      <c r="N516" s="10" t="s">
        <v>309</v>
      </c>
      <c r="O516" s="10" t="s">
        <v>73</v>
      </c>
      <c r="P516" s="15" t="s">
        <v>310</v>
      </c>
      <c r="Q516" s="10" t="s">
        <v>311</v>
      </c>
    </row>
    <row r="517" spans="1:17" ht="11.1" customHeight="1" x14ac:dyDescent="0.25">
      <c r="A517" s="57">
        <v>27468</v>
      </c>
      <c r="B517" s="72">
        <v>46139</v>
      </c>
      <c r="C517" s="59" t="s">
        <v>2238</v>
      </c>
      <c r="D517" s="50" t="s">
        <v>313</v>
      </c>
      <c r="E517" s="57">
        <v>36</v>
      </c>
      <c r="F517" s="57">
        <v>980</v>
      </c>
      <c r="G517" s="50" t="s">
        <v>1842</v>
      </c>
      <c r="H517" s="73">
        <v>1411</v>
      </c>
      <c r="I517" s="57">
        <v>40</v>
      </c>
      <c r="J517" s="50" t="s">
        <v>26</v>
      </c>
      <c r="K517" s="63">
        <v>248.17</v>
      </c>
      <c r="L517" s="50" t="s">
        <v>317</v>
      </c>
      <c r="M517" s="64">
        <v>231.94</v>
      </c>
      <c r="N517" s="65">
        <v>20</v>
      </c>
      <c r="O517" s="64">
        <v>46.39</v>
      </c>
      <c r="P517" s="63">
        <v>0</v>
      </c>
      <c r="Q517" s="64">
        <v>16.23</v>
      </c>
    </row>
    <row r="518" spans="1:17" ht="11.1" customHeight="1" x14ac:dyDescent="0.25">
      <c r="L518" s="50" t="s">
        <v>318</v>
      </c>
      <c r="M518" s="64">
        <v>313.12</v>
      </c>
      <c r="N518" s="65">
        <v>20</v>
      </c>
      <c r="O518" s="64">
        <v>16.23</v>
      </c>
      <c r="P518" s="63">
        <v>0</v>
      </c>
      <c r="Q518" s="64">
        <v>0</v>
      </c>
    </row>
    <row r="519" spans="1:17" ht="11.1" customHeight="1" x14ac:dyDescent="0.25">
      <c r="A519" s="15" t="s">
        <v>1912</v>
      </c>
      <c r="B519" s="15"/>
      <c r="C519" s="15"/>
      <c r="D519" s="15"/>
      <c r="E519" s="15"/>
      <c r="F519" s="15"/>
      <c r="G519" s="15"/>
      <c r="H519" s="15"/>
      <c r="I519" s="15"/>
    </row>
    <row r="520" spans="1:17" ht="11.1" customHeight="1" x14ac:dyDescent="0.25">
      <c r="K520" s="63">
        <v>248.17</v>
      </c>
      <c r="L520" s="50" t="s">
        <v>317</v>
      </c>
      <c r="M520" s="64">
        <v>231.94</v>
      </c>
      <c r="O520" s="64">
        <v>46.39</v>
      </c>
      <c r="P520" s="63">
        <v>0</v>
      </c>
      <c r="Q520" s="64">
        <v>16.23</v>
      </c>
    </row>
    <row r="521" spans="1:17" ht="11.1" customHeight="1" x14ac:dyDescent="0.25">
      <c r="L521" s="50" t="s">
        <v>318</v>
      </c>
      <c r="M521" s="64">
        <v>313.12</v>
      </c>
      <c r="O521" s="64">
        <v>16.23</v>
      </c>
      <c r="P521" s="63">
        <v>0</v>
      </c>
      <c r="Q521" s="64">
        <v>0</v>
      </c>
    </row>
    <row r="522" spans="1:17" ht="11.1" customHeight="1" x14ac:dyDescent="0.25">
      <c r="A522" s="57">
        <v>27634</v>
      </c>
      <c r="B522" s="72">
        <v>46126</v>
      </c>
      <c r="C522" s="59" t="s">
        <v>2239</v>
      </c>
      <c r="D522" s="50" t="s">
        <v>313</v>
      </c>
      <c r="E522" s="57">
        <v>38</v>
      </c>
      <c r="F522" s="57">
        <v>1138</v>
      </c>
      <c r="G522" s="50" t="s">
        <v>2240</v>
      </c>
      <c r="H522" s="73">
        <v>2353</v>
      </c>
      <c r="I522" s="57">
        <v>716</v>
      </c>
      <c r="J522" s="50" t="s">
        <v>50</v>
      </c>
      <c r="K522" s="63">
        <v>85</v>
      </c>
      <c r="L522" s="50" t="s">
        <v>317</v>
      </c>
      <c r="M522" s="64">
        <v>0</v>
      </c>
      <c r="N522" s="65">
        <v>0</v>
      </c>
      <c r="O522" s="64">
        <v>0</v>
      </c>
      <c r="P522" s="63">
        <v>0</v>
      </c>
      <c r="Q522" s="64">
        <v>85</v>
      </c>
    </row>
    <row r="523" spans="1:17" ht="11.1" customHeight="1" x14ac:dyDescent="0.25">
      <c r="A523" s="15" t="s">
        <v>1912</v>
      </c>
      <c r="B523" s="15"/>
      <c r="C523" s="15"/>
      <c r="D523" s="15"/>
      <c r="E523" s="15"/>
      <c r="F523" s="15"/>
      <c r="G523" s="15"/>
      <c r="H523" s="15"/>
      <c r="I523" s="15"/>
    </row>
    <row r="524" spans="1:17" ht="11.1" customHeight="1" x14ac:dyDescent="0.25">
      <c r="K524" s="63">
        <v>85</v>
      </c>
      <c r="L524" s="50" t="s">
        <v>317</v>
      </c>
      <c r="M524" s="64">
        <v>0</v>
      </c>
      <c r="O524" s="64">
        <v>0</v>
      </c>
      <c r="P524" s="63">
        <v>0</v>
      </c>
      <c r="Q524" s="64">
        <v>85</v>
      </c>
    </row>
    <row r="525" spans="1:17" ht="11.1" customHeight="1" x14ac:dyDescent="0.25">
      <c r="A525" s="57">
        <v>27606</v>
      </c>
      <c r="B525" s="72">
        <v>46119</v>
      </c>
      <c r="C525" s="59" t="s">
        <v>2241</v>
      </c>
      <c r="D525" s="50" t="s">
        <v>313</v>
      </c>
      <c r="E525" s="57">
        <v>36</v>
      </c>
      <c r="F525" s="57">
        <v>1116</v>
      </c>
      <c r="G525" s="50" t="s">
        <v>2242</v>
      </c>
      <c r="H525" s="73">
        <v>1556</v>
      </c>
      <c r="I525" s="57">
        <v>12</v>
      </c>
      <c r="J525" s="50" t="s">
        <v>26</v>
      </c>
      <c r="K525" s="63">
        <v>7.26</v>
      </c>
      <c r="L525" s="50" t="s">
        <v>75</v>
      </c>
      <c r="M525" s="64">
        <v>0</v>
      </c>
      <c r="N525" s="65">
        <v>0</v>
      </c>
      <c r="O525" s="64">
        <v>0</v>
      </c>
      <c r="P525" s="63">
        <v>0</v>
      </c>
      <c r="Q525" s="64">
        <v>0</v>
      </c>
    </row>
    <row r="526" spans="1:17" ht="11.1" customHeight="1" x14ac:dyDescent="0.25">
      <c r="A526" s="15" t="s">
        <v>1912</v>
      </c>
      <c r="B526" s="15"/>
      <c r="C526" s="15"/>
      <c r="D526" s="15"/>
      <c r="E526" s="15"/>
      <c r="F526" s="15"/>
      <c r="G526" s="15"/>
      <c r="H526" s="15"/>
      <c r="I526" s="15"/>
    </row>
    <row r="527" spans="1:17" ht="11.1" customHeight="1" x14ac:dyDescent="0.25">
      <c r="K527" s="63">
        <v>7.26</v>
      </c>
      <c r="L527" s="50" t="s">
        <v>75</v>
      </c>
      <c r="M527" s="64">
        <v>0</v>
      </c>
      <c r="O527" s="64">
        <v>0</v>
      </c>
      <c r="P527" s="63">
        <v>0</v>
      </c>
      <c r="Q527" s="64">
        <v>0</v>
      </c>
    </row>
    <row r="528" spans="1:17" ht="11.1" customHeight="1" x14ac:dyDescent="0.25">
      <c r="A528" s="57">
        <v>28334</v>
      </c>
      <c r="B528" s="72">
        <v>46134</v>
      </c>
      <c r="C528" s="59" t="s">
        <v>2243</v>
      </c>
      <c r="D528" s="50" t="s">
        <v>75</v>
      </c>
      <c r="E528" s="57">
        <v>39</v>
      </c>
      <c r="F528" s="57">
        <v>1235</v>
      </c>
      <c r="G528" s="50" t="s">
        <v>2244</v>
      </c>
      <c r="H528" s="73">
        <v>2933</v>
      </c>
      <c r="I528" s="57">
        <v>29</v>
      </c>
      <c r="J528" s="50" t="s">
        <v>38</v>
      </c>
      <c r="K528" s="63">
        <v>1558.8</v>
      </c>
      <c r="L528" s="50" t="s">
        <v>1962</v>
      </c>
      <c r="M528" s="64">
        <v>1558.8</v>
      </c>
      <c r="N528" s="65">
        <v>2</v>
      </c>
      <c r="O528" s="64">
        <v>31.18</v>
      </c>
      <c r="P528" s="63">
        <v>0</v>
      </c>
      <c r="Q528" s="64">
        <v>0</v>
      </c>
    </row>
    <row r="529" spans="1:17" ht="11.1" customHeight="1" x14ac:dyDescent="0.25">
      <c r="A529" s="57">
        <v>28335</v>
      </c>
      <c r="B529" s="72">
        <v>46136</v>
      </c>
      <c r="C529" s="59" t="s">
        <v>2245</v>
      </c>
      <c r="D529" s="50" t="s">
        <v>75</v>
      </c>
      <c r="E529" s="57">
        <v>39</v>
      </c>
      <c r="F529" s="57">
        <v>1235</v>
      </c>
      <c r="G529" s="50" t="s">
        <v>2244</v>
      </c>
      <c r="H529" s="73">
        <v>2933</v>
      </c>
      <c r="I529" s="57">
        <v>29</v>
      </c>
      <c r="J529" s="50" t="s">
        <v>38</v>
      </c>
      <c r="K529" s="63">
        <v>24.93</v>
      </c>
      <c r="L529" s="50" t="s">
        <v>1962</v>
      </c>
      <c r="M529" s="64">
        <v>24.93</v>
      </c>
      <c r="N529" s="65">
        <v>2</v>
      </c>
      <c r="O529" s="64">
        <v>0.5</v>
      </c>
      <c r="P529" s="63">
        <v>0</v>
      </c>
      <c r="Q529" s="64">
        <v>0</v>
      </c>
    </row>
    <row r="530" spans="1:17" ht="11.1" customHeight="1" x14ac:dyDescent="0.25">
      <c r="A530" s="15" t="s">
        <v>1912</v>
      </c>
      <c r="B530" s="15"/>
      <c r="C530" s="15"/>
      <c r="D530" s="15"/>
      <c r="E530" s="15"/>
      <c r="F530" s="15"/>
      <c r="G530" s="15"/>
      <c r="H530" s="15"/>
      <c r="I530" s="15"/>
    </row>
    <row r="531" spans="1:17" ht="11.1" customHeight="1" x14ac:dyDescent="0.25">
      <c r="K531" s="63">
        <v>1583.73</v>
      </c>
      <c r="L531" s="50" t="s">
        <v>1962</v>
      </c>
      <c r="M531" s="64">
        <v>1583.73</v>
      </c>
      <c r="O531" s="64">
        <v>31.68</v>
      </c>
      <c r="P531" s="63">
        <v>0</v>
      </c>
      <c r="Q531" s="64">
        <v>0</v>
      </c>
    </row>
    <row r="532" spans="1:17" ht="11.1" customHeight="1" x14ac:dyDescent="0.25">
      <c r="A532" s="15" t="s">
        <v>1904</v>
      </c>
      <c r="B532" s="15"/>
      <c r="C532" s="15"/>
      <c r="D532" s="15"/>
      <c r="E532" s="15"/>
      <c r="F532" s="15"/>
      <c r="G532" s="15"/>
      <c r="H532" s="15"/>
      <c r="I532" s="15"/>
    </row>
    <row r="533" spans="1:17" ht="11.1" customHeight="1" x14ac:dyDescent="0.25">
      <c r="K533" s="63">
        <v>1898660.87</v>
      </c>
      <c r="L533" s="50" t="s">
        <v>317</v>
      </c>
      <c r="M533" s="64">
        <v>1656850.93</v>
      </c>
      <c r="O533" s="64">
        <v>120523.28</v>
      </c>
      <c r="P533" s="63">
        <v>0</v>
      </c>
      <c r="Q533" s="64">
        <v>112444.8</v>
      </c>
    </row>
    <row r="534" spans="1:17" ht="11.1" customHeight="1" x14ac:dyDescent="0.25">
      <c r="L534" s="50" t="s">
        <v>1962</v>
      </c>
      <c r="M534" s="64">
        <v>28944.080000000002</v>
      </c>
      <c r="O534" s="64">
        <v>646.66999999999996</v>
      </c>
      <c r="P534" s="63">
        <v>0</v>
      </c>
      <c r="Q534" s="64">
        <v>0</v>
      </c>
    </row>
    <row r="535" spans="1:17" ht="11.1" customHeight="1" x14ac:dyDescent="0.25">
      <c r="L535" s="50" t="s">
        <v>318</v>
      </c>
      <c r="M535" s="64">
        <v>9662.77</v>
      </c>
      <c r="O535" s="64">
        <v>482.09</v>
      </c>
      <c r="P535" s="63">
        <v>0</v>
      </c>
      <c r="Q535" s="64">
        <v>0</v>
      </c>
    </row>
    <row r="536" spans="1:17" ht="11.1" customHeight="1" x14ac:dyDescent="0.25">
      <c r="L536" s="50" t="s">
        <v>2062</v>
      </c>
      <c r="M536" s="64">
        <v>17582.28</v>
      </c>
      <c r="O536" s="64">
        <v>263.73</v>
      </c>
      <c r="P536" s="63">
        <v>0</v>
      </c>
      <c r="Q536" s="64">
        <v>0</v>
      </c>
    </row>
    <row r="537" spans="1:17" ht="13.5" customHeight="1" x14ac:dyDescent="0.25"/>
    <row r="538" spans="1:17" ht="10.35" customHeight="1" x14ac:dyDescent="0.25">
      <c r="A538" s="74" t="s">
        <v>103</v>
      </c>
      <c r="B538" s="74"/>
      <c r="C538" s="74"/>
      <c r="D538" s="74"/>
      <c r="E538" s="74"/>
      <c r="F538" s="74"/>
      <c r="G538" s="74"/>
      <c r="H538" s="74"/>
      <c r="I538" s="74"/>
      <c r="J538" s="74"/>
      <c r="K538" s="74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6592-9F82-491B-9066-48E8E7349434}">
  <dimension ref="A1:S2376"/>
  <sheetViews>
    <sheetView workbookViewId="0">
      <selection activeCell="J9" sqref="J9"/>
    </sheetView>
  </sheetViews>
  <sheetFormatPr defaultRowHeight="15" x14ac:dyDescent="0.25"/>
  <cols>
    <col min="1" max="1" width="12.28515625" customWidth="1"/>
    <col min="2" max="2" width="18.42578125" customWidth="1"/>
    <col min="3" max="3" width="8.7109375" customWidth="1"/>
    <col min="4" max="4" width="5.28515625" bestFit="1" customWidth="1"/>
    <col min="5" max="5" width="6.5703125" customWidth="1"/>
    <col min="6" max="6" width="6.85546875" customWidth="1"/>
    <col min="7" max="7" width="9" customWidth="1"/>
    <col min="8" max="8" width="9.28515625" customWidth="1"/>
    <col min="9" max="9" width="17.28515625" customWidth="1"/>
    <col min="10" max="10" width="15.28515625" customWidth="1"/>
    <col min="11" max="11" width="7.42578125" customWidth="1"/>
    <col min="12" max="12" width="4" customWidth="1"/>
    <col min="13" max="13" width="3" customWidth="1"/>
    <col min="14" max="14" width="6.28515625" customWidth="1"/>
    <col min="15" max="15" width="12.140625" customWidth="1"/>
    <col min="16" max="16" width="5" customWidth="1"/>
    <col min="17" max="17" width="10.85546875" customWidth="1"/>
    <col min="18" max="18" width="9.42578125" customWidth="1"/>
    <col min="19" max="19" width="9.85546875" customWidth="1"/>
    <col min="243" max="243" width="7" customWidth="1"/>
    <col min="244" max="244" width="1.5703125" customWidth="1"/>
    <col min="245" max="245" width="11.140625" customWidth="1"/>
    <col min="246" max="246" width="8.7109375" customWidth="1"/>
    <col min="247" max="247" width="22.85546875" customWidth="1"/>
    <col min="248" max="248" width="6.5703125" customWidth="1"/>
    <col min="249" max="249" width="1" customWidth="1"/>
    <col min="250" max="250" width="6.85546875" customWidth="1"/>
    <col min="251" max="251" width="1" customWidth="1"/>
    <col min="252" max="252" width="6.28515625" customWidth="1"/>
    <col min="253" max="253" width="1" customWidth="1"/>
    <col min="254" max="254" width="9.28515625" customWidth="1"/>
    <col min="255" max="255" width="6.28515625" customWidth="1"/>
    <col min="256" max="256" width="7.140625" customWidth="1"/>
    <col min="257" max="257" width="4.28515625" customWidth="1"/>
    <col min="258" max="258" width="17.28515625" customWidth="1"/>
    <col min="259" max="259" width="15.28515625" customWidth="1"/>
    <col min="260" max="260" width="7.28515625" customWidth="1"/>
    <col min="261" max="261" width="1" customWidth="1"/>
    <col min="262" max="262" width="4" customWidth="1"/>
    <col min="263" max="263" width="1" customWidth="1"/>
    <col min="264" max="264" width="3" customWidth="1"/>
    <col min="265" max="265" width="1" customWidth="1"/>
    <col min="266" max="266" width="11.85546875" customWidth="1"/>
    <col min="267" max="267" width="1" customWidth="1"/>
    <col min="268" max="268" width="6.28515625" customWidth="1"/>
    <col min="269" max="269" width="12.140625" customWidth="1"/>
    <col min="270" max="270" width="5" customWidth="1"/>
    <col min="271" max="271" width="10.85546875" customWidth="1"/>
    <col min="272" max="272" width="3" customWidth="1"/>
    <col min="273" max="273" width="7.5703125" customWidth="1"/>
    <col min="274" max="274" width="1.7109375" customWidth="1"/>
    <col min="275" max="275" width="9.85546875" customWidth="1"/>
    <col min="499" max="499" width="7" customWidth="1"/>
    <col min="500" max="500" width="1.5703125" customWidth="1"/>
    <col min="501" max="501" width="11.140625" customWidth="1"/>
    <col min="502" max="502" width="8.7109375" customWidth="1"/>
    <col min="503" max="503" width="22.85546875" customWidth="1"/>
    <col min="504" max="504" width="6.5703125" customWidth="1"/>
    <col min="505" max="505" width="1" customWidth="1"/>
    <col min="506" max="506" width="6.85546875" customWidth="1"/>
    <col min="507" max="507" width="1" customWidth="1"/>
    <col min="508" max="508" width="6.28515625" customWidth="1"/>
    <col min="509" max="509" width="1" customWidth="1"/>
    <col min="510" max="510" width="9.28515625" customWidth="1"/>
    <col min="511" max="511" width="6.28515625" customWidth="1"/>
    <col min="512" max="512" width="7.140625" customWidth="1"/>
    <col min="513" max="513" width="4.28515625" customWidth="1"/>
    <col min="514" max="514" width="17.28515625" customWidth="1"/>
    <col min="515" max="515" width="15.28515625" customWidth="1"/>
    <col min="516" max="516" width="7.28515625" customWidth="1"/>
    <col min="517" max="517" width="1" customWidth="1"/>
    <col min="518" max="518" width="4" customWidth="1"/>
    <col min="519" max="519" width="1" customWidth="1"/>
    <col min="520" max="520" width="3" customWidth="1"/>
    <col min="521" max="521" width="1" customWidth="1"/>
    <col min="522" max="522" width="11.85546875" customWidth="1"/>
    <col min="523" max="523" width="1" customWidth="1"/>
    <col min="524" max="524" width="6.28515625" customWidth="1"/>
    <col min="525" max="525" width="12.140625" customWidth="1"/>
    <col min="526" max="526" width="5" customWidth="1"/>
    <col min="527" max="527" width="10.85546875" customWidth="1"/>
    <col min="528" max="528" width="3" customWidth="1"/>
    <col min="529" max="529" width="7.5703125" customWidth="1"/>
    <col min="530" max="530" width="1.7109375" customWidth="1"/>
    <col min="531" max="531" width="9.85546875" customWidth="1"/>
    <col min="755" max="755" width="7" customWidth="1"/>
    <col min="756" max="756" width="1.5703125" customWidth="1"/>
    <col min="757" max="757" width="11.140625" customWidth="1"/>
    <col min="758" max="758" width="8.7109375" customWidth="1"/>
    <col min="759" max="759" width="22.85546875" customWidth="1"/>
    <col min="760" max="760" width="6.5703125" customWidth="1"/>
    <col min="761" max="761" width="1" customWidth="1"/>
    <col min="762" max="762" width="6.85546875" customWidth="1"/>
    <col min="763" max="763" width="1" customWidth="1"/>
    <col min="764" max="764" width="6.28515625" customWidth="1"/>
    <col min="765" max="765" width="1" customWidth="1"/>
    <col min="766" max="766" width="9.28515625" customWidth="1"/>
    <col min="767" max="767" width="6.28515625" customWidth="1"/>
    <col min="768" max="768" width="7.140625" customWidth="1"/>
    <col min="769" max="769" width="4.28515625" customWidth="1"/>
    <col min="770" max="770" width="17.28515625" customWidth="1"/>
    <col min="771" max="771" width="15.28515625" customWidth="1"/>
    <col min="772" max="772" width="7.28515625" customWidth="1"/>
    <col min="773" max="773" width="1" customWidth="1"/>
    <col min="774" max="774" width="4" customWidth="1"/>
    <col min="775" max="775" width="1" customWidth="1"/>
    <col min="776" max="776" width="3" customWidth="1"/>
    <col min="777" max="777" width="1" customWidth="1"/>
    <col min="778" max="778" width="11.85546875" customWidth="1"/>
    <col min="779" max="779" width="1" customWidth="1"/>
    <col min="780" max="780" width="6.28515625" customWidth="1"/>
    <col min="781" max="781" width="12.140625" customWidth="1"/>
    <col min="782" max="782" width="5" customWidth="1"/>
    <col min="783" max="783" width="10.85546875" customWidth="1"/>
    <col min="784" max="784" width="3" customWidth="1"/>
    <col min="785" max="785" width="7.5703125" customWidth="1"/>
    <col min="786" max="786" width="1.7109375" customWidth="1"/>
    <col min="787" max="787" width="9.85546875" customWidth="1"/>
    <col min="1011" max="1011" width="7" customWidth="1"/>
    <col min="1012" max="1012" width="1.5703125" customWidth="1"/>
    <col min="1013" max="1013" width="11.140625" customWidth="1"/>
    <col min="1014" max="1014" width="8.7109375" customWidth="1"/>
    <col min="1015" max="1015" width="22.85546875" customWidth="1"/>
    <col min="1016" max="1016" width="6.5703125" customWidth="1"/>
    <col min="1017" max="1017" width="1" customWidth="1"/>
    <col min="1018" max="1018" width="6.85546875" customWidth="1"/>
    <col min="1019" max="1019" width="1" customWidth="1"/>
    <col min="1020" max="1020" width="6.28515625" customWidth="1"/>
    <col min="1021" max="1021" width="1" customWidth="1"/>
    <col min="1022" max="1022" width="9.28515625" customWidth="1"/>
    <col min="1023" max="1023" width="6.28515625" customWidth="1"/>
    <col min="1024" max="1024" width="7.140625" customWidth="1"/>
    <col min="1025" max="1025" width="4.28515625" customWidth="1"/>
    <col min="1026" max="1026" width="17.28515625" customWidth="1"/>
    <col min="1027" max="1027" width="15.28515625" customWidth="1"/>
    <col min="1028" max="1028" width="7.28515625" customWidth="1"/>
    <col min="1029" max="1029" width="1" customWidth="1"/>
    <col min="1030" max="1030" width="4" customWidth="1"/>
    <col min="1031" max="1031" width="1" customWidth="1"/>
    <col min="1032" max="1032" width="3" customWidth="1"/>
    <col min="1033" max="1033" width="1" customWidth="1"/>
    <col min="1034" max="1034" width="11.85546875" customWidth="1"/>
    <col min="1035" max="1035" width="1" customWidth="1"/>
    <col min="1036" max="1036" width="6.28515625" customWidth="1"/>
    <col min="1037" max="1037" width="12.140625" customWidth="1"/>
    <col min="1038" max="1038" width="5" customWidth="1"/>
    <col min="1039" max="1039" width="10.85546875" customWidth="1"/>
    <col min="1040" max="1040" width="3" customWidth="1"/>
    <col min="1041" max="1041" width="7.5703125" customWidth="1"/>
    <col min="1042" max="1042" width="1.7109375" customWidth="1"/>
    <col min="1043" max="1043" width="9.85546875" customWidth="1"/>
    <col min="1267" max="1267" width="7" customWidth="1"/>
    <col min="1268" max="1268" width="1.5703125" customWidth="1"/>
    <col min="1269" max="1269" width="11.140625" customWidth="1"/>
    <col min="1270" max="1270" width="8.7109375" customWidth="1"/>
    <col min="1271" max="1271" width="22.85546875" customWidth="1"/>
    <col min="1272" max="1272" width="6.5703125" customWidth="1"/>
    <col min="1273" max="1273" width="1" customWidth="1"/>
    <col min="1274" max="1274" width="6.85546875" customWidth="1"/>
    <col min="1275" max="1275" width="1" customWidth="1"/>
    <col min="1276" max="1276" width="6.28515625" customWidth="1"/>
    <col min="1277" max="1277" width="1" customWidth="1"/>
    <col min="1278" max="1278" width="9.28515625" customWidth="1"/>
    <col min="1279" max="1279" width="6.28515625" customWidth="1"/>
    <col min="1280" max="1280" width="7.140625" customWidth="1"/>
    <col min="1281" max="1281" width="4.28515625" customWidth="1"/>
    <col min="1282" max="1282" width="17.28515625" customWidth="1"/>
    <col min="1283" max="1283" width="15.28515625" customWidth="1"/>
    <col min="1284" max="1284" width="7.28515625" customWidth="1"/>
    <col min="1285" max="1285" width="1" customWidth="1"/>
    <col min="1286" max="1286" width="4" customWidth="1"/>
    <col min="1287" max="1287" width="1" customWidth="1"/>
    <col min="1288" max="1288" width="3" customWidth="1"/>
    <col min="1289" max="1289" width="1" customWidth="1"/>
    <col min="1290" max="1290" width="11.85546875" customWidth="1"/>
    <col min="1291" max="1291" width="1" customWidth="1"/>
    <col min="1292" max="1292" width="6.28515625" customWidth="1"/>
    <col min="1293" max="1293" width="12.140625" customWidth="1"/>
    <col min="1294" max="1294" width="5" customWidth="1"/>
    <col min="1295" max="1295" width="10.85546875" customWidth="1"/>
    <col min="1296" max="1296" width="3" customWidth="1"/>
    <col min="1297" max="1297" width="7.5703125" customWidth="1"/>
    <col min="1298" max="1298" width="1.7109375" customWidth="1"/>
    <col min="1299" max="1299" width="9.85546875" customWidth="1"/>
    <col min="1523" max="1523" width="7" customWidth="1"/>
    <col min="1524" max="1524" width="1.5703125" customWidth="1"/>
    <col min="1525" max="1525" width="11.140625" customWidth="1"/>
    <col min="1526" max="1526" width="8.7109375" customWidth="1"/>
    <col min="1527" max="1527" width="22.85546875" customWidth="1"/>
    <col min="1528" max="1528" width="6.5703125" customWidth="1"/>
    <col min="1529" max="1529" width="1" customWidth="1"/>
    <col min="1530" max="1530" width="6.85546875" customWidth="1"/>
    <col min="1531" max="1531" width="1" customWidth="1"/>
    <col min="1532" max="1532" width="6.28515625" customWidth="1"/>
    <col min="1533" max="1533" width="1" customWidth="1"/>
    <col min="1534" max="1534" width="9.28515625" customWidth="1"/>
    <col min="1535" max="1535" width="6.28515625" customWidth="1"/>
    <col min="1536" max="1536" width="7.140625" customWidth="1"/>
    <col min="1537" max="1537" width="4.28515625" customWidth="1"/>
    <col min="1538" max="1538" width="17.28515625" customWidth="1"/>
    <col min="1539" max="1539" width="15.28515625" customWidth="1"/>
    <col min="1540" max="1540" width="7.28515625" customWidth="1"/>
    <col min="1541" max="1541" width="1" customWidth="1"/>
    <col min="1542" max="1542" width="4" customWidth="1"/>
    <col min="1543" max="1543" width="1" customWidth="1"/>
    <col min="1544" max="1544" width="3" customWidth="1"/>
    <col min="1545" max="1545" width="1" customWidth="1"/>
    <col min="1546" max="1546" width="11.85546875" customWidth="1"/>
    <col min="1547" max="1547" width="1" customWidth="1"/>
    <col min="1548" max="1548" width="6.28515625" customWidth="1"/>
    <col min="1549" max="1549" width="12.140625" customWidth="1"/>
    <col min="1550" max="1550" width="5" customWidth="1"/>
    <col min="1551" max="1551" width="10.85546875" customWidth="1"/>
    <col min="1552" max="1552" width="3" customWidth="1"/>
    <col min="1553" max="1553" width="7.5703125" customWidth="1"/>
    <col min="1554" max="1554" width="1.7109375" customWidth="1"/>
    <col min="1555" max="1555" width="9.85546875" customWidth="1"/>
    <col min="1779" max="1779" width="7" customWidth="1"/>
    <col min="1780" max="1780" width="1.5703125" customWidth="1"/>
    <col min="1781" max="1781" width="11.140625" customWidth="1"/>
    <col min="1782" max="1782" width="8.7109375" customWidth="1"/>
    <col min="1783" max="1783" width="22.85546875" customWidth="1"/>
    <col min="1784" max="1784" width="6.5703125" customWidth="1"/>
    <col min="1785" max="1785" width="1" customWidth="1"/>
    <col min="1786" max="1786" width="6.85546875" customWidth="1"/>
    <col min="1787" max="1787" width="1" customWidth="1"/>
    <col min="1788" max="1788" width="6.28515625" customWidth="1"/>
    <col min="1789" max="1789" width="1" customWidth="1"/>
    <col min="1790" max="1790" width="9.28515625" customWidth="1"/>
    <col min="1791" max="1791" width="6.28515625" customWidth="1"/>
    <col min="1792" max="1792" width="7.140625" customWidth="1"/>
    <col min="1793" max="1793" width="4.28515625" customWidth="1"/>
    <col min="1794" max="1794" width="17.28515625" customWidth="1"/>
    <col min="1795" max="1795" width="15.28515625" customWidth="1"/>
    <col min="1796" max="1796" width="7.28515625" customWidth="1"/>
    <col min="1797" max="1797" width="1" customWidth="1"/>
    <col min="1798" max="1798" width="4" customWidth="1"/>
    <col min="1799" max="1799" width="1" customWidth="1"/>
    <col min="1800" max="1800" width="3" customWidth="1"/>
    <col min="1801" max="1801" width="1" customWidth="1"/>
    <col min="1802" max="1802" width="11.85546875" customWidth="1"/>
    <col min="1803" max="1803" width="1" customWidth="1"/>
    <col min="1804" max="1804" width="6.28515625" customWidth="1"/>
    <col min="1805" max="1805" width="12.140625" customWidth="1"/>
    <col min="1806" max="1806" width="5" customWidth="1"/>
    <col min="1807" max="1807" width="10.85546875" customWidth="1"/>
    <col min="1808" max="1808" width="3" customWidth="1"/>
    <col min="1809" max="1809" width="7.5703125" customWidth="1"/>
    <col min="1810" max="1810" width="1.7109375" customWidth="1"/>
    <col min="1811" max="1811" width="9.85546875" customWidth="1"/>
    <col min="2035" max="2035" width="7" customWidth="1"/>
    <col min="2036" max="2036" width="1.5703125" customWidth="1"/>
    <col min="2037" max="2037" width="11.140625" customWidth="1"/>
    <col min="2038" max="2038" width="8.7109375" customWidth="1"/>
    <col min="2039" max="2039" width="22.85546875" customWidth="1"/>
    <col min="2040" max="2040" width="6.5703125" customWidth="1"/>
    <col min="2041" max="2041" width="1" customWidth="1"/>
    <col min="2042" max="2042" width="6.85546875" customWidth="1"/>
    <col min="2043" max="2043" width="1" customWidth="1"/>
    <col min="2044" max="2044" width="6.28515625" customWidth="1"/>
    <col min="2045" max="2045" width="1" customWidth="1"/>
    <col min="2046" max="2046" width="9.28515625" customWidth="1"/>
    <col min="2047" max="2047" width="6.28515625" customWidth="1"/>
    <col min="2048" max="2048" width="7.140625" customWidth="1"/>
    <col min="2049" max="2049" width="4.28515625" customWidth="1"/>
    <col min="2050" max="2050" width="17.28515625" customWidth="1"/>
    <col min="2051" max="2051" width="15.28515625" customWidth="1"/>
    <col min="2052" max="2052" width="7.28515625" customWidth="1"/>
    <col min="2053" max="2053" width="1" customWidth="1"/>
    <col min="2054" max="2054" width="4" customWidth="1"/>
    <col min="2055" max="2055" width="1" customWidth="1"/>
    <col min="2056" max="2056" width="3" customWidth="1"/>
    <col min="2057" max="2057" width="1" customWidth="1"/>
    <col min="2058" max="2058" width="11.85546875" customWidth="1"/>
    <col min="2059" max="2059" width="1" customWidth="1"/>
    <col min="2060" max="2060" width="6.28515625" customWidth="1"/>
    <col min="2061" max="2061" width="12.140625" customWidth="1"/>
    <col min="2062" max="2062" width="5" customWidth="1"/>
    <col min="2063" max="2063" width="10.85546875" customWidth="1"/>
    <col min="2064" max="2064" width="3" customWidth="1"/>
    <col min="2065" max="2065" width="7.5703125" customWidth="1"/>
    <col min="2066" max="2066" width="1.7109375" customWidth="1"/>
    <col min="2067" max="2067" width="9.85546875" customWidth="1"/>
    <col min="2291" max="2291" width="7" customWidth="1"/>
    <col min="2292" max="2292" width="1.5703125" customWidth="1"/>
    <col min="2293" max="2293" width="11.140625" customWidth="1"/>
    <col min="2294" max="2294" width="8.7109375" customWidth="1"/>
    <col min="2295" max="2295" width="22.85546875" customWidth="1"/>
    <col min="2296" max="2296" width="6.5703125" customWidth="1"/>
    <col min="2297" max="2297" width="1" customWidth="1"/>
    <col min="2298" max="2298" width="6.85546875" customWidth="1"/>
    <col min="2299" max="2299" width="1" customWidth="1"/>
    <col min="2300" max="2300" width="6.28515625" customWidth="1"/>
    <col min="2301" max="2301" width="1" customWidth="1"/>
    <col min="2302" max="2302" width="9.28515625" customWidth="1"/>
    <col min="2303" max="2303" width="6.28515625" customWidth="1"/>
    <col min="2304" max="2304" width="7.140625" customWidth="1"/>
    <col min="2305" max="2305" width="4.28515625" customWidth="1"/>
    <col min="2306" max="2306" width="17.28515625" customWidth="1"/>
    <col min="2307" max="2307" width="15.28515625" customWidth="1"/>
    <col min="2308" max="2308" width="7.28515625" customWidth="1"/>
    <col min="2309" max="2309" width="1" customWidth="1"/>
    <col min="2310" max="2310" width="4" customWidth="1"/>
    <col min="2311" max="2311" width="1" customWidth="1"/>
    <col min="2312" max="2312" width="3" customWidth="1"/>
    <col min="2313" max="2313" width="1" customWidth="1"/>
    <col min="2314" max="2314" width="11.85546875" customWidth="1"/>
    <col min="2315" max="2315" width="1" customWidth="1"/>
    <col min="2316" max="2316" width="6.28515625" customWidth="1"/>
    <col min="2317" max="2317" width="12.140625" customWidth="1"/>
    <col min="2318" max="2318" width="5" customWidth="1"/>
    <col min="2319" max="2319" width="10.85546875" customWidth="1"/>
    <col min="2320" max="2320" width="3" customWidth="1"/>
    <col min="2321" max="2321" width="7.5703125" customWidth="1"/>
    <col min="2322" max="2322" width="1.7109375" customWidth="1"/>
    <col min="2323" max="2323" width="9.85546875" customWidth="1"/>
    <col min="2547" max="2547" width="7" customWidth="1"/>
    <col min="2548" max="2548" width="1.5703125" customWidth="1"/>
    <col min="2549" max="2549" width="11.140625" customWidth="1"/>
    <col min="2550" max="2550" width="8.7109375" customWidth="1"/>
    <col min="2551" max="2551" width="22.85546875" customWidth="1"/>
    <col min="2552" max="2552" width="6.5703125" customWidth="1"/>
    <col min="2553" max="2553" width="1" customWidth="1"/>
    <col min="2554" max="2554" width="6.85546875" customWidth="1"/>
    <col min="2555" max="2555" width="1" customWidth="1"/>
    <col min="2556" max="2556" width="6.28515625" customWidth="1"/>
    <col min="2557" max="2557" width="1" customWidth="1"/>
    <col min="2558" max="2558" width="9.28515625" customWidth="1"/>
    <col min="2559" max="2559" width="6.28515625" customWidth="1"/>
    <col min="2560" max="2560" width="7.140625" customWidth="1"/>
    <col min="2561" max="2561" width="4.28515625" customWidth="1"/>
    <col min="2562" max="2562" width="17.28515625" customWidth="1"/>
    <col min="2563" max="2563" width="15.28515625" customWidth="1"/>
    <col min="2564" max="2564" width="7.28515625" customWidth="1"/>
    <col min="2565" max="2565" width="1" customWidth="1"/>
    <col min="2566" max="2566" width="4" customWidth="1"/>
    <col min="2567" max="2567" width="1" customWidth="1"/>
    <col min="2568" max="2568" width="3" customWidth="1"/>
    <col min="2569" max="2569" width="1" customWidth="1"/>
    <col min="2570" max="2570" width="11.85546875" customWidth="1"/>
    <col min="2571" max="2571" width="1" customWidth="1"/>
    <col min="2572" max="2572" width="6.28515625" customWidth="1"/>
    <col min="2573" max="2573" width="12.140625" customWidth="1"/>
    <col min="2574" max="2574" width="5" customWidth="1"/>
    <col min="2575" max="2575" width="10.85546875" customWidth="1"/>
    <col min="2576" max="2576" width="3" customWidth="1"/>
    <col min="2577" max="2577" width="7.5703125" customWidth="1"/>
    <col min="2578" max="2578" width="1.7109375" customWidth="1"/>
    <col min="2579" max="2579" width="9.85546875" customWidth="1"/>
    <col min="2803" max="2803" width="7" customWidth="1"/>
    <col min="2804" max="2804" width="1.5703125" customWidth="1"/>
    <col min="2805" max="2805" width="11.140625" customWidth="1"/>
    <col min="2806" max="2806" width="8.7109375" customWidth="1"/>
    <col min="2807" max="2807" width="22.85546875" customWidth="1"/>
    <col min="2808" max="2808" width="6.5703125" customWidth="1"/>
    <col min="2809" max="2809" width="1" customWidth="1"/>
    <col min="2810" max="2810" width="6.85546875" customWidth="1"/>
    <col min="2811" max="2811" width="1" customWidth="1"/>
    <col min="2812" max="2812" width="6.28515625" customWidth="1"/>
    <col min="2813" max="2813" width="1" customWidth="1"/>
    <col min="2814" max="2814" width="9.28515625" customWidth="1"/>
    <col min="2815" max="2815" width="6.28515625" customWidth="1"/>
    <col min="2816" max="2816" width="7.140625" customWidth="1"/>
    <col min="2817" max="2817" width="4.28515625" customWidth="1"/>
    <col min="2818" max="2818" width="17.28515625" customWidth="1"/>
    <col min="2819" max="2819" width="15.28515625" customWidth="1"/>
    <col min="2820" max="2820" width="7.28515625" customWidth="1"/>
    <col min="2821" max="2821" width="1" customWidth="1"/>
    <col min="2822" max="2822" width="4" customWidth="1"/>
    <col min="2823" max="2823" width="1" customWidth="1"/>
    <col min="2824" max="2824" width="3" customWidth="1"/>
    <col min="2825" max="2825" width="1" customWidth="1"/>
    <col min="2826" max="2826" width="11.85546875" customWidth="1"/>
    <col min="2827" max="2827" width="1" customWidth="1"/>
    <col min="2828" max="2828" width="6.28515625" customWidth="1"/>
    <col min="2829" max="2829" width="12.140625" customWidth="1"/>
    <col min="2830" max="2830" width="5" customWidth="1"/>
    <col min="2831" max="2831" width="10.85546875" customWidth="1"/>
    <col min="2832" max="2832" width="3" customWidth="1"/>
    <col min="2833" max="2833" width="7.5703125" customWidth="1"/>
    <col min="2834" max="2834" width="1.7109375" customWidth="1"/>
    <col min="2835" max="2835" width="9.85546875" customWidth="1"/>
    <col min="3059" max="3059" width="7" customWidth="1"/>
    <col min="3060" max="3060" width="1.5703125" customWidth="1"/>
    <col min="3061" max="3061" width="11.140625" customWidth="1"/>
    <col min="3062" max="3062" width="8.7109375" customWidth="1"/>
    <col min="3063" max="3063" width="22.85546875" customWidth="1"/>
    <col min="3064" max="3064" width="6.5703125" customWidth="1"/>
    <col min="3065" max="3065" width="1" customWidth="1"/>
    <col min="3066" max="3066" width="6.85546875" customWidth="1"/>
    <col min="3067" max="3067" width="1" customWidth="1"/>
    <col min="3068" max="3068" width="6.28515625" customWidth="1"/>
    <col min="3069" max="3069" width="1" customWidth="1"/>
    <col min="3070" max="3070" width="9.28515625" customWidth="1"/>
    <col min="3071" max="3071" width="6.28515625" customWidth="1"/>
    <col min="3072" max="3072" width="7.140625" customWidth="1"/>
    <col min="3073" max="3073" width="4.28515625" customWidth="1"/>
    <col min="3074" max="3074" width="17.28515625" customWidth="1"/>
    <col min="3075" max="3075" width="15.28515625" customWidth="1"/>
    <col min="3076" max="3076" width="7.28515625" customWidth="1"/>
    <col min="3077" max="3077" width="1" customWidth="1"/>
    <col min="3078" max="3078" width="4" customWidth="1"/>
    <col min="3079" max="3079" width="1" customWidth="1"/>
    <col min="3080" max="3080" width="3" customWidth="1"/>
    <col min="3081" max="3081" width="1" customWidth="1"/>
    <col min="3082" max="3082" width="11.85546875" customWidth="1"/>
    <col min="3083" max="3083" width="1" customWidth="1"/>
    <col min="3084" max="3084" width="6.28515625" customWidth="1"/>
    <col min="3085" max="3085" width="12.140625" customWidth="1"/>
    <col min="3086" max="3086" width="5" customWidth="1"/>
    <col min="3087" max="3087" width="10.85546875" customWidth="1"/>
    <col min="3088" max="3088" width="3" customWidth="1"/>
    <col min="3089" max="3089" width="7.5703125" customWidth="1"/>
    <col min="3090" max="3090" width="1.7109375" customWidth="1"/>
    <col min="3091" max="3091" width="9.85546875" customWidth="1"/>
    <col min="3315" max="3315" width="7" customWidth="1"/>
    <col min="3316" max="3316" width="1.5703125" customWidth="1"/>
    <col min="3317" max="3317" width="11.140625" customWidth="1"/>
    <col min="3318" max="3318" width="8.7109375" customWidth="1"/>
    <col min="3319" max="3319" width="22.85546875" customWidth="1"/>
    <col min="3320" max="3320" width="6.5703125" customWidth="1"/>
    <col min="3321" max="3321" width="1" customWidth="1"/>
    <col min="3322" max="3322" width="6.85546875" customWidth="1"/>
    <col min="3323" max="3323" width="1" customWidth="1"/>
    <col min="3324" max="3324" width="6.28515625" customWidth="1"/>
    <col min="3325" max="3325" width="1" customWidth="1"/>
    <col min="3326" max="3326" width="9.28515625" customWidth="1"/>
    <col min="3327" max="3327" width="6.28515625" customWidth="1"/>
    <col min="3328" max="3328" width="7.140625" customWidth="1"/>
    <col min="3329" max="3329" width="4.28515625" customWidth="1"/>
    <col min="3330" max="3330" width="17.28515625" customWidth="1"/>
    <col min="3331" max="3331" width="15.28515625" customWidth="1"/>
    <col min="3332" max="3332" width="7.28515625" customWidth="1"/>
    <col min="3333" max="3333" width="1" customWidth="1"/>
    <col min="3334" max="3334" width="4" customWidth="1"/>
    <col min="3335" max="3335" width="1" customWidth="1"/>
    <col min="3336" max="3336" width="3" customWidth="1"/>
    <col min="3337" max="3337" width="1" customWidth="1"/>
    <col min="3338" max="3338" width="11.85546875" customWidth="1"/>
    <col min="3339" max="3339" width="1" customWidth="1"/>
    <col min="3340" max="3340" width="6.28515625" customWidth="1"/>
    <col min="3341" max="3341" width="12.140625" customWidth="1"/>
    <col min="3342" max="3342" width="5" customWidth="1"/>
    <col min="3343" max="3343" width="10.85546875" customWidth="1"/>
    <col min="3344" max="3344" width="3" customWidth="1"/>
    <col min="3345" max="3345" width="7.5703125" customWidth="1"/>
    <col min="3346" max="3346" width="1.7109375" customWidth="1"/>
    <col min="3347" max="3347" width="9.85546875" customWidth="1"/>
    <col min="3571" max="3571" width="7" customWidth="1"/>
    <col min="3572" max="3572" width="1.5703125" customWidth="1"/>
    <col min="3573" max="3573" width="11.140625" customWidth="1"/>
    <col min="3574" max="3574" width="8.7109375" customWidth="1"/>
    <col min="3575" max="3575" width="22.85546875" customWidth="1"/>
    <col min="3576" max="3576" width="6.5703125" customWidth="1"/>
    <col min="3577" max="3577" width="1" customWidth="1"/>
    <col min="3578" max="3578" width="6.85546875" customWidth="1"/>
    <col min="3579" max="3579" width="1" customWidth="1"/>
    <col min="3580" max="3580" width="6.28515625" customWidth="1"/>
    <col min="3581" max="3581" width="1" customWidth="1"/>
    <col min="3582" max="3582" width="9.28515625" customWidth="1"/>
    <col min="3583" max="3583" width="6.28515625" customWidth="1"/>
    <col min="3584" max="3584" width="7.140625" customWidth="1"/>
    <col min="3585" max="3585" width="4.28515625" customWidth="1"/>
    <col min="3586" max="3586" width="17.28515625" customWidth="1"/>
    <col min="3587" max="3587" width="15.28515625" customWidth="1"/>
    <col min="3588" max="3588" width="7.28515625" customWidth="1"/>
    <col min="3589" max="3589" width="1" customWidth="1"/>
    <col min="3590" max="3590" width="4" customWidth="1"/>
    <col min="3591" max="3591" width="1" customWidth="1"/>
    <col min="3592" max="3592" width="3" customWidth="1"/>
    <col min="3593" max="3593" width="1" customWidth="1"/>
    <col min="3594" max="3594" width="11.85546875" customWidth="1"/>
    <col min="3595" max="3595" width="1" customWidth="1"/>
    <col min="3596" max="3596" width="6.28515625" customWidth="1"/>
    <col min="3597" max="3597" width="12.140625" customWidth="1"/>
    <col min="3598" max="3598" width="5" customWidth="1"/>
    <col min="3599" max="3599" width="10.85546875" customWidth="1"/>
    <col min="3600" max="3600" width="3" customWidth="1"/>
    <col min="3601" max="3601" width="7.5703125" customWidth="1"/>
    <col min="3602" max="3602" width="1.7109375" customWidth="1"/>
    <col min="3603" max="3603" width="9.85546875" customWidth="1"/>
    <col min="3827" max="3827" width="7" customWidth="1"/>
    <col min="3828" max="3828" width="1.5703125" customWidth="1"/>
    <col min="3829" max="3829" width="11.140625" customWidth="1"/>
    <col min="3830" max="3830" width="8.7109375" customWidth="1"/>
    <col min="3831" max="3831" width="22.85546875" customWidth="1"/>
    <col min="3832" max="3832" width="6.5703125" customWidth="1"/>
    <col min="3833" max="3833" width="1" customWidth="1"/>
    <col min="3834" max="3834" width="6.85546875" customWidth="1"/>
    <col min="3835" max="3835" width="1" customWidth="1"/>
    <col min="3836" max="3836" width="6.28515625" customWidth="1"/>
    <col min="3837" max="3837" width="1" customWidth="1"/>
    <col min="3838" max="3838" width="9.28515625" customWidth="1"/>
    <col min="3839" max="3839" width="6.28515625" customWidth="1"/>
    <col min="3840" max="3840" width="7.140625" customWidth="1"/>
    <col min="3841" max="3841" width="4.28515625" customWidth="1"/>
    <col min="3842" max="3842" width="17.28515625" customWidth="1"/>
    <col min="3843" max="3843" width="15.28515625" customWidth="1"/>
    <col min="3844" max="3844" width="7.28515625" customWidth="1"/>
    <col min="3845" max="3845" width="1" customWidth="1"/>
    <col min="3846" max="3846" width="4" customWidth="1"/>
    <col min="3847" max="3847" width="1" customWidth="1"/>
    <col min="3848" max="3848" width="3" customWidth="1"/>
    <col min="3849" max="3849" width="1" customWidth="1"/>
    <col min="3850" max="3850" width="11.85546875" customWidth="1"/>
    <col min="3851" max="3851" width="1" customWidth="1"/>
    <col min="3852" max="3852" width="6.28515625" customWidth="1"/>
    <col min="3853" max="3853" width="12.140625" customWidth="1"/>
    <col min="3854" max="3854" width="5" customWidth="1"/>
    <col min="3855" max="3855" width="10.85546875" customWidth="1"/>
    <col min="3856" max="3856" width="3" customWidth="1"/>
    <col min="3857" max="3857" width="7.5703125" customWidth="1"/>
    <col min="3858" max="3858" width="1.7109375" customWidth="1"/>
    <col min="3859" max="3859" width="9.85546875" customWidth="1"/>
    <col min="4083" max="4083" width="7" customWidth="1"/>
    <col min="4084" max="4084" width="1.5703125" customWidth="1"/>
    <col min="4085" max="4085" width="11.140625" customWidth="1"/>
    <col min="4086" max="4086" width="8.7109375" customWidth="1"/>
    <col min="4087" max="4087" width="22.85546875" customWidth="1"/>
    <col min="4088" max="4088" width="6.5703125" customWidth="1"/>
    <col min="4089" max="4089" width="1" customWidth="1"/>
    <col min="4090" max="4090" width="6.85546875" customWidth="1"/>
    <col min="4091" max="4091" width="1" customWidth="1"/>
    <col min="4092" max="4092" width="6.28515625" customWidth="1"/>
    <col min="4093" max="4093" width="1" customWidth="1"/>
    <col min="4094" max="4094" width="9.28515625" customWidth="1"/>
    <col min="4095" max="4095" width="6.28515625" customWidth="1"/>
    <col min="4096" max="4096" width="7.140625" customWidth="1"/>
    <col min="4097" max="4097" width="4.28515625" customWidth="1"/>
    <col min="4098" max="4098" width="17.28515625" customWidth="1"/>
    <col min="4099" max="4099" width="15.28515625" customWidth="1"/>
    <col min="4100" max="4100" width="7.28515625" customWidth="1"/>
    <col min="4101" max="4101" width="1" customWidth="1"/>
    <col min="4102" max="4102" width="4" customWidth="1"/>
    <col min="4103" max="4103" width="1" customWidth="1"/>
    <col min="4104" max="4104" width="3" customWidth="1"/>
    <col min="4105" max="4105" width="1" customWidth="1"/>
    <col min="4106" max="4106" width="11.85546875" customWidth="1"/>
    <col min="4107" max="4107" width="1" customWidth="1"/>
    <col min="4108" max="4108" width="6.28515625" customWidth="1"/>
    <col min="4109" max="4109" width="12.140625" customWidth="1"/>
    <col min="4110" max="4110" width="5" customWidth="1"/>
    <col min="4111" max="4111" width="10.85546875" customWidth="1"/>
    <col min="4112" max="4112" width="3" customWidth="1"/>
    <col min="4113" max="4113" width="7.5703125" customWidth="1"/>
    <col min="4114" max="4114" width="1.7109375" customWidth="1"/>
    <col min="4115" max="4115" width="9.85546875" customWidth="1"/>
    <col min="4339" max="4339" width="7" customWidth="1"/>
    <col min="4340" max="4340" width="1.5703125" customWidth="1"/>
    <col min="4341" max="4341" width="11.140625" customWidth="1"/>
    <col min="4342" max="4342" width="8.7109375" customWidth="1"/>
    <col min="4343" max="4343" width="22.85546875" customWidth="1"/>
    <col min="4344" max="4344" width="6.5703125" customWidth="1"/>
    <col min="4345" max="4345" width="1" customWidth="1"/>
    <col min="4346" max="4346" width="6.85546875" customWidth="1"/>
    <col min="4347" max="4347" width="1" customWidth="1"/>
    <col min="4348" max="4348" width="6.28515625" customWidth="1"/>
    <col min="4349" max="4349" width="1" customWidth="1"/>
    <col min="4350" max="4350" width="9.28515625" customWidth="1"/>
    <col min="4351" max="4351" width="6.28515625" customWidth="1"/>
    <col min="4352" max="4352" width="7.140625" customWidth="1"/>
    <col min="4353" max="4353" width="4.28515625" customWidth="1"/>
    <col min="4354" max="4354" width="17.28515625" customWidth="1"/>
    <col min="4355" max="4355" width="15.28515625" customWidth="1"/>
    <col min="4356" max="4356" width="7.28515625" customWidth="1"/>
    <col min="4357" max="4357" width="1" customWidth="1"/>
    <col min="4358" max="4358" width="4" customWidth="1"/>
    <col min="4359" max="4359" width="1" customWidth="1"/>
    <col min="4360" max="4360" width="3" customWidth="1"/>
    <col min="4361" max="4361" width="1" customWidth="1"/>
    <col min="4362" max="4362" width="11.85546875" customWidth="1"/>
    <col min="4363" max="4363" width="1" customWidth="1"/>
    <col min="4364" max="4364" width="6.28515625" customWidth="1"/>
    <col min="4365" max="4365" width="12.140625" customWidth="1"/>
    <col min="4366" max="4366" width="5" customWidth="1"/>
    <col min="4367" max="4367" width="10.85546875" customWidth="1"/>
    <col min="4368" max="4368" width="3" customWidth="1"/>
    <col min="4369" max="4369" width="7.5703125" customWidth="1"/>
    <col min="4370" max="4370" width="1.7109375" customWidth="1"/>
    <col min="4371" max="4371" width="9.85546875" customWidth="1"/>
    <col min="4595" max="4595" width="7" customWidth="1"/>
    <col min="4596" max="4596" width="1.5703125" customWidth="1"/>
    <col min="4597" max="4597" width="11.140625" customWidth="1"/>
    <col min="4598" max="4598" width="8.7109375" customWidth="1"/>
    <col min="4599" max="4599" width="22.85546875" customWidth="1"/>
    <col min="4600" max="4600" width="6.5703125" customWidth="1"/>
    <col min="4601" max="4601" width="1" customWidth="1"/>
    <col min="4602" max="4602" width="6.85546875" customWidth="1"/>
    <col min="4603" max="4603" width="1" customWidth="1"/>
    <col min="4604" max="4604" width="6.28515625" customWidth="1"/>
    <col min="4605" max="4605" width="1" customWidth="1"/>
    <col min="4606" max="4606" width="9.28515625" customWidth="1"/>
    <col min="4607" max="4607" width="6.28515625" customWidth="1"/>
    <col min="4608" max="4608" width="7.140625" customWidth="1"/>
    <col min="4609" max="4609" width="4.28515625" customWidth="1"/>
    <col min="4610" max="4610" width="17.28515625" customWidth="1"/>
    <col min="4611" max="4611" width="15.28515625" customWidth="1"/>
    <col min="4612" max="4612" width="7.28515625" customWidth="1"/>
    <col min="4613" max="4613" width="1" customWidth="1"/>
    <col min="4614" max="4614" width="4" customWidth="1"/>
    <col min="4615" max="4615" width="1" customWidth="1"/>
    <col min="4616" max="4616" width="3" customWidth="1"/>
    <col min="4617" max="4617" width="1" customWidth="1"/>
    <col min="4618" max="4618" width="11.85546875" customWidth="1"/>
    <col min="4619" max="4619" width="1" customWidth="1"/>
    <col min="4620" max="4620" width="6.28515625" customWidth="1"/>
    <col min="4621" max="4621" width="12.140625" customWidth="1"/>
    <col min="4622" max="4622" width="5" customWidth="1"/>
    <col min="4623" max="4623" width="10.85546875" customWidth="1"/>
    <col min="4624" max="4624" width="3" customWidth="1"/>
    <col min="4625" max="4625" width="7.5703125" customWidth="1"/>
    <col min="4626" max="4626" width="1.7109375" customWidth="1"/>
    <col min="4627" max="4627" width="9.85546875" customWidth="1"/>
    <col min="4851" max="4851" width="7" customWidth="1"/>
    <col min="4852" max="4852" width="1.5703125" customWidth="1"/>
    <col min="4853" max="4853" width="11.140625" customWidth="1"/>
    <col min="4854" max="4854" width="8.7109375" customWidth="1"/>
    <col min="4855" max="4855" width="22.85546875" customWidth="1"/>
    <col min="4856" max="4856" width="6.5703125" customWidth="1"/>
    <col min="4857" max="4857" width="1" customWidth="1"/>
    <col min="4858" max="4858" width="6.85546875" customWidth="1"/>
    <col min="4859" max="4859" width="1" customWidth="1"/>
    <col min="4860" max="4860" width="6.28515625" customWidth="1"/>
    <col min="4861" max="4861" width="1" customWidth="1"/>
    <col min="4862" max="4862" width="9.28515625" customWidth="1"/>
    <col min="4863" max="4863" width="6.28515625" customWidth="1"/>
    <col min="4864" max="4864" width="7.140625" customWidth="1"/>
    <col min="4865" max="4865" width="4.28515625" customWidth="1"/>
    <col min="4866" max="4866" width="17.28515625" customWidth="1"/>
    <col min="4867" max="4867" width="15.28515625" customWidth="1"/>
    <col min="4868" max="4868" width="7.28515625" customWidth="1"/>
    <col min="4869" max="4869" width="1" customWidth="1"/>
    <col min="4870" max="4870" width="4" customWidth="1"/>
    <col min="4871" max="4871" width="1" customWidth="1"/>
    <col min="4872" max="4872" width="3" customWidth="1"/>
    <col min="4873" max="4873" width="1" customWidth="1"/>
    <col min="4874" max="4874" width="11.85546875" customWidth="1"/>
    <col min="4875" max="4875" width="1" customWidth="1"/>
    <col min="4876" max="4876" width="6.28515625" customWidth="1"/>
    <col min="4877" max="4877" width="12.140625" customWidth="1"/>
    <col min="4878" max="4878" width="5" customWidth="1"/>
    <col min="4879" max="4879" width="10.85546875" customWidth="1"/>
    <col min="4880" max="4880" width="3" customWidth="1"/>
    <col min="4881" max="4881" width="7.5703125" customWidth="1"/>
    <col min="4882" max="4882" width="1.7109375" customWidth="1"/>
    <col min="4883" max="4883" width="9.85546875" customWidth="1"/>
    <col min="5107" max="5107" width="7" customWidth="1"/>
    <col min="5108" max="5108" width="1.5703125" customWidth="1"/>
    <col min="5109" max="5109" width="11.140625" customWidth="1"/>
    <col min="5110" max="5110" width="8.7109375" customWidth="1"/>
    <col min="5111" max="5111" width="22.85546875" customWidth="1"/>
    <col min="5112" max="5112" width="6.5703125" customWidth="1"/>
    <col min="5113" max="5113" width="1" customWidth="1"/>
    <col min="5114" max="5114" width="6.85546875" customWidth="1"/>
    <col min="5115" max="5115" width="1" customWidth="1"/>
    <col min="5116" max="5116" width="6.28515625" customWidth="1"/>
    <col min="5117" max="5117" width="1" customWidth="1"/>
    <col min="5118" max="5118" width="9.28515625" customWidth="1"/>
    <col min="5119" max="5119" width="6.28515625" customWidth="1"/>
    <col min="5120" max="5120" width="7.140625" customWidth="1"/>
    <col min="5121" max="5121" width="4.28515625" customWidth="1"/>
    <col min="5122" max="5122" width="17.28515625" customWidth="1"/>
    <col min="5123" max="5123" width="15.28515625" customWidth="1"/>
    <col min="5124" max="5124" width="7.28515625" customWidth="1"/>
    <col min="5125" max="5125" width="1" customWidth="1"/>
    <col min="5126" max="5126" width="4" customWidth="1"/>
    <col min="5127" max="5127" width="1" customWidth="1"/>
    <col min="5128" max="5128" width="3" customWidth="1"/>
    <col min="5129" max="5129" width="1" customWidth="1"/>
    <col min="5130" max="5130" width="11.85546875" customWidth="1"/>
    <col min="5131" max="5131" width="1" customWidth="1"/>
    <col min="5132" max="5132" width="6.28515625" customWidth="1"/>
    <col min="5133" max="5133" width="12.140625" customWidth="1"/>
    <col min="5134" max="5134" width="5" customWidth="1"/>
    <col min="5135" max="5135" width="10.85546875" customWidth="1"/>
    <col min="5136" max="5136" width="3" customWidth="1"/>
    <col min="5137" max="5137" width="7.5703125" customWidth="1"/>
    <col min="5138" max="5138" width="1.7109375" customWidth="1"/>
    <col min="5139" max="5139" width="9.85546875" customWidth="1"/>
    <col min="5363" max="5363" width="7" customWidth="1"/>
    <col min="5364" max="5364" width="1.5703125" customWidth="1"/>
    <col min="5365" max="5365" width="11.140625" customWidth="1"/>
    <col min="5366" max="5366" width="8.7109375" customWidth="1"/>
    <col min="5367" max="5367" width="22.85546875" customWidth="1"/>
    <col min="5368" max="5368" width="6.5703125" customWidth="1"/>
    <col min="5369" max="5369" width="1" customWidth="1"/>
    <col min="5370" max="5370" width="6.85546875" customWidth="1"/>
    <col min="5371" max="5371" width="1" customWidth="1"/>
    <col min="5372" max="5372" width="6.28515625" customWidth="1"/>
    <col min="5373" max="5373" width="1" customWidth="1"/>
    <col min="5374" max="5374" width="9.28515625" customWidth="1"/>
    <col min="5375" max="5375" width="6.28515625" customWidth="1"/>
    <col min="5376" max="5376" width="7.140625" customWidth="1"/>
    <col min="5377" max="5377" width="4.28515625" customWidth="1"/>
    <col min="5378" max="5378" width="17.28515625" customWidth="1"/>
    <col min="5379" max="5379" width="15.28515625" customWidth="1"/>
    <col min="5380" max="5380" width="7.28515625" customWidth="1"/>
    <col min="5381" max="5381" width="1" customWidth="1"/>
    <col min="5382" max="5382" width="4" customWidth="1"/>
    <col min="5383" max="5383" width="1" customWidth="1"/>
    <col min="5384" max="5384" width="3" customWidth="1"/>
    <col min="5385" max="5385" width="1" customWidth="1"/>
    <col min="5386" max="5386" width="11.85546875" customWidth="1"/>
    <col min="5387" max="5387" width="1" customWidth="1"/>
    <col min="5388" max="5388" width="6.28515625" customWidth="1"/>
    <col min="5389" max="5389" width="12.140625" customWidth="1"/>
    <col min="5390" max="5390" width="5" customWidth="1"/>
    <col min="5391" max="5391" width="10.85546875" customWidth="1"/>
    <col min="5392" max="5392" width="3" customWidth="1"/>
    <col min="5393" max="5393" width="7.5703125" customWidth="1"/>
    <col min="5394" max="5394" width="1.7109375" customWidth="1"/>
    <col min="5395" max="5395" width="9.85546875" customWidth="1"/>
    <col min="5619" max="5619" width="7" customWidth="1"/>
    <col min="5620" max="5620" width="1.5703125" customWidth="1"/>
    <col min="5621" max="5621" width="11.140625" customWidth="1"/>
    <col min="5622" max="5622" width="8.7109375" customWidth="1"/>
    <col min="5623" max="5623" width="22.85546875" customWidth="1"/>
    <col min="5624" max="5624" width="6.5703125" customWidth="1"/>
    <col min="5625" max="5625" width="1" customWidth="1"/>
    <col min="5626" max="5626" width="6.85546875" customWidth="1"/>
    <col min="5627" max="5627" width="1" customWidth="1"/>
    <col min="5628" max="5628" width="6.28515625" customWidth="1"/>
    <col min="5629" max="5629" width="1" customWidth="1"/>
    <col min="5630" max="5630" width="9.28515625" customWidth="1"/>
    <col min="5631" max="5631" width="6.28515625" customWidth="1"/>
    <col min="5632" max="5632" width="7.140625" customWidth="1"/>
    <col min="5633" max="5633" width="4.28515625" customWidth="1"/>
    <col min="5634" max="5634" width="17.28515625" customWidth="1"/>
    <col min="5635" max="5635" width="15.28515625" customWidth="1"/>
    <col min="5636" max="5636" width="7.28515625" customWidth="1"/>
    <col min="5637" max="5637" width="1" customWidth="1"/>
    <col min="5638" max="5638" width="4" customWidth="1"/>
    <col min="5639" max="5639" width="1" customWidth="1"/>
    <col min="5640" max="5640" width="3" customWidth="1"/>
    <col min="5641" max="5641" width="1" customWidth="1"/>
    <col min="5642" max="5642" width="11.85546875" customWidth="1"/>
    <col min="5643" max="5643" width="1" customWidth="1"/>
    <col min="5644" max="5644" width="6.28515625" customWidth="1"/>
    <col min="5645" max="5645" width="12.140625" customWidth="1"/>
    <col min="5646" max="5646" width="5" customWidth="1"/>
    <col min="5647" max="5647" width="10.85546875" customWidth="1"/>
    <col min="5648" max="5648" width="3" customWidth="1"/>
    <col min="5649" max="5649" width="7.5703125" customWidth="1"/>
    <col min="5650" max="5650" width="1.7109375" customWidth="1"/>
    <col min="5651" max="5651" width="9.85546875" customWidth="1"/>
    <col min="5875" max="5875" width="7" customWidth="1"/>
    <col min="5876" max="5876" width="1.5703125" customWidth="1"/>
    <col min="5877" max="5877" width="11.140625" customWidth="1"/>
    <col min="5878" max="5878" width="8.7109375" customWidth="1"/>
    <col min="5879" max="5879" width="22.85546875" customWidth="1"/>
    <col min="5880" max="5880" width="6.5703125" customWidth="1"/>
    <col min="5881" max="5881" width="1" customWidth="1"/>
    <col min="5882" max="5882" width="6.85546875" customWidth="1"/>
    <col min="5883" max="5883" width="1" customWidth="1"/>
    <col min="5884" max="5884" width="6.28515625" customWidth="1"/>
    <col min="5885" max="5885" width="1" customWidth="1"/>
    <col min="5886" max="5886" width="9.28515625" customWidth="1"/>
    <col min="5887" max="5887" width="6.28515625" customWidth="1"/>
    <col min="5888" max="5888" width="7.140625" customWidth="1"/>
    <col min="5889" max="5889" width="4.28515625" customWidth="1"/>
    <col min="5890" max="5890" width="17.28515625" customWidth="1"/>
    <col min="5891" max="5891" width="15.28515625" customWidth="1"/>
    <col min="5892" max="5892" width="7.28515625" customWidth="1"/>
    <col min="5893" max="5893" width="1" customWidth="1"/>
    <col min="5894" max="5894" width="4" customWidth="1"/>
    <col min="5895" max="5895" width="1" customWidth="1"/>
    <col min="5896" max="5896" width="3" customWidth="1"/>
    <col min="5897" max="5897" width="1" customWidth="1"/>
    <col min="5898" max="5898" width="11.85546875" customWidth="1"/>
    <col min="5899" max="5899" width="1" customWidth="1"/>
    <col min="5900" max="5900" width="6.28515625" customWidth="1"/>
    <col min="5901" max="5901" width="12.140625" customWidth="1"/>
    <col min="5902" max="5902" width="5" customWidth="1"/>
    <col min="5903" max="5903" width="10.85546875" customWidth="1"/>
    <col min="5904" max="5904" width="3" customWidth="1"/>
    <col min="5905" max="5905" width="7.5703125" customWidth="1"/>
    <col min="5906" max="5906" width="1.7109375" customWidth="1"/>
    <col min="5907" max="5907" width="9.85546875" customWidth="1"/>
    <col min="6131" max="6131" width="7" customWidth="1"/>
    <col min="6132" max="6132" width="1.5703125" customWidth="1"/>
    <col min="6133" max="6133" width="11.140625" customWidth="1"/>
    <col min="6134" max="6134" width="8.7109375" customWidth="1"/>
    <col min="6135" max="6135" width="22.85546875" customWidth="1"/>
    <col min="6136" max="6136" width="6.5703125" customWidth="1"/>
    <col min="6137" max="6137" width="1" customWidth="1"/>
    <col min="6138" max="6138" width="6.85546875" customWidth="1"/>
    <col min="6139" max="6139" width="1" customWidth="1"/>
    <col min="6140" max="6140" width="6.28515625" customWidth="1"/>
    <col min="6141" max="6141" width="1" customWidth="1"/>
    <col min="6142" max="6142" width="9.28515625" customWidth="1"/>
    <col min="6143" max="6143" width="6.28515625" customWidth="1"/>
    <col min="6144" max="6144" width="7.140625" customWidth="1"/>
    <col min="6145" max="6145" width="4.28515625" customWidth="1"/>
    <col min="6146" max="6146" width="17.28515625" customWidth="1"/>
    <col min="6147" max="6147" width="15.28515625" customWidth="1"/>
    <col min="6148" max="6148" width="7.28515625" customWidth="1"/>
    <col min="6149" max="6149" width="1" customWidth="1"/>
    <col min="6150" max="6150" width="4" customWidth="1"/>
    <col min="6151" max="6151" width="1" customWidth="1"/>
    <col min="6152" max="6152" width="3" customWidth="1"/>
    <col min="6153" max="6153" width="1" customWidth="1"/>
    <col min="6154" max="6154" width="11.85546875" customWidth="1"/>
    <col min="6155" max="6155" width="1" customWidth="1"/>
    <col min="6156" max="6156" width="6.28515625" customWidth="1"/>
    <col min="6157" max="6157" width="12.140625" customWidth="1"/>
    <col min="6158" max="6158" width="5" customWidth="1"/>
    <col min="6159" max="6159" width="10.85546875" customWidth="1"/>
    <col min="6160" max="6160" width="3" customWidth="1"/>
    <col min="6161" max="6161" width="7.5703125" customWidth="1"/>
    <col min="6162" max="6162" width="1.7109375" customWidth="1"/>
    <col min="6163" max="6163" width="9.85546875" customWidth="1"/>
    <col min="6387" max="6387" width="7" customWidth="1"/>
    <col min="6388" max="6388" width="1.5703125" customWidth="1"/>
    <col min="6389" max="6389" width="11.140625" customWidth="1"/>
    <col min="6390" max="6390" width="8.7109375" customWidth="1"/>
    <col min="6391" max="6391" width="22.85546875" customWidth="1"/>
    <col min="6392" max="6392" width="6.5703125" customWidth="1"/>
    <col min="6393" max="6393" width="1" customWidth="1"/>
    <col min="6394" max="6394" width="6.85546875" customWidth="1"/>
    <col min="6395" max="6395" width="1" customWidth="1"/>
    <col min="6396" max="6396" width="6.28515625" customWidth="1"/>
    <col min="6397" max="6397" width="1" customWidth="1"/>
    <col min="6398" max="6398" width="9.28515625" customWidth="1"/>
    <col min="6399" max="6399" width="6.28515625" customWidth="1"/>
    <col min="6400" max="6400" width="7.140625" customWidth="1"/>
    <col min="6401" max="6401" width="4.28515625" customWidth="1"/>
    <col min="6402" max="6402" width="17.28515625" customWidth="1"/>
    <col min="6403" max="6403" width="15.28515625" customWidth="1"/>
    <col min="6404" max="6404" width="7.28515625" customWidth="1"/>
    <col min="6405" max="6405" width="1" customWidth="1"/>
    <col min="6406" max="6406" width="4" customWidth="1"/>
    <col min="6407" max="6407" width="1" customWidth="1"/>
    <col min="6408" max="6408" width="3" customWidth="1"/>
    <col min="6409" max="6409" width="1" customWidth="1"/>
    <col min="6410" max="6410" width="11.85546875" customWidth="1"/>
    <col min="6411" max="6411" width="1" customWidth="1"/>
    <col min="6412" max="6412" width="6.28515625" customWidth="1"/>
    <col min="6413" max="6413" width="12.140625" customWidth="1"/>
    <col min="6414" max="6414" width="5" customWidth="1"/>
    <col min="6415" max="6415" width="10.85546875" customWidth="1"/>
    <col min="6416" max="6416" width="3" customWidth="1"/>
    <col min="6417" max="6417" width="7.5703125" customWidth="1"/>
    <col min="6418" max="6418" width="1.7109375" customWidth="1"/>
    <col min="6419" max="6419" width="9.85546875" customWidth="1"/>
    <col min="6643" max="6643" width="7" customWidth="1"/>
    <col min="6644" max="6644" width="1.5703125" customWidth="1"/>
    <col min="6645" max="6645" width="11.140625" customWidth="1"/>
    <col min="6646" max="6646" width="8.7109375" customWidth="1"/>
    <col min="6647" max="6647" width="22.85546875" customWidth="1"/>
    <col min="6648" max="6648" width="6.5703125" customWidth="1"/>
    <col min="6649" max="6649" width="1" customWidth="1"/>
    <col min="6650" max="6650" width="6.85546875" customWidth="1"/>
    <col min="6651" max="6651" width="1" customWidth="1"/>
    <col min="6652" max="6652" width="6.28515625" customWidth="1"/>
    <col min="6653" max="6653" width="1" customWidth="1"/>
    <col min="6654" max="6654" width="9.28515625" customWidth="1"/>
    <col min="6655" max="6655" width="6.28515625" customWidth="1"/>
    <col min="6656" max="6656" width="7.140625" customWidth="1"/>
    <col min="6657" max="6657" width="4.28515625" customWidth="1"/>
    <col min="6658" max="6658" width="17.28515625" customWidth="1"/>
    <col min="6659" max="6659" width="15.28515625" customWidth="1"/>
    <col min="6660" max="6660" width="7.28515625" customWidth="1"/>
    <col min="6661" max="6661" width="1" customWidth="1"/>
    <col min="6662" max="6662" width="4" customWidth="1"/>
    <col min="6663" max="6663" width="1" customWidth="1"/>
    <col min="6664" max="6664" width="3" customWidth="1"/>
    <col min="6665" max="6665" width="1" customWidth="1"/>
    <col min="6666" max="6666" width="11.85546875" customWidth="1"/>
    <col min="6667" max="6667" width="1" customWidth="1"/>
    <col min="6668" max="6668" width="6.28515625" customWidth="1"/>
    <col min="6669" max="6669" width="12.140625" customWidth="1"/>
    <col min="6670" max="6670" width="5" customWidth="1"/>
    <col min="6671" max="6671" width="10.85546875" customWidth="1"/>
    <col min="6672" max="6672" width="3" customWidth="1"/>
    <col min="6673" max="6673" width="7.5703125" customWidth="1"/>
    <col min="6674" max="6674" width="1.7109375" customWidth="1"/>
    <col min="6675" max="6675" width="9.85546875" customWidth="1"/>
    <col min="6899" max="6899" width="7" customWidth="1"/>
    <col min="6900" max="6900" width="1.5703125" customWidth="1"/>
    <col min="6901" max="6901" width="11.140625" customWidth="1"/>
    <col min="6902" max="6902" width="8.7109375" customWidth="1"/>
    <col min="6903" max="6903" width="22.85546875" customWidth="1"/>
    <col min="6904" max="6904" width="6.5703125" customWidth="1"/>
    <col min="6905" max="6905" width="1" customWidth="1"/>
    <col min="6906" max="6906" width="6.85546875" customWidth="1"/>
    <col min="6907" max="6907" width="1" customWidth="1"/>
    <col min="6908" max="6908" width="6.28515625" customWidth="1"/>
    <col min="6909" max="6909" width="1" customWidth="1"/>
    <col min="6910" max="6910" width="9.28515625" customWidth="1"/>
    <col min="6911" max="6911" width="6.28515625" customWidth="1"/>
    <col min="6912" max="6912" width="7.140625" customWidth="1"/>
    <col min="6913" max="6913" width="4.28515625" customWidth="1"/>
    <col min="6914" max="6914" width="17.28515625" customWidth="1"/>
    <col min="6915" max="6915" width="15.28515625" customWidth="1"/>
    <col min="6916" max="6916" width="7.28515625" customWidth="1"/>
    <col min="6917" max="6917" width="1" customWidth="1"/>
    <col min="6918" max="6918" width="4" customWidth="1"/>
    <col min="6919" max="6919" width="1" customWidth="1"/>
    <col min="6920" max="6920" width="3" customWidth="1"/>
    <col min="6921" max="6921" width="1" customWidth="1"/>
    <col min="6922" max="6922" width="11.85546875" customWidth="1"/>
    <col min="6923" max="6923" width="1" customWidth="1"/>
    <col min="6924" max="6924" width="6.28515625" customWidth="1"/>
    <col min="6925" max="6925" width="12.140625" customWidth="1"/>
    <col min="6926" max="6926" width="5" customWidth="1"/>
    <col min="6927" max="6927" width="10.85546875" customWidth="1"/>
    <col min="6928" max="6928" width="3" customWidth="1"/>
    <col min="6929" max="6929" width="7.5703125" customWidth="1"/>
    <col min="6930" max="6930" width="1.7109375" customWidth="1"/>
    <col min="6931" max="6931" width="9.85546875" customWidth="1"/>
    <col min="7155" max="7155" width="7" customWidth="1"/>
    <col min="7156" max="7156" width="1.5703125" customWidth="1"/>
    <col min="7157" max="7157" width="11.140625" customWidth="1"/>
    <col min="7158" max="7158" width="8.7109375" customWidth="1"/>
    <col min="7159" max="7159" width="22.85546875" customWidth="1"/>
    <col min="7160" max="7160" width="6.5703125" customWidth="1"/>
    <col min="7161" max="7161" width="1" customWidth="1"/>
    <col min="7162" max="7162" width="6.85546875" customWidth="1"/>
    <col min="7163" max="7163" width="1" customWidth="1"/>
    <col min="7164" max="7164" width="6.28515625" customWidth="1"/>
    <col min="7165" max="7165" width="1" customWidth="1"/>
    <col min="7166" max="7166" width="9.28515625" customWidth="1"/>
    <col min="7167" max="7167" width="6.28515625" customWidth="1"/>
    <col min="7168" max="7168" width="7.140625" customWidth="1"/>
    <col min="7169" max="7169" width="4.28515625" customWidth="1"/>
    <col min="7170" max="7170" width="17.28515625" customWidth="1"/>
    <col min="7171" max="7171" width="15.28515625" customWidth="1"/>
    <col min="7172" max="7172" width="7.28515625" customWidth="1"/>
    <col min="7173" max="7173" width="1" customWidth="1"/>
    <col min="7174" max="7174" width="4" customWidth="1"/>
    <col min="7175" max="7175" width="1" customWidth="1"/>
    <col min="7176" max="7176" width="3" customWidth="1"/>
    <col min="7177" max="7177" width="1" customWidth="1"/>
    <col min="7178" max="7178" width="11.85546875" customWidth="1"/>
    <col min="7179" max="7179" width="1" customWidth="1"/>
    <col min="7180" max="7180" width="6.28515625" customWidth="1"/>
    <col min="7181" max="7181" width="12.140625" customWidth="1"/>
    <col min="7182" max="7182" width="5" customWidth="1"/>
    <col min="7183" max="7183" width="10.85546875" customWidth="1"/>
    <col min="7184" max="7184" width="3" customWidth="1"/>
    <col min="7185" max="7185" width="7.5703125" customWidth="1"/>
    <col min="7186" max="7186" width="1.7109375" customWidth="1"/>
    <col min="7187" max="7187" width="9.85546875" customWidth="1"/>
    <col min="7411" max="7411" width="7" customWidth="1"/>
    <col min="7412" max="7412" width="1.5703125" customWidth="1"/>
    <col min="7413" max="7413" width="11.140625" customWidth="1"/>
    <col min="7414" max="7414" width="8.7109375" customWidth="1"/>
    <col min="7415" max="7415" width="22.85546875" customWidth="1"/>
    <col min="7416" max="7416" width="6.5703125" customWidth="1"/>
    <col min="7417" max="7417" width="1" customWidth="1"/>
    <col min="7418" max="7418" width="6.85546875" customWidth="1"/>
    <col min="7419" max="7419" width="1" customWidth="1"/>
    <col min="7420" max="7420" width="6.28515625" customWidth="1"/>
    <col min="7421" max="7421" width="1" customWidth="1"/>
    <col min="7422" max="7422" width="9.28515625" customWidth="1"/>
    <col min="7423" max="7423" width="6.28515625" customWidth="1"/>
    <col min="7424" max="7424" width="7.140625" customWidth="1"/>
    <col min="7425" max="7425" width="4.28515625" customWidth="1"/>
    <col min="7426" max="7426" width="17.28515625" customWidth="1"/>
    <col min="7427" max="7427" width="15.28515625" customWidth="1"/>
    <col min="7428" max="7428" width="7.28515625" customWidth="1"/>
    <col min="7429" max="7429" width="1" customWidth="1"/>
    <col min="7430" max="7430" width="4" customWidth="1"/>
    <col min="7431" max="7431" width="1" customWidth="1"/>
    <col min="7432" max="7432" width="3" customWidth="1"/>
    <col min="7433" max="7433" width="1" customWidth="1"/>
    <col min="7434" max="7434" width="11.85546875" customWidth="1"/>
    <col min="7435" max="7435" width="1" customWidth="1"/>
    <col min="7436" max="7436" width="6.28515625" customWidth="1"/>
    <col min="7437" max="7437" width="12.140625" customWidth="1"/>
    <col min="7438" max="7438" width="5" customWidth="1"/>
    <col min="7439" max="7439" width="10.85546875" customWidth="1"/>
    <col min="7440" max="7440" width="3" customWidth="1"/>
    <col min="7441" max="7441" width="7.5703125" customWidth="1"/>
    <col min="7442" max="7442" width="1.7109375" customWidth="1"/>
    <col min="7443" max="7443" width="9.85546875" customWidth="1"/>
    <col min="7667" max="7667" width="7" customWidth="1"/>
    <col min="7668" max="7668" width="1.5703125" customWidth="1"/>
    <col min="7669" max="7669" width="11.140625" customWidth="1"/>
    <col min="7670" max="7670" width="8.7109375" customWidth="1"/>
    <col min="7671" max="7671" width="22.85546875" customWidth="1"/>
    <col min="7672" max="7672" width="6.5703125" customWidth="1"/>
    <col min="7673" max="7673" width="1" customWidth="1"/>
    <col min="7674" max="7674" width="6.85546875" customWidth="1"/>
    <col min="7675" max="7675" width="1" customWidth="1"/>
    <col min="7676" max="7676" width="6.28515625" customWidth="1"/>
    <col min="7677" max="7677" width="1" customWidth="1"/>
    <col min="7678" max="7678" width="9.28515625" customWidth="1"/>
    <col min="7679" max="7679" width="6.28515625" customWidth="1"/>
    <col min="7680" max="7680" width="7.140625" customWidth="1"/>
    <col min="7681" max="7681" width="4.28515625" customWidth="1"/>
    <col min="7682" max="7682" width="17.28515625" customWidth="1"/>
    <col min="7683" max="7683" width="15.28515625" customWidth="1"/>
    <col min="7684" max="7684" width="7.28515625" customWidth="1"/>
    <col min="7685" max="7685" width="1" customWidth="1"/>
    <col min="7686" max="7686" width="4" customWidth="1"/>
    <col min="7687" max="7687" width="1" customWidth="1"/>
    <col min="7688" max="7688" width="3" customWidth="1"/>
    <col min="7689" max="7689" width="1" customWidth="1"/>
    <col min="7690" max="7690" width="11.85546875" customWidth="1"/>
    <col min="7691" max="7691" width="1" customWidth="1"/>
    <col min="7692" max="7692" width="6.28515625" customWidth="1"/>
    <col min="7693" max="7693" width="12.140625" customWidth="1"/>
    <col min="7694" max="7694" width="5" customWidth="1"/>
    <col min="7695" max="7695" width="10.85546875" customWidth="1"/>
    <col min="7696" max="7696" width="3" customWidth="1"/>
    <col min="7697" max="7697" width="7.5703125" customWidth="1"/>
    <col min="7698" max="7698" width="1.7109375" customWidth="1"/>
    <col min="7699" max="7699" width="9.85546875" customWidth="1"/>
    <col min="7923" max="7923" width="7" customWidth="1"/>
    <col min="7924" max="7924" width="1.5703125" customWidth="1"/>
    <col min="7925" max="7925" width="11.140625" customWidth="1"/>
    <col min="7926" max="7926" width="8.7109375" customWidth="1"/>
    <col min="7927" max="7927" width="22.85546875" customWidth="1"/>
    <col min="7928" max="7928" width="6.5703125" customWidth="1"/>
    <col min="7929" max="7929" width="1" customWidth="1"/>
    <col min="7930" max="7930" width="6.85546875" customWidth="1"/>
    <col min="7931" max="7931" width="1" customWidth="1"/>
    <col min="7932" max="7932" width="6.28515625" customWidth="1"/>
    <col min="7933" max="7933" width="1" customWidth="1"/>
    <col min="7934" max="7934" width="9.28515625" customWidth="1"/>
    <col min="7935" max="7935" width="6.28515625" customWidth="1"/>
    <col min="7936" max="7936" width="7.140625" customWidth="1"/>
    <col min="7937" max="7937" width="4.28515625" customWidth="1"/>
    <col min="7938" max="7938" width="17.28515625" customWidth="1"/>
    <col min="7939" max="7939" width="15.28515625" customWidth="1"/>
    <col min="7940" max="7940" width="7.28515625" customWidth="1"/>
    <col min="7941" max="7941" width="1" customWidth="1"/>
    <col min="7942" max="7942" width="4" customWidth="1"/>
    <col min="7943" max="7943" width="1" customWidth="1"/>
    <col min="7944" max="7944" width="3" customWidth="1"/>
    <col min="7945" max="7945" width="1" customWidth="1"/>
    <col min="7946" max="7946" width="11.85546875" customWidth="1"/>
    <col min="7947" max="7947" width="1" customWidth="1"/>
    <col min="7948" max="7948" width="6.28515625" customWidth="1"/>
    <col min="7949" max="7949" width="12.140625" customWidth="1"/>
    <col min="7950" max="7950" width="5" customWidth="1"/>
    <col min="7951" max="7951" width="10.85546875" customWidth="1"/>
    <col min="7952" max="7952" width="3" customWidth="1"/>
    <col min="7953" max="7953" width="7.5703125" customWidth="1"/>
    <col min="7954" max="7954" width="1.7109375" customWidth="1"/>
    <col min="7955" max="7955" width="9.85546875" customWidth="1"/>
    <col min="8179" max="8179" width="7" customWidth="1"/>
    <col min="8180" max="8180" width="1.5703125" customWidth="1"/>
    <col min="8181" max="8181" width="11.140625" customWidth="1"/>
    <col min="8182" max="8182" width="8.7109375" customWidth="1"/>
    <col min="8183" max="8183" width="22.85546875" customWidth="1"/>
    <col min="8184" max="8184" width="6.5703125" customWidth="1"/>
    <col min="8185" max="8185" width="1" customWidth="1"/>
    <col min="8186" max="8186" width="6.85546875" customWidth="1"/>
    <col min="8187" max="8187" width="1" customWidth="1"/>
    <col min="8188" max="8188" width="6.28515625" customWidth="1"/>
    <col min="8189" max="8189" width="1" customWidth="1"/>
    <col min="8190" max="8190" width="9.28515625" customWidth="1"/>
    <col min="8191" max="8191" width="6.28515625" customWidth="1"/>
    <col min="8192" max="8192" width="7.140625" customWidth="1"/>
    <col min="8193" max="8193" width="4.28515625" customWidth="1"/>
    <col min="8194" max="8194" width="17.28515625" customWidth="1"/>
    <col min="8195" max="8195" width="15.28515625" customWidth="1"/>
    <col min="8196" max="8196" width="7.28515625" customWidth="1"/>
    <col min="8197" max="8197" width="1" customWidth="1"/>
    <col min="8198" max="8198" width="4" customWidth="1"/>
    <col min="8199" max="8199" width="1" customWidth="1"/>
    <col min="8200" max="8200" width="3" customWidth="1"/>
    <col min="8201" max="8201" width="1" customWidth="1"/>
    <col min="8202" max="8202" width="11.85546875" customWidth="1"/>
    <col min="8203" max="8203" width="1" customWidth="1"/>
    <col min="8204" max="8204" width="6.28515625" customWidth="1"/>
    <col min="8205" max="8205" width="12.140625" customWidth="1"/>
    <col min="8206" max="8206" width="5" customWidth="1"/>
    <col min="8207" max="8207" width="10.85546875" customWidth="1"/>
    <col min="8208" max="8208" width="3" customWidth="1"/>
    <col min="8209" max="8209" width="7.5703125" customWidth="1"/>
    <col min="8210" max="8210" width="1.7109375" customWidth="1"/>
    <col min="8211" max="8211" width="9.85546875" customWidth="1"/>
    <col min="8435" max="8435" width="7" customWidth="1"/>
    <col min="8436" max="8436" width="1.5703125" customWidth="1"/>
    <col min="8437" max="8437" width="11.140625" customWidth="1"/>
    <col min="8438" max="8438" width="8.7109375" customWidth="1"/>
    <col min="8439" max="8439" width="22.85546875" customWidth="1"/>
    <col min="8440" max="8440" width="6.5703125" customWidth="1"/>
    <col min="8441" max="8441" width="1" customWidth="1"/>
    <col min="8442" max="8442" width="6.85546875" customWidth="1"/>
    <col min="8443" max="8443" width="1" customWidth="1"/>
    <col min="8444" max="8444" width="6.28515625" customWidth="1"/>
    <col min="8445" max="8445" width="1" customWidth="1"/>
    <col min="8446" max="8446" width="9.28515625" customWidth="1"/>
    <col min="8447" max="8447" width="6.28515625" customWidth="1"/>
    <col min="8448" max="8448" width="7.140625" customWidth="1"/>
    <col min="8449" max="8449" width="4.28515625" customWidth="1"/>
    <col min="8450" max="8450" width="17.28515625" customWidth="1"/>
    <col min="8451" max="8451" width="15.28515625" customWidth="1"/>
    <col min="8452" max="8452" width="7.28515625" customWidth="1"/>
    <col min="8453" max="8453" width="1" customWidth="1"/>
    <col min="8454" max="8454" width="4" customWidth="1"/>
    <col min="8455" max="8455" width="1" customWidth="1"/>
    <col min="8456" max="8456" width="3" customWidth="1"/>
    <col min="8457" max="8457" width="1" customWidth="1"/>
    <col min="8458" max="8458" width="11.85546875" customWidth="1"/>
    <col min="8459" max="8459" width="1" customWidth="1"/>
    <col min="8460" max="8460" width="6.28515625" customWidth="1"/>
    <col min="8461" max="8461" width="12.140625" customWidth="1"/>
    <col min="8462" max="8462" width="5" customWidth="1"/>
    <col min="8463" max="8463" width="10.85546875" customWidth="1"/>
    <col min="8464" max="8464" width="3" customWidth="1"/>
    <col min="8465" max="8465" width="7.5703125" customWidth="1"/>
    <col min="8466" max="8466" width="1.7109375" customWidth="1"/>
    <col min="8467" max="8467" width="9.85546875" customWidth="1"/>
    <col min="8691" max="8691" width="7" customWidth="1"/>
    <col min="8692" max="8692" width="1.5703125" customWidth="1"/>
    <col min="8693" max="8693" width="11.140625" customWidth="1"/>
    <col min="8694" max="8694" width="8.7109375" customWidth="1"/>
    <col min="8695" max="8695" width="22.85546875" customWidth="1"/>
    <col min="8696" max="8696" width="6.5703125" customWidth="1"/>
    <col min="8697" max="8697" width="1" customWidth="1"/>
    <col min="8698" max="8698" width="6.85546875" customWidth="1"/>
    <col min="8699" max="8699" width="1" customWidth="1"/>
    <col min="8700" max="8700" width="6.28515625" customWidth="1"/>
    <col min="8701" max="8701" width="1" customWidth="1"/>
    <col min="8702" max="8702" width="9.28515625" customWidth="1"/>
    <col min="8703" max="8703" width="6.28515625" customWidth="1"/>
    <col min="8704" max="8704" width="7.140625" customWidth="1"/>
    <col min="8705" max="8705" width="4.28515625" customWidth="1"/>
    <col min="8706" max="8706" width="17.28515625" customWidth="1"/>
    <col min="8707" max="8707" width="15.28515625" customWidth="1"/>
    <col min="8708" max="8708" width="7.28515625" customWidth="1"/>
    <col min="8709" max="8709" width="1" customWidth="1"/>
    <col min="8710" max="8710" width="4" customWidth="1"/>
    <col min="8711" max="8711" width="1" customWidth="1"/>
    <col min="8712" max="8712" width="3" customWidth="1"/>
    <col min="8713" max="8713" width="1" customWidth="1"/>
    <col min="8714" max="8714" width="11.85546875" customWidth="1"/>
    <col min="8715" max="8715" width="1" customWidth="1"/>
    <col min="8716" max="8716" width="6.28515625" customWidth="1"/>
    <col min="8717" max="8717" width="12.140625" customWidth="1"/>
    <col min="8718" max="8718" width="5" customWidth="1"/>
    <col min="8719" max="8719" width="10.85546875" customWidth="1"/>
    <col min="8720" max="8720" width="3" customWidth="1"/>
    <col min="8721" max="8721" width="7.5703125" customWidth="1"/>
    <col min="8722" max="8722" width="1.7109375" customWidth="1"/>
    <col min="8723" max="8723" width="9.85546875" customWidth="1"/>
    <col min="8947" max="8947" width="7" customWidth="1"/>
    <col min="8948" max="8948" width="1.5703125" customWidth="1"/>
    <col min="8949" max="8949" width="11.140625" customWidth="1"/>
    <col min="8950" max="8950" width="8.7109375" customWidth="1"/>
    <col min="8951" max="8951" width="22.85546875" customWidth="1"/>
    <col min="8952" max="8952" width="6.5703125" customWidth="1"/>
    <col min="8953" max="8953" width="1" customWidth="1"/>
    <col min="8954" max="8954" width="6.85546875" customWidth="1"/>
    <col min="8955" max="8955" width="1" customWidth="1"/>
    <col min="8956" max="8956" width="6.28515625" customWidth="1"/>
    <col min="8957" max="8957" width="1" customWidth="1"/>
    <col min="8958" max="8958" width="9.28515625" customWidth="1"/>
    <col min="8959" max="8959" width="6.28515625" customWidth="1"/>
    <col min="8960" max="8960" width="7.140625" customWidth="1"/>
    <col min="8961" max="8961" width="4.28515625" customWidth="1"/>
    <col min="8962" max="8962" width="17.28515625" customWidth="1"/>
    <col min="8963" max="8963" width="15.28515625" customWidth="1"/>
    <col min="8964" max="8964" width="7.28515625" customWidth="1"/>
    <col min="8965" max="8965" width="1" customWidth="1"/>
    <col min="8966" max="8966" width="4" customWidth="1"/>
    <col min="8967" max="8967" width="1" customWidth="1"/>
    <col min="8968" max="8968" width="3" customWidth="1"/>
    <col min="8969" max="8969" width="1" customWidth="1"/>
    <col min="8970" max="8970" width="11.85546875" customWidth="1"/>
    <col min="8971" max="8971" width="1" customWidth="1"/>
    <col min="8972" max="8972" width="6.28515625" customWidth="1"/>
    <col min="8973" max="8973" width="12.140625" customWidth="1"/>
    <col min="8974" max="8974" width="5" customWidth="1"/>
    <col min="8975" max="8975" width="10.85546875" customWidth="1"/>
    <col min="8976" max="8976" width="3" customWidth="1"/>
    <col min="8977" max="8977" width="7.5703125" customWidth="1"/>
    <col min="8978" max="8978" width="1.7109375" customWidth="1"/>
    <col min="8979" max="8979" width="9.85546875" customWidth="1"/>
    <col min="9203" max="9203" width="7" customWidth="1"/>
    <col min="9204" max="9204" width="1.5703125" customWidth="1"/>
    <col min="9205" max="9205" width="11.140625" customWidth="1"/>
    <col min="9206" max="9206" width="8.7109375" customWidth="1"/>
    <col min="9207" max="9207" width="22.85546875" customWidth="1"/>
    <col min="9208" max="9208" width="6.5703125" customWidth="1"/>
    <col min="9209" max="9209" width="1" customWidth="1"/>
    <col min="9210" max="9210" width="6.85546875" customWidth="1"/>
    <col min="9211" max="9211" width="1" customWidth="1"/>
    <col min="9212" max="9212" width="6.28515625" customWidth="1"/>
    <col min="9213" max="9213" width="1" customWidth="1"/>
    <col min="9214" max="9214" width="9.28515625" customWidth="1"/>
    <col min="9215" max="9215" width="6.28515625" customWidth="1"/>
    <col min="9216" max="9216" width="7.140625" customWidth="1"/>
    <col min="9217" max="9217" width="4.28515625" customWidth="1"/>
    <col min="9218" max="9218" width="17.28515625" customWidth="1"/>
    <col min="9219" max="9219" width="15.28515625" customWidth="1"/>
    <col min="9220" max="9220" width="7.28515625" customWidth="1"/>
    <col min="9221" max="9221" width="1" customWidth="1"/>
    <col min="9222" max="9222" width="4" customWidth="1"/>
    <col min="9223" max="9223" width="1" customWidth="1"/>
    <col min="9224" max="9224" width="3" customWidth="1"/>
    <col min="9225" max="9225" width="1" customWidth="1"/>
    <col min="9226" max="9226" width="11.85546875" customWidth="1"/>
    <col min="9227" max="9227" width="1" customWidth="1"/>
    <col min="9228" max="9228" width="6.28515625" customWidth="1"/>
    <col min="9229" max="9229" width="12.140625" customWidth="1"/>
    <col min="9230" max="9230" width="5" customWidth="1"/>
    <col min="9231" max="9231" width="10.85546875" customWidth="1"/>
    <col min="9232" max="9232" width="3" customWidth="1"/>
    <col min="9233" max="9233" width="7.5703125" customWidth="1"/>
    <col min="9234" max="9234" width="1.7109375" customWidth="1"/>
    <col min="9235" max="9235" width="9.85546875" customWidth="1"/>
    <col min="9459" max="9459" width="7" customWidth="1"/>
    <col min="9460" max="9460" width="1.5703125" customWidth="1"/>
    <col min="9461" max="9461" width="11.140625" customWidth="1"/>
    <col min="9462" max="9462" width="8.7109375" customWidth="1"/>
    <col min="9463" max="9463" width="22.85546875" customWidth="1"/>
    <col min="9464" max="9464" width="6.5703125" customWidth="1"/>
    <col min="9465" max="9465" width="1" customWidth="1"/>
    <col min="9466" max="9466" width="6.85546875" customWidth="1"/>
    <col min="9467" max="9467" width="1" customWidth="1"/>
    <col min="9468" max="9468" width="6.28515625" customWidth="1"/>
    <col min="9469" max="9469" width="1" customWidth="1"/>
    <col min="9470" max="9470" width="9.28515625" customWidth="1"/>
    <col min="9471" max="9471" width="6.28515625" customWidth="1"/>
    <col min="9472" max="9472" width="7.140625" customWidth="1"/>
    <col min="9473" max="9473" width="4.28515625" customWidth="1"/>
    <col min="9474" max="9474" width="17.28515625" customWidth="1"/>
    <col min="9475" max="9475" width="15.28515625" customWidth="1"/>
    <col min="9476" max="9476" width="7.28515625" customWidth="1"/>
    <col min="9477" max="9477" width="1" customWidth="1"/>
    <col min="9478" max="9478" width="4" customWidth="1"/>
    <col min="9479" max="9479" width="1" customWidth="1"/>
    <col min="9480" max="9480" width="3" customWidth="1"/>
    <col min="9481" max="9481" width="1" customWidth="1"/>
    <col min="9482" max="9482" width="11.85546875" customWidth="1"/>
    <col min="9483" max="9483" width="1" customWidth="1"/>
    <col min="9484" max="9484" width="6.28515625" customWidth="1"/>
    <col min="9485" max="9485" width="12.140625" customWidth="1"/>
    <col min="9486" max="9486" width="5" customWidth="1"/>
    <col min="9487" max="9487" width="10.85546875" customWidth="1"/>
    <col min="9488" max="9488" width="3" customWidth="1"/>
    <col min="9489" max="9489" width="7.5703125" customWidth="1"/>
    <col min="9490" max="9490" width="1.7109375" customWidth="1"/>
    <col min="9491" max="9491" width="9.85546875" customWidth="1"/>
    <col min="9715" max="9715" width="7" customWidth="1"/>
    <col min="9716" max="9716" width="1.5703125" customWidth="1"/>
    <col min="9717" max="9717" width="11.140625" customWidth="1"/>
    <col min="9718" max="9718" width="8.7109375" customWidth="1"/>
    <col min="9719" max="9719" width="22.85546875" customWidth="1"/>
    <col min="9720" max="9720" width="6.5703125" customWidth="1"/>
    <col min="9721" max="9721" width="1" customWidth="1"/>
    <col min="9722" max="9722" width="6.85546875" customWidth="1"/>
    <col min="9723" max="9723" width="1" customWidth="1"/>
    <col min="9724" max="9724" width="6.28515625" customWidth="1"/>
    <col min="9725" max="9725" width="1" customWidth="1"/>
    <col min="9726" max="9726" width="9.28515625" customWidth="1"/>
    <col min="9727" max="9727" width="6.28515625" customWidth="1"/>
    <col min="9728" max="9728" width="7.140625" customWidth="1"/>
    <col min="9729" max="9729" width="4.28515625" customWidth="1"/>
    <col min="9730" max="9730" width="17.28515625" customWidth="1"/>
    <col min="9731" max="9731" width="15.28515625" customWidth="1"/>
    <col min="9732" max="9732" width="7.28515625" customWidth="1"/>
    <col min="9733" max="9733" width="1" customWidth="1"/>
    <col min="9734" max="9734" width="4" customWidth="1"/>
    <col min="9735" max="9735" width="1" customWidth="1"/>
    <col min="9736" max="9736" width="3" customWidth="1"/>
    <col min="9737" max="9737" width="1" customWidth="1"/>
    <col min="9738" max="9738" width="11.85546875" customWidth="1"/>
    <col min="9739" max="9739" width="1" customWidth="1"/>
    <col min="9740" max="9740" width="6.28515625" customWidth="1"/>
    <col min="9741" max="9741" width="12.140625" customWidth="1"/>
    <col min="9742" max="9742" width="5" customWidth="1"/>
    <col min="9743" max="9743" width="10.85546875" customWidth="1"/>
    <col min="9744" max="9744" width="3" customWidth="1"/>
    <col min="9745" max="9745" width="7.5703125" customWidth="1"/>
    <col min="9746" max="9746" width="1.7109375" customWidth="1"/>
    <col min="9747" max="9747" width="9.85546875" customWidth="1"/>
    <col min="9971" max="9971" width="7" customWidth="1"/>
    <col min="9972" max="9972" width="1.5703125" customWidth="1"/>
    <col min="9973" max="9973" width="11.140625" customWidth="1"/>
    <col min="9974" max="9974" width="8.7109375" customWidth="1"/>
    <col min="9975" max="9975" width="22.85546875" customWidth="1"/>
    <col min="9976" max="9976" width="6.5703125" customWidth="1"/>
    <col min="9977" max="9977" width="1" customWidth="1"/>
    <col min="9978" max="9978" width="6.85546875" customWidth="1"/>
    <col min="9979" max="9979" width="1" customWidth="1"/>
    <col min="9980" max="9980" width="6.28515625" customWidth="1"/>
    <col min="9981" max="9981" width="1" customWidth="1"/>
    <col min="9982" max="9982" width="9.28515625" customWidth="1"/>
    <col min="9983" max="9983" width="6.28515625" customWidth="1"/>
    <col min="9984" max="9984" width="7.140625" customWidth="1"/>
    <col min="9985" max="9985" width="4.28515625" customWidth="1"/>
    <col min="9986" max="9986" width="17.28515625" customWidth="1"/>
    <col min="9987" max="9987" width="15.28515625" customWidth="1"/>
    <col min="9988" max="9988" width="7.28515625" customWidth="1"/>
    <col min="9989" max="9989" width="1" customWidth="1"/>
    <col min="9990" max="9990" width="4" customWidth="1"/>
    <col min="9991" max="9991" width="1" customWidth="1"/>
    <col min="9992" max="9992" width="3" customWidth="1"/>
    <col min="9993" max="9993" width="1" customWidth="1"/>
    <col min="9994" max="9994" width="11.85546875" customWidth="1"/>
    <col min="9995" max="9995" width="1" customWidth="1"/>
    <col min="9996" max="9996" width="6.28515625" customWidth="1"/>
    <col min="9997" max="9997" width="12.140625" customWidth="1"/>
    <col min="9998" max="9998" width="5" customWidth="1"/>
    <col min="9999" max="9999" width="10.85546875" customWidth="1"/>
    <col min="10000" max="10000" width="3" customWidth="1"/>
    <col min="10001" max="10001" width="7.5703125" customWidth="1"/>
    <col min="10002" max="10002" width="1.7109375" customWidth="1"/>
    <col min="10003" max="10003" width="9.85546875" customWidth="1"/>
    <col min="10227" max="10227" width="7" customWidth="1"/>
    <col min="10228" max="10228" width="1.5703125" customWidth="1"/>
    <col min="10229" max="10229" width="11.140625" customWidth="1"/>
    <col min="10230" max="10230" width="8.7109375" customWidth="1"/>
    <col min="10231" max="10231" width="22.85546875" customWidth="1"/>
    <col min="10232" max="10232" width="6.5703125" customWidth="1"/>
    <col min="10233" max="10233" width="1" customWidth="1"/>
    <col min="10234" max="10234" width="6.85546875" customWidth="1"/>
    <col min="10235" max="10235" width="1" customWidth="1"/>
    <col min="10236" max="10236" width="6.28515625" customWidth="1"/>
    <col min="10237" max="10237" width="1" customWidth="1"/>
    <col min="10238" max="10238" width="9.28515625" customWidth="1"/>
    <col min="10239" max="10239" width="6.28515625" customWidth="1"/>
    <col min="10240" max="10240" width="7.140625" customWidth="1"/>
    <col min="10241" max="10241" width="4.28515625" customWidth="1"/>
    <col min="10242" max="10242" width="17.28515625" customWidth="1"/>
    <col min="10243" max="10243" width="15.28515625" customWidth="1"/>
    <col min="10244" max="10244" width="7.28515625" customWidth="1"/>
    <col min="10245" max="10245" width="1" customWidth="1"/>
    <col min="10246" max="10246" width="4" customWidth="1"/>
    <col min="10247" max="10247" width="1" customWidth="1"/>
    <col min="10248" max="10248" width="3" customWidth="1"/>
    <col min="10249" max="10249" width="1" customWidth="1"/>
    <col min="10250" max="10250" width="11.85546875" customWidth="1"/>
    <col min="10251" max="10251" width="1" customWidth="1"/>
    <col min="10252" max="10252" width="6.28515625" customWidth="1"/>
    <col min="10253" max="10253" width="12.140625" customWidth="1"/>
    <col min="10254" max="10254" width="5" customWidth="1"/>
    <col min="10255" max="10255" width="10.85546875" customWidth="1"/>
    <col min="10256" max="10256" width="3" customWidth="1"/>
    <col min="10257" max="10257" width="7.5703125" customWidth="1"/>
    <col min="10258" max="10258" width="1.7109375" customWidth="1"/>
    <col min="10259" max="10259" width="9.85546875" customWidth="1"/>
    <col min="10483" max="10483" width="7" customWidth="1"/>
    <col min="10484" max="10484" width="1.5703125" customWidth="1"/>
    <col min="10485" max="10485" width="11.140625" customWidth="1"/>
    <col min="10486" max="10486" width="8.7109375" customWidth="1"/>
    <col min="10487" max="10487" width="22.85546875" customWidth="1"/>
    <col min="10488" max="10488" width="6.5703125" customWidth="1"/>
    <col min="10489" max="10489" width="1" customWidth="1"/>
    <col min="10490" max="10490" width="6.85546875" customWidth="1"/>
    <col min="10491" max="10491" width="1" customWidth="1"/>
    <col min="10492" max="10492" width="6.28515625" customWidth="1"/>
    <col min="10493" max="10493" width="1" customWidth="1"/>
    <col min="10494" max="10494" width="9.28515625" customWidth="1"/>
    <col min="10495" max="10495" width="6.28515625" customWidth="1"/>
    <col min="10496" max="10496" width="7.140625" customWidth="1"/>
    <col min="10497" max="10497" width="4.28515625" customWidth="1"/>
    <col min="10498" max="10498" width="17.28515625" customWidth="1"/>
    <col min="10499" max="10499" width="15.28515625" customWidth="1"/>
    <col min="10500" max="10500" width="7.28515625" customWidth="1"/>
    <col min="10501" max="10501" width="1" customWidth="1"/>
    <col min="10502" max="10502" width="4" customWidth="1"/>
    <col min="10503" max="10503" width="1" customWidth="1"/>
    <col min="10504" max="10504" width="3" customWidth="1"/>
    <col min="10505" max="10505" width="1" customWidth="1"/>
    <col min="10506" max="10506" width="11.85546875" customWidth="1"/>
    <col min="10507" max="10507" width="1" customWidth="1"/>
    <col min="10508" max="10508" width="6.28515625" customWidth="1"/>
    <col min="10509" max="10509" width="12.140625" customWidth="1"/>
    <col min="10510" max="10510" width="5" customWidth="1"/>
    <col min="10511" max="10511" width="10.85546875" customWidth="1"/>
    <col min="10512" max="10512" width="3" customWidth="1"/>
    <col min="10513" max="10513" width="7.5703125" customWidth="1"/>
    <col min="10514" max="10514" width="1.7109375" customWidth="1"/>
    <col min="10515" max="10515" width="9.85546875" customWidth="1"/>
    <col min="10739" max="10739" width="7" customWidth="1"/>
    <col min="10740" max="10740" width="1.5703125" customWidth="1"/>
    <col min="10741" max="10741" width="11.140625" customWidth="1"/>
    <col min="10742" max="10742" width="8.7109375" customWidth="1"/>
    <col min="10743" max="10743" width="22.85546875" customWidth="1"/>
    <col min="10744" max="10744" width="6.5703125" customWidth="1"/>
    <col min="10745" max="10745" width="1" customWidth="1"/>
    <col min="10746" max="10746" width="6.85546875" customWidth="1"/>
    <col min="10747" max="10747" width="1" customWidth="1"/>
    <col min="10748" max="10748" width="6.28515625" customWidth="1"/>
    <col min="10749" max="10749" width="1" customWidth="1"/>
    <col min="10750" max="10750" width="9.28515625" customWidth="1"/>
    <col min="10751" max="10751" width="6.28515625" customWidth="1"/>
    <col min="10752" max="10752" width="7.140625" customWidth="1"/>
    <col min="10753" max="10753" width="4.28515625" customWidth="1"/>
    <col min="10754" max="10754" width="17.28515625" customWidth="1"/>
    <col min="10755" max="10755" width="15.28515625" customWidth="1"/>
    <col min="10756" max="10756" width="7.28515625" customWidth="1"/>
    <col min="10757" max="10757" width="1" customWidth="1"/>
    <col min="10758" max="10758" width="4" customWidth="1"/>
    <col min="10759" max="10759" width="1" customWidth="1"/>
    <col min="10760" max="10760" width="3" customWidth="1"/>
    <col min="10761" max="10761" width="1" customWidth="1"/>
    <col min="10762" max="10762" width="11.85546875" customWidth="1"/>
    <col min="10763" max="10763" width="1" customWidth="1"/>
    <col min="10764" max="10764" width="6.28515625" customWidth="1"/>
    <col min="10765" max="10765" width="12.140625" customWidth="1"/>
    <col min="10766" max="10766" width="5" customWidth="1"/>
    <col min="10767" max="10767" width="10.85546875" customWidth="1"/>
    <col min="10768" max="10768" width="3" customWidth="1"/>
    <col min="10769" max="10769" width="7.5703125" customWidth="1"/>
    <col min="10770" max="10770" width="1.7109375" customWidth="1"/>
    <col min="10771" max="10771" width="9.85546875" customWidth="1"/>
    <col min="10995" max="10995" width="7" customWidth="1"/>
    <col min="10996" max="10996" width="1.5703125" customWidth="1"/>
    <col min="10997" max="10997" width="11.140625" customWidth="1"/>
    <col min="10998" max="10998" width="8.7109375" customWidth="1"/>
    <col min="10999" max="10999" width="22.85546875" customWidth="1"/>
    <col min="11000" max="11000" width="6.5703125" customWidth="1"/>
    <col min="11001" max="11001" width="1" customWidth="1"/>
    <col min="11002" max="11002" width="6.85546875" customWidth="1"/>
    <col min="11003" max="11003" width="1" customWidth="1"/>
    <col min="11004" max="11004" width="6.28515625" customWidth="1"/>
    <col min="11005" max="11005" width="1" customWidth="1"/>
    <col min="11006" max="11006" width="9.28515625" customWidth="1"/>
    <col min="11007" max="11007" width="6.28515625" customWidth="1"/>
    <col min="11008" max="11008" width="7.140625" customWidth="1"/>
    <col min="11009" max="11009" width="4.28515625" customWidth="1"/>
    <col min="11010" max="11010" width="17.28515625" customWidth="1"/>
    <col min="11011" max="11011" width="15.28515625" customWidth="1"/>
    <col min="11012" max="11012" width="7.28515625" customWidth="1"/>
    <col min="11013" max="11013" width="1" customWidth="1"/>
    <col min="11014" max="11014" width="4" customWidth="1"/>
    <col min="11015" max="11015" width="1" customWidth="1"/>
    <col min="11016" max="11016" width="3" customWidth="1"/>
    <col min="11017" max="11017" width="1" customWidth="1"/>
    <col min="11018" max="11018" width="11.85546875" customWidth="1"/>
    <col min="11019" max="11019" width="1" customWidth="1"/>
    <col min="11020" max="11020" width="6.28515625" customWidth="1"/>
    <col min="11021" max="11021" width="12.140625" customWidth="1"/>
    <col min="11022" max="11022" width="5" customWidth="1"/>
    <col min="11023" max="11023" width="10.85546875" customWidth="1"/>
    <col min="11024" max="11024" width="3" customWidth="1"/>
    <col min="11025" max="11025" width="7.5703125" customWidth="1"/>
    <col min="11026" max="11026" width="1.7109375" customWidth="1"/>
    <col min="11027" max="11027" width="9.85546875" customWidth="1"/>
    <col min="11251" max="11251" width="7" customWidth="1"/>
    <col min="11252" max="11252" width="1.5703125" customWidth="1"/>
    <col min="11253" max="11253" width="11.140625" customWidth="1"/>
    <col min="11254" max="11254" width="8.7109375" customWidth="1"/>
    <col min="11255" max="11255" width="22.85546875" customWidth="1"/>
    <col min="11256" max="11256" width="6.5703125" customWidth="1"/>
    <col min="11257" max="11257" width="1" customWidth="1"/>
    <col min="11258" max="11258" width="6.85546875" customWidth="1"/>
    <col min="11259" max="11259" width="1" customWidth="1"/>
    <col min="11260" max="11260" width="6.28515625" customWidth="1"/>
    <col min="11261" max="11261" width="1" customWidth="1"/>
    <col min="11262" max="11262" width="9.28515625" customWidth="1"/>
    <col min="11263" max="11263" width="6.28515625" customWidth="1"/>
    <col min="11264" max="11264" width="7.140625" customWidth="1"/>
    <col min="11265" max="11265" width="4.28515625" customWidth="1"/>
    <col min="11266" max="11266" width="17.28515625" customWidth="1"/>
    <col min="11267" max="11267" width="15.28515625" customWidth="1"/>
    <col min="11268" max="11268" width="7.28515625" customWidth="1"/>
    <col min="11269" max="11269" width="1" customWidth="1"/>
    <col min="11270" max="11270" width="4" customWidth="1"/>
    <col min="11271" max="11271" width="1" customWidth="1"/>
    <col min="11272" max="11272" width="3" customWidth="1"/>
    <col min="11273" max="11273" width="1" customWidth="1"/>
    <col min="11274" max="11274" width="11.85546875" customWidth="1"/>
    <col min="11275" max="11275" width="1" customWidth="1"/>
    <col min="11276" max="11276" width="6.28515625" customWidth="1"/>
    <col min="11277" max="11277" width="12.140625" customWidth="1"/>
    <col min="11278" max="11278" width="5" customWidth="1"/>
    <col min="11279" max="11279" width="10.85546875" customWidth="1"/>
    <col min="11280" max="11280" width="3" customWidth="1"/>
    <col min="11281" max="11281" width="7.5703125" customWidth="1"/>
    <col min="11282" max="11282" width="1.7109375" customWidth="1"/>
    <col min="11283" max="11283" width="9.85546875" customWidth="1"/>
    <col min="11507" max="11507" width="7" customWidth="1"/>
    <col min="11508" max="11508" width="1.5703125" customWidth="1"/>
    <col min="11509" max="11509" width="11.140625" customWidth="1"/>
    <col min="11510" max="11510" width="8.7109375" customWidth="1"/>
    <col min="11511" max="11511" width="22.85546875" customWidth="1"/>
    <col min="11512" max="11512" width="6.5703125" customWidth="1"/>
    <col min="11513" max="11513" width="1" customWidth="1"/>
    <col min="11514" max="11514" width="6.85546875" customWidth="1"/>
    <col min="11515" max="11515" width="1" customWidth="1"/>
    <col min="11516" max="11516" width="6.28515625" customWidth="1"/>
    <col min="11517" max="11517" width="1" customWidth="1"/>
    <col min="11518" max="11518" width="9.28515625" customWidth="1"/>
    <col min="11519" max="11519" width="6.28515625" customWidth="1"/>
    <col min="11520" max="11520" width="7.140625" customWidth="1"/>
    <col min="11521" max="11521" width="4.28515625" customWidth="1"/>
    <col min="11522" max="11522" width="17.28515625" customWidth="1"/>
    <col min="11523" max="11523" width="15.28515625" customWidth="1"/>
    <col min="11524" max="11524" width="7.28515625" customWidth="1"/>
    <col min="11525" max="11525" width="1" customWidth="1"/>
    <col min="11526" max="11526" width="4" customWidth="1"/>
    <col min="11527" max="11527" width="1" customWidth="1"/>
    <col min="11528" max="11528" width="3" customWidth="1"/>
    <col min="11529" max="11529" width="1" customWidth="1"/>
    <col min="11530" max="11530" width="11.85546875" customWidth="1"/>
    <col min="11531" max="11531" width="1" customWidth="1"/>
    <col min="11532" max="11532" width="6.28515625" customWidth="1"/>
    <col min="11533" max="11533" width="12.140625" customWidth="1"/>
    <col min="11534" max="11534" width="5" customWidth="1"/>
    <col min="11535" max="11535" width="10.85546875" customWidth="1"/>
    <col min="11536" max="11536" width="3" customWidth="1"/>
    <col min="11537" max="11537" width="7.5703125" customWidth="1"/>
    <col min="11538" max="11538" width="1.7109375" customWidth="1"/>
    <col min="11539" max="11539" width="9.85546875" customWidth="1"/>
    <col min="11763" max="11763" width="7" customWidth="1"/>
    <col min="11764" max="11764" width="1.5703125" customWidth="1"/>
    <col min="11765" max="11765" width="11.140625" customWidth="1"/>
    <col min="11766" max="11766" width="8.7109375" customWidth="1"/>
    <col min="11767" max="11767" width="22.85546875" customWidth="1"/>
    <col min="11768" max="11768" width="6.5703125" customWidth="1"/>
    <col min="11769" max="11769" width="1" customWidth="1"/>
    <col min="11770" max="11770" width="6.85546875" customWidth="1"/>
    <col min="11771" max="11771" width="1" customWidth="1"/>
    <col min="11772" max="11772" width="6.28515625" customWidth="1"/>
    <col min="11773" max="11773" width="1" customWidth="1"/>
    <col min="11774" max="11774" width="9.28515625" customWidth="1"/>
    <col min="11775" max="11775" width="6.28515625" customWidth="1"/>
    <col min="11776" max="11776" width="7.140625" customWidth="1"/>
    <col min="11777" max="11777" width="4.28515625" customWidth="1"/>
    <col min="11778" max="11778" width="17.28515625" customWidth="1"/>
    <col min="11779" max="11779" width="15.28515625" customWidth="1"/>
    <col min="11780" max="11780" width="7.28515625" customWidth="1"/>
    <col min="11781" max="11781" width="1" customWidth="1"/>
    <col min="11782" max="11782" width="4" customWidth="1"/>
    <col min="11783" max="11783" width="1" customWidth="1"/>
    <col min="11784" max="11784" width="3" customWidth="1"/>
    <col min="11785" max="11785" width="1" customWidth="1"/>
    <col min="11786" max="11786" width="11.85546875" customWidth="1"/>
    <col min="11787" max="11787" width="1" customWidth="1"/>
    <col min="11788" max="11788" width="6.28515625" customWidth="1"/>
    <col min="11789" max="11789" width="12.140625" customWidth="1"/>
    <col min="11790" max="11790" width="5" customWidth="1"/>
    <col min="11791" max="11791" width="10.85546875" customWidth="1"/>
    <col min="11792" max="11792" width="3" customWidth="1"/>
    <col min="11793" max="11793" width="7.5703125" customWidth="1"/>
    <col min="11794" max="11794" width="1.7109375" customWidth="1"/>
    <col min="11795" max="11795" width="9.85546875" customWidth="1"/>
    <col min="12019" max="12019" width="7" customWidth="1"/>
    <col min="12020" max="12020" width="1.5703125" customWidth="1"/>
    <col min="12021" max="12021" width="11.140625" customWidth="1"/>
    <col min="12022" max="12022" width="8.7109375" customWidth="1"/>
    <col min="12023" max="12023" width="22.85546875" customWidth="1"/>
    <col min="12024" max="12024" width="6.5703125" customWidth="1"/>
    <col min="12025" max="12025" width="1" customWidth="1"/>
    <col min="12026" max="12026" width="6.85546875" customWidth="1"/>
    <col min="12027" max="12027" width="1" customWidth="1"/>
    <col min="12028" max="12028" width="6.28515625" customWidth="1"/>
    <col min="12029" max="12029" width="1" customWidth="1"/>
    <col min="12030" max="12030" width="9.28515625" customWidth="1"/>
    <col min="12031" max="12031" width="6.28515625" customWidth="1"/>
    <col min="12032" max="12032" width="7.140625" customWidth="1"/>
    <col min="12033" max="12033" width="4.28515625" customWidth="1"/>
    <col min="12034" max="12034" width="17.28515625" customWidth="1"/>
    <col min="12035" max="12035" width="15.28515625" customWidth="1"/>
    <col min="12036" max="12036" width="7.28515625" customWidth="1"/>
    <col min="12037" max="12037" width="1" customWidth="1"/>
    <col min="12038" max="12038" width="4" customWidth="1"/>
    <col min="12039" max="12039" width="1" customWidth="1"/>
    <col min="12040" max="12040" width="3" customWidth="1"/>
    <col min="12041" max="12041" width="1" customWidth="1"/>
    <col min="12042" max="12042" width="11.85546875" customWidth="1"/>
    <col min="12043" max="12043" width="1" customWidth="1"/>
    <col min="12044" max="12044" width="6.28515625" customWidth="1"/>
    <col min="12045" max="12045" width="12.140625" customWidth="1"/>
    <col min="12046" max="12046" width="5" customWidth="1"/>
    <col min="12047" max="12047" width="10.85546875" customWidth="1"/>
    <col min="12048" max="12048" width="3" customWidth="1"/>
    <col min="12049" max="12049" width="7.5703125" customWidth="1"/>
    <col min="12050" max="12050" width="1.7109375" customWidth="1"/>
    <col min="12051" max="12051" width="9.85546875" customWidth="1"/>
    <col min="12275" max="12275" width="7" customWidth="1"/>
    <col min="12276" max="12276" width="1.5703125" customWidth="1"/>
    <col min="12277" max="12277" width="11.140625" customWidth="1"/>
    <col min="12278" max="12278" width="8.7109375" customWidth="1"/>
    <col min="12279" max="12279" width="22.85546875" customWidth="1"/>
    <col min="12280" max="12280" width="6.5703125" customWidth="1"/>
    <col min="12281" max="12281" width="1" customWidth="1"/>
    <col min="12282" max="12282" width="6.85546875" customWidth="1"/>
    <col min="12283" max="12283" width="1" customWidth="1"/>
    <col min="12284" max="12284" width="6.28515625" customWidth="1"/>
    <col min="12285" max="12285" width="1" customWidth="1"/>
    <col min="12286" max="12286" width="9.28515625" customWidth="1"/>
    <col min="12287" max="12287" width="6.28515625" customWidth="1"/>
    <col min="12288" max="12288" width="7.140625" customWidth="1"/>
    <col min="12289" max="12289" width="4.28515625" customWidth="1"/>
    <col min="12290" max="12290" width="17.28515625" customWidth="1"/>
    <col min="12291" max="12291" width="15.28515625" customWidth="1"/>
    <col min="12292" max="12292" width="7.28515625" customWidth="1"/>
    <col min="12293" max="12293" width="1" customWidth="1"/>
    <col min="12294" max="12294" width="4" customWidth="1"/>
    <col min="12295" max="12295" width="1" customWidth="1"/>
    <col min="12296" max="12296" width="3" customWidth="1"/>
    <col min="12297" max="12297" width="1" customWidth="1"/>
    <col min="12298" max="12298" width="11.85546875" customWidth="1"/>
    <col min="12299" max="12299" width="1" customWidth="1"/>
    <col min="12300" max="12300" width="6.28515625" customWidth="1"/>
    <col min="12301" max="12301" width="12.140625" customWidth="1"/>
    <col min="12302" max="12302" width="5" customWidth="1"/>
    <col min="12303" max="12303" width="10.85546875" customWidth="1"/>
    <col min="12304" max="12304" width="3" customWidth="1"/>
    <col min="12305" max="12305" width="7.5703125" customWidth="1"/>
    <col min="12306" max="12306" width="1.7109375" customWidth="1"/>
    <col min="12307" max="12307" width="9.85546875" customWidth="1"/>
    <col min="12531" max="12531" width="7" customWidth="1"/>
    <col min="12532" max="12532" width="1.5703125" customWidth="1"/>
    <col min="12533" max="12533" width="11.140625" customWidth="1"/>
    <col min="12534" max="12534" width="8.7109375" customWidth="1"/>
    <col min="12535" max="12535" width="22.85546875" customWidth="1"/>
    <col min="12536" max="12536" width="6.5703125" customWidth="1"/>
    <col min="12537" max="12537" width="1" customWidth="1"/>
    <col min="12538" max="12538" width="6.85546875" customWidth="1"/>
    <col min="12539" max="12539" width="1" customWidth="1"/>
    <col min="12540" max="12540" width="6.28515625" customWidth="1"/>
    <col min="12541" max="12541" width="1" customWidth="1"/>
    <col min="12542" max="12542" width="9.28515625" customWidth="1"/>
    <col min="12543" max="12543" width="6.28515625" customWidth="1"/>
    <col min="12544" max="12544" width="7.140625" customWidth="1"/>
    <col min="12545" max="12545" width="4.28515625" customWidth="1"/>
    <col min="12546" max="12546" width="17.28515625" customWidth="1"/>
    <col min="12547" max="12547" width="15.28515625" customWidth="1"/>
    <col min="12548" max="12548" width="7.28515625" customWidth="1"/>
    <col min="12549" max="12549" width="1" customWidth="1"/>
    <col min="12550" max="12550" width="4" customWidth="1"/>
    <col min="12551" max="12551" width="1" customWidth="1"/>
    <col min="12552" max="12552" width="3" customWidth="1"/>
    <col min="12553" max="12553" width="1" customWidth="1"/>
    <col min="12554" max="12554" width="11.85546875" customWidth="1"/>
    <col min="12555" max="12555" width="1" customWidth="1"/>
    <col min="12556" max="12556" width="6.28515625" customWidth="1"/>
    <col min="12557" max="12557" width="12.140625" customWidth="1"/>
    <col min="12558" max="12558" width="5" customWidth="1"/>
    <col min="12559" max="12559" width="10.85546875" customWidth="1"/>
    <col min="12560" max="12560" width="3" customWidth="1"/>
    <col min="12561" max="12561" width="7.5703125" customWidth="1"/>
    <col min="12562" max="12562" width="1.7109375" customWidth="1"/>
    <col min="12563" max="12563" width="9.85546875" customWidth="1"/>
    <col min="12787" max="12787" width="7" customWidth="1"/>
    <col min="12788" max="12788" width="1.5703125" customWidth="1"/>
    <col min="12789" max="12789" width="11.140625" customWidth="1"/>
    <col min="12790" max="12790" width="8.7109375" customWidth="1"/>
    <col min="12791" max="12791" width="22.85546875" customWidth="1"/>
    <col min="12792" max="12792" width="6.5703125" customWidth="1"/>
    <col min="12793" max="12793" width="1" customWidth="1"/>
    <col min="12794" max="12794" width="6.85546875" customWidth="1"/>
    <col min="12795" max="12795" width="1" customWidth="1"/>
    <col min="12796" max="12796" width="6.28515625" customWidth="1"/>
    <col min="12797" max="12797" width="1" customWidth="1"/>
    <col min="12798" max="12798" width="9.28515625" customWidth="1"/>
    <col min="12799" max="12799" width="6.28515625" customWidth="1"/>
    <col min="12800" max="12800" width="7.140625" customWidth="1"/>
    <col min="12801" max="12801" width="4.28515625" customWidth="1"/>
    <col min="12802" max="12802" width="17.28515625" customWidth="1"/>
    <col min="12803" max="12803" width="15.28515625" customWidth="1"/>
    <col min="12804" max="12804" width="7.28515625" customWidth="1"/>
    <col min="12805" max="12805" width="1" customWidth="1"/>
    <col min="12806" max="12806" width="4" customWidth="1"/>
    <col min="12807" max="12807" width="1" customWidth="1"/>
    <col min="12808" max="12808" width="3" customWidth="1"/>
    <col min="12809" max="12809" width="1" customWidth="1"/>
    <col min="12810" max="12810" width="11.85546875" customWidth="1"/>
    <col min="12811" max="12811" width="1" customWidth="1"/>
    <col min="12812" max="12812" width="6.28515625" customWidth="1"/>
    <col min="12813" max="12813" width="12.140625" customWidth="1"/>
    <col min="12814" max="12814" width="5" customWidth="1"/>
    <col min="12815" max="12815" width="10.85546875" customWidth="1"/>
    <col min="12816" max="12816" width="3" customWidth="1"/>
    <col min="12817" max="12817" width="7.5703125" customWidth="1"/>
    <col min="12818" max="12818" width="1.7109375" customWidth="1"/>
    <col min="12819" max="12819" width="9.85546875" customWidth="1"/>
    <col min="13043" max="13043" width="7" customWidth="1"/>
    <col min="13044" max="13044" width="1.5703125" customWidth="1"/>
    <col min="13045" max="13045" width="11.140625" customWidth="1"/>
    <col min="13046" max="13046" width="8.7109375" customWidth="1"/>
    <col min="13047" max="13047" width="22.85546875" customWidth="1"/>
    <col min="13048" max="13048" width="6.5703125" customWidth="1"/>
    <col min="13049" max="13049" width="1" customWidth="1"/>
    <col min="13050" max="13050" width="6.85546875" customWidth="1"/>
    <col min="13051" max="13051" width="1" customWidth="1"/>
    <col min="13052" max="13052" width="6.28515625" customWidth="1"/>
    <col min="13053" max="13053" width="1" customWidth="1"/>
    <col min="13054" max="13054" width="9.28515625" customWidth="1"/>
    <col min="13055" max="13055" width="6.28515625" customWidth="1"/>
    <col min="13056" max="13056" width="7.140625" customWidth="1"/>
    <col min="13057" max="13057" width="4.28515625" customWidth="1"/>
    <col min="13058" max="13058" width="17.28515625" customWidth="1"/>
    <col min="13059" max="13059" width="15.28515625" customWidth="1"/>
    <col min="13060" max="13060" width="7.28515625" customWidth="1"/>
    <col min="13061" max="13061" width="1" customWidth="1"/>
    <col min="13062" max="13062" width="4" customWidth="1"/>
    <col min="13063" max="13063" width="1" customWidth="1"/>
    <col min="13064" max="13064" width="3" customWidth="1"/>
    <col min="13065" max="13065" width="1" customWidth="1"/>
    <col min="13066" max="13066" width="11.85546875" customWidth="1"/>
    <col min="13067" max="13067" width="1" customWidth="1"/>
    <col min="13068" max="13068" width="6.28515625" customWidth="1"/>
    <col min="13069" max="13069" width="12.140625" customWidth="1"/>
    <col min="13070" max="13070" width="5" customWidth="1"/>
    <col min="13071" max="13071" width="10.85546875" customWidth="1"/>
    <col min="13072" max="13072" width="3" customWidth="1"/>
    <col min="13073" max="13073" width="7.5703125" customWidth="1"/>
    <col min="13074" max="13074" width="1.7109375" customWidth="1"/>
    <col min="13075" max="13075" width="9.85546875" customWidth="1"/>
    <col min="13299" max="13299" width="7" customWidth="1"/>
    <col min="13300" max="13300" width="1.5703125" customWidth="1"/>
    <col min="13301" max="13301" width="11.140625" customWidth="1"/>
    <col min="13302" max="13302" width="8.7109375" customWidth="1"/>
    <col min="13303" max="13303" width="22.85546875" customWidth="1"/>
    <col min="13304" max="13304" width="6.5703125" customWidth="1"/>
    <col min="13305" max="13305" width="1" customWidth="1"/>
    <col min="13306" max="13306" width="6.85546875" customWidth="1"/>
    <col min="13307" max="13307" width="1" customWidth="1"/>
    <col min="13308" max="13308" width="6.28515625" customWidth="1"/>
    <col min="13309" max="13309" width="1" customWidth="1"/>
    <col min="13310" max="13310" width="9.28515625" customWidth="1"/>
    <col min="13311" max="13311" width="6.28515625" customWidth="1"/>
    <col min="13312" max="13312" width="7.140625" customWidth="1"/>
    <col min="13313" max="13313" width="4.28515625" customWidth="1"/>
    <col min="13314" max="13314" width="17.28515625" customWidth="1"/>
    <col min="13315" max="13315" width="15.28515625" customWidth="1"/>
    <col min="13316" max="13316" width="7.28515625" customWidth="1"/>
    <col min="13317" max="13317" width="1" customWidth="1"/>
    <col min="13318" max="13318" width="4" customWidth="1"/>
    <col min="13319" max="13319" width="1" customWidth="1"/>
    <col min="13320" max="13320" width="3" customWidth="1"/>
    <col min="13321" max="13321" width="1" customWidth="1"/>
    <col min="13322" max="13322" width="11.85546875" customWidth="1"/>
    <col min="13323" max="13323" width="1" customWidth="1"/>
    <col min="13324" max="13324" width="6.28515625" customWidth="1"/>
    <col min="13325" max="13325" width="12.140625" customWidth="1"/>
    <col min="13326" max="13326" width="5" customWidth="1"/>
    <col min="13327" max="13327" width="10.85546875" customWidth="1"/>
    <col min="13328" max="13328" width="3" customWidth="1"/>
    <col min="13329" max="13329" width="7.5703125" customWidth="1"/>
    <col min="13330" max="13330" width="1.7109375" customWidth="1"/>
    <col min="13331" max="13331" width="9.85546875" customWidth="1"/>
    <col min="13555" max="13555" width="7" customWidth="1"/>
    <col min="13556" max="13556" width="1.5703125" customWidth="1"/>
    <col min="13557" max="13557" width="11.140625" customWidth="1"/>
    <col min="13558" max="13558" width="8.7109375" customWidth="1"/>
    <col min="13559" max="13559" width="22.85546875" customWidth="1"/>
    <col min="13560" max="13560" width="6.5703125" customWidth="1"/>
    <col min="13561" max="13561" width="1" customWidth="1"/>
    <col min="13562" max="13562" width="6.85546875" customWidth="1"/>
    <col min="13563" max="13563" width="1" customWidth="1"/>
    <col min="13564" max="13564" width="6.28515625" customWidth="1"/>
    <col min="13565" max="13565" width="1" customWidth="1"/>
    <col min="13566" max="13566" width="9.28515625" customWidth="1"/>
    <col min="13567" max="13567" width="6.28515625" customWidth="1"/>
    <col min="13568" max="13568" width="7.140625" customWidth="1"/>
    <col min="13569" max="13569" width="4.28515625" customWidth="1"/>
    <col min="13570" max="13570" width="17.28515625" customWidth="1"/>
    <col min="13571" max="13571" width="15.28515625" customWidth="1"/>
    <col min="13572" max="13572" width="7.28515625" customWidth="1"/>
    <col min="13573" max="13573" width="1" customWidth="1"/>
    <col min="13574" max="13574" width="4" customWidth="1"/>
    <col min="13575" max="13575" width="1" customWidth="1"/>
    <col min="13576" max="13576" width="3" customWidth="1"/>
    <col min="13577" max="13577" width="1" customWidth="1"/>
    <col min="13578" max="13578" width="11.85546875" customWidth="1"/>
    <col min="13579" max="13579" width="1" customWidth="1"/>
    <col min="13580" max="13580" width="6.28515625" customWidth="1"/>
    <col min="13581" max="13581" width="12.140625" customWidth="1"/>
    <col min="13582" max="13582" width="5" customWidth="1"/>
    <col min="13583" max="13583" width="10.85546875" customWidth="1"/>
    <col min="13584" max="13584" width="3" customWidth="1"/>
    <col min="13585" max="13585" width="7.5703125" customWidth="1"/>
    <col min="13586" max="13586" width="1.7109375" customWidth="1"/>
    <col min="13587" max="13587" width="9.85546875" customWidth="1"/>
    <col min="13811" max="13811" width="7" customWidth="1"/>
    <col min="13812" max="13812" width="1.5703125" customWidth="1"/>
    <col min="13813" max="13813" width="11.140625" customWidth="1"/>
    <col min="13814" max="13814" width="8.7109375" customWidth="1"/>
    <col min="13815" max="13815" width="22.85546875" customWidth="1"/>
    <col min="13816" max="13816" width="6.5703125" customWidth="1"/>
    <col min="13817" max="13817" width="1" customWidth="1"/>
    <col min="13818" max="13818" width="6.85546875" customWidth="1"/>
    <col min="13819" max="13819" width="1" customWidth="1"/>
    <col min="13820" max="13820" width="6.28515625" customWidth="1"/>
    <col min="13821" max="13821" width="1" customWidth="1"/>
    <col min="13822" max="13822" width="9.28515625" customWidth="1"/>
    <col min="13823" max="13823" width="6.28515625" customWidth="1"/>
    <col min="13824" max="13824" width="7.140625" customWidth="1"/>
    <col min="13825" max="13825" width="4.28515625" customWidth="1"/>
    <col min="13826" max="13826" width="17.28515625" customWidth="1"/>
    <col min="13827" max="13827" width="15.28515625" customWidth="1"/>
    <col min="13828" max="13828" width="7.28515625" customWidth="1"/>
    <col min="13829" max="13829" width="1" customWidth="1"/>
    <col min="13830" max="13830" width="4" customWidth="1"/>
    <col min="13831" max="13831" width="1" customWidth="1"/>
    <col min="13832" max="13832" width="3" customWidth="1"/>
    <col min="13833" max="13833" width="1" customWidth="1"/>
    <col min="13834" max="13834" width="11.85546875" customWidth="1"/>
    <col min="13835" max="13835" width="1" customWidth="1"/>
    <col min="13836" max="13836" width="6.28515625" customWidth="1"/>
    <col min="13837" max="13837" width="12.140625" customWidth="1"/>
    <col min="13838" max="13838" width="5" customWidth="1"/>
    <col min="13839" max="13839" width="10.85546875" customWidth="1"/>
    <col min="13840" max="13840" width="3" customWidth="1"/>
    <col min="13841" max="13841" width="7.5703125" customWidth="1"/>
    <col min="13842" max="13842" width="1.7109375" customWidth="1"/>
    <col min="13843" max="13843" width="9.85546875" customWidth="1"/>
    <col min="14067" max="14067" width="7" customWidth="1"/>
    <col min="14068" max="14068" width="1.5703125" customWidth="1"/>
    <col min="14069" max="14069" width="11.140625" customWidth="1"/>
    <col min="14070" max="14070" width="8.7109375" customWidth="1"/>
    <col min="14071" max="14071" width="22.85546875" customWidth="1"/>
    <col min="14072" max="14072" width="6.5703125" customWidth="1"/>
    <col min="14073" max="14073" width="1" customWidth="1"/>
    <col min="14074" max="14074" width="6.85546875" customWidth="1"/>
    <col min="14075" max="14075" width="1" customWidth="1"/>
    <col min="14076" max="14076" width="6.28515625" customWidth="1"/>
    <col min="14077" max="14077" width="1" customWidth="1"/>
    <col min="14078" max="14078" width="9.28515625" customWidth="1"/>
    <col min="14079" max="14079" width="6.28515625" customWidth="1"/>
    <col min="14080" max="14080" width="7.140625" customWidth="1"/>
    <col min="14081" max="14081" width="4.28515625" customWidth="1"/>
    <col min="14082" max="14082" width="17.28515625" customWidth="1"/>
    <col min="14083" max="14083" width="15.28515625" customWidth="1"/>
    <col min="14084" max="14084" width="7.28515625" customWidth="1"/>
    <col min="14085" max="14085" width="1" customWidth="1"/>
    <col min="14086" max="14086" width="4" customWidth="1"/>
    <col min="14087" max="14087" width="1" customWidth="1"/>
    <col min="14088" max="14088" width="3" customWidth="1"/>
    <col min="14089" max="14089" width="1" customWidth="1"/>
    <col min="14090" max="14090" width="11.85546875" customWidth="1"/>
    <col min="14091" max="14091" width="1" customWidth="1"/>
    <col min="14092" max="14092" width="6.28515625" customWidth="1"/>
    <col min="14093" max="14093" width="12.140625" customWidth="1"/>
    <col min="14094" max="14094" width="5" customWidth="1"/>
    <col min="14095" max="14095" width="10.85546875" customWidth="1"/>
    <col min="14096" max="14096" width="3" customWidth="1"/>
    <col min="14097" max="14097" width="7.5703125" customWidth="1"/>
    <col min="14098" max="14098" width="1.7109375" customWidth="1"/>
    <col min="14099" max="14099" width="9.85546875" customWidth="1"/>
    <col min="14323" max="14323" width="7" customWidth="1"/>
    <col min="14324" max="14324" width="1.5703125" customWidth="1"/>
    <col min="14325" max="14325" width="11.140625" customWidth="1"/>
    <col min="14326" max="14326" width="8.7109375" customWidth="1"/>
    <col min="14327" max="14327" width="22.85546875" customWidth="1"/>
    <col min="14328" max="14328" width="6.5703125" customWidth="1"/>
    <col min="14329" max="14329" width="1" customWidth="1"/>
    <col min="14330" max="14330" width="6.85546875" customWidth="1"/>
    <col min="14331" max="14331" width="1" customWidth="1"/>
    <col min="14332" max="14332" width="6.28515625" customWidth="1"/>
    <col min="14333" max="14333" width="1" customWidth="1"/>
    <col min="14334" max="14334" width="9.28515625" customWidth="1"/>
    <col min="14335" max="14335" width="6.28515625" customWidth="1"/>
    <col min="14336" max="14336" width="7.140625" customWidth="1"/>
    <col min="14337" max="14337" width="4.28515625" customWidth="1"/>
    <col min="14338" max="14338" width="17.28515625" customWidth="1"/>
    <col min="14339" max="14339" width="15.28515625" customWidth="1"/>
    <col min="14340" max="14340" width="7.28515625" customWidth="1"/>
    <col min="14341" max="14341" width="1" customWidth="1"/>
    <col min="14342" max="14342" width="4" customWidth="1"/>
    <col min="14343" max="14343" width="1" customWidth="1"/>
    <col min="14344" max="14344" width="3" customWidth="1"/>
    <col min="14345" max="14345" width="1" customWidth="1"/>
    <col min="14346" max="14346" width="11.85546875" customWidth="1"/>
    <col min="14347" max="14347" width="1" customWidth="1"/>
    <col min="14348" max="14348" width="6.28515625" customWidth="1"/>
    <col min="14349" max="14349" width="12.140625" customWidth="1"/>
    <col min="14350" max="14350" width="5" customWidth="1"/>
    <col min="14351" max="14351" width="10.85546875" customWidth="1"/>
    <col min="14352" max="14352" width="3" customWidth="1"/>
    <col min="14353" max="14353" width="7.5703125" customWidth="1"/>
    <col min="14354" max="14354" width="1.7109375" customWidth="1"/>
    <col min="14355" max="14355" width="9.85546875" customWidth="1"/>
    <col min="14579" max="14579" width="7" customWidth="1"/>
    <col min="14580" max="14580" width="1.5703125" customWidth="1"/>
    <col min="14581" max="14581" width="11.140625" customWidth="1"/>
    <col min="14582" max="14582" width="8.7109375" customWidth="1"/>
    <col min="14583" max="14583" width="22.85546875" customWidth="1"/>
    <col min="14584" max="14584" width="6.5703125" customWidth="1"/>
    <col min="14585" max="14585" width="1" customWidth="1"/>
    <col min="14586" max="14586" width="6.85546875" customWidth="1"/>
    <col min="14587" max="14587" width="1" customWidth="1"/>
    <col min="14588" max="14588" width="6.28515625" customWidth="1"/>
    <col min="14589" max="14589" width="1" customWidth="1"/>
    <col min="14590" max="14590" width="9.28515625" customWidth="1"/>
    <col min="14591" max="14591" width="6.28515625" customWidth="1"/>
    <col min="14592" max="14592" width="7.140625" customWidth="1"/>
    <col min="14593" max="14593" width="4.28515625" customWidth="1"/>
    <col min="14594" max="14594" width="17.28515625" customWidth="1"/>
    <col min="14595" max="14595" width="15.28515625" customWidth="1"/>
    <col min="14596" max="14596" width="7.28515625" customWidth="1"/>
    <col min="14597" max="14597" width="1" customWidth="1"/>
    <col min="14598" max="14598" width="4" customWidth="1"/>
    <col min="14599" max="14599" width="1" customWidth="1"/>
    <col min="14600" max="14600" width="3" customWidth="1"/>
    <col min="14601" max="14601" width="1" customWidth="1"/>
    <col min="14602" max="14602" width="11.85546875" customWidth="1"/>
    <col min="14603" max="14603" width="1" customWidth="1"/>
    <col min="14604" max="14604" width="6.28515625" customWidth="1"/>
    <col min="14605" max="14605" width="12.140625" customWidth="1"/>
    <col min="14606" max="14606" width="5" customWidth="1"/>
    <col min="14607" max="14607" width="10.85546875" customWidth="1"/>
    <col min="14608" max="14608" width="3" customWidth="1"/>
    <col min="14609" max="14609" width="7.5703125" customWidth="1"/>
    <col min="14610" max="14610" width="1.7109375" customWidth="1"/>
    <col min="14611" max="14611" width="9.85546875" customWidth="1"/>
    <col min="14835" max="14835" width="7" customWidth="1"/>
    <col min="14836" max="14836" width="1.5703125" customWidth="1"/>
    <col min="14837" max="14837" width="11.140625" customWidth="1"/>
    <col min="14838" max="14838" width="8.7109375" customWidth="1"/>
    <col min="14839" max="14839" width="22.85546875" customWidth="1"/>
    <col min="14840" max="14840" width="6.5703125" customWidth="1"/>
    <col min="14841" max="14841" width="1" customWidth="1"/>
    <col min="14842" max="14842" width="6.85546875" customWidth="1"/>
    <col min="14843" max="14843" width="1" customWidth="1"/>
    <col min="14844" max="14844" width="6.28515625" customWidth="1"/>
    <col min="14845" max="14845" width="1" customWidth="1"/>
    <col min="14846" max="14846" width="9.28515625" customWidth="1"/>
    <col min="14847" max="14847" width="6.28515625" customWidth="1"/>
    <col min="14848" max="14848" width="7.140625" customWidth="1"/>
    <col min="14849" max="14849" width="4.28515625" customWidth="1"/>
    <col min="14850" max="14850" width="17.28515625" customWidth="1"/>
    <col min="14851" max="14851" width="15.28515625" customWidth="1"/>
    <col min="14852" max="14852" width="7.28515625" customWidth="1"/>
    <col min="14853" max="14853" width="1" customWidth="1"/>
    <col min="14854" max="14854" width="4" customWidth="1"/>
    <col min="14855" max="14855" width="1" customWidth="1"/>
    <col min="14856" max="14856" width="3" customWidth="1"/>
    <col min="14857" max="14857" width="1" customWidth="1"/>
    <col min="14858" max="14858" width="11.85546875" customWidth="1"/>
    <col min="14859" max="14859" width="1" customWidth="1"/>
    <col min="14860" max="14860" width="6.28515625" customWidth="1"/>
    <col min="14861" max="14861" width="12.140625" customWidth="1"/>
    <col min="14862" max="14862" width="5" customWidth="1"/>
    <col min="14863" max="14863" width="10.85546875" customWidth="1"/>
    <col min="14864" max="14864" width="3" customWidth="1"/>
    <col min="14865" max="14865" width="7.5703125" customWidth="1"/>
    <col min="14866" max="14866" width="1.7109375" customWidth="1"/>
    <col min="14867" max="14867" width="9.85546875" customWidth="1"/>
    <col min="15091" max="15091" width="7" customWidth="1"/>
    <col min="15092" max="15092" width="1.5703125" customWidth="1"/>
    <col min="15093" max="15093" width="11.140625" customWidth="1"/>
    <col min="15094" max="15094" width="8.7109375" customWidth="1"/>
    <col min="15095" max="15095" width="22.85546875" customWidth="1"/>
    <col min="15096" max="15096" width="6.5703125" customWidth="1"/>
    <col min="15097" max="15097" width="1" customWidth="1"/>
    <col min="15098" max="15098" width="6.85546875" customWidth="1"/>
    <col min="15099" max="15099" width="1" customWidth="1"/>
    <col min="15100" max="15100" width="6.28515625" customWidth="1"/>
    <col min="15101" max="15101" width="1" customWidth="1"/>
    <col min="15102" max="15102" width="9.28515625" customWidth="1"/>
    <col min="15103" max="15103" width="6.28515625" customWidth="1"/>
    <col min="15104" max="15104" width="7.140625" customWidth="1"/>
    <col min="15105" max="15105" width="4.28515625" customWidth="1"/>
    <col min="15106" max="15106" width="17.28515625" customWidth="1"/>
    <col min="15107" max="15107" width="15.28515625" customWidth="1"/>
    <col min="15108" max="15108" width="7.28515625" customWidth="1"/>
    <col min="15109" max="15109" width="1" customWidth="1"/>
    <col min="15110" max="15110" width="4" customWidth="1"/>
    <col min="15111" max="15111" width="1" customWidth="1"/>
    <col min="15112" max="15112" width="3" customWidth="1"/>
    <col min="15113" max="15113" width="1" customWidth="1"/>
    <col min="15114" max="15114" width="11.85546875" customWidth="1"/>
    <col min="15115" max="15115" width="1" customWidth="1"/>
    <col min="15116" max="15116" width="6.28515625" customWidth="1"/>
    <col min="15117" max="15117" width="12.140625" customWidth="1"/>
    <col min="15118" max="15118" width="5" customWidth="1"/>
    <col min="15119" max="15119" width="10.85546875" customWidth="1"/>
    <col min="15120" max="15120" width="3" customWidth="1"/>
    <col min="15121" max="15121" width="7.5703125" customWidth="1"/>
    <col min="15122" max="15122" width="1.7109375" customWidth="1"/>
    <col min="15123" max="15123" width="9.85546875" customWidth="1"/>
    <col min="15347" max="15347" width="7" customWidth="1"/>
    <col min="15348" max="15348" width="1.5703125" customWidth="1"/>
    <col min="15349" max="15349" width="11.140625" customWidth="1"/>
    <col min="15350" max="15350" width="8.7109375" customWidth="1"/>
    <col min="15351" max="15351" width="22.85546875" customWidth="1"/>
    <col min="15352" max="15352" width="6.5703125" customWidth="1"/>
    <col min="15353" max="15353" width="1" customWidth="1"/>
    <col min="15354" max="15354" width="6.85546875" customWidth="1"/>
    <col min="15355" max="15355" width="1" customWidth="1"/>
    <col min="15356" max="15356" width="6.28515625" customWidth="1"/>
    <col min="15357" max="15357" width="1" customWidth="1"/>
    <col min="15358" max="15358" width="9.28515625" customWidth="1"/>
    <col min="15359" max="15359" width="6.28515625" customWidth="1"/>
    <col min="15360" max="15360" width="7.140625" customWidth="1"/>
    <col min="15361" max="15361" width="4.28515625" customWidth="1"/>
    <col min="15362" max="15362" width="17.28515625" customWidth="1"/>
    <col min="15363" max="15363" width="15.28515625" customWidth="1"/>
    <col min="15364" max="15364" width="7.28515625" customWidth="1"/>
    <col min="15365" max="15365" width="1" customWidth="1"/>
    <col min="15366" max="15366" width="4" customWidth="1"/>
    <col min="15367" max="15367" width="1" customWidth="1"/>
    <col min="15368" max="15368" width="3" customWidth="1"/>
    <col min="15369" max="15369" width="1" customWidth="1"/>
    <col min="15370" max="15370" width="11.85546875" customWidth="1"/>
    <col min="15371" max="15371" width="1" customWidth="1"/>
    <col min="15372" max="15372" width="6.28515625" customWidth="1"/>
    <col min="15373" max="15373" width="12.140625" customWidth="1"/>
    <col min="15374" max="15374" width="5" customWidth="1"/>
    <col min="15375" max="15375" width="10.85546875" customWidth="1"/>
    <col min="15376" max="15376" width="3" customWidth="1"/>
    <col min="15377" max="15377" width="7.5703125" customWidth="1"/>
    <col min="15378" max="15378" width="1.7109375" customWidth="1"/>
    <col min="15379" max="15379" width="9.85546875" customWidth="1"/>
    <col min="15603" max="15603" width="7" customWidth="1"/>
    <col min="15604" max="15604" width="1.5703125" customWidth="1"/>
    <col min="15605" max="15605" width="11.140625" customWidth="1"/>
    <col min="15606" max="15606" width="8.7109375" customWidth="1"/>
    <col min="15607" max="15607" width="22.85546875" customWidth="1"/>
    <col min="15608" max="15608" width="6.5703125" customWidth="1"/>
    <col min="15609" max="15609" width="1" customWidth="1"/>
    <col min="15610" max="15610" width="6.85546875" customWidth="1"/>
    <col min="15611" max="15611" width="1" customWidth="1"/>
    <col min="15612" max="15612" width="6.28515625" customWidth="1"/>
    <col min="15613" max="15613" width="1" customWidth="1"/>
    <col min="15614" max="15614" width="9.28515625" customWidth="1"/>
    <col min="15615" max="15615" width="6.28515625" customWidth="1"/>
    <col min="15616" max="15616" width="7.140625" customWidth="1"/>
    <col min="15617" max="15617" width="4.28515625" customWidth="1"/>
    <col min="15618" max="15618" width="17.28515625" customWidth="1"/>
    <col min="15619" max="15619" width="15.28515625" customWidth="1"/>
    <col min="15620" max="15620" width="7.28515625" customWidth="1"/>
    <col min="15621" max="15621" width="1" customWidth="1"/>
    <col min="15622" max="15622" width="4" customWidth="1"/>
    <col min="15623" max="15623" width="1" customWidth="1"/>
    <col min="15624" max="15624" width="3" customWidth="1"/>
    <col min="15625" max="15625" width="1" customWidth="1"/>
    <col min="15626" max="15626" width="11.85546875" customWidth="1"/>
    <col min="15627" max="15627" width="1" customWidth="1"/>
    <col min="15628" max="15628" width="6.28515625" customWidth="1"/>
    <col min="15629" max="15629" width="12.140625" customWidth="1"/>
    <col min="15630" max="15630" width="5" customWidth="1"/>
    <col min="15631" max="15631" width="10.85546875" customWidth="1"/>
    <col min="15632" max="15632" width="3" customWidth="1"/>
    <col min="15633" max="15633" width="7.5703125" customWidth="1"/>
    <col min="15634" max="15634" width="1.7109375" customWidth="1"/>
    <col min="15635" max="15635" width="9.85546875" customWidth="1"/>
    <col min="15859" max="15859" width="7" customWidth="1"/>
    <col min="15860" max="15860" width="1.5703125" customWidth="1"/>
    <col min="15861" max="15861" width="11.140625" customWidth="1"/>
    <col min="15862" max="15862" width="8.7109375" customWidth="1"/>
    <col min="15863" max="15863" width="22.85546875" customWidth="1"/>
    <col min="15864" max="15864" width="6.5703125" customWidth="1"/>
    <col min="15865" max="15865" width="1" customWidth="1"/>
    <col min="15866" max="15866" width="6.85546875" customWidth="1"/>
    <col min="15867" max="15867" width="1" customWidth="1"/>
    <col min="15868" max="15868" width="6.28515625" customWidth="1"/>
    <col min="15869" max="15869" width="1" customWidth="1"/>
    <col min="15870" max="15870" width="9.28515625" customWidth="1"/>
    <col min="15871" max="15871" width="6.28515625" customWidth="1"/>
    <col min="15872" max="15872" width="7.140625" customWidth="1"/>
    <col min="15873" max="15873" width="4.28515625" customWidth="1"/>
    <col min="15874" max="15874" width="17.28515625" customWidth="1"/>
    <col min="15875" max="15875" width="15.28515625" customWidth="1"/>
    <col min="15876" max="15876" width="7.28515625" customWidth="1"/>
    <col min="15877" max="15877" width="1" customWidth="1"/>
    <col min="15878" max="15878" width="4" customWidth="1"/>
    <col min="15879" max="15879" width="1" customWidth="1"/>
    <col min="15880" max="15880" width="3" customWidth="1"/>
    <col min="15881" max="15881" width="1" customWidth="1"/>
    <col min="15882" max="15882" width="11.85546875" customWidth="1"/>
    <col min="15883" max="15883" width="1" customWidth="1"/>
    <col min="15884" max="15884" width="6.28515625" customWidth="1"/>
    <col min="15885" max="15885" width="12.140625" customWidth="1"/>
    <col min="15886" max="15886" width="5" customWidth="1"/>
    <col min="15887" max="15887" width="10.85546875" customWidth="1"/>
    <col min="15888" max="15888" width="3" customWidth="1"/>
    <col min="15889" max="15889" width="7.5703125" customWidth="1"/>
    <col min="15890" max="15890" width="1.7109375" customWidth="1"/>
    <col min="15891" max="15891" width="9.85546875" customWidth="1"/>
    <col min="16115" max="16115" width="7" customWidth="1"/>
    <col min="16116" max="16116" width="1.5703125" customWidth="1"/>
    <col min="16117" max="16117" width="11.140625" customWidth="1"/>
    <col min="16118" max="16118" width="8.7109375" customWidth="1"/>
    <col min="16119" max="16119" width="22.85546875" customWidth="1"/>
    <col min="16120" max="16120" width="6.5703125" customWidth="1"/>
    <col min="16121" max="16121" width="1" customWidth="1"/>
    <col min="16122" max="16122" width="6.85546875" customWidth="1"/>
    <col min="16123" max="16123" width="1" customWidth="1"/>
    <col min="16124" max="16124" width="6.28515625" customWidth="1"/>
    <col min="16125" max="16125" width="1" customWidth="1"/>
    <col min="16126" max="16126" width="9.28515625" customWidth="1"/>
    <col min="16127" max="16127" width="6.28515625" customWidth="1"/>
    <col min="16128" max="16128" width="7.140625" customWidth="1"/>
    <col min="16129" max="16129" width="4.28515625" customWidth="1"/>
    <col min="16130" max="16130" width="17.28515625" customWidth="1"/>
    <col min="16131" max="16131" width="15.28515625" customWidth="1"/>
    <col min="16132" max="16132" width="7.28515625" customWidth="1"/>
    <col min="16133" max="16133" width="1" customWidth="1"/>
    <col min="16134" max="16134" width="4" customWidth="1"/>
    <col min="16135" max="16135" width="1" customWidth="1"/>
    <col min="16136" max="16136" width="3" customWidth="1"/>
    <col min="16137" max="16137" width="1" customWidth="1"/>
    <col min="16138" max="16138" width="11.85546875" customWidth="1"/>
    <col min="16139" max="16139" width="1" customWidth="1"/>
    <col min="16140" max="16140" width="6.28515625" customWidth="1"/>
    <col min="16141" max="16141" width="12.140625" customWidth="1"/>
    <col min="16142" max="16142" width="5" customWidth="1"/>
    <col min="16143" max="16143" width="10.85546875" customWidth="1"/>
    <col min="16144" max="16144" width="3" customWidth="1"/>
    <col min="16145" max="16145" width="7.5703125" customWidth="1"/>
    <col min="16146" max="16146" width="1.7109375" customWidth="1"/>
    <col min="16147" max="16147" width="9.85546875" customWidth="1"/>
  </cols>
  <sheetData>
    <row r="1" spans="1:19" ht="11.1" customHeight="1" x14ac:dyDescent="0.25">
      <c r="A1" s="49" t="s">
        <v>289</v>
      </c>
      <c r="B1" s="49"/>
      <c r="C1" s="49"/>
      <c r="D1" s="49"/>
      <c r="E1" s="49"/>
      <c r="F1" s="49"/>
      <c r="G1" s="49"/>
      <c r="H1" s="49"/>
      <c r="S1" s="51"/>
    </row>
    <row r="2" spans="1:19" ht="11.85" customHeight="1" x14ac:dyDescent="0.25">
      <c r="A2" s="52" t="s">
        <v>290</v>
      </c>
      <c r="B2" s="68" t="s">
        <v>75</v>
      </c>
      <c r="C2" s="14"/>
      <c r="D2" s="14"/>
      <c r="E2" s="14"/>
      <c r="F2" s="14"/>
      <c r="G2" s="14"/>
      <c r="H2" s="14"/>
      <c r="S2" s="53"/>
    </row>
    <row r="3" spans="1:19" ht="11.85" customHeight="1" x14ac:dyDescent="0.25">
      <c r="A3" s="50" t="s">
        <v>291</v>
      </c>
      <c r="B3" s="14" t="s">
        <v>292</v>
      </c>
      <c r="C3" s="14"/>
      <c r="D3" s="14"/>
      <c r="E3" s="14"/>
      <c r="F3" s="14"/>
      <c r="G3" s="14"/>
      <c r="H3" s="14"/>
      <c r="S3" s="54"/>
    </row>
    <row r="4" spans="1:19" ht="11.85" customHeight="1" x14ac:dyDescent="0.25">
      <c r="A4" s="50" t="s">
        <v>293</v>
      </c>
      <c r="B4" s="14" t="s">
        <v>294</v>
      </c>
      <c r="C4" s="14"/>
      <c r="D4" s="14"/>
      <c r="E4" s="14"/>
      <c r="F4" s="14"/>
      <c r="G4" s="14"/>
      <c r="H4" s="14"/>
    </row>
    <row r="5" spans="1:19" ht="11.1" customHeight="1" x14ac:dyDescent="0.25">
      <c r="A5" s="49" t="s">
        <v>295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 ht="11.1" customHeight="1" x14ac:dyDescent="0.25">
      <c r="A6" s="55" t="s">
        <v>184</v>
      </c>
      <c r="B6" s="49" t="s">
        <v>296</v>
      </c>
      <c r="C6" s="55" t="s">
        <v>297</v>
      </c>
      <c r="D6" s="55" t="s">
        <v>298</v>
      </c>
      <c r="E6" s="56" t="s">
        <v>299</v>
      </c>
      <c r="F6" s="55" t="s">
        <v>300</v>
      </c>
      <c r="G6" s="55" t="s">
        <v>184</v>
      </c>
      <c r="H6" s="49" t="s">
        <v>301</v>
      </c>
      <c r="I6" s="56" t="s">
        <v>302</v>
      </c>
      <c r="J6" s="56" t="s">
        <v>303</v>
      </c>
      <c r="K6" s="55" t="s">
        <v>304</v>
      </c>
      <c r="L6" s="55" t="s">
        <v>305</v>
      </c>
      <c r="M6" s="56" t="s">
        <v>24</v>
      </c>
      <c r="N6" s="56" t="s">
        <v>307</v>
      </c>
      <c r="O6" s="55" t="s">
        <v>308</v>
      </c>
      <c r="P6" s="55" t="s">
        <v>309</v>
      </c>
      <c r="Q6" s="55" t="s">
        <v>73</v>
      </c>
      <c r="R6" s="49" t="s">
        <v>310</v>
      </c>
      <c r="S6" s="55" t="s">
        <v>311</v>
      </c>
    </row>
    <row r="7" spans="1:19" ht="11.1" customHeight="1" x14ac:dyDescent="0.25">
      <c r="A7" s="57">
        <v>112518</v>
      </c>
      <c r="B7" s="53">
        <v>46114</v>
      </c>
      <c r="C7" s="58">
        <v>46114</v>
      </c>
      <c r="D7" s="59" t="s">
        <v>312</v>
      </c>
      <c r="E7" s="50" t="s">
        <v>313</v>
      </c>
      <c r="F7" s="57">
        <v>36</v>
      </c>
      <c r="G7" s="60">
        <v>823</v>
      </c>
      <c r="H7" s="61" t="s">
        <v>314</v>
      </c>
      <c r="I7" s="50" t="s">
        <v>315</v>
      </c>
      <c r="J7" s="50" t="s">
        <v>316</v>
      </c>
      <c r="K7" s="62">
        <v>5102</v>
      </c>
      <c r="L7" s="57">
        <v>205</v>
      </c>
      <c r="M7" s="50" t="s">
        <v>26</v>
      </c>
      <c r="N7" s="50" t="s">
        <v>317</v>
      </c>
      <c r="O7" s="64">
        <v>285.06</v>
      </c>
      <c r="P7" s="65">
        <v>12</v>
      </c>
      <c r="Q7" s="64">
        <v>34.21</v>
      </c>
      <c r="R7" s="63">
        <v>0</v>
      </c>
      <c r="S7" s="64">
        <v>0</v>
      </c>
    </row>
    <row r="8" spans="1:19" ht="11.1" customHeight="1" x14ac:dyDescent="0.25">
      <c r="A8" s="57">
        <v>112519</v>
      </c>
      <c r="B8" s="53">
        <v>46114</v>
      </c>
      <c r="C8" s="58">
        <v>46114</v>
      </c>
      <c r="D8" s="59" t="s">
        <v>312</v>
      </c>
      <c r="E8" s="50" t="s">
        <v>313</v>
      </c>
      <c r="F8" s="57">
        <v>36</v>
      </c>
      <c r="G8" s="60">
        <v>823</v>
      </c>
      <c r="H8" s="61" t="s">
        <v>314</v>
      </c>
      <c r="I8" s="50" t="s">
        <v>315</v>
      </c>
      <c r="J8" s="50" t="s">
        <v>316</v>
      </c>
      <c r="K8" s="62">
        <v>5403</v>
      </c>
      <c r="L8" s="57">
        <v>207</v>
      </c>
      <c r="M8" s="50" t="s">
        <v>26</v>
      </c>
      <c r="N8" s="50" t="s">
        <v>317</v>
      </c>
      <c r="O8" s="64">
        <v>192.72</v>
      </c>
      <c r="P8" s="65">
        <v>12</v>
      </c>
      <c r="Q8" s="64">
        <v>23.13</v>
      </c>
      <c r="R8" s="63">
        <v>0</v>
      </c>
      <c r="S8" s="64">
        <v>13.49</v>
      </c>
    </row>
    <row r="9" spans="1:19" ht="11.1" customHeight="1" x14ac:dyDescent="0.25">
      <c r="N9" s="50" t="s">
        <v>318</v>
      </c>
      <c r="O9" s="64">
        <v>260.17</v>
      </c>
      <c r="P9" s="65">
        <v>20</v>
      </c>
      <c r="Q9" s="64">
        <v>13.49</v>
      </c>
      <c r="R9" s="63">
        <v>0</v>
      </c>
      <c r="S9" s="64">
        <v>0</v>
      </c>
    </row>
    <row r="10" spans="1:19" ht="11.1" customHeight="1" x14ac:dyDescent="0.25">
      <c r="A10" s="57">
        <v>112809</v>
      </c>
      <c r="B10" s="53">
        <v>46121</v>
      </c>
      <c r="C10" s="58">
        <v>46121</v>
      </c>
      <c r="D10" s="59" t="s">
        <v>319</v>
      </c>
      <c r="E10" s="50" t="s">
        <v>313</v>
      </c>
      <c r="F10" s="57">
        <v>36</v>
      </c>
      <c r="G10" s="60">
        <v>823</v>
      </c>
      <c r="H10" s="61" t="s">
        <v>314</v>
      </c>
      <c r="I10" s="50" t="s">
        <v>315</v>
      </c>
      <c r="J10" s="50" t="s">
        <v>316</v>
      </c>
      <c r="K10" s="62">
        <v>5403</v>
      </c>
      <c r="L10" s="57">
        <v>207</v>
      </c>
      <c r="M10" s="50" t="s">
        <v>26</v>
      </c>
      <c r="N10" s="50" t="s">
        <v>317</v>
      </c>
      <c r="O10" s="64">
        <v>217.66</v>
      </c>
      <c r="P10" s="65">
        <v>12</v>
      </c>
      <c r="Q10" s="64">
        <v>26.12</v>
      </c>
      <c r="R10" s="63">
        <v>0</v>
      </c>
      <c r="S10" s="64">
        <v>15.24</v>
      </c>
    </row>
    <row r="11" spans="1:19" ht="11.1" customHeight="1" x14ac:dyDescent="0.25">
      <c r="N11" s="50" t="s">
        <v>318</v>
      </c>
      <c r="O11" s="64">
        <v>554.01</v>
      </c>
      <c r="Q11" s="64">
        <v>28.73</v>
      </c>
      <c r="R11" s="63">
        <v>0</v>
      </c>
      <c r="S11" s="64">
        <v>0</v>
      </c>
    </row>
    <row r="12" spans="1:19" ht="11.1" customHeight="1" x14ac:dyDescent="0.25">
      <c r="A12" s="57">
        <v>112530</v>
      </c>
      <c r="B12" s="53">
        <v>46114</v>
      </c>
      <c r="C12" s="58">
        <v>46114</v>
      </c>
      <c r="D12" s="59" t="s">
        <v>321</v>
      </c>
      <c r="E12" s="50" t="s">
        <v>313</v>
      </c>
      <c r="F12" s="57">
        <v>36</v>
      </c>
      <c r="G12" s="60">
        <v>618</v>
      </c>
      <c r="H12" s="61" t="s">
        <v>322</v>
      </c>
      <c r="I12" s="50" t="s">
        <v>323</v>
      </c>
      <c r="J12" s="50" t="s">
        <v>324</v>
      </c>
      <c r="K12" s="62">
        <v>5403</v>
      </c>
      <c r="L12" s="57">
        <v>207</v>
      </c>
      <c r="M12" s="50" t="s">
        <v>26</v>
      </c>
      <c r="N12" s="50" t="s">
        <v>317</v>
      </c>
      <c r="O12" s="64">
        <v>213.28</v>
      </c>
      <c r="P12" s="65">
        <v>12</v>
      </c>
      <c r="Q12" s="64">
        <v>25.6</v>
      </c>
      <c r="R12" s="63">
        <v>0</v>
      </c>
      <c r="S12" s="64">
        <v>14.92</v>
      </c>
    </row>
    <row r="13" spans="1:19" ht="11.1" customHeight="1" x14ac:dyDescent="0.25">
      <c r="N13" s="50" t="s">
        <v>318</v>
      </c>
      <c r="O13" s="64">
        <v>287.93</v>
      </c>
      <c r="P13" s="65">
        <v>20</v>
      </c>
      <c r="Q13" s="64">
        <v>14.92</v>
      </c>
      <c r="R13" s="63">
        <v>0</v>
      </c>
      <c r="S13" s="64">
        <v>0</v>
      </c>
    </row>
    <row r="14" spans="1:19" ht="11.1" customHeight="1" x14ac:dyDescent="0.25">
      <c r="A14" s="57">
        <v>112932</v>
      </c>
      <c r="B14" s="53">
        <v>46125</v>
      </c>
      <c r="C14" s="58">
        <v>46125</v>
      </c>
      <c r="D14" s="59" t="s">
        <v>325</v>
      </c>
      <c r="E14" s="50" t="s">
        <v>313</v>
      </c>
      <c r="F14" s="57">
        <v>36</v>
      </c>
      <c r="G14" s="60">
        <v>618</v>
      </c>
      <c r="H14" s="61" t="s">
        <v>322</v>
      </c>
      <c r="I14" s="50" t="s">
        <v>323</v>
      </c>
      <c r="J14" s="50" t="s">
        <v>324</v>
      </c>
      <c r="K14" s="62">
        <v>5102</v>
      </c>
      <c r="L14" s="57">
        <v>205</v>
      </c>
      <c r="M14" s="50" t="s">
        <v>26</v>
      </c>
      <c r="N14" s="50" t="s">
        <v>317</v>
      </c>
      <c r="O14" s="64">
        <v>852.86</v>
      </c>
      <c r="P14" s="65">
        <v>12</v>
      </c>
      <c r="Q14" s="64">
        <v>102.34</v>
      </c>
      <c r="R14" s="63">
        <v>0</v>
      </c>
      <c r="S14" s="64">
        <v>0</v>
      </c>
    </row>
    <row r="15" spans="1:19" ht="11.1" customHeight="1" x14ac:dyDescent="0.25">
      <c r="A15" s="57">
        <v>112965</v>
      </c>
      <c r="B15" s="53">
        <v>46125</v>
      </c>
      <c r="C15" s="58">
        <v>46125</v>
      </c>
      <c r="D15" s="59" t="s">
        <v>326</v>
      </c>
      <c r="E15" s="50" t="s">
        <v>313</v>
      </c>
      <c r="F15" s="57">
        <v>36</v>
      </c>
      <c r="G15" s="60">
        <v>618</v>
      </c>
      <c r="H15" s="61" t="s">
        <v>322</v>
      </c>
      <c r="I15" s="50" t="s">
        <v>323</v>
      </c>
      <c r="J15" s="50" t="s">
        <v>324</v>
      </c>
      <c r="K15" s="62">
        <v>5102</v>
      </c>
      <c r="L15" s="57">
        <v>205</v>
      </c>
      <c r="M15" s="50" t="s">
        <v>26</v>
      </c>
      <c r="N15" s="50" t="s">
        <v>317</v>
      </c>
      <c r="O15" s="64">
        <v>336.73</v>
      </c>
      <c r="P15" s="65">
        <v>12</v>
      </c>
      <c r="Q15" s="64">
        <v>40.409999999999997</v>
      </c>
      <c r="R15" s="63">
        <v>0</v>
      </c>
      <c r="S15" s="64">
        <v>0</v>
      </c>
    </row>
    <row r="16" spans="1:19" ht="11.1" customHeight="1" x14ac:dyDescent="0.25">
      <c r="A16" s="57">
        <v>112966</v>
      </c>
      <c r="B16" s="53">
        <v>46125</v>
      </c>
      <c r="C16" s="58">
        <v>46125</v>
      </c>
      <c r="D16" s="59" t="s">
        <v>326</v>
      </c>
      <c r="E16" s="50" t="s">
        <v>313</v>
      </c>
      <c r="F16" s="57">
        <v>36</v>
      </c>
      <c r="G16" s="60">
        <v>618</v>
      </c>
      <c r="H16" s="61" t="s">
        <v>322</v>
      </c>
      <c r="I16" s="50" t="s">
        <v>323</v>
      </c>
      <c r="J16" s="50" t="s">
        <v>324</v>
      </c>
      <c r="K16" s="62">
        <v>5403</v>
      </c>
      <c r="L16" s="57">
        <v>207</v>
      </c>
      <c r="M16" s="50" t="s">
        <v>26</v>
      </c>
      <c r="N16" s="50" t="s">
        <v>317</v>
      </c>
      <c r="O16" s="64">
        <v>104.28</v>
      </c>
      <c r="P16" s="65">
        <v>12</v>
      </c>
      <c r="Q16" s="64">
        <v>12.51</v>
      </c>
      <c r="R16" s="63">
        <v>0</v>
      </c>
      <c r="S16" s="64">
        <v>7.3</v>
      </c>
    </row>
    <row r="17" spans="1:19" ht="11.1" customHeight="1" x14ac:dyDescent="0.25">
      <c r="N17" s="50" t="s">
        <v>318</v>
      </c>
      <c r="O17" s="64">
        <v>140.78</v>
      </c>
      <c r="P17" s="65">
        <v>20</v>
      </c>
      <c r="Q17" s="64">
        <v>7.3</v>
      </c>
      <c r="R17" s="63">
        <v>0</v>
      </c>
      <c r="S17" s="64">
        <v>0</v>
      </c>
    </row>
    <row r="18" spans="1:19" ht="11.1" customHeight="1" x14ac:dyDescent="0.25">
      <c r="A18" s="57">
        <v>113525</v>
      </c>
      <c r="B18" s="53">
        <v>46140</v>
      </c>
      <c r="C18" s="58">
        <v>46140</v>
      </c>
      <c r="D18" s="59" t="s">
        <v>327</v>
      </c>
      <c r="E18" s="50" t="s">
        <v>313</v>
      </c>
      <c r="F18" s="57">
        <v>36</v>
      </c>
      <c r="G18" s="60">
        <v>618</v>
      </c>
      <c r="H18" s="61" t="s">
        <v>322</v>
      </c>
      <c r="I18" s="50" t="s">
        <v>323</v>
      </c>
      <c r="J18" s="50" t="s">
        <v>324</v>
      </c>
      <c r="K18" s="62">
        <v>5102</v>
      </c>
      <c r="L18" s="57">
        <v>205</v>
      </c>
      <c r="M18" s="50" t="s">
        <v>26</v>
      </c>
      <c r="N18" s="50" t="s">
        <v>317</v>
      </c>
      <c r="O18" s="64">
        <v>169.96</v>
      </c>
      <c r="P18" s="65">
        <v>12</v>
      </c>
      <c r="Q18" s="64">
        <v>20.399999999999999</v>
      </c>
      <c r="R18" s="63">
        <v>0</v>
      </c>
      <c r="S18" s="64">
        <v>0</v>
      </c>
    </row>
    <row r="19" spans="1:19" ht="11.1" customHeight="1" x14ac:dyDescent="0.25">
      <c r="A19" s="57">
        <v>113526</v>
      </c>
      <c r="B19" s="53">
        <v>46140</v>
      </c>
      <c r="C19" s="58">
        <v>46140</v>
      </c>
      <c r="D19" s="59" t="s">
        <v>328</v>
      </c>
      <c r="E19" s="50" t="s">
        <v>313</v>
      </c>
      <c r="F19" s="57">
        <v>36</v>
      </c>
      <c r="G19" s="60">
        <v>618</v>
      </c>
      <c r="H19" s="61" t="s">
        <v>322</v>
      </c>
      <c r="I19" s="50" t="s">
        <v>323</v>
      </c>
      <c r="J19" s="50" t="s">
        <v>324</v>
      </c>
      <c r="K19" s="62">
        <v>5102</v>
      </c>
      <c r="L19" s="57">
        <v>205</v>
      </c>
      <c r="M19" s="50" t="s">
        <v>26</v>
      </c>
      <c r="N19" s="50" t="s">
        <v>317</v>
      </c>
      <c r="O19" s="64">
        <v>831.83</v>
      </c>
      <c r="P19" s="65">
        <v>12</v>
      </c>
      <c r="Q19" s="64">
        <v>99.82</v>
      </c>
      <c r="R19" s="63">
        <v>0</v>
      </c>
      <c r="S19" s="64">
        <v>0</v>
      </c>
    </row>
    <row r="20" spans="1:19" ht="11.85" customHeight="1" x14ac:dyDescent="0.25">
      <c r="A20" s="66" t="s">
        <v>320</v>
      </c>
      <c r="B20" s="66"/>
      <c r="C20" s="66"/>
      <c r="D20" s="66"/>
      <c r="E20" s="66"/>
      <c r="F20" s="66"/>
      <c r="G20" s="66"/>
      <c r="H20" s="66"/>
    </row>
    <row r="21" spans="1:19" ht="11.1" customHeight="1" x14ac:dyDescent="0.25">
      <c r="N21" s="50" t="s">
        <v>317</v>
      </c>
      <c r="O21" s="64">
        <v>2508.94</v>
      </c>
      <c r="Q21" s="64">
        <v>301.08</v>
      </c>
      <c r="R21" s="63">
        <v>0</v>
      </c>
      <c r="S21" s="64">
        <v>22.22</v>
      </c>
    </row>
    <row r="22" spans="1:19" ht="11.1" customHeight="1" x14ac:dyDescent="0.25">
      <c r="N22" s="50" t="s">
        <v>318</v>
      </c>
      <c r="O22" s="64">
        <v>428.71</v>
      </c>
      <c r="Q22" s="64">
        <v>22.22</v>
      </c>
      <c r="R22" s="63">
        <v>0</v>
      </c>
      <c r="S22" s="64">
        <v>0</v>
      </c>
    </row>
    <row r="23" spans="1:19" ht="11.1" customHeight="1" x14ac:dyDescent="0.25">
      <c r="A23" s="57">
        <v>113622</v>
      </c>
      <c r="B23" s="53">
        <v>46142</v>
      </c>
      <c r="C23" s="58">
        <v>46142</v>
      </c>
      <c r="D23" s="59" t="s">
        <v>329</v>
      </c>
      <c r="E23" s="50" t="s">
        <v>313</v>
      </c>
      <c r="F23" s="57">
        <v>36</v>
      </c>
      <c r="G23" s="60">
        <v>637</v>
      </c>
      <c r="H23" s="61" t="s">
        <v>330</v>
      </c>
      <c r="I23" s="50" t="s">
        <v>331</v>
      </c>
      <c r="J23" s="50" t="s">
        <v>332</v>
      </c>
      <c r="K23" s="62">
        <v>6403</v>
      </c>
      <c r="L23" s="57">
        <v>207</v>
      </c>
      <c r="M23" s="50" t="s">
        <v>34</v>
      </c>
      <c r="N23" s="50" t="s">
        <v>317</v>
      </c>
      <c r="O23" s="64">
        <v>1280.8499999999999</v>
      </c>
      <c r="P23" s="65">
        <v>12</v>
      </c>
      <c r="Q23" s="64">
        <v>153.72</v>
      </c>
      <c r="R23" s="63">
        <v>0</v>
      </c>
      <c r="S23" s="64">
        <v>194.63</v>
      </c>
    </row>
    <row r="24" spans="1:19" ht="11.1" customHeight="1" x14ac:dyDescent="0.25">
      <c r="N24" s="50" t="s">
        <v>318</v>
      </c>
      <c r="O24" s="64">
        <v>1833.42</v>
      </c>
      <c r="P24" s="65">
        <v>19</v>
      </c>
      <c r="Q24" s="64">
        <v>194.63</v>
      </c>
      <c r="R24" s="63">
        <v>0</v>
      </c>
      <c r="S24" s="64">
        <v>0</v>
      </c>
    </row>
    <row r="25" spans="1:19" ht="11.1" customHeight="1" x14ac:dyDescent="0.25">
      <c r="A25" s="57">
        <v>113623</v>
      </c>
      <c r="B25" s="53">
        <v>46142</v>
      </c>
      <c r="C25" s="58">
        <v>46142</v>
      </c>
      <c r="D25" s="59" t="s">
        <v>329</v>
      </c>
      <c r="E25" s="50" t="s">
        <v>313</v>
      </c>
      <c r="F25" s="57">
        <v>36</v>
      </c>
      <c r="G25" s="60">
        <v>637</v>
      </c>
      <c r="H25" s="61" t="s">
        <v>330</v>
      </c>
      <c r="I25" s="50" t="s">
        <v>331</v>
      </c>
      <c r="J25" s="50" t="s">
        <v>332</v>
      </c>
      <c r="K25" s="62">
        <v>6102</v>
      </c>
      <c r="L25" s="57">
        <v>238</v>
      </c>
      <c r="M25" s="50" t="s">
        <v>34</v>
      </c>
      <c r="N25" s="50" t="s">
        <v>317</v>
      </c>
      <c r="O25" s="64">
        <v>2078.9299999999998</v>
      </c>
      <c r="P25" s="65">
        <v>12</v>
      </c>
      <c r="Q25" s="64">
        <v>249.51</v>
      </c>
      <c r="R25" s="63">
        <v>0</v>
      </c>
      <c r="S25" s="64">
        <v>0</v>
      </c>
    </row>
    <row r="26" spans="1:19" ht="11.85" customHeight="1" x14ac:dyDescent="0.25">
      <c r="A26" s="66" t="s">
        <v>320</v>
      </c>
      <c r="B26" s="66"/>
      <c r="C26" s="66"/>
      <c r="D26" s="66"/>
      <c r="E26" s="66"/>
      <c r="F26" s="66"/>
      <c r="G26" s="66"/>
      <c r="H26" s="66"/>
    </row>
    <row r="27" spans="1:19" ht="11.1" customHeight="1" x14ac:dyDescent="0.25">
      <c r="N27" s="50" t="s">
        <v>317</v>
      </c>
      <c r="O27" s="64">
        <v>3359.78</v>
      </c>
      <c r="Q27" s="64">
        <v>403.23</v>
      </c>
      <c r="R27" s="63">
        <v>0</v>
      </c>
      <c r="S27" s="64">
        <v>194.63</v>
      </c>
    </row>
    <row r="28" spans="1:19" ht="11.1" customHeight="1" x14ac:dyDescent="0.25">
      <c r="N28" s="50" t="s">
        <v>318</v>
      </c>
      <c r="O28" s="64">
        <v>1833.42</v>
      </c>
      <c r="Q28" s="64">
        <v>194.63</v>
      </c>
      <c r="R28" s="63">
        <v>0</v>
      </c>
      <c r="S28" s="64">
        <v>0</v>
      </c>
    </row>
    <row r="29" spans="1:19" ht="11.1" customHeight="1" x14ac:dyDescent="0.25">
      <c r="A29" s="57">
        <v>112487</v>
      </c>
      <c r="B29" s="53">
        <v>46113</v>
      </c>
      <c r="C29" s="58">
        <v>46113</v>
      </c>
      <c r="D29" s="59" t="s">
        <v>333</v>
      </c>
      <c r="E29" s="50" t="s">
        <v>313</v>
      </c>
      <c r="F29" s="57">
        <v>36</v>
      </c>
      <c r="G29" s="60">
        <v>920</v>
      </c>
      <c r="H29" s="61" t="s">
        <v>334</v>
      </c>
      <c r="I29" s="50" t="s">
        <v>335</v>
      </c>
      <c r="J29" s="50" t="s">
        <v>336</v>
      </c>
      <c r="K29" s="62">
        <v>5102</v>
      </c>
      <c r="L29" s="57">
        <v>205</v>
      </c>
      <c r="M29" s="50" t="s">
        <v>26</v>
      </c>
      <c r="N29" s="50" t="s">
        <v>317</v>
      </c>
      <c r="O29" s="64">
        <v>292.12</v>
      </c>
      <c r="P29" s="65">
        <v>12</v>
      </c>
      <c r="Q29" s="64">
        <v>35.04</v>
      </c>
      <c r="R29" s="63">
        <v>0</v>
      </c>
      <c r="S29" s="64">
        <v>0</v>
      </c>
    </row>
    <row r="30" spans="1:19" ht="11.1" customHeight="1" x14ac:dyDescent="0.25">
      <c r="A30" s="57">
        <v>112488</v>
      </c>
      <c r="B30" s="53">
        <v>46113</v>
      </c>
      <c r="C30" s="58">
        <v>46113</v>
      </c>
      <c r="D30" s="59" t="s">
        <v>333</v>
      </c>
      <c r="E30" s="50" t="s">
        <v>313</v>
      </c>
      <c r="F30" s="57">
        <v>36</v>
      </c>
      <c r="G30" s="60">
        <v>920</v>
      </c>
      <c r="H30" s="61" t="s">
        <v>334</v>
      </c>
      <c r="I30" s="50" t="s">
        <v>335</v>
      </c>
      <c r="J30" s="50" t="s">
        <v>336</v>
      </c>
      <c r="K30" s="62">
        <v>5403</v>
      </c>
      <c r="L30" s="57">
        <v>207</v>
      </c>
      <c r="M30" s="50" t="s">
        <v>26</v>
      </c>
      <c r="N30" s="50" t="s">
        <v>317</v>
      </c>
      <c r="O30" s="64">
        <v>214.99</v>
      </c>
      <c r="P30" s="65">
        <v>12</v>
      </c>
      <c r="Q30" s="64">
        <v>25.8</v>
      </c>
      <c r="R30" s="63">
        <v>0</v>
      </c>
      <c r="S30" s="64">
        <v>15.04</v>
      </c>
    </row>
    <row r="31" spans="1:19" ht="11.1" customHeight="1" x14ac:dyDescent="0.25">
      <c r="N31" s="50" t="s">
        <v>318</v>
      </c>
      <c r="O31" s="64">
        <v>290.24</v>
      </c>
      <c r="P31" s="65">
        <v>20</v>
      </c>
      <c r="Q31" s="64">
        <v>15.04</v>
      </c>
      <c r="R31" s="63">
        <v>0</v>
      </c>
      <c r="S31" s="64">
        <v>0</v>
      </c>
    </row>
    <row r="32" spans="1:19" ht="11.1" customHeight="1" x14ac:dyDescent="0.25">
      <c r="A32" s="57">
        <v>113142</v>
      </c>
      <c r="B32" s="53">
        <v>46128</v>
      </c>
      <c r="C32" s="58">
        <v>46128</v>
      </c>
      <c r="D32" s="59" t="s">
        <v>337</v>
      </c>
      <c r="E32" s="50" t="s">
        <v>313</v>
      </c>
      <c r="F32" s="57">
        <v>36</v>
      </c>
      <c r="G32" s="60">
        <v>920</v>
      </c>
      <c r="H32" s="61" t="s">
        <v>334</v>
      </c>
      <c r="I32" s="50" t="s">
        <v>335</v>
      </c>
      <c r="J32" s="50" t="s">
        <v>336</v>
      </c>
      <c r="K32" s="62">
        <v>5102</v>
      </c>
      <c r="L32" s="57">
        <v>205</v>
      </c>
      <c r="M32" s="50" t="s">
        <v>26</v>
      </c>
      <c r="N32" s="50" t="s">
        <v>317</v>
      </c>
      <c r="O32" s="64">
        <v>58.24</v>
      </c>
      <c r="P32" s="65">
        <v>12</v>
      </c>
      <c r="Q32" s="64">
        <v>6.98</v>
      </c>
      <c r="R32" s="63">
        <v>0</v>
      </c>
      <c r="S32" s="64">
        <v>0</v>
      </c>
    </row>
    <row r="33" spans="1:19" ht="11.1" customHeight="1" x14ac:dyDescent="0.25">
      <c r="A33" s="57">
        <v>113143</v>
      </c>
      <c r="B33" s="53">
        <v>46128</v>
      </c>
      <c r="C33" s="58">
        <v>46128</v>
      </c>
      <c r="D33" s="59" t="s">
        <v>337</v>
      </c>
      <c r="E33" s="50" t="s">
        <v>313</v>
      </c>
      <c r="F33" s="57">
        <v>36</v>
      </c>
      <c r="G33" s="60">
        <v>920</v>
      </c>
      <c r="H33" s="61" t="s">
        <v>334</v>
      </c>
      <c r="I33" s="50" t="s">
        <v>335</v>
      </c>
      <c r="J33" s="50" t="s">
        <v>336</v>
      </c>
      <c r="K33" s="62">
        <v>5403</v>
      </c>
      <c r="L33" s="57">
        <v>207</v>
      </c>
      <c r="M33" s="50" t="s">
        <v>26</v>
      </c>
      <c r="N33" s="50" t="s">
        <v>317</v>
      </c>
      <c r="O33" s="64">
        <v>192.18</v>
      </c>
      <c r="P33" s="65">
        <v>12</v>
      </c>
      <c r="Q33" s="64">
        <v>23.06</v>
      </c>
      <c r="R33" s="63">
        <v>0</v>
      </c>
      <c r="S33" s="64">
        <v>13.45</v>
      </c>
    </row>
    <row r="34" spans="1:19" ht="11.1" customHeight="1" x14ac:dyDescent="0.25">
      <c r="N34" s="50" t="s">
        <v>318</v>
      </c>
      <c r="O34" s="64">
        <v>259.44</v>
      </c>
      <c r="P34" s="65">
        <v>20</v>
      </c>
      <c r="Q34" s="64">
        <v>13.45</v>
      </c>
      <c r="R34" s="63">
        <v>0</v>
      </c>
      <c r="S34" s="64">
        <v>0</v>
      </c>
    </row>
    <row r="35" spans="1:19" ht="11.85" customHeight="1" x14ac:dyDescent="0.25">
      <c r="A35" s="66" t="s">
        <v>320</v>
      </c>
      <c r="B35" s="66"/>
      <c r="C35" s="66"/>
      <c r="D35" s="66"/>
      <c r="E35" s="66"/>
      <c r="F35" s="66"/>
      <c r="G35" s="66"/>
      <c r="H35" s="66"/>
    </row>
    <row r="36" spans="1:19" ht="11.1" customHeight="1" x14ac:dyDescent="0.25">
      <c r="N36" s="50" t="s">
        <v>317</v>
      </c>
      <c r="O36" s="64">
        <v>757.53</v>
      </c>
      <c r="Q36" s="64">
        <v>90.88</v>
      </c>
      <c r="R36" s="63">
        <v>0</v>
      </c>
      <c r="S36" s="64">
        <v>28.49</v>
      </c>
    </row>
    <row r="37" spans="1:19" ht="11.1" customHeight="1" x14ac:dyDescent="0.25">
      <c r="N37" s="50" t="s">
        <v>318</v>
      </c>
      <c r="O37" s="64">
        <v>549.67999999999995</v>
      </c>
      <c r="Q37" s="64">
        <v>28.49</v>
      </c>
      <c r="R37" s="63">
        <v>0</v>
      </c>
      <c r="S37" s="64">
        <v>0</v>
      </c>
    </row>
    <row r="38" spans="1:19" ht="11.1" customHeight="1" x14ac:dyDescent="0.25">
      <c r="A38" s="57">
        <v>112608</v>
      </c>
      <c r="B38" s="53">
        <v>46118</v>
      </c>
      <c r="C38" s="58">
        <v>46118</v>
      </c>
      <c r="D38" s="59" t="s">
        <v>338</v>
      </c>
      <c r="E38" s="50" t="s">
        <v>313</v>
      </c>
      <c r="F38" s="57">
        <v>36</v>
      </c>
      <c r="G38" s="60">
        <v>231</v>
      </c>
      <c r="H38" s="61" t="s">
        <v>339</v>
      </c>
      <c r="I38" s="50" t="s">
        <v>340</v>
      </c>
      <c r="J38" s="50" t="s">
        <v>341</v>
      </c>
      <c r="K38" s="62">
        <v>6403</v>
      </c>
      <c r="L38" s="57">
        <v>207</v>
      </c>
      <c r="M38" s="50" t="s">
        <v>34</v>
      </c>
      <c r="N38" s="50" t="s">
        <v>317</v>
      </c>
      <c r="O38" s="64">
        <v>193.06</v>
      </c>
      <c r="P38" s="65">
        <v>12</v>
      </c>
      <c r="Q38" s="64">
        <v>23.17</v>
      </c>
      <c r="R38" s="63">
        <v>0</v>
      </c>
      <c r="S38" s="64">
        <v>29.34</v>
      </c>
    </row>
    <row r="39" spans="1:19" ht="11.1" customHeight="1" x14ac:dyDescent="0.25">
      <c r="N39" s="50" t="s">
        <v>318</v>
      </c>
      <c r="O39" s="64">
        <v>276.35000000000002</v>
      </c>
      <c r="P39" s="65">
        <v>19</v>
      </c>
      <c r="Q39" s="64">
        <v>29.34</v>
      </c>
      <c r="R39" s="63">
        <v>0</v>
      </c>
      <c r="S39" s="64">
        <v>0</v>
      </c>
    </row>
    <row r="40" spans="1:19" ht="11.1" customHeight="1" x14ac:dyDescent="0.25">
      <c r="A40" s="57">
        <v>112609</v>
      </c>
      <c r="B40" s="53">
        <v>46118</v>
      </c>
      <c r="C40" s="58">
        <v>46118</v>
      </c>
      <c r="D40" s="59" t="s">
        <v>338</v>
      </c>
      <c r="E40" s="50" t="s">
        <v>313</v>
      </c>
      <c r="F40" s="57">
        <v>36</v>
      </c>
      <c r="G40" s="60">
        <v>231</v>
      </c>
      <c r="H40" s="61" t="s">
        <v>339</v>
      </c>
      <c r="I40" s="50" t="s">
        <v>340</v>
      </c>
      <c r="J40" s="50" t="s">
        <v>341</v>
      </c>
      <c r="K40" s="62">
        <v>6102</v>
      </c>
      <c r="L40" s="57">
        <v>238</v>
      </c>
      <c r="M40" s="50" t="s">
        <v>34</v>
      </c>
      <c r="N40" s="50" t="s">
        <v>317</v>
      </c>
      <c r="O40" s="64">
        <v>497.12</v>
      </c>
      <c r="P40" s="65">
        <v>12</v>
      </c>
      <c r="Q40" s="64">
        <v>59.66</v>
      </c>
      <c r="R40" s="63">
        <v>0</v>
      </c>
      <c r="S40" s="64">
        <v>0</v>
      </c>
    </row>
    <row r="41" spans="1:19" ht="11.1" customHeight="1" x14ac:dyDescent="0.25">
      <c r="A41" s="57">
        <v>112635</v>
      </c>
      <c r="B41" s="53">
        <v>46118</v>
      </c>
      <c r="C41" s="58">
        <v>46118</v>
      </c>
      <c r="D41" s="59" t="s">
        <v>342</v>
      </c>
      <c r="E41" s="50" t="s">
        <v>313</v>
      </c>
      <c r="F41" s="57">
        <v>36</v>
      </c>
      <c r="G41" s="60">
        <v>231</v>
      </c>
      <c r="H41" s="61" t="s">
        <v>339</v>
      </c>
      <c r="I41" s="50" t="s">
        <v>340</v>
      </c>
      <c r="J41" s="50" t="s">
        <v>341</v>
      </c>
      <c r="K41" s="62">
        <v>6102</v>
      </c>
      <c r="L41" s="57">
        <v>238</v>
      </c>
      <c r="M41" s="50" t="s">
        <v>34</v>
      </c>
      <c r="N41" s="50" t="s">
        <v>317</v>
      </c>
      <c r="O41" s="64">
        <v>139.5</v>
      </c>
      <c r="P41" s="65">
        <v>12</v>
      </c>
      <c r="Q41" s="64">
        <v>16.739999999999998</v>
      </c>
      <c r="R41" s="63">
        <v>0</v>
      </c>
      <c r="S41" s="64">
        <v>0</v>
      </c>
    </row>
    <row r="42" spans="1:19" ht="11.1" customHeight="1" x14ac:dyDescent="0.25">
      <c r="A42" s="57">
        <v>112978</v>
      </c>
      <c r="B42" s="53">
        <v>46125</v>
      </c>
      <c r="C42" s="58">
        <v>46125</v>
      </c>
      <c r="D42" s="59" t="s">
        <v>343</v>
      </c>
      <c r="E42" s="50" t="s">
        <v>313</v>
      </c>
      <c r="F42" s="57">
        <v>36</v>
      </c>
      <c r="G42" s="60">
        <v>231</v>
      </c>
      <c r="H42" s="61" t="s">
        <v>339</v>
      </c>
      <c r="I42" s="50" t="s">
        <v>340</v>
      </c>
      <c r="J42" s="50" t="s">
        <v>341</v>
      </c>
      <c r="K42" s="62">
        <v>6403</v>
      </c>
      <c r="L42" s="57">
        <v>207</v>
      </c>
      <c r="M42" s="50" t="s">
        <v>34</v>
      </c>
      <c r="N42" s="50" t="s">
        <v>317</v>
      </c>
      <c r="O42" s="64">
        <v>259.04000000000002</v>
      </c>
      <c r="P42" s="65">
        <v>12</v>
      </c>
      <c r="Q42" s="64">
        <v>31.09</v>
      </c>
      <c r="R42" s="63">
        <v>0</v>
      </c>
      <c r="S42" s="64">
        <v>39.369999999999997</v>
      </c>
    </row>
    <row r="43" spans="1:19" ht="11.1" customHeight="1" x14ac:dyDescent="0.25">
      <c r="N43" s="50" t="s">
        <v>318</v>
      </c>
      <c r="O43" s="64">
        <v>370.79</v>
      </c>
      <c r="P43" s="65">
        <v>19</v>
      </c>
      <c r="Q43" s="64">
        <v>39.369999999999997</v>
      </c>
      <c r="R43" s="63">
        <v>0</v>
      </c>
      <c r="S43" s="64">
        <v>0</v>
      </c>
    </row>
    <row r="44" spans="1:19" ht="11.1" customHeight="1" x14ac:dyDescent="0.25">
      <c r="A44" s="57">
        <v>112979</v>
      </c>
      <c r="B44" s="53">
        <v>46125</v>
      </c>
      <c r="C44" s="58">
        <v>46125</v>
      </c>
      <c r="D44" s="59" t="s">
        <v>343</v>
      </c>
      <c r="E44" s="50" t="s">
        <v>313</v>
      </c>
      <c r="F44" s="57">
        <v>36</v>
      </c>
      <c r="G44" s="60">
        <v>231</v>
      </c>
      <c r="H44" s="61" t="s">
        <v>339</v>
      </c>
      <c r="I44" s="50" t="s">
        <v>340</v>
      </c>
      <c r="J44" s="50" t="s">
        <v>341</v>
      </c>
      <c r="K44" s="62">
        <v>6102</v>
      </c>
      <c r="L44" s="57">
        <v>238</v>
      </c>
      <c r="M44" s="50" t="s">
        <v>34</v>
      </c>
      <c r="N44" s="50" t="s">
        <v>317</v>
      </c>
      <c r="O44" s="64">
        <v>443.65</v>
      </c>
      <c r="P44" s="65">
        <v>12</v>
      </c>
      <c r="Q44" s="64">
        <v>53.24</v>
      </c>
      <c r="R44" s="63">
        <v>0</v>
      </c>
      <c r="S44" s="64">
        <v>0</v>
      </c>
    </row>
    <row r="45" spans="1:19" ht="11.1" customHeight="1" x14ac:dyDescent="0.25">
      <c r="A45" s="57">
        <v>112998</v>
      </c>
      <c r="B45" s="53">
        <v>46125</v>
      </c>
      <c r="C45" s="58">
        <v>46125</v>
      </c>
      <c r="D45" s="59" t="s">
        <v>344</v>
      </c>
      <c r="E45" s="50" t="s">
        <v>313</v>
      </c>
      <c r="F45" s="57">
        <v>36</v>
      </c>
      <c r="G45" s="60">
        <v>231</v>
      </c>
      <c r="H45" s="61" t="s">
        <v>339</v>
      </c>
      <c r="I45" s="50" t="s">
        <v>340</v>
      </c>
      <c r="J45" s="50" t="s">
        <v>341</v>
      </c>
      <c r="K45" s="62">
        <v>6403</v>
      </c>
      <c r="L45" s="57">
        <v>207</v>
      </c>
      <c r="M45" s="50" t="s">
        <v>34</v>
      </c>
      <c r="N45" s="50" t="s">
        <v>317</v>
      </c>
      <c r="O45" s="64">
        <v>29.54</v>
      </c>
      <c r="P45" s="65">
        <v>12</v>
      </c>
      <c r="Q45" s="64">
        <v>3.54</v>
      </c>
      <c r="R45" s="63">
        <v>0</v>
      </c>
      <c r="S45" s="64">
        <v>4.49</v>
      </c>
    </row>
    <row r="46" spans="1:19" ht="11.1" customHeight="1" x14ac:dyDescent="0.25">
      <c r="N46" s="50" t="s">
        <v>318</v>
      </c>
      <c r="O46" s="64">
        <v>42.28</v>
      </c>
      <c r="P46" s="65">
        <v>19</v>
      </c>
      <c r="Q46" s="64">
        <v>4.49</v>
      </c>
      <c r="R46" s="63">
        <v>0</v>
      </c>
      <c r="S46" s="64">
        <v>0</v>
      </c>
    </row>
    <row r="47" spans="1:19" ht="11.1" customHeight="1" x14ac:dyDescent="0.25">
      <c r="A47" s="57">
        <v>113211</v>
      </c>
      <c r="B47" s="53">
        <v>46129</v>
      </c>
      <c r="C47" s="58">
        <v>46129</v>
      </c>
      <c r="D47" s="59" t="s">
        <v>345</v>
      </c>
      <c r="E47" s="50" t="s">
        <v>313</v>
      </c>
      <c r="F47" s="57">
        <v>36</v>
      </c>
      <c r="G47" s="60">
        <v>231</v>
      </c>
      <c r="H47" s="61" t="s">
        <v>339</v>
      </c>
      <c r="I47" s="50" t="s">
        <v>340</v>
      </c>
      <c r="J47" s="50" t="s">
        <v>341</v>
      </c>
      <c r="K47" s="62">
        <v>6102</v>
      </c>
      <c r="L47" s="57">
        <v>238</v>
      </c>
      <c r="M47" s="50" t="s">
        <v>34</v>
      </c>
      <c r="N47" s="50" t="s">
        <v>317</v>
      </c>
      <c r="O47" s="64">
        <v>685.84</v>
      </c>
      <c r="P47" s="65">
        <v>12</v>
      </c>
      <c r="Q47" s="64">
        <v>82.3</v>
      </c>
      <c r="R47" s="63">
        <v>0</v>
      </c>
      <c r="S47" s="64">
        <v>0</v>
      </c>
    </row>
    <row r="48" spans="1:19" ht="11.1" customHeight="1" x14ac:dyDescent="0.25">
      <c r="A48" s="57">
        <v>113216</v>
      </c>
      <c r="B48" s="53">
        <v>46132</v>
      </c>
      <c r="C48" s="58">
        <v>46132</v>
      </c>
      <c r="D48" s="59" t="s">
        <v>346</v>
      </c>
      <c r="E48" s="50" t="s">
        <v>313</v>
      </c>
      <c r="F48" s="57">
        <v>36</v>
      </c>
      <c r="G48" s="60">
        <v>231</v>
      </c>
      <c r="H48" s="61" t="s">
        <v>339</v>
      </c>
      <c r="I48" s="50" t="s">
        <v>340</v>
      </c>
      <c r="J48" s="50" t="s">
        <v>341</v>
      </c>
      <c r="K48" s="62">
        <v>6102</v>
      </c>
      <c r="L48" s="57">
        <v>238</v>
      </c>
      <c r="M48" s="50" t="s">
        <v>34</v>
      </c>
      <c r="N48" s="50" t="s">
        <v>317</v>
      </c>
      <c r="O48" s="64">
        <v>114.77</v>
      </c>
      <c r="P48" s="65">
        <v>12</v>
      </c>
      <c r="Q48" s="64">
        <v>13.77</v>
      </c>
      <c r="R48" s="63">
        <v>0</v>
      </c>
      <c r="S48" s="64">
        <v>0</v>
      </c>
    </row>
    <row r="49" spans="1:19" ht="11.85" customHeight="1" x14ac:dyDescent="0.25">
      <c r="A49" s="66" t="s">
        <v>320</v>
      </c>
      <c r="B49" s="66"/>
      <c r="C49" s="66"/>
      <c r="D49" s="66"/>
      <c r="E49" s="66"/>
      <c r="F49" s="66"/>
      <c r="G49" s="66"/>
      <c r="H49" s="66"/>
    </row>
    <row r="50" spans="1:19" ht="11.1" customHeight="1" x14ac:dyDescent="0.25">
      <c r="N50" s="50" t="s">
        <v>317</v>
      </c>
      <c r="O50" s="64">
        <v>2362.52</v>
      </c>
      <c r="Q50" s="64">
        <v>283.51</v>
      </c>
      <c r="R50" s="63">
        <v>0</v>
      </c>
      <c r="S50" s="64">
        <v>73.2</v>
      </c>
    </row>
    <row r="51" spans="1:19" ht="11.1" customHeight="1" x14ac:dyDescent="0.25">
      <c r="N51" s="50" t="s">
        <v>318</v>
      </c>
      <c r="O51" s="64">
        <v>689.42</v>
      </c>
      <c r="Q51" s="64">
        <v>73.2</v>
      </c>
      <c r="R51" s="63">
        <v>0</v>
      </c>
      <c r="S51" s="64">
        <v>0</v>
      </c>
    </row>
    <row r="52" spans="1:19" ht="11.1" customHeight="1" x14ac:dyDescent="0.25">
      <c r="A52" s="57">
        <v>113310</v>
      </c>
      <c r="B52" s="53">
        <v>46135</v>
      </c>
      <c r="C52" s="58">
        <v>46135</v>
      </c>
      <c r="D52" s="59" t="s">
        <v>347</v>
      </c>
      <c r="E52" s="50" t="s">
        <v>313</v>
      </c>
      <c r="F52" s="57">
        <v>36</v>
      </c>
      <c r="G52" s="60">
        <v>343</v>
      </c>
      <c r="H52" s="61" t="s">
        <v>348</v>
      </c>
      <c r="I52" s="50" t="s">
        <v>349</v>
      </c>
      <c r="J52" s="50" t="s">
        <v>350</v>
      </c>
      <c r="K52" s="62">
        <v>6403</v>
      </c>
      <c r="L52" s="57">
        <v>207</v>
      </c>
      <c r="M52" s="50" t="s">
        <v>34</v>
      </c>
      <c r="N52" s="50" t="s">
        <v>317</v>
      </c>
      <c r="O52" s="64">
        <v>442.68</v>
      </c>
      <c r="P52" s="65">
        <v>12</v>
      </c>
      <c r="Q52" s="64">
        <v>53.12</v>
      </c>
      <c r="R52" s="63">
        <v>0</v>
      </c>
      <c r="S52" s="64">
        <v>67.27</v>
      </c>
    </row>
    <row r="53" spans="1:19" ht="11.1" customHeight="1" x14ac:dyDescent="0.25">
      <c r="N53" s="50" t="s">
        <v>318</v>
      </c>
      <c r="O53" s="64">
        <v>633.65</v>
      </c>
      <c r="P53" s="65">
        <v>19</v>
      </c>
      <c r="Q53" s="64">
        <v>67.27</v>
      </c>
      <c r="R53" s="63">
        <v>0</v>
      </c>
      <c r="S53" s="64">
        <v>0</v>
      </c>
    </row>
    <row r="54" spans="1:19" ht="11.1" customHeight="1" x14ac:dyDescent="0.25">
      <c r="A54" s="57">
        <v>113311</v>
      </c>
      <c r="B54" s="53">
        <v>46135</v>
      </c>
      <c r="C54" s="58">
        <v>46135</v>
      </c>
      <c r="D54" s="59" t="s">
        <v>347</v>
      </c>
      <c r="E54" s="50" t="s">
        <v>313</v>
      </c>
      <c r="F54" s="57">
        <v>36</v>
      </c>
      <c r="G54" s="60">
        <v>343</v>
      </c>
      <c r="H54" s="61" t="s">
        <v>348</v>
      </c>
      <c r="I54" s="50" t="s">
        <v>349</v>
      </c>
      <c r="J54" s="50" t="s">
        <v>350</v>
      </c>
      <c r="K54" s="62">
        <v>6102</v>
      </c>
      <c r="L54" s="57">
        <v>238</v>
      </c>
      <c r="M54" s="50" t="s">
        <v>34</v>
      </c>
      <c r="N54" s="50" t="s">
        <v>317</v>
      </c>
      <c r="O54" s="64">
        <v>833.73</v>
      </c>
      <c r="P54" s="65">
        <v>12</v>
      </c>
      <c r="Q54" s="64">
        <v>100.05</v>
      </c>
      <c r="R54" s="63">
        <v>0</v>
      </c>
      <c r="S54" s="64">
        <v>0</v>
      </c>
    </row>
    <row r="55" spans="1:19" ht="11.1" customHeight="1" x14ac:dyDescent="0.25">
      <c r="A55" s="57">
        <v>113420</v>
      </c>
      <c r="B55" s="53">
        <v>46136</v>
      </c>
      <c r="C55" s="58">
        <v>46136</v>
      </c>
      <c r="D55" s="59" t="s">
        <v>351</v>
      </c>
      <c r="E55" s="50" t="s">
        <v>313</v>
      </c>
      <c r="F55" s="57">
        <v>36</v>
      </c>
      <c r="G55" s="60">
        <v>343</v>
      </c>
      <c r="H55" s="61" t="s">
        <v>348</v>
      </c>
      <c r="I55" s="50" t="s">
        <v>349</v>
      </c>
      <c r="J55" s="50" t="s">
        <v>350</v>
      </c>
      <c r="K55" s="62">
        <v>6403</v>
      </c>
      <c r="L55" s="57">
        <v>207</v>
      </c>
      <c r="M55" s="50" t="s">
        <v>34</v>
      </c>
      <c r="N55" s="50" t="s">
        <v>317</v>
      </c>
      <c r="O55" s="64">
        <v>634.44000000000005</v>
      </c>
      <c r="P55" s="65">
        <v>12</v>
      </c>
      <c r="Q55" s="64">
        <v>76.14</v>
      </c>
      <c r="R55" s="63">
        <v>0</v>
      </c>
      <c r="S55" s="64">
        <v>96.4</v>
      </c>
    </row>
    <row r="56" spans="1:19" ht="11.1" customHeight="1" x14ac:dyDescent="0.25">
      <c r="N56" s="50" t="s">
        <v>318</v>
      </c>
      <c r="O56" s="64">
        <v>908.14</v>
      </c>
      <c r="P56" s="65">
        <v>19</v>
      </c>
      <c r="Q56" s="64">
        <v>96.4</v>
      </c>
      <c r="R56" s="63">
        <v>0</v>
      </c>
      <c r="S56" s="64">
        <v>0</v>
      </c>
    </row>
    <row r="57" spans="1:19" ht="11.1" customHeight="1" x14ac:dyDescent="0.25">
      <c r="A57" s="57">
        <v>113421</v>
      </c>
      <c r="B57" s="53">
        <v>46136</v>
      </c>
      <c r="C57" s="58">
        <v>46136</v>
      </c>
      <c r="D57" s="59" t="s">
        <v>351</v>
      </c>
      <c r="E57" s="50" t="s">
        <v>313</v>
      </c>
      <c r="F57" s="57">
        <v>36</v>
      </c>
      <c r="G57" s="60">
        <v>343</v>
      </c>
      <c r="H57" s="61" t="s">
        <v>348</v>
      </c>
      <c r="I57" s="50" t="s">
        <v>349</v>
      </c>
      <c r="J57" s="50" t="s">
        <v>350</v>
      </c>
      <c r="K57" s="62">
        <v>6102</v>
      </c>
      <c r="L57" s="57">
        <v>238</v>
      </c>
      <c r="M57" s="50" t="s">
        <v>34</v>
      </c>
      <c r="N57" s="50" t="s">
        <v>317</v>
      </c>
      <c r="O57" s="64">
        <v>35.94</v>
      </c>
      <c r="P57" s="65">
        <v>12</v>
      </c>
      <c r="Q57" s="64">
        <v>4.3099999999999996</v>
      </c>
      <c r="R57" s="63">
        <v>0</v>
      </c>
      <c r="S57" s="64">
        <v>0</v>
      </c>
    </row>
    <row r="58" spans="1:19" ht="11.85" customHeight="1" x14ac:dyDescent="0.25">
      <c r="A58" s="66" t="s">
        <v>320</v>
      </c>
      <c r="B58" s="66"/>
      <c r="C58" s="66"/>
      <c r="D58" s="66"/>
      <c r="E58" s="66"/>
      <c r="F58" s="66"/>
      <c r="G58" s="66"/>
      <c r="H58" s="66"/>
    </row>
    <row r="59" spans="1:19" ht="11.1" customHeight="1" x14ac:dyDescent="0.25">
      <c r="N59" s="50" t="s">
        <v>317</v>
      </c>
      <c r="O59" s="64">
        <v>1946.79</v>
      </c>
      <c r="Q59" s="64">
        <v>233.62</v>
      </c>
      <c r="R59" s="63">
        <v>0</v>
      </c>
      <c r="S59" s="64">
        <v>163.66999999999999</v>
      </c>
    </row>
    <row r="60" spans="1:19" ht="11.1" customHeight="1" x14ac:dyDescent="0.25">
      <c r="N60" s="50" t="s">
        <v>318</v>
      </c>
      <c r="O60" s="64">
        <v>1541.79</v>
      </c>
      <c r="Q60" s="64">
        <v>163.66999999999999</v>
      </c>
      <c r="R60" s="63">
        <v>0</v>
      </c>
      <c r="S60" s="64">
        <v>0</v>
      </c>
    </row>
    <row r="61" spans="1:19" ht="11.1" customHeight="1" x14ac:dyDescent="0.25">
      <c r="A61" s="57">
        <v>113127</v>
      </c>
      <c r="B61" s="53">
        <v>46128</v>
      </c>
      <c r="C61" s="58">
        <v>46128</v>
      </c>
      <c r="D61" s="59" t="s">
        <v>352</v>
      </c>
      <c r="E61" s="50" t="s">
        <v>313</v>
      </c>
      <c r="F61" s="57">
        <v>36</v>
      </c>
      <c r="G61" s="60">
        <v>950</v>
      </c>
      <c r="H61" s="61" t="s">
        <v>353</v>
      </c>
      <c r="I61" s="50" t="s">
        <v>354</v>
      </c>
      <c r="J61" s="50" t="s">
        <v>355</v>
      </c>
      <c r="K61" s="62">
        <v>5102</v>
      </c>
      <c r="L61" s="57">
        <v>205</v>
      </c>
      <c r="M61" s="50" t="s">
        <v>26</v>
      </c>
      <c r="N61" s="50" t="s">
        <v>317</v>
      </c>
      <c r="O61" s="64">
        <v>10</v>
      </c>
      <c r="P61" s="65">
        <v>12</v>
      </c>
      <c r="Q61" s="64">
        <v>1.2</v>
      </c>
      <c r="R61" s="63">
        <v>0</v>
      </c>
      <c r="S61" s="64">
        <v>0</v>
      </c>
    </row>
    <row r="62" spans="1:19" ht="11.1" customHeight="1" x14ac:dyDescent="0.25">
      <c r="A62" s="57">
        <v>113272</v>
      </c>
      <c r="B62" s="53">
        <v>46134</v>
      </c>
      <c r="C62" s="58">
        <v>46134</v>
      </c>
      <c r="D62" s="59" t="s">
        <v>356</v>
      </c>
      <c r="E62" s="50" t="s">
        <v>313</v>
      </c>
      <c r="F62" s="57">
        <v>36</v>
      </c>
      <c r="G62" s="60">
        <v>950</v>
      </c>
      <c r="H62" s="61" t="s">
        <v>353</v>
      </c>
      <c r="I62" s="50" t="s">
        <v>354</v>
      </c>
      <c r="J62" s="50" t="s">
        <v>355</v>
      </c>
      <c r="K62" s="62">
        <v>5102</v>
      </c>
      <c r="L62" s="57">
        <v>205</v>
      </c>
      <c r="M62" s="50" t="s">
        <v>26</v>
      </c>
      <c r="N62" s="50" t="s">
        <v>317</v>
      </c>
      <c r="O62" s="64">
        <v>42.65</v>
      </c>
      <c r="P62" s="65">
        <v>12</v>
      </c>
      <c r="Q62" s="64">
        <v>5.1100000000000003</v>
      </c>
      <c r="R62" s="63">
        <v>0</v>
      </c>
      <c r="S62" s="64">
        <v>0</v>
      </c>
    </row>
    <row r="63" spans="1:19" ht="11.1" customHeight="1" x14ac:dyDescent="0.25">
      <c r="A63" s="57">
        <v>113286</v>
      </c>
      <c r="B63" s="53">
        <v>46134</v>
      </c>
      <c r="C63" s="58">
        <v>46134</v>
      </c>
      <c r="D63" s="59" t="s">
        <v>357</v>
      </c>
      <c r="E63" s="50" t="s">
        <v>313</v>
      </c>
      <c r="F63" s="57">
        <v>36</v>
      </c>
      <c r="G63" s="60">
        <v>950</v>
      </c>
      <c r="H63" s="61" t="s">
        <v>353</v>
      </c>
      <c r="I63" s="50" t="s">
        <v>354</v>
      </c>
      <c r="J63" s="50" t="s">
        <v>355</v>
      </c>
      <c r="K63" s="62">
        <v>5102</v>
      </c>
      <c r="L63" s="57">
        <v>205</v>
      </c>
      <c r="M63" s="50" t="s">
        <v>26</v>
      </c>
      <c r="N63" s="50" t="s">
        <v>317</v>
      </c>
      <c r="O63" s="64">
        <v>8.6199999999999992</v>
      </c>
      <c r="P63" s="65">
        <v>12</v>
      </c>
      <c r="Q63" s="64">
        <v>1.03</v>
      </c>
      <c r="R63" s="63">
        <v>0</v>
      </c>
      <c r="S63" s="64">
        <v>0</v>
      </c>
    </row>
    <row r="64" spans="1:19" ht="11.1" customHeight="1" x14ac:dyDescent="0.25">
      <c r="A64" s="57">
        <v>113584</v>
      </c>
      <c r="B64" s="53">
        <v>46141</v>
      </c>
      <c r="C64" s="58">
        <v>46141</v>
      </c>
      <c r="D64" s="59" t="s">
        <v>358</v>
      </c>
      <c r="E64" s="50" t="s">
        <v>313</v>
      </c>
      <c r="F64" s="57">
        <v>36</v>
      </c>
      <c r="G64" s="60">
        <v>950</v>
      </c>
      <c r="H64" s="61" t="s">
        <v>353</v>
      </c>
      <c r="I64" s="50" t="s">
        <v>354</v>
      </c>
      <c r="J64" s="50" t="s">
        <v>355</v>
      </c>
      <c r="K64" s="62">
        <v>5102</v>
      </c>
      <c r="L64" s="57">
        <v>205</v>
      </c>
      <c r="M64" s="50" t="s">
        <v>26</v>
      </c>
      <c r="N64" s="50" t="s">
        <v>317</v>
      </c>
      <c r="O64" s="64">
        <v>9.4</v>
      </c>
      <c r="P64" s="65">
        <v>12</v>
      </c>
      <c r="Q64" s="64">
        <v>1.1299999999999999</v>
      </c>
      <c r="R64" s="63">
        <v>0</v>
      </c>
      <c r="S64" s="64">
        <v>0</v>
      </c>
    </row>
    <row r="65" spans="1:19" ht="11.85" customHeight="1" x14ac:dyDescent="0.25">
      <c r="A65" s="66" t="s">
        <v>320</v>
      </c>
      <c r="B65" s="66"/>
      <c r="C65" s="66"/>
      <c r="D65" s="66"/>
      <c r="E65" s="66"/>
      <c r="F65" s="66"/>
      <c r="G65" s="66"/>
      <c r="H65" s="66"/>
    </row>
    <row r="66" spans="1:19" ht="11.1" customHeight="1" x14ac:dyDescent="0.25">
      <c r="N66" s="50" t="s">
        <v>317</v>
      </c>
      <c r="O66" s="64">
        <v>70.67</v>
      </c>
      <c r="Q66" s="64">
        <v>8.4700000000000006</v>
      </c>
      <c r="R66" s="63">
        <v>0</v>
      </c>
      <c r="S66" s="64">
        <v>0</v>
      </c>
    </row>
    <row r="67" spans="1:19" ht="11.1" customHeight="1" x14ac:dyDescent="0.25">
      <c r="A67" s="57">
        <v>112638</v>
      </c>
      <c r="B67" s="53">
        <v>46118</v>
      </c>
      <c r="C67" s="58">
        <v>46118</v>
      </c>
      <c r="D67" s="59" t="s">
        <v>359</v>
      </c>
      <c r="E67" s="50" t="s">
        <v>313</v>
      </c>
      <c r="F67" s="57">
        <v>36</v>
      </c>
      <c r="G67" s="60">
        <v>378</v>
      </c>
      <c r="H67" s="61" t="s">
        <v>360</v>
      </c>
      <c r="I67" s="50" t="s">
        <v>361</v>
      </c>
      <c r="J67" s="50" t="s">
        <v>362</v>
      </c>
      <c r="K67" s="62">
        <v>6403</v>
      </c>
      <c r="L67" s="57">
        <v>207</v>
      </c>
      <c r="M67" s="50" t="s">
        <v>34</v>
      </c>
      <c r="N67" s="50" t="s">
        <v>317</v>
      </c>
      <c r="O67" s="64">
        <v>481</v>
      </c>
      <c r="P67" s="65">
        <v>12</v>
      </c>
      <c r="Q67" s="64">
        <v>57.72</v>
      </c>
      <c r="R67" s="63">
        <v>0</v>
      </c>
      <c r="S67" s="64">
        <v>73.099999999999994</v>
      </c>
    </row>
    <row r="68" spans="1:19" ht="11.1" customHeight="1" x14ac:dyDescent="0.25">
      <c r="N68" s="50" t="s">
        <v>318</v>
      </c>
      <c r="O68" s="64">
        <v>688.5</v>
      </c>
      <c r="P68" s="65">
        <v>19</v>
      </c>
      <c r="Q68" s="64">
        <v>73.099999999999994</v>
      </c>
      <c r="R68" s="63">
        <v>0</v>
      </c>
      <c r="S68" s="64">
        <v>0</v>
      </c>
    </row>
    <row r="69" spans="1:19" ht="11.1" customHeight="1" x14ac:dyDescent="0.25">
      <c r="A69" s="57">
        <v>112639</v>
      </c>
      <c r="B69" s="53">
        <v>46118</v>
      </c>
      <c r="C69" s="58">
        <v>46118</v>
      </c>
      <c r="D69" s="59" t="s">
        <v>359</v>
      </c>
      <c r="E69" s="50" t="s">
        <v>313</v>
      </c>
      <c r="F69" s="57">
        <v>36</v>
      </c>
      <c r="G69" s="60">
        <v>378</v>
      </c>
      <c r="H69" s="61" t="s">
        <v>360</v>
      </c>
      <c r="I69" s="50" t="s">
        <v>361</v>
      </c>
      <c r="J69" s="50" t="s">
        <v>362</v>
      </c>
      <c r="K69" s="62">
        <v>6102</v>
      </c>
      <c r="L69" s="57">
        <v>238</v>
      </c>
      <c r="M69" s="50" t="s">
        <v>34</v>
      </c>
      <c r="N69" s="50" t="s">
        <v>317</v>
      </c>
      <c r="O69" s="64">
        <v>117.49</v>
      </c>
      <c r="P69" s="65">
        <v>12</v>
      </c>
      <c r="Q69" s="64">
        <v>14.1</v>
      </c>
      <c r="R69" s="63">
        <v>0</v>
      </c>
      <c r="S69" s="64">
        <v>0</v>
      </c>
    </row>
    <row r="70" spans="1:19" ht="11.85" customHeight="1" x14ac:dyDescent="0.25">
      <c r="A70" s="66" t="s">
        <v>320</v>
      </c>
      <c r="B70" s="66"/>
      <c r="C70" s="66"/>
      <c r="D70" s="66"/>
      <c r="E70" s="66"/>
      <c r="F70" s="66"/>
      <c r="G70" s="66"/>
      <c r="H70" s="66"/>
    </row>
    <row r="71" spans="1:19" ht="11.1" customHeight="1" x14ac:dyDescent="0.25">
      <c r="N71" s="50" t="s">
        <v>317</v>
      </c>
      <c r="O71" s="64">
        <v>598.49</v>
      </c>
      <c r="Q71" s="64">
        <v>71.819999999999993</v>
      </c>
      <c r="R71" s="63">
        <v>0</v>
      </c>
      <c r="S71" s="64">
        <v>73.099999999999994</v>
      </c>
    </row>
    <row r="72" spans="1:19" ht="11.1" customHeight="1" x14ac:dyDescent="0.25">
      <c r="N72" s="50" t="s">
        <v>318</v>
      </c>
      <c r="O72" s="64">
        <v>688.5</v>
      </c>
      <c r="Q72" s="64">
        <v>73.099999999999994</v>
      </c>
      <c r="R72" s="63">
        <v>0</v>
      </c>
      <c r="S72" s="64">
        <v>0</v>
      </c>
    </row>
    <row r="73" spans="1:19" ht="11.1" customHeight="1" x14ac:dyDescent="0.25">
      <c r="A73" s="57">
        <v>112587</v>
      </c>
      <c r="B73" s="53">
        <v>46118</v>
      </c>
      <c r="C73" s="58">
        <v>46118</v>
      </c>
      <c r="D73" s="59" t="s">
        <v>363</v>
      </c>
      <c r="E73" s="50" t="s">
        <v>313</v>
      </c>
      <c r="F73" s="57">
        <v>36</v>
      </c>
      <c r="G73" s="60">
        <v>715</v>
      </c>
      <c r="H73" s="61" t="s">
        <v>364</v>
      </c>
      <c r="I73" s="50" t="s">
        <v>365</v>
      </c>
      <c r="J73" s="50" t="s">
        <v>366</v>
      </c>
      <c r="K73" s="62">
        <v>6403</v>
      </c>
      <c r="L73" s="57">
        <v>207</v>
      </c>
      <c r="M73" s="50" t="s">
        <v>34</v>
      </c>
      <c r="N73" s="50" t="s">
        <v>317</v>
      </c>
      <c r="O73" s="64">
        <v>391.68</v>
      </c>
      <c r="P73" s="65">
        <v>12</v>
      </c>
      <c r="Q73" s="64">
        <v>47.01</v>
      </c>
      <c r="R73" s="63">
        <v>0</v>
      </c>
      <c r="S73" s="64">
        <v>59.52</v>
      </c>
    </row>
    <row r="74" spans="1:19" ht="11.1" customHeight="1" x14ac:dyDescent="0.25">
      <c r="N74" s="50" t="s">
        <v>318</v>
      </c>
      <c r="O74" s="64">
        <v>560.65</v>
      </c>
      <c r="P74" s="65">
        <v>19</v>
      </c>
      <c r="Q74" s="64">
        <v>59.52</v>
      </c>
      <c r="R74" s="63">
        <v>0</v>
      </c>
      <c r="S74" s="64">
        <v>0</v>
      </c>
    </row>
    <row r="75" spans="1:19" ht="11.1" customHeight="1" x14ac:dyDescent="0.25">
      <c r="A75" s="57">
        <v>112588</v>
      </c>
      <c r="B75" s="53">
        <v>46118</v>
      </c>
      <c r="C75" s="58">
        <v>46118</v>
      </c>
      <c r="D75" s="59" t="s">
        <v>363</v>
      </c>
      <c r="E75" s="50" t="s">
        <v>313</v>
      </c>
      <c r="F75" s="57">
        <v>36</v>
      </c>
      <c r="G75" s="60">
        <v>715</v>
      </c>
      <c r="H75" s="61" t="s">
        <v>364</v>
      </c>
      <c r="I75" s="50" t="s">
        <v>365</v>
      </c>
      <c r="J75" s="50" t="s">
        <v>366</v>
      </c>
      <c r="K75" s="62">
        <v>6102</v>
      </c>
      <c r="L75" s="57">
        <v>238</v>
      </c>
      <c r="M75" s="50" t="s">
        <v>34</v>
      </c>
      <c r="N75" s="50" t="s">
        <v>317</v>
      </c>
      <c r="O75" s="64">
        <v>908.78</v>
      </c>
      <c r="P75" s="65">
        <v>12</v>
      </c>
      <c r="Q75" s="64">
        <v>109.04</v>
      </c>
      <c r="R75" s="63">
        <v>0</v>
      </c>
      <c r="S75" s="64">
        <v>0</v>
      </c>
    </row>
    <row r="76" spans="1:19" ht="11.1" customHeight="1" x14ac:dyDescent="0.25">
      <c r="A76" s="57">
        <v>113026</v>
      </c>
      <c r="B76" s="53">
        <v>46126</v>
      </c>
      <c r="C76" s="58">
        <v>46126</v>
      </c>
      <c r="D76" s="59" t="s">
        <v>367</v>
      </c>
      <c r="E76" s="50" t="s">
        <v>313</v>
      </c>
      <c r="F76" s="57">
        <v>36</v>
      </c>
      <c r="G76" s="60">
        <v>715</v>
      </c>
      <c r="H76" s="61" t="s">
        <v>364</v>
      </c>
      <c r="I76" s="50" t="s">
        <v>365</v>
      </c>
      <c r="J76" s="50" t="s">
        <v>366</v>
      </c>
      <c r="K76" s="62">
        <v>6403</v>
      </c>
      <c r="L76" s="57">
        <v>207</v>
      </c>
      <c r="M76" s="50" t="s">
        <v>34</v>
      </c>
      <c r="N76" s="50" t="s">
        <v>317</v>
      </c>
      <c r="O76" s="64">
        <v>309.95999999999998</v>
      </c>
      <c r="P76" s="65">
        <v>12</v>
      </c>
      <c r="Q76" s="64">
        <v>37.200000000000003</v>
      </c>
      <c r="R76" s="63">
        <v>0</v>
      </c>
      <c r="S76" s="64">
        <v>47.1</v>
      </c>
    </row>
    <row r="77" spans="1:19" ht="11.1" customHeight="1" x14ac:dyDescent="0.25">
      <c r="N77" s="50" t="s">
        <v>318</v>
      </c>
      <c r="O77" s="64">
        <v>443.68</v>
      </c>
      <c r="P77" s="65">
        <v>19</v>
      </c>
      <c r="Q77" s="64">
        <v>47.1</v>
      </c>
      <c r="R77" s="63">
        <v>0</v>
      </c>
      <c r="S77" s="64">
        <v>0</v>
      </c>
    </row>
    <row r="78" spans="1:19" ht="11.1" customHeight="1" x14ac:dyDescent="0.25">
      <c r="A78" s="57">
        <v>113027</v>
      </c>
      <c r="B78" s="53">
        <v>46126</v>
      </c>
      <c r="C78" s="58">
        <v>46126</v>
      </c>
      <c r="D78" s="59" t="s">
        <v>367</v>
      </c>
      <c r="E78" s="50" t="s">
        <v>313</v>
      </c>
      <c r="F78" s="57">
        <v>36</v>
      </c>
      <c r="G78" s="60">
        <v>715</v>
      </c>
      <c r="H78" s="61" t="s">
        <v>364</v>
      </c>
      <c r="I78" s="50" t="s">
        <v>365</v>
      </c>
      <c r="J78" s="50" t="s">
        <v>366</v>
      </c>
      <c r="K78" s="62">
        <v>6102</v>
      </c>
      <c r="L78" s="57">
        <v>238</v>
      </c>
      <c r="M78" s="50" t="s">
        <v>34</v>
      </c>
      <c r="N78" s="50" t="s">
        <v>317</v>
      </c>
      <c r="O78" s="64">
        <v>800.24</v>
      </c>
      <c r="P78" s="65">
        <v>12</v>
      </c>
      <c r="Q78" s="64">
        <v>96.02</v>
      </c>
      <c r="R78" s="63">
        <v>0</v>
      </c>
      <c r="S78" s="64">
        <v>0</v>
      </c>
    </row>
    <row r="79" spans="1:19" ht="11.1" customHeight="1" x14ac:dyDescent="0.25">
      <c r="A79" s="57">
        <v>113561</v>
      </c>
      <c r="B79" s="53">
        <v>46140</v>
      </c>
      <c r="C79" s="58">
        <v>46140</v>
      </c>
      <c r="D79" s="59" t="s">
        <v>368</v>
      </c>
      <c r="E79" s="50" t="s">
        <v>313</v>
      </c>
      <c r="F79" s="57">
        <v>36</v>
      </c>
      <c r="G79" s="60">
        <v>715</v>
      </c>
      <c r="H79" s="61" t="s">
        <v>364</v>
      </c>
      <c r="I79" s="50" t="s">
        <v>365</v>
      </c>
      <c r="J79" s="50" t="s">
        <v>366</v>
      </c>
      <c r="K79" s="62">
        <v>6102</v>
      </c>
      <c r="L79" s="57">
        <v>238</v>
      </c>
      <c r="M79" s="50" t="s">
        <v>34</v>
      </c>
      <c r="N79" s="50" t="s">
        <v>317</v>
      </c>
      <c r="O79" s="64">
        <v>1419.24</v>
      </c>
      <c r="P79" s="65">
        <v>12</v>
      </c>
      <c r="Q79" s="64">
        <v>170.29</v>
      </c>
      <c r="R79" s="63">
        <v>0</v>
      </c>
      <c r="S79" s="64">
        <v>0</v>
      </c>
    </row>
    <row r="80" spans="1:19" ht="11.85" customHeight="1" x14ac:dyDescent="0.25">
      <c r="A80" s="66" t="s">
        <v>320</v>
      </c>
      <c r="B80" s="66"/>
      <c r="C80" s="66"/>
      <c r="D80" s="66"/>
      <c r="E80" s="66"/>
      <c r="F80" s="66"/>
      <c r="G80" s="66"/>
      <c r="H80" s="66"/>
    </row>
    <row r="81" spans="1:19" ht="11.1" customHeight="1" x14ac:dyDescent="0.25">
      <c r="N81" s="50" t="s">
        <v>317</v>
      </c>
      <c r="O81" s="64">
        <v>3829.9</v>
      </c>
      <c r="Q81" s="64">
        <v>459.56</v>
      </c>
      <c r="R81" s="63">
        <v>0</v>
      </c>
      <c r="S81" s="64">
        <v>106.62</v>
      </c>
    </row>
    <row r="82" spans="1:19" ht="11.1" customHeight="1" x14ac:dyDescent="0.25">
      <c r="N82" s="50" t="s">
        <v>318</v>
      </c>
      <c r="O82" s="64">
        <v>1004.33</v>
      </c>
      <c r="Q82" s="64">
        <v>106.62</v>
      </c>
      <c r="R82" s="63">
        <v>0</v>
      </c>
      <c r="S82" s="64">
        <v>0</v>
      </c>
    </row>
    <row r="83" spans="1:19" ht="11.1" customHeight="1" x14ac:dyDescent="0.25">
      <c r="A83" s="57">
        <v>112612</v>
      </c>
      <c r="B83" s="53">
        <v>46118</v>
      </c>
      <c r="C83" s="58">
        <v>46118</v>
      </c>
      <c r="D83" s="59" t="s">
        <v>369</v>
      </c>
      <c r="E83" s="50" t="s">
        <v>313</v>
      </c>
      <c r="F83" s="57">
        <v>36</v>
      </c>
      <c r="G83" s="60">
        <v>712</v>
      </c>
      <c r="H83" s="61" t="s">
        <v>370</v>
      </c>
      <c r="I83" s="50" t="s">
        <v>371</v>
      </c>
      <c r="J83" s="50" t="s">
        <v>372</v>
      </c>
      <c r="K83" s="62">
        <v>5102</v>
      </c>
      <c r="L83" s="57">
        <v>205</v>
      </c>
      <c r="M83" s="50" t="s">
        <v>26</v>
      </c>
      <c r="N83" s="50" t="s">
        <v>317</v>
      </c>
      <c r="O83" s="64">
        <v>32.200000000000003</v>
      </c>
      <c r="P83" s="65">
        <v>12</v>
      </c>
      <c r="Q83" s="64">
        <v>3.86</v>
      </c>
      <c r="R83" s="63">
        <v>0</v>
      </c>
      <c r="S83" s="64">
        <v>0</v>
      </c>
    </row>
    <row r="84" spans="1:19" ht="11.1" customHeight="1" x14ac:dyDescent="0.25">
      <c r="A84" s="57">
        <v>112613</v>
      </c>
      <c r="B84" s="53">
        <v>46118</v>
      </c>
      <c r="C84" s="58">
        <v>46118</v>
      </c>
      <c r="D84" s="59" t="s">
        <v>373</v>
      </c>
      <c r="E84" s="50" t="s">
        <v>313</v>
      </c>
      <c r="F84" s="57">
        <v>36</v>
      </c>
      <c r="G84" s="60">
        <v>712</v>
      </c>
      <c r="H84" s="61" t="s">
        <v>370</v>
      </c>
      <c r="I84" s="50" t="s">
        <v>371</v>
      </c>
      <c r="J84" s="50" t="s">
        <v>372</v>
      </c>
      <c r="K84" s="62">
        <v>5102</v>
      </c>
      <c r="L84" s="57">
        <v>205</v>
      </c>
      <c r="M84" s="50" t="s">
        <v>26</v>
      </c>
      <c r="N84" s="50" t="s">
        <v>317</v>
      </c>
      <c r="O84" s="64">
        <v>321.49</v>
      </c>
      <c r="P84" s="65">
        <v>12</v>
      </c>
      <c r="Q84" s="64">
        <v>38.590000000000003</v>
      </c>
      <c r="R84" s="63">
        <v>0</v>
      </c>
      <c r="S84" s="64">
        <v>0</v>
      </c>
    </row>
    <row r="85" spans="1:19" ht="11.1" customHeight="1" x14ac:dyDescent="0.25">
      <c r="A85" s="57">
        <v>112614</v>
      </c>
      <c r="B85" s="53">
        <v>46118</v>
      </c>
      <c r="C85" s="58">
        <v>46118</v>
      </c>
      <c r="D85" s="59" t="s">
        <v>373</v>
      </c>
      <c r="E85" s="50" t="s">
        <v>313</v>
      </c>
      <c r="F85" s="57">
        <v>36</v>
      </c>
      <c r="G85" s="60">
        <v>712</v>
      </c>
      <c r="H85" s="61" t="s">
        <v>370</v>
      </c>
      <c r="I85" s="50" t="s">
        <v>371</v>
      </c>
      <c r="J85" s="50" t="s">
        <v>372</v>
      </c>
      <c r="K85" s="62">
        <v>5403</v>
      </c>
      <c r="L85" s="57">
        <v>207</v>
      </c>
      <c r="M85" s="50" t="s">
        <v>26</v>
      </c>
      <c r="N85" s="50" t="s">
        <v>317</v>
      </c>
      <c r="O85" s="64">
        <v>227.4</v>
      </c>
      <c r="P85" s="65">
        <v>12</v>
      </c>
      <c r="Q85" s="64">
        <v>27.29</v>
      </c>
      <c r="R85" s="63">
        <v>0</v>
      </c>
      <c r="S85" s="64">
        <v>15.92</v>
      </c>
    </row>
    <row r="86" spans="1:19" ht="11.1" customHeight="1" x14ac:dyDescent="0.25">
      <c r="N86" s="50" t="s">
        <v>318</v>
      </c>
      <c r="O86" s="64">
        <v>306.99</v>
      </c>
      <c r="P86" s="65">
        <v>20</v>
      </c>
      <c r="Q86" s="64">
        <v>15.92</v>
      </c>
      <c r="R86" s="63">
        <v>0</v>
      </c>
      <c r="S86" s="64">
        <v>0</v>
      </c>
    </row>
    <row r="87" spans="1:19" ht="11.1" customHeight="1" x14ac:dyDescent="0.25">
      <c r="A87" s="57">
        <v>112868</v>
      </c>
      <c r="B87" s="53">
        <v>46121</v>
      </c>
      <c r="C87" s="58">
        <v>46121</v>
      </c>
      <c r="D87" s="59" t="s">
        <v>374</v>
      </c>
      <c r="E87" s="50" t="s">
        <v>313</v>
      </c>
      <c r="F87" s="57">
        <v>36</v>
      </c>
      <c r="G87" s="60">
        <v>712</v>
      </c>
      <c r="H87" s="61" t="s">
        <v>370</v>
      </c>
      <c r="I87" s="50" t="s">
        <v>371</v>
      </c>
      <c r="J87" s="50" t="s">
        <v>372</v>
      </c>
      <c r="K87" s="62">
        <v>5102</v>
      </c>
      <c r="L87" s="57">
        <v>205</v>
      </c>
      <c r="M87" s="50" t="s">
        <v>26</v>
      </c>
      <c r="N87" s="50" t="s">
        <v>317</v>
      </c>
      <c r="O87" s="64">
        <v>195.9</v>
      </c>
      <c r="P87" s="65">
        <v>12</v>
      </c>
      <c r="Q87" s="64">
        <v>23.5</v>
      </c>
      <c r="R87" s="63">
        <v>0</v>
      </c>
      <c r="S87" s="64">
        <v>0</v>
      </c>
    </row>
    <row r="88" spans="1:19" ht="11.1" customHeight="1" x14ac:dyDescent="0.25">
      <c r="A88" s="57">
        <v>112869</v>
      </c>
      <c r="B88" s="53">
        <v>46121</v>
      </c>
      <c r="C88" s="58">
        <v>46121</v>
      </c>
      <c r="D88" s="59" t="s">
        <v>374</v>
      </c>
      <c r="E88" s="50" t="s">
        <v>313</v>
      </c>
      <c r="F88" s="57">
        <v>36</v>
      </c>
      <c r="G88" s="60">
        <v>712</v>
      </c>
      <c r="H88" s="61" t="s">
        <v>370</v>
      </c>
      <c r="I88" s="50" t="s">
        <v>371</v>
      </c>
      <c r="J88" s="50" t="s">
        <v>372</v>
      </c>
      <c r="K88" s="62">
        <v>5403</v>
      </c>
      <c r="L88" s="57">
        <v>207</v>
      </c>
      <c r="M88" s="50" t="s">
        <v>26</v>
      </c>
      <c r="N88" s="50" t="s">
        <v>317</v>
      </c>
      <c r="O88" s="64">
        <v>482.53</v>
      </c>
      <c r="P88" s="65">
        <v>12</v>
      </c>
      <c r="Q88" s="64">
        <v>57.9</v>
      </c>
      <c r="R88" s="63">
        <v>0</v>
      </c>
      <c r="S88" s="64">
        <v>33.78</v>
      </c>
    </row>
    <row r="89" spans="1:19" ht="11.1" customHeight="1" x14ac:dyDescent="0.25">
      <c r="N89" s="50" t="s">
        <v>318</v>
      </c>
      <c r="O89" s="64">
        <v>651.41999999999996</v>
      </c>
      <c r="P89" s="65">
        <v>20</v>
      </c>
      <c r="Q89" s="64">
        <v>33.78</v>
      </c>
      <c r="R89" s="63">
        <v>0</v>
      </c>
      <c r="S89" s="64">
        <v>0</v>
      </c>
    </row>
    <row r="90" spans="1:19" ht="11.1" customHeight="1" x14ac:dyDescent="0.25">
      <c r="A90" s="57">
        <v>113336</v>
      </c>
      <c r="B90" s="53">
        <v>46135</v>
      </c>
      <c r="C90" s="58">
        <v>46135</v>
      </c>
      <c r="D90" s="59" t="s">
        <v>375</v>
      </c>
      <c r="E90" s="50" t="s">
        <v>313</v>
      </c>
      <c r="F90" s="57">
        <v>36</v>
      </c>
      <c r="G90" s="60">
        <v>712</v>
      </c>
      <c r="H90" s="61" t="s">
        <v>370</v>
      </c>
      <c r="I90" s="50" t="s">
        <v>371</v>
      </c>
      <c r="J90" s="50" t="s">
        <v>372</v>
      </c>
      <c r="K90" s="62">
        <v>5102</v>
      </c>
      <c r="L90" s="57">
        <v>205</v>
      </c>
      <c r="M90" s="50" t="s">
        <v>26</v>
      </c>
      <c r="N90" s="50" t="s">
        <v>317</v>
      </c>
      <c r="O90" s="64">
        <v>390.83</v>
      </c>
      <c r="P90" s="65">
        <v>12</v>
      </c>
      <c r="Q90" s="64">
        <v>46.89</v>
      </c>
      <c r="R90" s="63">
        <v>0</v>
      </c>
      <c r="S90" s="64">
        <v>0</v>
      </c>
    </row>
    <row r="91" spans="1:19" ht="11.1" customHeight="1" x14ac:dyDescent="0.25">
      <c r="A91" s="57">
        <v>113337</v>
      </c>
      <c r="B91" s="53">
        <v>46135</v>
      </c>
      <c r="C91" s="58">
        <v>46135</v>
      </c>
      <c r="D91" s="59" t="s">
        <v>375</v>
      </c>
      <c r="E91" s="50" t="s">
        <v>313</v>
      </c>
      <c r="F91" s="57">
        <v>36</v>
      </c>
      <c r="G91" s="60">
        <v>712</v>
      </c>
      <c r="H91" s="61" t="s">
        <v>370</v>
      </c>
      <c r="I91" s="50" t="s">
        <v>371</v>
      </c>
      <c r="J91" s="50" t="s">
        <v>372</v>
      </c>
      <c r="K91" s="62">
        <v>5403</v>
      </c>
      <c r="L91" s="57">
        <v>207</v>
      </c>
      <c r="M91" s="50" t="s">
        <v>26</v>
      </c>
      <c r="N91" s="50" t="s">
        <v>317</v>
      </c>
      <c r="O91" s="64">
        <v>442.77</v>
      </c>
      <c r="P91" s="65">
        <v>12</v>
      </c>
      <c r="Q91" s="64">
        <v>53.13</v>
      </c>
      <c r="R91" s="63">
        <v>0</v>
      </c>
      <c r="S91" s="64">
        <v>31</v>
      </c>
    </row>
    <row r="92" spans="1:19" ht="11.1" customHeight="1" x14ac:dyDescent="0.25">
      <c r="N92" s="50" t="s">
        <v>318</v>
      </c>
      <c r="O92" s="64">
        <v>597.74</v>
      </c>
      <c r="P92" s="65">
        <v>20</v>
      </c>
      <c r="Q92" s="64">
        <v>31</v>
      </c>
      <c r="R92" s="63">
        <v>0</v>
      </c>
      <c r="S92" s="64">
        <v>0</v>
      </c>
    </row>
    <row r="93" spans="1:19" ht="11.85" customHeight="1" x14ac:dyDescent="0.25">
      <c r="A93" s="66" t="s">
        <v>320</v>
      </c>
      <c r="B93" s="66"/>
      <c r="C93" s="66"/>
      <c r="D93" s="66"/>
      <c r="E93" s="66"/>
      <c r="F93" s="66"/>
      <c r="G93" s="66"/>
      <c r="H93" s="66"/>
    </row>
    <row r="94" spans="1:19" ht="11.1" customHeight="1" x14ac:dyDescent="0.25">
      <c r="N94" s="50" t="s">
        <v>317</v>
      </c>
      <c r="O94" s="64">
        <v>2093.12</v>
      </c>
      <c r="Q94" s="64">
        <v>251.16</v>
      </c>
      <c r="R94" s="63">
        <v>0</v>
      </c>
      <c r="S94" s="64">
        <v>80.7</v>
      </c>
    </row>
    <row r="95" spans="1:19" ht="11.1" customHeight="1" x14ac:dyDescent="0.25">
      <c r="N95" s="50" t="s">
        <v>318</v>
      </c>
      <c r="O95" s="64">
        <v>1556.15</v>
      </c>
      <c r="Q95" s="64">
        <v>80.7</v>
      </c>
      <c r="R95" s="63">
        <v>0</v>
      </c>
      <c r="S95" s="64">
        <v>0</v>
      </c>
    </row>
    <row r="96" spans="1:19" ht="11.1" customHeight="1" x14ac:dyDescent="0.25">
      <c r="A96" s="57">
        <v>112731</v>
      </c>
      <c r="B96" s="53">
        <v>46120</v>
      </c>
      <c r="C96" s="58">
        <v>46120</v>
      </c>
      <c r="D96" s="59" t="s">
        <v>376</v>
      </c>
      <c r="E96" s="50" t="s">
        <v>313</v>
      </c>
      <c r="F96" s="57">
        <v>36</v>
      </c>
      <c r="G96" s="60">
        <v>830</v>
      </c>
      <c r="H96" s="61" t="s">
        <v>377</v>
      </c>
      <c r="I96" s="50" t="s">
        <v>378</v>
      </c>
      <c r="J96" s="50" t="s">
        <v>379</v>
      </c>
      <c r="K96" s="62">
        <v>5102</v>
      </c>
      <c r="L96" s="57">
        <v>205</v>
      </c>
      <c r="M96" s="50" t="s">
        <v>26</v>
      </c>
      <c r="N96" s="50" t="s">
        <v>317</v>
      </c>
      <c r="O96" s="64">
        <v>72.45</v>
      </c>
      <c r="P96" s="65">
        <v>12</v>
      </c>
      <c r="Q96" s="64">
        <v>8.69</v>
      </c>
      <c r="R96" s="63">
        <v>0</v>
      </c>
      <c r="S96" s="64">
        <v>0</v>
      </c>
    </row>
    <row r="97" spans="1:19" ht="11.1" customHeight="1" x14ac:dyDescent="0.25">
      <c r="A97" s="57">
        <v>112732</v>
      </c>
      <c r="B97" s="53">
        <v>46120</v>
      </c>
      <c r="C97" s="58">
        <v>46120</v>
      </c>
      <c r="D97" s="59" t="s">
        <v>376</v>
      </c>
      <c r="E97" s="50" t="s">
        <v>313</v>
      </c>
      <c r="F97" s="57">
        <v>36</v>
      </c>
      <c r="G97" s="60">
        <v>830</v>
      </c>
      <c r="H97" s="61" t="s">
        <v>377</v>
      </c>
      <c r="I97" s="50" t="s">
        <v>378</v>
      </c>
      <c r="J97" s="50" t="s">
        <v>379</v>
      </c>
      <c r="K97" s="62">
        <v>5403</v>
      </c>
      <c r="L97" s="57">
        <v>207</v>
      </c>
      <c r="M97" s="50" t="s">
        <v>26</v>
      </c>
      <c r="N97" s="50" t="s">
        <v>317</v>
      </c>
      <c r="O97" s="64">
        <v>110.7</v>
      </c>
      <c r="P97" s="65">
        <v>12</v>
      </c>
      <c r="Q97" s="64">
        <v>13.28</v>
      </c>
      <c r="R97" s="63">
        <v>0</v>
      </c>
      <c r="S97" s="64">
        <v>7.75</v>
      </c>
    </row>
    <row r="98" spans="1:19" ht="11.1" customHeight="1" x14ac:dyDescent="0.25">
      <c r="N98" s="50" t="s">
        <v>318</v>
      </c>
      <c r="O98" s="64">
        <v>149.44999999999999</v>
      </c>
      <c r="P98" s="65">
        <v>20</v>
      </c>
      <c r="Q98" s="64">
        <v>7.75</v>
      </c>
      <c r="R98" s="63">
        <v>0</v>
      </c>
      <c r="S98" s="64">
        <v>0</v>
      </c>
    </row>
    <row r="99" spans="1:19" ht="11.1" customHeight="1" x14ac:dyDescent="0.25">
      <c r="A99" s="57">
        <v>112733</v>
      </c>
      <c r="B99" s="53">
        <v>46120</v>
      </c>
      <c r="C99" s="58">
        <v>46120</v>
      </c>
      <c r="D99" s="59" t="s">
        <v>380</v>
      </c>
      <c r="E99" s="50" t="s">
        <v>313</v>
      </c>
      <c r="F99" s="57">
        <v>36</v>
      </c>
      <c r="G99" s="60">
        <v>830</v>
      </c>
      <c r="H99" s="61" t="s">
        <v>377</v>
      </c>
      <c r="I99" s="50" t="s">
        <v>378</v>
      </c>
      <c r="J99" s="50" t="s">
        <v>379</v>
      </c>
      <c r="K99" s="62">
        <v>5102</v>
      </c>
      <c r="L99" s="57">
        <v>205</v>
      </c>
      <c r="M99" s="50" t="s">
        <v>26</v>
      </c>
      <c r="N99" s="50" t="s">
        <v>317</v>
      </c>
      <c r="O99" s="64">
        <v>265.39999999999998</v>
      </c>
      <c r="P99" s="65">
        <v>12</v>
      </c>
      <c r="Q99" s="64">
        <v>31.84</v>
      </c>
      <c r="R99" s="63">
        <v>0</v>
      </c>
      <c r="S99" s="64">
        <v>0</v>
      </c>
    </row>
    <row r="100" spans="1:19" ht="11.1" customHeight="1" x14ac:dyDescent="0.25">
      <c r="A100" s="57">
        <v>112896</v>
      </c>
      <c r="B100" s="53">
        <v>46122</v>
      </c>
      <c r="C100" s="58">
        <v>46122</v>
      </c>
      <c r="D100" s="59" t="s">
        <v>381</v>
      </c>
      <c r="E100" s="50" t="s">
        <v>313</v>
      </c>
      <c r="F100" s="57">
        <v>36</v>
      </c>
      <c r="G100" s="60">
        <v>830</v>
      </c>
      <c r="H100" s="61" t="s">
        <v>377</v>
      </c>
      <c r="I100" s="50" t="s">
        <v>378</v>
      </c>
      <c r="J100" s="50" t="s">
        <v>379</v>
      </c>
      <c r="K100" s="62">
        <v>5403</v>
      </c>
      <c r="L100" s="57">
        <v>207</v>
      </c>
      <c r="M100" s="50" t="s">
        <v>26</v>
      </c>
      <c r="N100" s="50" t="s">
        <v>317</v>
      </c>
      <c r="O100" s="64">
        <v>110.7</v>
      </c>
      <c r="P100" s="65">
        <v>12</v>
      </c>
      <c r="Q100" s="64">
        <v>13.28</v>
      </c>
      <c r="R100" s="63">
        <v>0</v>
      </c>
      <c r="S100" s="64">
        <v>7.75</v>
      </c>
    </row>
    <row r="101" spans="1:19" ht="11.1" customHeight="1" x14ac:dyDescent="0.25">
      <c r="N101" s="50" t="s">
        <v>318</v>
      </c>
      <c r="O101" s="64">
        <v>149.44999999999999</v>
      </c>
      <c r="P101" s="65">
        <v>20</v>
      </c>
      <c r="Q101" s="64">
        <v>7.75</v>
      </c>
      <c r="R101" s="63">
        <v>0</v>
      </c>
      <c r="S101" s="64">
        <v>0</v>
      </c>
    </row>
    <row r="102" spans="1:19" ht="11.1" customHeight="1" x14ac:dyDescent="0.25">
      <c r="A102" s="57">
        <v>112897</v>
      </c>
      <c r="B102" s="53">
        <v>46122</v>
      </c>
      <c r="C102" s="58">
        <v>46122</v>
      </c>
      <c r="D102" s="59" t="s">
        <v>382</v>
      </c>
      <c r="E102" s="50" t="s">
        <v>313</v>
      </c>
      <c r="F102" s="57">
        <v>36</v>
      </c>
      <c r="G102" s="60">
        <v>830</v>
      </c>
      <c r="H102" s="61" t="s">
        <v>377</v>
      </c>
      <c r="I102" s="50" t="s">
        <v>378</v>
      </c>
      <c r="J102" s="50" t="s">
        <v>379</v>
      </c>
      <c r="K102" s="62">
        <v>5102</v>
      </c>
      <c r="L102" s="57">
        <v>205</v>
      </c>
      <c r="M102" s="50" t="s">
        <v>26</v>
      </c>
      <c r="N102" s="50" t="s">
        <v>317</v>
      </c>
      <c r="O102" s="64">
        <v>20.149999999999999</v>
      </c>
      <c r="P102" s="65">
        <v>12</v>
      </c>
      <c r="Q102" s="64">
        <v>2.42</v>
      </c>
      <c r="R102" s="63">
        <v>0</v>
      </c>
      <c r="S102" s="64">
        <v>0</v>
      </c>
    </row>
    <row r="103" spans="1:19" ht="11.1" customHeight="1" x14ac:dyDescent="0.25">
      <c r="A103" s="57">
        <v>113121</v>
      </c>
      <c r="B103" s="53">
        <v>46128</v>
      </c>
      <c r="C103" s="58">
        <v>46128</v>
      </c>
      <c r="D103" s="59" t="s">
        <v>383</v>
      </c>
      <c r="E103" s="50" t="s">
        <v>313</v>
      </c>
      <c r="F103" s="57">
        <v>36</v>
      </c>
      <c r="G103" s="60">
        <v>830</v>
      </c>
      <c r="H103" s="61" t="s">
        <v>377</v>
      </c>
      <c r="I103" s="50" t="s">
        <v>378</v>
      </c>
      <c r="J103" s="50" t="s">
        <v>379</v>
      </c>
      <c r="K103" s="62">
        <v>5102</v>
      </c>
      <c r="L103" s="57">
        <v>205</v>
      </c>
      <c r="M103" s="50" t="s">
        <v>26</v>
      </c>
      <c r="N103" s="50" t="s">
        <v>317</v>
      </c>
      <c r="O103" s="64">
        <v>257.11</v>
      </c>
      <c r="P103" s="65">
        <v>12</v>
      </c>
      <c r="Q103" s="64">
        <v>30.85</v>
      </c>
      <c r="R103" s="63">
        <v>0</v>
      </c>
      <c r="S103" s="64">
        <v>0</v>
      </c>
    </row>
    <row r="104" spans="1:19" ht="11.1" customHeight="1" x14ac:dyDescent="0.25">
      <c r="A104" s="57">
        <v>113122</v>
      </c>
      <c r="B104" s="53">
        <v>46128</v>
      </c>
      <c r="C104" s="58">
        <v>46128</v>
      </c>
      <c r="D104" s="59" t="s">
        <v>383</v>
      </c>
      <c r="E104" s="50" t="s">
        <v>313</v>
      </c>
      <c r="F104" s="57">
        <v>36</v>
      </c>
      <c r="G104" s="60">
        <v>830</v>
      </c>
      <c r="H104" s="61" t="s">
        <v>377</v>
      </c>
      <c r="I104" s="50" t="s">
        <v>378</v>
      </c>
      <c r="J104" s="50" t="s">
        <v>379</v>
      </c>
      <c r="K104" s="62">
        <v>5403</v>
      </c>
      <c r="L104" s="57">
        <v>207</v>
      </c>
      <c r="M104" s="50" t="s">
        <v>26</v>
      </c>
      <c r="N104" s="50" t="s">
        <v>317</v>
      </c>
      <c r="O104" s="64">
        <v>110.7</v>
      </c>
      <c r="P104" s="65">
        <v>12</v>
      </c>
      <c r="Q104" s="64">
        <v>13.28</v>
      </c>
      <c r="R104" s="63">
        <v>0</v>
      </c>
      <c r="S104" s="64">
        <v>7.75</v>
      </c>
    </row>
    <row r="105" spans="1:19" ht="11.1" customHeight="1" x14ac:dyDescent="0.25">
      <c r="N105" s="50" t="s">
        <v>318</v>
      </c>
      <c r="O105" s="64">
        <v>149.44999999999999</v>
      </c>
      <c r="P105" s="65">
        <v>20</v>
      </c>
      <c r="Q105" s="64">
        <v>7.75</v>
      </c>
      <c r="R105" s="63">
        <v>0</v>
      </c>
      <c r="S105" s="64">
        <v>0</v>
      </c>
    </row>
    <row r="106" spans="1:19" ht="11.85" customHeight="1" x14ac:dyDescent="0.25">
      <c r="A106" s="66" t="s">
        <v>320</v>
      </c>
      <c r="B106" s="66"/>
      <c r="C106" s="66"/>
      <c r="D106" s="66"/>
      <c r="E106" s="66"/>
      <c r="F106" s="66"/>
      <c r="G106" s="66"/>
      <c r="H106" s="66"/>
    </row>
    <row r="107" spans="1:19" ht="11.1" customHeight="1" x14ac:dyDescent="0.25">
      <c r="N107" s="50" t="s">
        <v>317</v>
      </c>
      <c r="O107" s="64">
        <v>947.21</v>
      </c>
      <c r="Q107" s="64">
        <v>113.64</v>
      </c>
      <c r="R107" s="63">
        <v>0</v>
      </c>
      <c r="S107" s="64">
        <v>23.25</v>
      </c>
    </row>
    <row r="108" spans="1:19" ht="11.1" customHeight="1" x14ac:dyDescent="0.25">
      <c r="N108" s="50" t="s">
        <v>318</v>
      </c>
      <c r="O108" s="64">
        <v>448.35</v>
      </c>
      <c r="Q108" s="64">
        <v>23.25</v>
      </c>
      <c r="R108" s="63">
        <v>0</v>
      </c>
      <c r="S108" s="64">
        <v>0</v>
      </c>
    </row>
    <row r="109" spans="1:19" ht="11.1" customHeight="1" x14ac:dyDescent="0.25">
      <c r="A109" s="57">
        <v>112942</v>
      </c>
      <c r="B109" s="53">
        <v>46125</v>
      </c>
      <c r="C109" s="58">
        <v>46125</v>
      </c>
      <c r="D109" s="59" t="s">
        <v>384</v>
      </c>
      <c r="E109" s="50" t="s">
        <v>313</v>
      </c>
      <c r="F109" s="57">
        <v>36</v>
      </c>
      <c r="G109" s="60">
        <v>707</v>
      </c>
      <c r="H109" s="61" t="s">
        <v>385</v>
      </c>
      <c r="I109" s="50" t="s">
        <v>386</v>
      </c>
      <c r="J109" s="50" t="s">
        <v>387</v>
      </c>
      <c r="K109" s="62">
        <v>5102</v>
      </c>
      <c r="L109" s="57">
        <v>205</v>
      </c>
      <c r="M109" s="50" t="s">
        <v>26</v>
      </c>
      <c r="N109" s="50" t="s">
        <v>317</v>
      </c>
      <c r="O109" s="64">
        <v>144.6</v>
      </c>
      <c r="P109" s="65">
        <v>12</v>
      </c>
      <c r="Q109" s="64">
        <v>17.350000000000001</v>
      </c>
      <c r="R109" s="63">
        <v>0</v>
      </c>
      <c r="S109" s="64">
        <v>0</v>
      </c>
    </row>
    <row r="110" spans="1:19" ht="11.85" customHeight="1" x14ac:dyDescent="0.25">
      <c r="A110" s="66" t="s">
        <v>320</v>
      </c>
      <c r="B110" s="66"/>
      <c r="C110" s="66"/>
      <c r="D110" s="66"/>
      <c r="E110" s="66"/>
      <c r="F110" s="66"/>
      <c r="G110" s="66"/>
      <c r="H110" s="66"/>
    </row>
    <row r="111" spans="1:19" ht="11.1" customHeight="1" x14ac:dyDescent="0.25">
      <c r="N111" s="50" t="s">
        <v>317</v>
      </c>
      <c r="O111" s="64">
        <v>144.6</v>
      </c>
      <c r="Q111" s="64">
        <v>17.350000000000001</v>
      </c>
      <c r="R111" s="63">
        <v>0</v>
      </c>
      <c r="S111" s="64">
        <v>0</v>
      </c>
    </row>
    <row r="112" spans="1:19" ht="11.1" customHeight="1" x14ac:dyDescent="0.25">
      <c r="A112" s="57">
        <v>112682</v>
      </c>
      <c r="B112" s="53">
        <v>46119</v>
      </c>
      <c r="C112" s="58">
        <v>46119</v>
      </c>
      <c r="D112" s="59" t="s">
        <v>388</v>
      </c>
      <c r="E112" s="50" t="s">
        <v>313</v>
      </c>
      <c r="F112" s="57">
        <v>36</v>
      </c>
      <c r="G112" s="60">
        <v>914</v>
      </c>
      <c r="H112" s="61" t="s">
        <v>389</v>
      </c>
      <c r="I112" s="50" t="s">
        <v>390</v>
      </c>
      <c r="J112" s="50" t="s">
        <v>75</v>
      </c>
      <c r="K112" s="62">
        <v>6108</v>
      </c>
      <c r="L112" s="57">
        <v>237</v>
      </c>
      <c r="M112" s="50" t="s">
        <v>34</v>
      </c>
      <c r="N112" s="50" t="s">
        <v>317</v>
      </c>
      <c r="O112" s="64">
        <v>14.1</v>
      </c>
      <c r="P112" s="65">
        <v>12</v>
      </c>
      <c r="Q112" s="64">
        <v>1.69</v>
      </c>
      <c r="R112" s="63">
        <v>0</v>
      </c>
      <c r="S112" s="64">
        <v>0</v>
      </c>
    </row>
    <row r="113" spans="1:19" ht="11.85" customHeight="1" x14ac:dyDescent="0.25">
      <c r="A113" s="66" t="s">
        <v>320</v>
      </c>
      <c r="B113" s="66"/>
      <c r="C113" s="66"/>
      <c r="D113" s="66"/>
      <c r="E113" s="66"/>
      <c r="F113" s="66"/>
      <c r="G113" s="66"/>
      <c r="H113" s="66"/>
    </row>
    <row r="114" spans="1:19" ht="11.1" customHeight="1" x14ac:dyDescent="0.25">
      <c r="N114" s="50" t="s">
        <v>317</v>
      </c>
      <c r="O114" s="64">
        <v>14.1</v>
      </c>
      <c r="Q114" s="64">
        <v>1.69</v>
      </c>
      <c r="R114" s="63">
        <v>0</v>
      </c>
      <c r="S114" s="64">
        <v>0</v>
      </c>
    </row>
    <row r="115" spans="1:19" ht="11.1" customHeight="1" x14ac:dyDescent="0.25">
      <c r="A115" s="57">
        <v>113036</v>
      </c>
      <c r="B115" s="53">
        <v>46126</v>
      </c>
      <c r="C115" s="58">
        <v>46126</v>
      </c>
      <c r="D115" s="59" t="s">
        <v>391</v>
      </c>
      <c r="E115" s="50" t="s">
        <v>313</v>
      </c>
      <c r="F115" s="57">
        <v>36</v>
      </c>
      <c r="G115" s="60">
        <v>877</v>
      </c>
      <c r="H115" s="61" t="s">
        <v>392</v>
      </c>
      <c r="I115" s="50" t="s">
        <v>393</v>
      </c>
      <c r="J115" s="50" t="s">
        <v>394</v>
      </c>
      <c r="K115" s="62">
        <v>5102</v>
      </c>
      <c r="L115" s="57">
        <v>205</v>
      </c>
      <c r="M115" s="50" t="s">
        <v>26</v>
      </c>
      <c r="N115" s="50" t="s">
        <v>317</v>
      </c>
      <c r="O115" s="64">
        <v>877.15</v>
      </c>
      <c r="P115" s="65">
        <v>12</v>
      </c>
      <c r="Q115" s="64">
        <v>105.26</v>
      </c>
      <c r="R115" s="63">
        <v>0</v>
      </c>
      <c r="S115" s="64">
        <v>0</v>
      </c>
    </row>
    <row r="116" spans="1:19" ht="11.1" customHeight="1" x14ac:dyDescent="0.25">
      <c r="A116" s="57">
        <v>113547</v>
      </c>
      <c r="B116" s="53">
        <v>46140</v>
      </c>
      <c r="C116" s="58">
        <v>46140</v>
      </c>
      <c r="D116" s="59" t="s">
        <v>395</v>
      </c>
      <c r="E116" s="50" t="s">
        <v>313</v>
      </c>
      <c r="F116" s="57">
        <v>36</v>
      </c>
      <c r="G116" s="60">
        <v>877</v>
      </c>
      <c r="H116" s="61" t="s">
        <v>392</v>
      </c>
      <c r="I116" s="50" t="s">
        <v>393</v>
      </c>
      <c r="J116" s="50" t="s">
        <v>394</v>
      </c>
      <c r="K116" s="62">
        <v>5102</v>
      </c>
      <c r="L116" s="57">
        <v>205</v>
      </c>
      <c r="M116" s="50" t="s">
        <v>26</v>
      </c>
      <c r="N116" s="50" t="s">
        <v>317</v>
      </c>
      <c r="O116" s="64">
        <v>772.59</v>
      </c>
      <c r="P116" s="65">
        <v>12</v>
      </c>
      <c r="Q116" s="64">
        <v>92.71</v>
      </c>
      <c r="R116" s="63">
        <v>0</v>
      </c>
      <c r="S116" s="64">
        <v>0</v>
      </c>
    </row>
    <row r="117" spans="1:19" ht="11.85" customHeight="1" x14ac:dyDescent="0.25">
      <c r="A117" s="66" t="s">
        <v>320</v>
      </c>
      <c r="B117" s="66"/>
      <c r="C117" s="66"/>
      <c r="D117" s="66"/>
      <c r="E117" s="66"/>
      <c r="F117" s="66"/>
      <c r="G117" s="66"/>
      <c r="H117" s="66"/>
    </row>
    <row r="118" spans="1:19" ht="11.1" customHeight="1" x14ac:dyDescent="0.25">
      <c r="N118" s="50" t="s">
        <v>317</v>
      </c>
      <c r="O118" s="64">
        <v>1649.74</v>
      </c>
      <c r="Q118" s="64">
        <v>197.97</v>
      </c>
      <c r="R118" s="63">
        <v>0</v>
      </c>
      <c r="S118" s="64">
        <v>0</v>
      </c>
    </row>
    <row r="119" spans="1:19" ht="11.1" customHeight="1" x14ac:dyDescent="0.25">
      <c r="A119" s="57">
        <v>112443</v>
      </c>
      <c r="B119" s="53">
        <v>46113</v>
      </c>
      <c r="C119" s="58">
        <v>46113</v>
      </c>
      <c r="D119" s="59" t="s">
        <v>396</v>
      </c>
      <c r="E119" s="50" t="s">
        <v>313</v>
      </c>
      <c r="F119" s="57">
        <v>36</v>
      </c>
      <c r="G119" s="60">
        <v>366</v>
      </c>
      <c r="H119" s="61" t="s">
        <v>397</v>
      </c>
      <c r="I119" s="50" t="s">
        <v>398</v>
      </c>
      <c r="J119" s="50" t="s">
        <v>399</v>
      </c>
      <c r="K119" s="62">
        <v>5102</v>
      </c>
      <c r="L119" s="57">
        <v>205</v>
      </c>
      <c r="M119" s="50" t="s">
        <v>26</v>
      </c>
      <c r="N119" s="50" t="s">
        <v>317</v>
      </c>
      <c r="O119" s="64">
        <v>882.8</v>
      </c>
      <c r="P119" s="65">
        <v>12</v>
      </c>
      <c r="Q119" s="64">
        <v>105.96</v>
      </c>
      <c r="R119" s="63">
        <v>0</v>
      </c>
      <c r="S119" s="64">
        <v>0</v>
      </c>
    </row>
    <row r="120" spans="1:19" ht="11.1" customHeight="1" x14ac:dyDescent="0.25">
      <c r="A120" s="57">
        <v>112444</v>
      </c>
      <c r="B120" s="53">
        <v>46113</v>
      </c>
      <c r="C120" s="58">
        <v>46113</v>
      </c>
      <c r="D120" s="59" t="s">
        <v>396</v>
      </c>
      <c r="E120" s="50" t="s">
        <v>313</v>
      </c>
      <c r="F120" s="57">
        <v>36</v>
      </c>
      <c r="G120" s="60">
        <v>366</v>
      </c>
      <c r="H120" s="61" t="s">
        <v>397</v>
      </c>
      <c r="I120" s="50" t="s">
        <v>398</v>
      </c>
      <c r="J120" s="50" t="s">
        <v>399</v>
      </c>
      <c r="K120" s="62">
        <v>5403</v>
      </c>
      <c r="L120" s="57">
        <v>207</v>
      </c>
      <c r="M120" s="50" t="s">
        <v>26</v>
      </c>
      <c r="N120" s="50" t="s">
        <v>317</v>
      </c>
      <c r="O120" s="64">
        <v>184.7</v>
      </c>
      <c r="P120" s="65">
        <v>12</v>
      </c>
      <c r="Q120" s="64">
        <v>22.17</v>
      </c>
      <c r="R120" s="63">
        <v>0</v>
      </c>
      <c r="S120" s="64">
        <v>12.93</v>
      </c>
    </row>
    <row r="121" spans="1:19" ht="11.1" customHeight="1" x14ac:dyDescent="0.25">
      <c r="N121" s="50" t="s">
        <v>318</v>
      </c>
      <c r="O121" s="64">
        <v>249.35</v>
      </c>
      <c r="P121" s="65">
        <v>20</v>
      </c>
      <c r="Q121" s="64">
        <v>12.93</v>
      </c>
      <c r="R121" s="63">
        <v>0</v>
      </c>
      <c r="S121" s="64">
        <v>0</v>
      </c>
    </row>
    <row r="122" spans="1:19" ht="11.1" customHeight="1" x14ac:dyDescent="0.25">
      <c r="A122" s="57">
        <v>113380</v>
      </c>
      <c r="B122" s="53">
        <v>46136</v>
      </c>
      <c r="C122" s="58">
        <v>46136</v>
      </c>
      <c r="D122" s="59" t="s">
        <v>400</v>
      </c>
      <c r="E122" s="50" t="s">
        <v>313</v>
      </c>
      <c r="F122" s="57">
        <v>36</v>
      </c>
      <c r="G122" s="60">
        <v>366</v>
      </c>
      <c r="H122" s="61" t="s">
        <v>397</v>
      </c>
      <c r="I122" s="50" t="s">
        <v>398</v>
      </c>
      <c r="J122" s="50" t="s">
        <v>399</v>
      </c>
      <c r="K122" s="62">
        <v>5102</v>
      </c>
      <c r="L122" s="57">
        <v>205</v>
      </c>
      <c r="M122" s="50" t="s">
        <v>26</v>
      </c>
      <c r="N122" s="50" t="s">
        <v>317</v>
      </c>
      <c r="O122" s="64">
        <v>567.80999999999995</v>
      </c>
      <c r="P122" s="65">
        <v>12</v>
      </c>
      <c r="Q122" s="64">
        <v>68.14</v>
      </c>
      <c r="R122" s="63">
        <v>0</v>
      </c>
      <c r="S122" s="64">
        <v>0</v>
      </c>
    </row>
    <row r="123" spans="1:19" ht="11.1" customHeight="1" x14ac:dyDescent="0.25">
      <c r="A123" s="57">
        <v>113381</v>
      </c>
      <c r="B123" s="53">
        <v>46136</v>
      </c>
      <c r="C123" s="58">
        <v>46136</v>
      </c>
      <c r="D123" s="59" t="s">
        <v>400</v>
      </c>
      <c r="E123" s="50" t="s">
        <v>313</v>
      </c>
      <c r="F123" s="57">
        <v>36</v>
      </c>
      <c r="G123" s="60">
        <v>366</v>
      </c>
      <c r="H123" s="61" t="s">
        <v>397</v>
      </c>
      <c r="I123" s="50" t="s">
        <v>398</v>
      </c>
      <c r="J123" s="50" t="s">
        <v>399</v>
      </c>
      <c r="K123" s="62">
        <v>5403</v>
      </c>
      <c r="L123" s="57">
        <v>207</v>
      </c>
      <c r="M123" s="50" t="s">
        <v>26</v>
      </c>
      <c r="N123" s="50" t="s">
        <v>317</v>
      </c>
      <c r="O123" s="64">
        <v>144</v>
      </c>
      <c r="P123" s="65">
        <v>12</v>
      </c>
      <c r="Q123" s="64">
        <v>17.28</v>
      </c>
      <c r="R123" s="63">
        <v>0</v>
      </c>
      <c r="S123" s="64">
        <v>10.08</v>
      </c>
    </row>
    <row r="124" spans="1:19" ht="11.1" customHeight="1" x14ac:dyDescent="0.25">
      <c r="N124" s="50" t="s">
        <v>318</v>
      </c>
      <c r="O124" s="64">
        <v>194.4</v>
      </c>
      <c r="P124" s="65">
        <v>20</v>
      </c>
      <c r="Q124" s="64">
        <v>10.08</v>
      </c>
      <c r="R124" s="63">
        <v>0</v>
      </c>
      <c r="S124" s="64">
        <v>0</v>
      </c>
    </row>
    <row r="125" spans="1:19" ht="11.85" customHeight="1" x14ac:dyDescent="0.25">
      <c r="A125" s="66" t="s">
        <v>320</v>
      </c>
      <c r="B125" s="66"/>
      <c r="C125" s="66"/>
      <c r="D125" s="66"/>
      <c r="E125" s="66"/>
      <c r="F125" s="66"/>
      <c r="G125" s="66"/>
      <c r="H125" s="66"/>
    </row>
    <row r="126" spans="1:19" ht="11.1" customHeight="1" x14ac:dyDescent="0.25">
      <c r="N126" s="50" t="s">
        <v>317</v>
      </c>
      <c r="O126" s="64">
        <v>1779.31</v>
      </c>
      <c r="Q126" s="64">
        <v>213.55</v>
      </c>
      <c r="R126" s="63">
        <v>0</v>
      </c>
      <c r="S126" s="64">
        <v>23.01</v>
      </c>
    </row>
    <row r="127" spans="1:19" ht="11.1" customHeight="1" x14ac:dyDescent="0.25">
      <c r="N127" s="50" t="s">
        <v>318</v>
      </c>
      <c r="O127" s="64">
        <v>443.75</v>
      </c>
      <c r="Q127" s="64">
        <v>23.01</v>
      </c>
      <c r="R127" s="63">
        <v>0</v>
      </c>
      <c r="S127" s="64">
        <v>0</v>
      </c>
    </row>
    <row r="128" spans="1:19" ht="11.1" customHeight="1" x14ac:dyDescent="0.25">
      <c r="A128" s="57">
        <v>113032</v>
      </c>
      <c r="B128" s="53">
        <v>46126</v>
      </c>
      <c r="C128" s="58">
        <v>46126</v>
      </c>
      <c r="D128" s="59" t="s">
        <v>401</v>
      </c>
      <c r="E128" s="50" t="s">
        <v>313</v>
      </c>
      <c r="F128" s="57">
        <v>36</v>
      </c>
      <c r="G128" s="60">
        <v>663</v>
      </c>
      <c r="H128" s="61" t="s">
        <v>402</v>
      </c>
      <c r="I128" s="50" t="s">
        <v>403</v>
      </c>
      <c r="J128" s="50" t="s">
        <v>404</v>
      </c>
      <c r="K128" s="62">
        <v>6102</v>
      </c>
      <c r="L128" s="57">
        <v>238</v>
      </c>
      <c r="M128" s="50" t="s">
        <v>34</v>
      </c>
      <c r="N128" s="50" t="s">
        <v>317</v>
      </c>
      <c r="O128" s="64">
        <v>1437</v>
      </c>
      <c r="P128" s="65">
        <v>12</v>
      </c>
      <c r="Q128" s="64">
        <v>172.44</v>
      </c>
      <c r="R128" s="63">
        <v>0</v>
      </c>
      <c r="S128" s="64">
        <v>0</v>
      </c>
    </row>
    <row r="129" spans="1:19" ht="11.1" customHeight="1" x14ac:dyDescent="0.25">
      <c r="A129" s="57">
        <v>113571</v>
      </c>
      <c r="B129" s="53">
        <v>46141</v>
      </c>
      <c r="C129" s="58">
        <v>46141</v>
      </c>
      <c r="D129" s="59" t="s">
        <v>405</v>
      </c>
      <c r="E129" s="50" t="s">
        <v>313</v>
      </c>
      <c r="F129" s="57">
        <v>36</v>
      </c>
      <c r="G129" s="60">
        <v>663</v>
      </c>
      <c r="H129" s="61" t="s">
        <v>402</v>
      </c>
      <c r="I129" s="50" t="s">
        <v>403</v>
      </c>
      <c r="J129" s="50" t="s">
        <v>404</v>
      </c>
      <c r="K129" s="62">
        <v>6403</v>
      </c>
      <c r="L129" s="57">
        <v>207</v>
      </c>
      <c r="M129" s="50" t="s">
        <v>34</v>
      </c>
      <c r="N129" s="50" t="s">
        <v>317</v>
      </c>
      <c r="O129" s="64">
        <v>119.24</v>
      </c>
      <c r="P129" s="65">
        <v>12</v>
      </c>
      <c r="Q129" s="64">
        <v>14.31</v>
      </c>
      <c r="R129" s="63">
        <v>0</v>
      </c>
      <c r="S129" s="64">
        <v>18.12</v>
      </c>
    </row>
    <row r="130" spans="1:19" ht="11.1" customHeight="1" x14ac:dyDescent="0.25">
      <c r="N130" s="50" t="s">
        <v>318</v>
      </c>
      <c r="O130" s="64">
        <v>170.68</v>
      </c>
      <c r="P130" s="65">
        <v>19</v>
      </c>
      <c r="Q130" s="64">
        <v>18.12</v>
      </c>
      <c r="R130" s="63">
        <v>0</v>
      </c>
      <c r="S130" s="64">
        <v>0</v>
      </c>
    </row>
    <row r="131" spans="1:19" ht="11.1" customHeight="1" x14ac:dyDescent="0.25">
      <c r="A131" s="57">
        <v>113572</v>
      </c>
      <c r="B131" s="53">
        <v>46141</v>
      </c>
      <c r="C131" s="58">
        <v>46141</v>
      </c>
      <c r="D131" s="59" t="s">
        <v>405</v>
      </c>
      <c r="E131" s="50" t="s">
        <v>313</v>
      </c>
      <c r="F131" s="57">
        <v>36</v>
      </c>
      <c r="G131" s="60">
        <v>663</v>
      </c>
      <c r="H131" s="61" t="s">
        <v>402</v>
      </c>
      <c r="I131" s="50" t="s">
        <v>403</v>
      </c>
      <c r="J131" s="50" t="s">
        <v>404</v>
      </c>
      <c r="K131" s="62">
        <v>6102</v>
      </c>
      <c r="L131" s="57">
        <v>238</v>
      </c>
      <c r="M131" s="50" t="s">
        <v>34</v>
      </c>
      <c r="N131" s="50" t="s">
        <v>317</v>
      </c>
      <c r="O131" s="64">
        <v>886.4</v>
      </c>
      <c r="P131" s="65">
        <v>12</v>
      </c>
      <c r="Q131" s="64">
        <v>106.37</v>
      </c>
      <c r="R131" s="63">
        <v>0</v>
      </c>
      <c r="S131" s="64">
        <v>0</v>
      </c>
    </row>
    <row r="132" spans="1:19" ht="11.1" customHeight="1" x14ac:dyDescent="0.25">
      <c r="A132" s="57">
        <v>113620</v>
      </c>
      <c r="B132" s="53">
        <v>46142</v>
      </c>
      <c r="C132" s="58">
        <v>46142</v>
      </c>
      <c r="D132" s="59" t="s">
        <v>406</v>
      </c>
      <c r="E132" s="50" t="s">
        <v>313</v>
      </c>
      <c r="F132" s="57">
        <v>36</v>
      </c>
      <c r="G132" s="60">
        <v>663</v>
      </c>
      <c r="H132" s="61" t="s">
        <v>402</v>
      </c>
      <c r="I132" s="50" t="s">
        <v>403</v>
      </c>
      <c r="J132" s="50" t="s">
        <v>404</v>
      </c>
      <c r="K132" s="62">
        <v>6403</v>
      </c>
      <c r="L132" s="57">
        <v>207</v>
      </c>
      <c r="M132" s="50" t="s">
        <v>34</v>
      </c>
      <c r="N132" s="50" t="s">
        <v>317</v>
      </c>
      <c r="O132" s="64">
        <v>656.8</v>
      </c>
      <c r="P132" s="65">
        <v>12</v>
      </c>
      <c r="Q132" s="64">
        <v>78.819999999999993</v>
      </c>
      <c r="R132" s="63">
        <v>0</v>
      </c>
      <c r="S132" s="64">
        <v>99.81</v>
      </c>
    </row>
    <row r="133" spans="1:19" ht="11.1" customHeight="1" x14ac:dyDescent="0.25">
      <c r="N133" s="50" t="s">
        <v>318</v>
      </c>
      <c r="O133" s="64">
        <v>940.14</v>
      </c>
      <c r="P133" s="65">
        <v>19</v>
      </c>
      <c r="Q133" s="64">
        <v>99.81</v>
      </c>
      <c r="R133" s="63">
        <v>0</v>
      </c>
      <c r="S133" s="64">
        <v>0</v>
      </c>
    </row>
    <row r="134" spans="1:19" ht="11.85" customHeight="1" x14ac:dyDescent="0.25">
      <c r="A134" s="66" t="s">
        <v>320</v>
      </c>
      <c r="B134" s="66"/>
      <c r="C134" s="66"/>
      <c r="D134" s="66"/>
      <c r="E134" s="66"/>
      <c r="F134" s="66"/>
      <c r="G134" s="66"/>
      <c r="H134" s="66"/>
    </row>
    <row r="135" spans="1:19" ht="11.1" customHeight="1" x14ac:dyDescent="0.25">
      <c r="N135" s="50" t="s">
        <v>317</v>
      </c>
      <c r="O135" s="64">
        <v>3099.44</v>
      </c>
      <c r="Q135" s="64">
        <v>371.94</v>
      </c>
      <c r="R135" s="63">
        <v>0</v>
      </c>
      <c r="S135" s="64">
        <v>117.93</v>
      </c>
    </row>
    <row r="136" spans="1:19" ht="11.1" customHeight="1" x14ac:dyDescent="0.25">
      <c r="N136" s="50" t="s">
        <v>318</v>
      </c>
      <c r="O136" s="64">
        <v>1110.82</v>
      </c>
      <c r="Q136" s="64">
        <v>117.93</v>
      </c>
      <c r="R136" s="63">
        <v>0</v>
      </c>
      <c r="S136" s="64">
        <v>0</v>
      </c>
    </row>
    <row r="137" spans="1:19" ht="11.1" customHeight="1" x14ac:dyDescent="0.25">
      <c r="A137" s="57">
        <v>113490</v>
      </c>
      <c r="B137" s="53">
        <v>46139</v>
      </c>
      <c r="C137" s="58">
        <v>46139</v>
      </c>
      <c r="D137" s="59" t="s">
        <v>407</v>
      </c>
      <c r="E137" s="50" t="s">
        <v>313</v>
      </c>
      <c r="F137" s="57">
        <v>36</v>
      </c>
      <c r="G137" s="60">
        <v>473</v>
      </c>
      <c r="H137" s="61" t="s">
        <v>408</v>
      </c>
      <c r="I137" s="50" t="s">
        <v>409</v>
      </c>
      <c r="J137" s="50" t="s">
        <v>410</v>
      </c>
      <c r="K137" s="62">
        <v>6403</v>
      </c>
      <c r="L137" s="57">
        <v>207</v>
      </c>
      <c r="M137" s="50" t="s">
        <v>34</v>
      </c>
      <c r="N137" s="50" t="s">
        <v>317</v>
      </c>
      <c r="O137" s="64">
        <v>204.02</v>
      </c>
      <c r="P137" s="65">
        <v>12</v>
      </c>
      <c r="Q137" s="64">
        <v>24.48</v>
      </c>
      <c r="R137" s="63">
        <v>0</v>
      </c>
      <c r="S137" s="64">
        <v>31</v>
      </c>
    </row>
    <row r="138" spans="1:19" ht="11.1" customHeight="1" x14ac:dyDescent="0.25">
      <c r="N138" s="50" t="s">
        <v>318</v>
      </c>
      <c r="O138" s="64">
        <v>292.04000000000002</v>
      </c>
      <c r="P138" s="65">
        <v>19</v>
      </c>
      <c r="Q138" s="64">
        <v>31</v>
      </c>
      <c r="R138" s="63">
        <v>0</v>
      </c>
      <c r="S138" s="64">
        <v>0</v>
      </c>
    </row>
    <row r="139" spans="1:19" ht="11.1" customHeight="1" x14ac:dyDescent="0.25">
      <c r="A139" s="57">
        <v>113491</v>
      </c>
      <c r="B139" s="53">
        <v>46139</v>
      </c>
      <c r="C139" s="58">
        <v>46139</v>
      </c>
      <c r="D139" s="59" t="s">
        <v>407</v>
      </c>
      <c r="E139" s="50" t="s">
        <v>313</v>
      </c>
      <c r="F139" s="57">
        <v>36</v>
      </c>
      <c r="G139" s="60">
        <v>473</v>
      </c>
      <c r="H139" s="61" t="s">
        <v>408</v>
      </c>
      <c r="I139" s="50" t="s">
        <v>409</v>
      </c>
      <c r="J139" s="50" t="s">
        <v>410</v>
      </c>
      <c r="K139" s="62">
        <v>6102</v>
      </c>
      <c r="L139" s="57">
        <v>238</v>
      </c>
      <c r="M139" s="50" t="s">
        <v>34</v>
      </c>
      <c r="N139" s="50" t="s">
        <v>317</v>
      </c>
      <c r="O139" s="64">
        <v>289.54000000000002</v>
      </c>
      <c r="P139" s="65">
        <v>12</v>
      </c>
      <c r="Q139" s="64">
        <v>34.74</v>
      </c>
      <c r="R139" s="63">
        <v>0</v>
      </c>
      <c r="S139" s="64">
        <v>0</v>
      </c>
    </row>
    <row r="140" spans="1:19" ht="11.85" customHeight="1" x14ac:dyDescent="0.25">
      <c r="A140" s="66" t="s">
        <v>320</v>
      </c>
      <c r="B140" s="66"/>
      <c r="C140" s="66"/>
      <c r="D140" s="66"/>
      <c r="E140" s="66"/>
      <c r="F140" s="66"/>
      <c r="G140" s="66"/>
      <c r="H140" s="66"/>
    </row>
    <row r="141" spans="1:19" ht="11.1" customHeight="1" x14ac:dyDescent="0.25">
      <c r="N141" s="50" t="s">
        <v>317</v>
      </c>
      <c r="O141" s="64">
        <v>493.56</v>
      </c>
      <c r="Q141" s="64">
        <v>59.22</v>
      </c>
      <c r="R141" s="63">
        <v>0</v>
      </c>
      <c r="S141" s="64">
        <v>31</v>
      </c>
    </row>
    <row r="142" spans="1:19" ht="11.1" customHeight="1" x14ac:dyDescent="0.25">
      <c r="N142" s="50" t="s">
        <v>318</v>
      </c>
      <c r="O142" s="64">
        <v>292.04000000000002</v>
      </c>
      <c r="Q142" s="64">
        <v>31</v>
      </c>
      <c r="R142" s="63">
        <v>0</v>
      </c>
      <c r="S142" s="64">
        <v>0</v>
      </c>
    </row>
    <row r="143" spans="1:19" ht="11.1" customHeight="1" x14ac:dyDescent="0.25">
      <c r="A143" s="57">
        <v>113281</v>
      </c>
      <c r="B143" s="53">
        <v>46134</v>
      </c>
      <c r="C143" s="58">
        <v>46134</v>
      </c>
      <c r="D143" s="59" t="s">
        <v>411</v>
      </c>
      <c r="E143" s="50" t="s">
        <v>313</v>
      </c>
      <c r="F143" s="57">
        <v>36</v>
      </c>
      <c r="G143" s="60">
        <v>639</v>
      </c>
      <c r="H143" s="61" t="s">
        <v>412</v>
      </c>
      <c r="I143" s="50" t="s">
        <v>413</v>
      </c>
      <c r="J143" s="50" t="s">
        <v>414</v>
      </c>
      <c r="K143" s="62">
        <v>5403</v>
      </c>
      <c r="L143" s="57">
        <v>207</v>
      </c>
      <c r="M143" s="50" t="s">
        <v>26</v>
      </c>
      <c r="N143" s="50" t="s">
        <v>317</v>
      </c>
      <c r="O143" s="64">
        <v>206.64</v>
      </c>
      <c r="P143" s="65">
        <v>12</v>
      </c>
      <c r="Q143" s="64">
        <v>24.8</v>
      </c>
      <c r="R143" s="63">
        <v>0</v>
      </c>
      <c r="S143" s="64">
        <v>14.46</v>
      </c>
    </row>
    <row r="144" spans="1:19" ht="11.1" customHeight="1" x14ac:dyDescent="0.25">
      <c r="N144" s="50" t="s">
        <v>318</v>
      </c>
      <c r="O144" s="64">
        <v>278.95999999999998</v>
      </c>
      <c r="P144" s="65">
        <v>20</v>
      </c>
      <c r="Q144" s="64">
        <v>14.46</v>
      </c>
      <c r="R144" s="63">
        <v>0</v>
      </c>
      <c r="S144" s="64">
        <v>0</v>
      </c>
    </row>
    <row r="145" spans="1:19" ht="11.85" customHeight="1" x14ac:dyDescent="0.25">
      <c r="A145" s="66" t="s">
        <v>320</v>
      </c>
      <c r="B145" s="66"/>
      <c r="C145" s="66"/>
      <c r="D145" s="66"/>
      <c r="E145" s="66"/>
      <c r="F145" s="66"/>
      <c r="G145" s="66"/>
      <c r="H145" s="66"/>
    </row>
    <row r="146" spans="1:19" ht="11.1" customHeight="1" x14ac:dyDescent="0.25">
      <c r="N146" s="50" t="s">
        <v>317</v>
      </c>
      <c r="O146" s="64">
        <v>206.64</v>
      </c>
      <c r="Q146" s="64">
        <v>24.8</v>
      </c>
      <c r="R146" s="63">
        <v>0</v>
      </c>
      <c r="S146" s="64">
        <v>14.46</v>
      </c>
    </row>
    <row r="147" spans="1:19" ht="11.1" customHeight="1" x14ac:dyDescent="0.25">
      <c r="N147" s="50" t="s">
        <v>318</v>
      </c>
      <c r="O147" s="64">
        <v>278.95999999999998</v>
      </c>
      <c r="Q147" s="64">
        <v>14.46</v>
      </c>
      <c r="R147" s="63">
        <v>0</v>
      </c>
      <c r="S147" s="64">
        <v>0</v>
      </c>
    </row>
    <row r="148" spans="1:19" ht="11.1" customHeight="1" x14ac:dyDescent="0.25">
      <c r="A148" s="57">
        <v>113099</v>
      </c>
      <c r="B148" s="53">
        <v>46127</v>
      </c>
      <c r="C148" s="58">
        <v>46127</v>
      </c>
      <c r="D148" s="59" t="s">
        <v>415</v>
      </c>
      <c r="E148" s="50" t="s">
        <v>313</v>
      </c>
      <c r="F148" s="57">
        <v>36</v>
      </c>
      <c r="G148" s="60">
        <v>872</v>
      </c>
      <c r="H148" s="61" t="s">
        <v>416</v>
      </c>
      <c r="I148" s="50" t="s">
        <v>417</v>
      </c>
      <c r="J148" s="50" t="s">
        <v>418</v>
      </c>
      <c r="K148" s="62">
        <v>6403</v>
      </c>
      <c r="L148" s="57">
        <v>207</v>
      </c>
      <c r="M148" s="50" t="s">
        <v>38</v>
      </c>
      <c r="N148" s="50" t="s">
        <v>317</v>
      </c>
      <c r="O148" s="64">
        <v>929.07</v>
      </c>
      <c r="P148" s="65">
        <v>12</v>
      </c>
      <c r="Q148" s="64">
        <v>111.49</v>
      </c>
      <c r="R148" s="63">
        <v>0</v>
      </c>
      <c r="S148" s="64">
        <v>182.85</v>
      </c>
    </row>
    <row r="149" spans="1:19" ht="11.1" customHeight="1" x14ac:dyDescent="0.25">
      <c r="N149" s="50" t="s">
        <v>318</v>
      </c>
      <c r="O149" s="64">
        <v>1635.17</v>
      </c>
      <c r="P149" s="65">
        <v>18</v>
      </c>
      <c r="Q149" s="64">
        <v>182.85</v>
      </c>
      <c r="R149" s="63">
        <v>0</v>
      </c>
      <c r="S149" s="64">
        <v>0</v>
      </c>
    </row>
    <row r="150" spans="1:19" ht="11.1" customHeight="1" x14ac:dyDescent="0.25">
      <c r="A150" s="57">
        <v>113100</v>
      </c>
      <c r="B150" s="53">
        <v>46127</v>
      </c>
      <c r="C150" s="58">
        <v>46127</v>
      </c>
      <c r="D150" s="59" t="s">
        <v>415</v>
      </c>
      <c r="E150" s="50" t="s">
        <v>313</v>
      </c>
      <c r="F150" s="57">
        <v>36</v>
      </c>
      <c r="G150" s="60">
        <v>872</v>
      </c>
      <c r="H150" s="61" t="s">
        <v>416</v>
      </c>
      <c r="I150" s="50" t="s">
        <v>417</v>
      </c>
      <c r="J150" s="50" t="s">
        <v>418</v>
      </c>
      <c r="K150" s="62">
        <v>6102</v>
      </c>
      <c r="L150" s="57">
        <v>238</v>
      </c>
      <c r="M150" s="50" t="s">
        <v>38</v>
      </c>
      <c r="N150" s="50" t="s">
        <v>317</v>
      </c>
      <c r="O150" s="64">
        <v>633.55999999999995</v>
      </c>
      <c r="P150" s="65">
        <v>12</v>
      </c>
      <c r="Q150" s="64">
        <v>76.02</v>
      </c>
      <c r="R150" s="63">
        <v>0</v>
      </c>
      <c r="S150" s="64">
        <v>0</v>
      </c>
    </row>
    <row r="151" spans="1:19" ht="11.85" customHeight="1" x14ac:dyDescent="0.25">
      <c r="A151" s="66" t="s">
        <v>320</v>
      </c>
      <c r="B151" s="66"/>
      <c r="C151" s="66"/>
      <c r="D151" s="66"/>
      <c r="E151" s="66"/>
      <c r="F151" s="66"/>
      <c r="G151" s="66"/>
      <c r="H151" s="66"/>
    </row>
    <row r="152" spans="1:19" ht="11.1" customHeight="1" x14ac:dyDescent="0.25">
      <c r="N152" s="50" t="s">
        <v>317</v>
      </c>
      <c r="O152" s="64">
        <v>1562.63</v>
      </c>
      <c r="Q152" s="64">
        <v>187.51</v>
      </c>
      <c r="R152" s="63">
        <v>0</v>
      </c>
      <c r="S152" s="64">
        <v>182.85</v>
      </c>
    </row>
    <row r="153" spans="1:19" ht="11.1" customHeight="1" x14ac:dyDescent="0.25">
      <c r="N153" s="50" t="s">
        <v>318</v>
      </c>
      <c r="O153" s="64">
        <v>1635.17</v>
      </c>
      <c r="Q153" s="64">
        <v>182.85</v>
      </c>
      <c r="R153" s="63">
        <v>0</v>
      </c>
      <c r="S153" s="64">
        <v>0</v>
      </c>
    </row>
    <row r="154" spans="1:19" ht="11.1" customHeight="1" x14ac:dyDescent="0.25">
      <c r="A154" s="57">
        <v>113184</v>
      </c>
      <c r="B154" s="53">
        <v>46129</v>
      </c>
      <c r="C154" s="58">
        <v>46129</v>
      </c>
      <c r="D154" s="59" t="s">
        <v>419</v>
      </c>
      <c r="E154" s="50" t="s">
        <v>313</v>
      </c>
      <c r="F154" s="57">
        <v>36</v>
      </c>
      <c r="G154" s="60">
        <v>409</v>
      </c>
      <c r="H154" s="61" t="s">
        <v>420</v>
      </c>
      <c r="I154" s="50" t="s">
        <v>421</v>
      </c>
      <c r="J154" s="50" t="s">
        <v>422</v>
      </c>
      <c r="K154" s="62">
        <v>5102</v>
      </c>
      <c r="L154" s="57">
        <v>205</v>
      </c>
      <c r="M154" s="50" t="s">
        <v>26</v>
      </c>
      <c r="N154" s="50" t="s">
        <v>317</v>
      </c>
      <c r="O154" s="64">
        <v>158.07</v>
      </c>
      <c r="P154" s="65">
        <v>12</v>
      </c>
      <c r="Q154" s="64">
        <v>18.97</v>
      </c>
      <c r="R154" s="63">
        <v>0</v>
      </c>
      <c r="S154" s="64">
        <v>0</v>
      </c>
    </row>
    <row r="155" spans="1:19" ht="11.1" customHeight="1" x14ac:dyDescent="0.25">
      <c r="A155" s="57">
        <v>113523</v>
      </c>
      <c r="B155" s="53">
        <v>46140</v>
      </c>
      <c r="C155" s="58">
        <v>46140</v>
      </c>
      <c r="D155" s="59" t="s">
        <v>423</v>
      </c>
      <c r="E155" s="50" t="s">
        <v>313</v>
      </c>
      <c r="F155" s="57">
        <v>36</v>
      </c>
      <c r="G155" s="60">
        <v>409</v>
      </c>
      <c r="H155" s="61" t="s">
        <v>420</v>
      </c>
      <c r="I155" s="50" t="s">
        <v>421</v>
      </c>
      <c r="J155" s="50" t="s">
        <v>422</v>
      </c>
      <c r="K155" s="62">
        <v>5102</v>
      </c>
      <c r="L155" s="57">
        <v>205</v>
      </c>
      <c r="M155" s="50" t="s">
        <v>26</v>
      </c>
      <c r="N155" s="50" t="s">
        <v>317</v>
      </c>
      <c r="O155" s="64">
        <v>1071.6300000000001</v>
      </c>
      <c r="P155" s="65">
        <v>12</v>
      </c>
      <c r="Q155" s="64">
        <v>128.6</v>
      </c>
      <c r="R155" s="63">
        <v>0</v>
      </c>
      <c r="S155" s="64">
        <v>0</v>
      </c>
    </row>
    <row r="156" spans="1:19" ht="11.85" customHeight="1" x14ac:dyDescent="0.25">
      <c r="A156" s="66" t="s">
        <v>320</v>
      </c>
      <c r="B156" s="66"/>
      <c r="C156" s="66"/>
      <c r="D156" s="66"/>
      <c r="E156" s="66"/>
      <c r="F156" s="66"/>
      <c r="G156" s="66"/>
      <c r="H156" s="66"/>
    </row>
    <row r="157" spans="1:19" ht="11.1" customHeight="1" x14ac:dyDescent="0.25">
      <c r="N157" s="50" t="s">
        <v>317</v>
      </c>
      <c r="O157" s="64">
        <v>1229.7</v>
      </c>
      <c r="Q157" s="64">
        <v>147.57</v>
      </c>
      <c r="R157" s="63">
        <v>0</v>
      </c>
      <c r="S157" s="64">
        <v>0</v>
      </c>
    </row>
    <row r="158" spans="1:19" ht="11.1" customHeight="1" x14ac:dyDescent="0.25">
      <c r="A158" s="57">
        <v>113685</v>
      </c>
      <c r="B158" s="53">
        <v>46119</v>
      </c>
      <c r="C158" s="58">
        <v>46119</v>
      </c>
      <c r="D158" s="59" t="s">
        <v>424</v>
      </c>
      <c r="E158" s="50" t="s">
        <v>425</v>
      </c>
      <c r="F158" s="57">
        <v>36</v>
      </c>
      <c r="G158" s="60">
        <v>450</v>
      </c>
      <c r="H158" s="61" t="s">
        <v>426</v>
      </c>
      <c r="I158" s="50" t="s">
        <v>427</v>
      </c>
      <c r="J158" s="50" t="s">
        <v>428</v>
      </c>
      <c r="K158" s="62">
        <v>5202</v>
      </c>
      <c r="L158" s="57">
        <v>216</v>
      </c>
      <c r="M158" s="50" t="s">
        <v>50</v>
      </c>
      <c r="N158" s="50" t="s">
        <v>317</v>
      </c>
      <c r="O158" s="64">
        <v>1446.79</v>
      </c>
      <c r="P158" s="65">
        <v>12</v>
      </c>
      <c r="Q158" s="64">
        <v>173.62</v>
      </c>
      <c r="R158" s="63">
        <v>0</v>
      </c>
      <c r="S158" s="64">
        <v>14.88</v>
      </c>
    </row>
    <row r="159" spans="1:19" ht="11.1" customHeight="1" x14ac:dyDescent="0.25">
      <c r="A159" s="57">
        <v>113686</v>
      </c>
      <c r="B159" s="53">
        <v>46119</v>
      </c>
      <c r="C159" s="58">
        <v>46119</v>
      </c>
      <c r="D159" s="59" t="s">
        <v>424</v>
      </c>
      <c r="E159" s="50" t="s">
        <v>425</v>
      </c>
      <c r="F159" s="57">
        <v>36</v>
      </c>
      <c r="G159" s="60">
        <v>450</v>
      </c>
      <c r="H159" s="61" t="s">
        <v>426</v>
      </c>
      <c r="I159" s="50" t="s">
        <v>427</v>
      </c>
      <c r="J159" s="50" t="s">
        <v>428</v>
      </c>
      <c r="K159" s="62">
        <v>5201</v>
      </c>
      <c r="L159" s="57">
        <v>220</v>
      </c>
      <c r="M159" s="50" t="s">
        <v>50</v>
      </c>
      <c r="N159" s="50" t="s">
        <v>317</v>
      </c>
      <c r="O159" s="64">
        <v>58543.47</v>
      </c>
      <c r="P159" s="65">
        <v>12</v>
      </c>
      <c r="Q159" s="64">
        <v>7025.19</v>
      </c>
      <c r="R159" s="63">
        <v>0</v>
      </c>
      <c r="S159" s="64">
        <v>2267.61</v>
      </c>
    </row>
    <row r="160" spans="1:19" ht="11.1" customHeight="1" x14ac:dyDescent="0.25">
      <c r="A160" s="57">
        <v>113687</v>
      </c>
      <c r="B160" s="53">
        <v>46121</v>
      </c>
      <c r="C160" s="58">
        <v>46121</v>
      </c>
      <c r="D160" s="59" t="s">
        <v>429</v>
      </c>
      <c r="E160" s="50" t="s">
        <v>425</v>
      </c>
      <c r="F160" s="57">
        <v>36</v>
      </c>
      <c r="G160" s="60">
        <v>450</v>
      </c>
      <c r="H160" s="61" t="s">
        <v>426</v>
      </c>
      <c r="I160" s="50" t="s">
        <v>427</v>
      </c>
      <c r="J160" s="50" t="s">
        <v>428</v>
      </c>
      <c r="K160" s="62">
        <v>5201</v>
      </c>
      <c r="L160" s="57">
        <v>220</v>
      </c>
      <c r="M160" s="50" t="s">
        <v>50</v>
      </c>
      <c r="N160" s="50" t="s">
        <v>317</v>
      </c>
      <c r="O160" s="64">
        <v>12682.76</v>
      </c>
      <c r="P160" s="65">
        <v>12</v>
      </c>
      <c r="Q160" s="64">
        <v>1521.94</v>
      </c>
      <c r="R160" s="63">
        <v>0</v>
      </c>
      <c r="S160" s="64">
        <v>645.83000000000004</v>
      </c>
    </row>
    <row r="161" spans="1:19" ht="11.85" customHeight="1" x14ac:dyDescent="0.25">
      <c r="A161" s="66" t="s">
        <v>320</v>
      </c>
      <c r="B161" s="66"/>
      <c r="C161" s="66"/>
      <c r="D161" s="66"/>
      <c r="E161" s="66"/>
      <c r="F161" s="66"/>
      <c r="G161" s="66"/>
      <c r="H161" s="66"/>
    </row>
    <row r="162" spans="1:19" ht="11.1" customHeight="1" x14ac:dyDescent="0.25">
      <c r="N162" s="50" t="s">
        <v>317</v>
      </c>
      <c r="O162" s="64">
        <v>72673.02</v>
      </c>
      <c r="Q162" s="64">
        <v>8720.75</v>
      </c>
      <c r="R162" s="63">
        <v>0</v>
      </c>
      <c r="S162" s="64">
        <v>2928.32</v>
      </c>
    </row>
    <row r="163" spans="1:19" ht="11.1" customHeight="1" x14ac:dyDescent="0.25">
      <c r="A163" s="57">
        <v>113552</v>
      </c>
      <c r="B163" s="53">
        <v>46140</v>
      </c>
      <c r="C163" s="58">
        <v>46140</v>
      </c>
      <c r="D163" s="59" t="s">
        <v>430</v>
      </c>
      <c r="E163" s="50" t="s">
        <v>313</v>
      </c>
      <c r="F163" s="57">
        <v>36</v>
      </c>
      <c r="G163" s="60">
        <v>396</v>
      </c>
      <c r="H163" s="61" t="s">
        <v>431</v>
      </c>
      <c r="I163" s="50" t="s">
        <v>432</v>
      </c>
      <c r="J163" s="50" t="s">
        <v>433</v>
      </c>
      <c r="K163" s="62">
        <v>5403</v>
      </c>
      <c r="L163" s="57">
        <v>207</v>
      </c>
      <c r="M163" s="50" t="s">
        <v>26</v>
      </c>
      <c r="N163" s="50" t="s">
        <v>317</v>
      </c>
      <c r="O163" s="64">
        <v>6189.6</v>
      </c>
      <c r="P163" s="65">
        <v>12</v>
      </c>
      <c r="Q163" s="64">
        <v>742.75</v>
      </c>
      <c r="R163" s="63">
        <v>0</v>
      </c>
      <c r="S163" s="64">
        <v>433.27</v>
      </c>
    </row>
    <row r="164" spans="1:19" ht="11.1" customHeight="1" x14ac:dyDescent="0.25">
      <c r="N164" s="50" t="s">
        <v>318</v>
      </c>
      <c r="O164" s="64">
        <v>8355.9599999999991</v>
      </c>
      <c r="P164" s="65">
        <v>20</v>
      </c>
      <c r="Q164" s="64">
        <v>433.27</v>
      </c>
      <c r="R164" s="63">
        <v>0</v>
      </c>
      <c r="S164" s="64">
        <v>0</v>
      </c>
    </row>
    <row r="165" spans="1:19" ht="11.85" customHeight="1" x14ac:dyDescent="0.25">
      <c r="A165" s="66" t="s">
        <v>320</v>
      </c>
      <c r="B165" s="66"/>
      <c r="C165" s="66"/>
      <c r="D165" s="66"/>
      <c r="E165" s="66"/>
      <c r="F165" s="66"/>
      <c r="G165" s="66"/>
      <c r="H165" s="66"/>
    </row>
    <row r="166" spans="1:19" ht="11.1" customHeight="1" x14ac:dyDescent="0.25">
      <c r="N166" s="50" t="s">
        <v>317</v>
      </c>
      <c r="O166" s="64">
        <v>6189.6</v>
      </c>
      <c r="Q166" s="64">
        <v>742.75</v>
      </c>
      <c r="R166" s="63">
        <v>0</v>
      </c>
      <c r="S166" s="64">
        <v>433.27</v>
      </c>
    </row>
    <row r="167" spans="1:19" ht="11.1" customHeight="1" x14ac:dyDescent="0.25">
      <c r="N167" s="50" t="s">
        <v>318</v>
      </c>
      <c r="O167" s="64">
        <v>8355.9599999999991</v>
      </c>
      <c r="Q167" s="64">
        <v>433.27</v>
      </c>
      <c r="R167" s="63">
        <v>0</v>
      </c>
      <c r="S167" s="64">
        <v>0</v>
      </c>
    </row>
    <row r="168" spans="1:19" ht="11.1" customHeight="1" x14ac:dyDescent="0.25">
      <c r="A168" s="57">
        <v>112780</v>
      </c>
      <c r="B168" s="53">
        <v>46120</v>
      </c>
      <c r="C168" s="58">
        <v>46120</v>
      </c>
      <c r="D168" s="59" t="s">
        <v>434</v>
      </c>
      <c r="E168" s="50" t="s">
        <v>313</v>
      </c>
      <c r="F168" s="57">
        <v>36</v>
      </c>
      <c r="G168" s="60">
        <v>526</v>
      </c>
      <c r="H168" s="61" t="s">
        <v>435</v>
      </c>
      <c r="I168" s="50" t="s">
        <v>436</v>
      </c>
      <c r="J168" s="50" t="s">
        <v>437</v>
      </c>
      <c r="K168" s="62">
        <v>5102</v>
      </c>
      <c r="L168" s="57">
        <v>205</v>
      </c>
      <c r="M168" s="50" t="s">
        <v>26</v>
      </c>
      <c r="N168" s="50" t="s">
        <v>317</v>
      </c>
      <c r="O168" s="64">
        <v>693.42</v>
      </c>
      <c r="P168" s="65">
        <v>12</v>
      </c>
      <c r="Q168" s="64">
        <v>83.21</v>
      </c>
      <c r="R168" s="63">
        <v>0</v>
      </c>
      <c r="S168" s="64">
        <v>0</v>
      </c>
    </row>
    <row r="169" spans="1:19" ht="11.1" customHeight="1" x14ac:dyDescent="0.25">
      <c r="A169" s="57">
        <v>112804</v>
      </c>
      <c r="B169" s="53">
        <v>46121</v>
      </c>
      <c r="C169" s="58">
        <v>46121</v>
      </c>
      <c r="D169" s="59" t="s">
        <v>438</v>
      </c>
      <c r="E169" s="50" t="s">
        <v>313</v>
      </c>
      <c r="F169" s="57">
        <v>36</v>
      </c>
      <c r="G169" s="60">
        <v>526</v>
      </c>
      <c r="H169" s="61" t="s">
        <v>435</v>
      </c>
      <c r="I169" s="50" t="s">
        <v>436</v>
      </c>
      <c r="J169" s="50" t="s">
        <v>437</v>
      </c>
      <c r="K169" s="62">
        <v>5102</v>
      </c>
      <c r="L169" s="57">
        <v>205</v>
      </c>
      <c r="M169" s="50" t="s">
        <v>26</v>
      </c>
      <c r="N169" s="50" t="s">
        <v>317</v>
      </c>
      <c r="O169" s="64">
        <v>852.86</v>
      </c>
      <c r="P169" s="65">
        <v>12</v>
      </c>
      <c r="Q169" s="64">
        <v>102.34</v>
      </c>
      <c r="R169" s="63">
        <v>0</v>
      </c>
      <c r="S169" s="64">
        <v>0</v>
      </c>
    </row>
    <row r="170" spans="1:19" ht="11.85" customHeight="1" x14ac:dyDescent="0.25">
      <c r="A170" s="66" t="s">
        <v>320</v>
      </c>
      <c r="B170" s="66"/>
      <c r="C170" s="66"/>
      <c r="D170" s="66"/>
      <c r="E170" s="66"/>
      <c r="F170" s="66"/>
      <c r="G170" s="66"/>
      <c r="H170" s="66"/>
    </row>
    <row r="171" spans="1:19" ht="11.1" customHeight="1" x14ac:dyDescent="0.25">
      <c r="N171" s="50" t="s">
        <v>317</v>
      </c>
      <c r="O171" s="64">
        <v>1546.28</v>
      </c>
      <c r="Q171" s="64">
        <v>185.55</v>
      </c>
      <c r="R171" s="63">
        <v>0</v>
      </c>
      <c r="S171" s="64">
        <v>0</v>
      </c>
    </row>
    <row r="172" spans="1:19" ht="11.1" customHeight="1" x14ac:dyDescent="0.25">
      <c r="A172" s="57">
        <v>113312</v>
      </c>
      <c r="B172" s="53">
        <v>46135</v>
      </c>
      <c r="C172" s="58">
        <v>46135</v>
      </c>
      <c r="D172" s="59" t="s">
        <v>439</v>
      </c>
      <c r="E172" s="50" t="s">
        <v>313</v>
      </c>
      <c r="F172" s="57">
        <v>36</v>
      </c>
      <c r="G172" s="60">
        <v>987</v>
      </c>
      <c r="H172" s="61" t="s">
        <v>440</v>
      </c>
      <c r="I172" s="50" t="s">
        <v>441</v>
      </c>
      <c r="J172" s="50" t="s">
        <v>75</v>
      </c>
      <c r="K172" s="62">
        <v>6108</v>
      </c>
      <c r="L172" s="57">
        <v>237</v>
      </c>
      <c r="M172" s="50" t="s">
        <v>50</v>
      </c>
      <c r="N172" s="50" t="s">
        <v>317</v>
      </c>
      <c r="O172" s="64">
        <v>4232.1099999999997</v>
      </c>
      <c r="P172" s="65">
        <v>12</v>
      </c>
      <c r="Q172" s="64">
        <v>507.86</v>
      </c>
      <c r="R172" s="63">
        <v>0</v>
      </c>
      <c r="S172" s="64">
        <v>0</v>
      </c>
    </row>
    <row r="173" spans="1:19" ht="11.1" customHeight="1" x14ac:dyDescent="0.25">
      <c r="A173" s="57">
        <v>113675</v>
      </c>
      <c r="B173" s="53">
        <v>46135</v>
      </c>
      <c r="C173" s="58">
        <v>46135</v>
      </c>
      <c r="D173" s="59" t="s">
        <v>442</v>
      </c>
      <c r="E173" s="50" t="s">
        <v>313</v>
      </c>
      <c r="F173" s="57">
        <v>36</v>
      </c>
      <c r="G173" s="60">
        <v>987</v>
      </c>
      <c r="H173" s="61" t="s">
        <v>440</v>
      </c>
      <c r="I173" s="50" t="s">
        <v>441</v>
      </c>
      <c r="J173" s="50" t="s">
        <v>75</v>
      </c>
      <c r="K173" s="62">
        <v>6108</v>
      </c>
      <c r="L173" s="57">
        <v>237</v>
      </c>
      <c r="M173" s="50" t="s">
        <v>50</v>
      </c>
      <c r="N173" s="50" t="s">
        <v>317</v>
      </c>
      <c r="O173" s="64">
        <v>0</v>
      </c>
      <c r="P173" s="65">
        <v>0</v>
      </c>
      <c r="Q173" s="64">
        <v>0</v>
      </c>
      <c r="R173" s="63">
        <v>0</v>
      </c>
      <c r="S173" s="64">
        <v>0</v>
      </c>
    </row>
    <row r="174" spans="1:19" ht="11.85" customHeight="1" x14ac:dyDescent="0.25">
      <c r="A174" s="66" t="s">
        <v>320</v>
      </c>
      <c r="B174" s="66"/>
      <c r="C174" s="66"/>
      <c r="D174" s="66"/>
      <c r="E174" s="66"/>
      <c r="F174" s="66"/>
      <c r="G174" s="66"/>
      <c r="H174" s="66"/>
    </row>
    <row r="175" spans="1:19" ht="11.1" customHeight="1" x14ac:dyDescent="0.25">
      <c r="N175" s="50" t="s">
        <v>317</v>
      </c>
      <c r="O175" s="64">
        <v>4232.1099999999997</v>
      </c>
      <c r="Q175" s="64">
        <v>507.86</v>
      </c>
      <c r="R175" s="63">
        <v>0</v>
      </c>
      <c r="S175" s="64">
        <v>0</v>
      </c>
    </row>
    <row r="176" spans="1:19" ht="11.1" customHeight="1" x14ac:dyDescent="0.25">
      <c r="A176" s="57">
        <v>112781</v>
      </c>
      <c r="B176" s="53">
        <v>46120</v>
      </c>
      <c r="C176" s="58">
        <v>46120</v>
      </c>
      <c r="D176" s="59" t="s">
        <v>443</v>
      </c>
      <c r="E176" s="50" t="s">
        <v>313</v>
      </c>
      <c r="F176" s="57">
        <v>36</v>
      </c>
      <c r="G176" s="60">
        <v>44</v>
      </c>
      <c r="H176" s="61" t="s">
        <v>444</v>
      </c>
      <c r="I176" s="50" t="s">
        <v>445</v>
      </c>
      <c r="J176" s="50" t="s">
        <v>446</v>
      </c>
      <c r="K176" s="62">
        <v>5102</v>
      </c>
      <c r="L176" s="57">
        <v>205</v>
      </c>
      <c r="M176" s="50" t="s">
        <v>26</v>
      </c>
      <c r="N176" s="50" t="s">
        <v>317</v>
      </c>
      <c r="O176" s="64">
        <v>1121.04</v>
      </c>
      <c r="P176" s="65">
        <v>12</v>
      </c>
      <c r="Q176" s="64">
        <v>134.53</v>
      </c>
      <c r="R176" s="63">
        <v>0</v>
      </c>
      <c r="S176" s="64">
        <v>0</v>
      </c>
    </row>
    <row r="177" spans="1:19" ht="11.1" customHeight="1" x14ac:dyDescent="0.25">
      <c r="A177" s="57">
        <v>112782</v>
      </c>
      <c r="B177" s="53">
        <v>46120</v>
      </c>
      <c r="C177" s="58">
        <v>46120</v>
      </c>
      <c r="D177" s="59" t="s">
        <v>443</v>
      </c>
      <c r="E177" s="50" t="s">
        <v>313</v>
      </c>
      <c r="F177" s="57">
        <v>36</v>
      </c>
      <c r="G177" s="60">
        <v>44</v>
      </c>
      <c r="H177" s="61" t="s">
        <v>444</v>
      </c>
      <c r="I177" s="50" t="s">
        <v>445</v>
      </c>
      <c r="J177" s="50" t="s">
        <v>446</v>
      </c>
      <c r="K177" s="62">
        <v>5403</v>
      </c>
      <c r="L177" s="57">
        <v>207</v>
      </c>
      <c r="M177" s="50" t="s">
        <v>26</v>
      </c>
      <c r="N177" s="50" t="s">
        <v>317</v>
      </c>
      <c r="O177" s="64">
        <v>104.76</v>
      </c>
      <c r="P177" s="65">
        <v>12</v>
      </c>
      <c r="Q177" s="64">
        <v>12.57</v>
      </c>
      <c r="R177" s="63">
        <v>0</v>
      </c>
      <c r="S177" s="64">
        <v>7.34</v>
      </c>
    </row>
    <row r="178" spans="1:19" ht="11.1" customHeight="1" x14ac:dyDescent="0.25">
      <c r="N178" s="50" t="s">
        <v>318</v>
      </c>
      <c r="O178" s="64">
        <v>141.43</v>
      </c>
      <c r="P178" s="65">
        <v>20</v>
      </c>
      <c r="Q178" s="64">
        <v>7.34</v>
      </c>
      <c r="R178" s="63">
        <v>0</v>
      </c>
      <c r="S178" s="64">
        <v>0</v>
      </c>
    </row>
    <row r="179" spans="1:19" ht="11.1" customHeight="1" x14ac:dyDescent="0.25">
      <c r="A179" s="57">
        <v>113174</v>
      </c>
      <c r="B179" s="53">
        <v>46129</v>
      </c>
      <c r="C179" s="58">
        <v>46129</v>
      </c>
      <c r="D179" s="59" t="s">
        <v>447</v>
      </c>
      <c r="E179" s="50" t="s">
        <v>313</v>
      </c>
      <c r="F179" s="57">
        <v>36</v>
      </c>
      <c r="G179" s="60">
        <v>44</v>
      </c>
      <c r="H179" s="61" t="s">
        <v>444</v>
      </c>
      <c r="I179" s="50" t="s">
        <v>445</v>
      </c>
      <c r="J179" s="50" t="s">
        <v>446</v>
      </c>
      <c r="K179" s="62">
        <v>5102</v>
      </c>
      <c r="L179" s="57">
        <v>205</v>
      </c>
      <c r="M179" s="50" t="s">
        <v>26</v>
      </c>
      <c r="N179" s="50" t="s">
        <v>317</v>
      </c>
      <c r="O179" s="64">
        <v>2801</v>
      </c>
      <c r="P179" s="65">
        <v>12</v>
      </c>
      <c r="Q179" s="64">
        <v>336.12</v>
      </c>
      <c r="R179" s="63">
        <v>0</v>
      </c>
      <c r="S179" s="64">
        <v>0</v>
      </c>
    </row>
    <row r="180" spans="1:19" ht="11.85" customHeight="1" x14ac:dyDescent="0.25">
      <c r="A180" s="66" t="s">
        <v>320</v>
      </c>
      <c r="B180" s="66"/>
      <c r="C180" s="66"/>
      <c r="D180" s="66"/>
      <c r="E180" s="66"/>
      <c r="F180" s="66"/>
      <c r="G180" s="66"/>
      <c r="H180" s="66"/>
    </row>
    <row r="181" spans="1:19" ht="11.1" customHeight="1" x14ac:dyDescent="0.25">
      <c r="N181" s="50" t="s">
        <v>317</v>
      </c>
      <c r="O181" s="64">
        <v>4026.8</v>
      </c>
      <c r="Q181" s="64">
        <v>483.22</v>
      </c>
      <c r="R181" s="63">
        <v>0</v>
      </c>
      <c r="S181" s="64">
        <v>7.34</v>
      </c>
    </row>
    <row r="182" spans="1:19" ht="11.1" customHeight="1" x14ac:dyDescent="0.25">
      <c r="N182" s="50" t="s">
        <v>318</v>
      </c>
      <c r="O182" s="64">
        <v>141.43</v>
      </c>
      <c r="Q182" s="64">
        <v>7.34</v>
      </c>
      <c r="R182" s="63">
        <v>0</v>
      </c>
      <c r="S182" s="64">
        <v>0</v>
      </c>
    </row>
    <row r="183" spans="1:19" ht="11.1" customHeight="1" x14ac:dyDescent="0.25">
      <c r="A183" s="57">
        <v>112640</v>
      </c>
      <c r="B183" s="53">
        <v>46118</v>
      </c>
      <c r="C183" s="58">
        <v>46118</v>
      </c>
      <c r="D183" s="59" t="s">
        <v>448</v>
      </c>
      <c r="E183" s="50" t="s">
        <v>313</v>
      </c>
      <c r="F183" s="57">
        <v>36</v>
      </c>
      <c r="G183" s="60">
        <v>402</v>
      </c>
      <c r="H183" s="61" t="s">
        <v>449</v>
      </c>
      <c r="I183" s="50" t="s">
        <v>450</v>
      </c>
      <c r="J183" s="50" t="s">
        <v>451</v>
      </c>
      <c r="K183" s="62">
        <v>5403</v>
      </c>
      <c r="L183" s="57">
        <v>207</v>
      </c>
      <c r="M183" s="50" t="s">
        <v>26</v>
      </c>
      <c r="N183" s="50" t="s">
        <v>317</v>
      </c>
      <c r="O183" s="64">
        <v>203.76</v>
      </c>
      <c r="P183" s="65">
        <v>12</v>
      </c>
      <c r="Q183" s="64">
        <v>24.45</v>
      </c>
      <c r="R183" s="63">
        <v>0</v>
      </c>
      <c r="S183" s="64">
        <v>14.27</v>
      </c>
    </row>
    <row r="184" spans="1:19" ht="11.1" customHeight="1" x14ac:dyDescent="0.25">
      <c r="N184" s="50" t="s">
        <v>318</v>
      </c>
      <c r="O184" s="64">
        <v>275.08</v>
      </c>
      <c r="P184" s="65">
        <v>20</v>
      </c>
      <c r="Q184" s="64">
        <v>14.27</v>
      </c>
      <c r="R184" s="63">
        <v>0</v>
      </c>
      <c r="S184" s="64">
        <v>0</v>
      </c>
    </row>
    <row r="185" spans="1:19" ht="11.1" customHeight="1" x14ac:dyDescent="0.25">
      <c r="A185" s="57">
        <v>113134</v>
      </c>
      <c r="B185" s="53">
        <v>46128</v>
      </c>
      <c r="C185" s="58">
        <v>46128</v>
      </c>
      <c r="D185" s="59" t="s">
        <v>452</v>
      </c>
      <c r="E185" s="50" t="s">
        <v>313</v>
      </c>
      <c r="F185" s="57">
        <v>36</v>
      </c>
      <c r="G185" s="60">
        <v>402</v>
      </c>
      <c r="H185" s="61" t="s">
        <v>449</v>
      </c>
      <c r="I185" s="50" t="s">
        <v>450</v>
      </c>
      <c r="J185" s="50" t="s">
        <v>451</v>
      </c>
      <c r="K185" s="62">
        <v>5403</v>
      </c>
      <c r="L185" s="57">
        <v>207</v>
      </c>
      <c r="M185" s="50" t="s">
        <v>26</v>
      </c>
      <c r="N185" s="50" t="s">
        <v>317</v>
      </c>
      <c r="O185" s="64">
        <v>314.76</v>
      </c>
      <c r="P185" s="65">
        <v>12</v>
      </c>
      <c r="Q185" s="64">
        <v>37.770000000000003</v>
      </c>
      <c r="R185" s="63">
        <v>0</v>
      </c>
      <c r="S185" s="64">
        <v>22.04</v>
      </c>
    </row>
    <row r="186" spans="1:19" ht="11.1" customHeight="1" x14ac:dyDescent="0.25">
      <c r="N186" s="50" t="s">
        <v>318</v>
      </c>
      <c r="O186" s="64">
        <v>424.93</v>
      </c>
      <c r="P186" s="65">
        <v>20</v>
      </c>
      <c r="Q186" s="64">
        <v>22.04</v>
      </c>
      <c r="R186" s="63">
        <v>0</v>
      </c>
      <c r="S186" s="64">
        <v>0</v>
      </c>
    </row>
    <row r="187" spans="1:19" ht="11.85" customHeight="1" x14ac:dyDescent="0.25">
      <c r="A187" s="66" t="s">
        <v>320</v>
      </c>
      <c r="B187" s="66"/>
      <c r="C187" s="66"/>
      <c r="D187" s="66"/>
      <c r="E187" s="66"/>
      <c r="F187" s="66"/>
      <c r="G187" s="66"/>
      <c r="H187" s="66"/>
    </row>
    <row r="188" spans="1:19" ht="11.1" customHeight="1" x14ac:dyDescent="0.25">
      <c r="N188" s="50" t="s">
        <v>317</v>
      </c>
      <c r="O188" s="64">
        <v>518.52</v>
      </c>
      <c r="Q188" s="64">
        <v>62.22</v>
      </c>
      <c r="R188" s="63">
        <v>0</v>
      </c>
      <c r="S188" s="64">
        <v>36.31</v>
      </c>
    </row>
    <row r="189" spans="1:19" ht="11.1" customHeight="1" x14ac:dyDescent="0.25">
      <c r="N189" s="50" t="s">
        <v>318</v>
      </c>
      <c r="O189" s="64">
        <v>700.01</v>
      </c>
      <c r="Q189" s="64">
        <v>36.31</v>
      </c>
      <c r="R189" s="63">
        <v>0</v>
      </c>
      <c r="S189" s="64">
        <v>0</v>
      </c>
    </row>
    <row r="190" spans="1:19" ht="11.1" customHeight="1" x14ac:dyDescent="0.25">
      <c r="A190" s="57">
        <v>113064</v>
      </c>
      <c r="B190" s="53">
        <v>46127</v>
      </c>
      <c r="C190" s="58">
        <v>46127</v>
      </c>
      <c r="D190" s="59" t="s">
        <v>453</v>
      </c>
      <c r="E190" s="50" t="s">
        <v>313</v>
      </c>
      <c r="F190" s="57">
        <v>36</v>
      </c>
      <c r="G190" s="60">
        <v>742</v>
      </c>
      <c r="H190" s="61" t="s">
        <v>454</v>
      </c>
      <c r="I190" s="50" t="s">
        <v>455</v>
      </c>
      <c r="J190" s="50" t="s">
        <v>456</v>
      </c>
      <c r="K190" s="62">
        <v>5102</v>
      </c>
      <c r="L190" s="57">
        <v>205</v>
      </c>
      <c r="M190" s="50" t="s">
        <v>26</v>
      </c>
      <c r="N190" s="50" t="s">
        <v>317</v>
      </c>
      <c r="O190" s="64">
        <v>765.74</v>
      </c>
      <c r="P190" s="65">
        <v>12</v>
      </c>
      <c r="Q190" s="64">
        <v>91.89</v>
      </c>
      <c r="R190" s="63">
        <v>0</v>
      </c>
      <c r="S190" s="64">
        <v>0</v>
      </c>
    </row>
    <row r="191" spans="1:19" ht="11.85" customHeight="1" x14ac:dyDescent="0.25">
      <c r="A191" s="66" t="s">
        <v>320</v>
      </c>
      <c r="B191" s="66"/>
      <c r="C191" s="66"/>
      <c r="D191" s="66"/>
      <c r="E191" s="66"/>
      <c r="F191" s="66"/>
      <c r="G191" s="66"/>
      <c r="H191" s="66"/>
    </row>
    <row r="192" spans="1:19" ht="11.1" customHeight="1" x14ac:dyDescent="0.25">
      <c r="N192" s="50" t="s">
        <v>317</v>
      </c>
      <c r="O192" s="64">
        <v>765.74</v>
      </c>
      <c r="Q192" s="64">
        <v>91.89</v>
      </c>
      <c r="R192" s="63">
        <v>0</v>
      </c>
      <c r="S192" s="64">
        <v>0</v>
      </c>
    </row>
    <row r="193" spans="1:19" ht="11.1" customHeight="1" x14ac:dyDescent="0.25">
      <c r="A193" s="57">
        <v>112447</v>
      </c>
      <c r="B193" s="53">
        <v>46113</v>
      </c>
      <c r="C193" s="58">
        <v>46113</v>
      </c>
      <c r="D193" s="59" t="s">
        <v>457</v>
      </c>
      <c r="E193" s="50" t="s">
        <v>313</v>
      </c>
      <c r="F193" s="57">
        <v>36</v>
      </c>
      <c r="G193" s="60">
        <v>307</v>
      </c>
      <c r="H193" s="61" t="s">
        <v>458</v>
      </c>
      <c r="I193" s="50" t="s">
        <v>459</v>
      </c>
      <c r="J193" s="50" t="s">
        <v>460</v>
      </c>
      <c r="K193" s="62">
        <v>5102</v>
      </c>
      <c r="L193" s="57">
        <v>205</v>
      </c>
      <c r="M193" s="50" t="s">
        <v>26</v>
      </c>
      <c r="N193" s="50" t="s">
        <v>317</v>
      </c>
      <c r="O193" s="64">
        <v>1352.86</v>
      </c>
      <c r="P193" s="65">
        <v>12</v>
      </c>
      <c r="Q193" s="64">
        <v>162.34</v>
      </c>
      <c r="R193" s="63">
        <v>0</v>
      </c>
      <c r="S193" s="64">
        <v>0</v>
      </c>
    </row>
    <row r="194" spans="1:19" ht="11.85" customHeight="1" x14ac:dyDescent="0.25">
      <c r="A194" s="66" t="s">
        <v>320</v>
      </c>
      <c r="B194" s="66"/>
      <c r="C194" s="66"/>
      <c r="D194" s="66"/>
      <c r="E194" s="66"/>
      <c r="F194" s="66"/>
      <c r="G194" s="66"/>
      <c r="H194" s="66"/>
    </row>
    <row r="195" spans="1:19" ht="11.1" customHeight="1" x14ac:dyDescent="0.25">
      <c r="N195" s="50" t="s">
        <v>317</v>
      </c>
      <c r="O195" s="64">
        <v>1352.86</v>
      </c>
      <c r="Q195" s="64">
        <v>162.34</v>
      </c>
      <c r="R195" s="63">
        <v>0</v>
      </c>
      <c r="S195" s="64">
        <v>0</v>
      </c>
    </row>
    <row r="196" spans="1:19" ht="11.1" customHeight="1" x14ac:dyDescent="0.25">
      <c r="A196" s="57">
        <v>112561</v>
      </c>
      <c r="B196" s="53">
        <v>46118</v>
      </c>
      <c r="C196" s="58">
        <v>46118</v>
      </c>
      <c r="D196" s="59" t="s">
        <v>461</v>
      </c>
      <c r="E196" s="50" t="s">
        <v>313</v>
      </c>
      <c r="F196" s="57">
        <v>36</v>
      </c>
      <c r="G196" s="60">
        <v>124</v>
      </c>
      <c r="H196" s="61" t="s">
        <v>462</v>
      </c>
      <c r="I196" s="50" t="s">
        <v>463</v>
      </c>
      <c r="J196" s="50" t="s">
        <v>464</v>
      </c>
      <c r="K196" s="62">
        <v>5102</v>
      </c>
      <c r="L196" s="57">
        <v>205</v>
      </c>
      <c r="M196" s="50" t="s">
        <v>26</v>
      </c>
      <c r="N196" s="50" t="s">
        <v>317</v>
      </c>
      <c r="O196" s="64">
        <v>13880.69</v>
      </c>
      <c r="P196" s="65">
        <v>12</v>
      </c>
      <c r="Q196" s="64">
        <v>1665.69</v>
      </c>
      <c r="R196" s="63">
        <v>0</v>
      </c>
      <c r="S196" s="64">
        <v>0</v>
      </c>
    </row>
    <row r="197" spans="1:19" ht="11.1" customHeight="1" x14ac:dyDescent="0.25">
      <c r="A197" s="57">
        <v>112562</v>
      </c>
      <c r="B197" s="53">
        <v>46118</v>
      </c>
      <c r="C197" s="58">
        <v>46118</v>
      </c>
      <c r="D197" s="59" t="s">
        <v>461</v>
      </c>
      <c r="E197" s="50" t="s">
        <v>313</v>
      </c>
      <c r="F197" s="57">
        <v>36</v>
      </c>
      <c r="G197" s="60">
        <v>124</v>
      </c>
      <c r="H197" s="61" t="s">
        <v>462</v>
      </c>
      <c r="I197" s="50" t="s">
        <v>463</v>
      </c>
      <c r="J197" s="50" t="s">
        <v>464</v>
      </c>
      <c r="K197" s="62">
        <v>5405</v>
      </c>
      <c r="L197" s="57">
        <v>206</v>
      </c>
      <c r="M197" s="50" t="s">
        <v>26</v>
      </c>
      <c r="N197" s="50" t="s">
        <v>317</v>
      </c>
      <c r="O197" s="64">
        <v>0</v>
      </c>
      <c r="P197" s="65">
        <v>0</v>
      </c>
      <c r="Q197" s="64">
        <v>0</v>
      </c>
      <c r="R197" s="63">
        <v>0</v>
      </c>
      <c r="S197" s="64">
        <v>99.52</v>
      </c>
    </row>
    <row r="198" spans="1:19" ht="11.1" customHeight="1" x14ac:dyDescent="0.25">
      <c r="A198" s="57">
        <v>112563</v>
      </c>
      <c r="B198" s="53">
        <v>46118</v>
      </c>
      <c r="C198" s="58">
        <v>46118</v>
      </c>
      <c r="D198" s="59" t="s">
        <v>461</v>
      </c>
      <c r="E198" s="50" t="s">
        <v>313</v>
      </c>
      <c r="F198" s="57">
        <v>36</v>
      </c>
      <c r="G198" s="60">
        <v>124</v>
      </c>
      <c r="H198" s="61" t="s">
        <v>462</v>
      </c>
      <c r="I198" s="50" t="s">
        <v>463</v>
      </c>
      <c r="J198" s="50" t="s">
        <v>464</v>
      </c>
      <c r="K198" s="62">
        <v>5403</v>
      </c>
      <c r="L198" s="57">
        <v>207</v>
      </c>
      <c r="M198" s="50" t="s">
        <v>26</v>
      </c>
      <c r="N198" s="50" t="s">
        <v>317</v>
      </c>
      <c r="O198" s="64">
        <v>10960.59</v>
      </c>
      <c r="P198" s="65">
        <v>12</v>
      </c>
      <c r="Q198" s="64">
        <v>1315.27</v>
      </c>
      <c r="R198" s="63">
        <v>0</v>
      </c>
      <c r="S198" s="64">
        <v>767.22</v>
      </c>
    </row>
    <row r="199" spans="1:19" ht="11.1" customHeight="1" x14ac:dyDescent="0.25">
      <c r="N199" s="50" t="s">
        <v>318</v>
      </c>
      <c r="O199" s="64">
        <v>14796.79</v>
      </c>
      <c r="P199" s="65">
        <v>20</v>
      </c>
      <c r="Q199" s="64">
        <v>767.22</v>
      </c>
      <c r="R199" s="63">
        <v>0</v>
      </c>
      <c r="S199" s="64">
        <v>0</v>
      </c>
    </row>
    <row r="200" spans="1:19" ht="11.1" customHeight="1" x14ac:dyDescent="0.25">
      <c r="A200" s="57">
        <v>113006</v>
      </c>
      <c r="B200" s="53">
        <v>46126</v>
      </c>
      <c r="C200" s="58">
        <v>46126</v>
      </c>
      <c r="D200" s="59" t="s">
        <v>465</v>
      </c>
      <c r="E200" s="50" t="s">
        <v>313</v>
      </c>
      <c r="F200" s="57">
        <v>36</v>
      </c>
      <c r="G200" s="60">
        <v>124</v>
      </c>
      <c r="H200" s="61" t="s">
        <v>462</v>
      </c>
      <c r="I200" s="50" t="s">
        <v>463</v>
      </c>
      <c r="J200" s="50" t="s">
        <v>464</v>
      </c>
      <c r="K200" s="62">
        <v>5102</v>
      </c>
      <c r="L200" s="57">
        <v>205</v>
      </c>
      <c r="M200" s="50" t="s">
        <v>26</v>
      </c>
      <c r="N200" s="50" t="s">
        <v>317</v>
      </c>
      <c r="O200" s="64">
        <v>3199.4</v>
      </c>
      <c r="P200" s="65">
        <v>12</v>
      </c>
      <c r="Q200" s="64">
        <v>383.93</v>
      </c>
      <c r="R200" s="63">
        <v>0</v>
      </c>
      <c r="S200" s="64">
        <v>0</v>
      </c>
    </row>
    <row r="201" spans="1:19" ht="11.1" customHeight="1" x14ac:dyDescent="0.25">
      <c r="A201" s="57">
        <v>113007</v>
      </c>
      <c r="B201" s="53">
        <v>46126</v>
      </c>
      <c r="C201" s="58">
        <v>46126</v>
      </c>
      <c r="D201" s="59" t="s">
        <v>466</v>
      </c>
      <c r="E201" s="50" t="s">
        <v>313</v>
      </c>
      <c r="F201" s="57">
        <v>36</v>
      </c>
      <c r="G201" s="60">
        <v>124</v>
      </c>
      <c r="H201" s="61" t="s">
        <v>462</v>
      </c>
      <c r="I201" s="50" t="s">
        <v>463</v>
      </c>
      <c r="J201" s="50" t="s">
        <v>464</v>
      </c>
      <c r="K201" s="62">
        <v>5102</v>
      </c>
      <c r="L201" s="57">
        <v>205</v>
      </c>
      <c r="M201" s="50" t="s">
        <v>26</v>
      </c>
      <c r="N201" s="50" t="s">
        <v>317</v>
      </c>
      <c r="O201" s="64">
        <v>2999.9</v>
      </c>
      <c r="P201" s="65">
        <v>12</v>
      </c>
      <c r="Q201" s="64">
        <v>359.99</v>
      </c>
      <c r="R201" s="63">
        <v>0</v>
      </c>
      <c r="S201" s="64">
        <v>0</v>
      </c>
    </row>
    <row r="202" spans="1:19" ht="11.1" customHeight="1" x14ac:dyDescent="0.25">
      <c r="A202" s="57">
        <v>113019</v>
      </c>
      <c r="B202" s="53">
        <v>46126</v>
      </c>
      <c r="C202" s="58">
        <v>46126</v>
      </c>
      <c r="D202" s="59" t="s">
        <v>467</v>
      </c>
      <c r="E202" s="50" t="s">
        <v>313</v>
      </c>
      <c r="F202" s="57">
        <v>36</v>
      </c>
      <c r="G202" s="60">
        <v>124</v>
      </c>
      <c r="H202" s="61" t="s">
        <v>462</v>
      </c>
      <c r="I202" s="50" t="s">
        <v>463</v>
      </c>
      <c r="J202" s="50" t="s">
        <v>464</v>
      </c>
      <c r="K202" s="62">
        <v>5910</v>
      </c>
      <c r="L202" s="57">
        <v>208</v>
      </c>
      <c r="M202" s="50" t="s">
        <v>26</v>
      </c>
      <c r="N202" s="50" t="s">
        <v>317</v>
      </c>
      <c r="O202" s="64">
        <v>911.76</v>
      </c>
      <c r="P202" s="65">
        <v>12</v>
      </c>
      <c r="Q202" s="64">
        <v>109.41</v>
      </c>
      <c r="R202" s="63">
        <v>0</v>
      </c>
      <c r="S202" s="64">
        <v>0</v>
      </c>
    </row>
    <row r="203" spans="1:19" ht="11.85" customHeight="1" x14ac:dyDescent="0.25">
      <c r="A203" s="66" t="s">
        <v>320</v>
      </c>
      <c r="B203" s="66"/>
      <c r="C203" s="66"/>
      <c r="D203" s="66"/>
      <c r="E203" s="66"/>
      <c r="F203" s="66"/>
      <c r="G203" s="66"/>
      <c r="H203" s="66"/>
    </row>
    <row r="204" spans="1:19" ht="11.1" customHeight="1" x14ac:dyDescent="0.25">
      <c r="N204" s="50" t="s">
        <v>317</v>
      </c>
      <c r="O204" s="64">
        <v>31952.34</v>
      </c>
      <c r="Q204" s="64">
        <v>3834.29</v>
      </c>
      <c r="R204" s="63">
        <v>0</v>
      </c>
      <c r="S204" s="64">
        <v>866.74</v>
      </c>
    </row>
    <row r="205" spans="1:19" ht="11.1" customHeight="1" x14ac:dyDescent="0.25">
      <c r="N205" s="50" t="s">
        <v>318</v>
      </c>
      <c r="O205" s="64">
        <v>14796.79</v>
      </c>
      <c r="Q205" s="64">
        <v>767.22</v>
      </c>
      <c r="R205" s="63">
        <v>0</v>
      </c>
      <c r="S205" s="64">
        <v>0</v>
      </c>
    </row>
    <row r="206" spans="1:19" ht="11.1" customHeight="1" x14ac:dyDescent="0.25">
      <c r="A206" s="57">
        <v>112773</v>
      </c>
      <c r="B206" s="53">
        <v>46120</v>
      </c>
      <c r="C206" s="58">
        <v>46120</v>
      </c>
      <c r="D206" s="59" t="s">
        <v>468</v>
      </c>
      <c r="E206" s="50" t="s">
        <v>313</v>
      </c>
      <c r="F206" s="57">
        <v>36</v>
      </c>
      <c r="G206" s="60">
        <v>165</v>
      </c>
      <c r="H206" s="61" t="s">
        <v>469</v>
      </c>
      <c r="I206" s="50" t="s">
        <v>470</v>
      </c>
      <c r="J206" s="50" t="s">
        <v>471</v>
      </c>
      <c r="K206" s="62">
        <v>6403</v>
      </c>
      <c r="L206" s="57">
        <v>207</v>
      </c>
      <c r="M206" s="50" t="s">
        <v>34</v>
      </c>
      <c r="N206" s="50" t="s">
        <v>317</v>
      </c>
      <c r="O206" s="64">
        <v>288.48</v>
      </c>
      <c r="P206" s="65">
        <v>12</v>
      </c>
      <c r="Q206" s="64">
        <v>34.619999999999997</v>
      </c>
      <c r="R206" s="63">
        <v>0</v>
      </c>
      <c r="S206" s="64">
        <v>43.84</v>
      </c>
    </row>
    <row r="207" spans="1:19" ht="11.1" customHeight="1" x14ac:dyDescent="0.25">
      <c r="N207" s="50" t="s">
        <v>318</v>
      </c>
      <c r="O207" s="64">
        <v>412.93</v>
      </c>
      <c r="P207" s="65">
        <v>19</v>
      </c>
      <c r="Q207" s="64">
        <v>43.84</v>
      </c>
      <c r="R207" s="63">
        <v>0</v>
      </c>
      <c r="S207" s="64">
        <v>0</v>
      </c>
    </row>
    <row r="208" spans="1:19" ht="11.1" customHeight="1" x14ac:dyDescent="0.25">
      <c r="A208" s="57">
        <v>112774</v>
      </c>
      <c r="B208" s="53">
        <v>46120</v>
      </c>
      <c r="C208" s="58">
        <v>46120</v>
      </c>
      <c r="D208" s="59" t="s">
        <v>468</v>
      </c>
      <c r="E208" s="50" t="s">
        <v>313</v>
      </c>
      <c r="F208" s="57">
        <v>36</v>
      </c>
      <c r="G208" s="60">
        <v>165</v>
      </c>
      <c r="H208" s="61" t="s">
        <v>469</v>
      </c>
      <c r="I208" s="50" t="s">
        <v>470</v>
      </c>
      <c r="J208" s="50" t="s">
        <v>471</v>
      </c>
      <c r="K208" s="62">
        <v>6102</v>
      </c>
      <c r="L208" s="57">
        <v>238</v>
      </c>
      <c r="M208" s="50" t="s">
        <v>34</v>
      </c>
      <c r="N208" s="50" t="s">
        <v>317</v>
      </c>
      <c r="O208" s="64">
        <v>647.17999999999995</v>
      </c>
      <c r="P208" s="65">
        <v>12</v>
      </c>
      <c r="Q208" s="64">
        <v>77.67</v>
      </c>
      <c r="R208" s="63">
        <v>0</v>
      </c>
      <c r="S208" s="64">
        <v>0</v>
      </c>
    </row>
    <row r="209" spans="1:19" ht="11.1" customHeight="1" x14ac:dyDescent="0.25">
      <c r="A209" s="57">
        <v>112948</v>
      </c>
      <c r="B209" s="53">
        <v>46125</v>
      </c>
      <c r="C209" s="58">
        <v>46125</v>
      </c>
      <c r="D209" s="59" t="s">
        <v>472</v>
      </c>
      <c r="E209" s="50" t="s">
        <v>313</v>
      </c>
      <c r="F209" s="57">
        <v>36</v>
      </c>
      <c r="G209" s="60">
        <v>165</v>
      </c>
      <c r="H209" s="61" t="s">
        <v>469</v>
      </c>
      <c r="I209" s="50" t="s">
        <v>470</v>
      </c>
      <c r="J209" s="50" t="s">
        <v>471</v>
      </c>
      <c r="K209" s="62">
        <v>6102</v>
      </c>
      <c r="L209" s="57">
        <v>238</v>
      </c>
      <c r="M209" s="50" t="s">
        <v>34</v>
      </c>
      <c r="N209" s="50" t="s">
        <v>317</v>
      </c>
      <c r="O209" s="64">
        <v>494.72</v>
      </c>
      <c r="P209" s="65">
        <v>12</v>
      </c>
      <c r="Q209" s="64">
        <v>59.36</v>
      </c>
      <c r="R209" s="63">
        <v>0</v>
      </c>
      <c r="S209" s="64">
        <v>0</v>
      </c>
    </row>
    <row r="210" spans="1:19" ht="11.1" customHeight="1" x14ac:dyDescent="0.25">
      <c r="A210" s="57">
        <v>113585</v>
      </c>
      <c r="B210" s="53">
        <v>46141</v>
      </c>
      <c r="C210" s="58">
        <v>46141</v>
      </c>
      <c r="D210" s="59" t="s">
        <v>473</v>
      </c>
      <c r="E210" s="50" t="s">
        <v>313</v>
      </c>
      <c r="F210" s="57">
        <v>36</v>
      </c>
      <c r="G210" s="60">
        <v>165</v>
      </c>
      <c r="H210" s="61" t="s">
        <v>469</v>
      </c>
      <c r="I210" s="50" t="s">
        <v>470</v>
      </c>
      <c r="J210" s="50" t="s">
        <v>471</v>
      </c>
      <c r="K210" s="62">
        <v>6403</v>
      </c>
      <c r="L210" s="57">
        <v>207</v>
      </c>
      <c r="M210" s="50" t="s">
        <v>34</v>
      </c>
      <c r="N210" s="50" t="s">
        <v>317</v>
      </c>
      <c r="O210" s="64">
        <v>406.68</v>
      </c>
      <c r="P210" s="65">
        <v>12</v>
      </c>
      <c r="Q210" s="64">
        <v>48.8</v>
      </c>
      <c r="R210" s="63">
        <v>0</v>
      </c>
      <c r="S210" s="64">
        <v>61.8</v>
      </c>
    </row>
    <row r="211" spans="1:19" ht="11.1" customHeight="1" x14ac:dyDescent="0.25">
      <c r="N211" s="50" t="s">
        <v>318</v>
      </c>
      <c r="O211" s="64">
        <v>582.12</v>
      </c>
      <c r="P211" s="65">
        <v>19</v>
      </c>
      <c r="Q211" s="64">
        <v>61.8</v>
      </c>
      <c r="R211" s="63">
        <v>0</v>
      </c>
      <c r="S211" s="64">
        <v>0</v>
      </c>
    </row>
    <row r="212" spans="1:19" ht="11.1" customHeight="1" x14ac:dyDescent="0.25">
      <c r="A212" s="57">
        <v>113586</v>
      </c>
      <c r="B212" s="53">
        <v>46141</v>
      </c>
      <c r="C212" s="58">
        <v>46141</v>
      </c>
      <c r="D212" s="59" t="s">
        <v>473</v>
      </c>
      <c r="E212" s="50" t="s">
        <v>313</v>
      </c>
      <c r="F212" s="57">
        <v>36</v>
      </c>
      <c r="G212" s="60">
        <v>165</v>
      </c>
      <c r="H212" s="61" t="s">
        <v>469</v>
      </c>
      <c r="I212" s="50" t="s">
        <v>470</v>
      </c>
      <c r="J212" s="50" t="s">
        <v>471</v>
      </c>
      <c r="K212" s="62">
        <v>6102</v>
      </c>
      <c r="L212" s="57">
        <v>238</v>
      </c>
      <c r="M212" s="50" t="s">
        <v>34</v>
      </c>
      <c r="N212" s="50" t="s">
        <v>317</v>
      </c>
      <c r="O212" s="64">
        <v>343.65</v>
      </c>
      <c r="P212" s="65">
        <v>12</v>
      </c>
      <c r="Q212" s="64">
        <v>41.24</v>
      </c>
      <c r="R212" s="63">
        <v>0</v>
      </c>
      <c r="S212" s="64">
        <v>0</v>
      </c>
    </row>
    <row r="213" spans="1:19" ht="11.1" customHeight="1" x14ac:dyDescent="0.25">
      <c r="A213" s="57">
        <v>113587</v>
      </c>
      <c r="B213" s="53">
        <v>46141</v>
      </c>
      <c r="C213" s="58">
        <v>46141</v>
      </c>
      <c r="D213" s="59" t="s">
        <v>474</v>
      </c>
      <c r="E213" s="50" t="s">
        <v>313</v>
      </c>
      <c r="F213" s="57">
        <v>36</v>
      </c>
      <c r="G213" s="60">
        <v>165</v>
      </c>
      <c r="H213" s="61" t="s">
        <v>469</v>
      </c>
      <c r="I213" s="50" t="s">
        <v>470</v>
      </c>
      <c r="J213" s="50" t="s">
        <v>471</v>
      </c>
      <c r="K213" s="62">
        <v>6102</v>
      </c>
      <c r="L213" s="57">
        <v>238</v>
      </c>
      <c r="M213" s="50" t="s">
        <v>34</v>
      </c>
      <c r="N213" s="50" t="s">
        <v>317</v>
      </c>
      <c r="O213" s="64">
        <v>245.04</v>
      </c>
      <c r="P213" s="65">
        <v>12</v>
      </c>
      <c r="Q213" s="64">
        <v>29.4</v>
      </c>
      <c r="R213" s="63">
        <v>0</v>
      </c>
      <c r="S213" s="64">
        <v>0</v>
      </c>
    </row>
    <row r="214" spans="1:19" ht="11.85" customHeight="1" x14ac:dyDescent="0.25">
      <c r="A214" s="66" t="s">
        <v>320</v>
      </c>
      <c r="B214" s="66"/>
      <c r="C214" s="66"/>
      <c r="D214" s="66"/>
      <c r="E214" s="66"/>
      <c r="F214" s="66"/>
      <c r="G214" s="66"/>
      <c r="H214" s="66"/>
    </row>
    <row r="215" spans="1:19" ht="11.1" customHeight="1" x14ac:dyDescent="0.25">
      <c r="N215" s="50" t="s">
        <v>317</v>
      </c>
      <c r="O215" s="64">
        <v>2425.75</v>
      </c>
      <c r="Q215" s="64">
        <v>291.08999999999997</v>
      </c>
      <c r="R215" s="63">
        <v>0</v>
      </c>
      <c r="S215" s="64">
        <v>105.64</v>
      </c>
    </row>
    <row r="216" spans="1:19" ht="11.1" customHeight="1" x14ac:dyDescent="0.25">
      <c r="N216" s="50" t="s">
        <v>318</v>
      </c>
      <c r="O216" s="64">
        <v>995.05</v>
      </c>
      <c r="Q216" s="64">
        <v>105.64</v>
      </c>
      <c r="R216" s="63">
        <v>0</v>
      </c>
      <c r="S216" s="64">
        <v>0</v>
      </c>
    </row>
    <row r="217" spans="1:19" ht="11.1" customHeight="1" x14ac:dyDescent="0.25">
      <c r="A217" s="57">
        <v>113498</v>
      </c>
      <c r="B217" s="53">
        <v>46140</v>
      </c>
      <c r="C217" s="58">
        <v>46140</v>
      </c>
      <c r="D217" s="59" t="s">
        <v>475</v>
      </c>
      <c r="E217" s="50" t="s">
        <v>313</v>
      </c>
      <c r="F217" s="57">
        <v>36</v>
      </c>
      <c r="G217" s="60">
        <v>757</v>
      </c>
      <c r="H217" s="61" t="s">
        <v>476</v>
      </c>
      <c r="I217" s="50" t="s">
        <v>477</v>
      </c>
      <c r="J217" s="50" t="s">
        <v>478</v>
      </c>
      <c r="K217" s="62">
        <v>5102</v>
      </c>
      <c r="L217" s="57">
        <v>205</v>
      </c>
      <c r="M217" s="50" t="s">
        <v>26</v>
      </c>
      <c r="N217" s="50" t="s">
        <v>317</v>
      </c>
      <c r="O217" s="64">
        <v>626.38</v>
      </c>
      <c r="P217" s="65">
        <v>12</v>
      </c>
      <c r="Q217" s="64">
        <v>75.17</v>
      </c>
      <c r="R217" s="63">
        <v>0</v>
      </c>
      <c r="S217" s="64">
        <v>0</v>
      </c>
    </row>
    <row r="218" spans="1:19" ht="11.1" customHeight="1" x14ac:dyDescent="0.25">
      <c r="A218" s="57">
        <v>113499</v>
      </c>
      <c r="B218" s="53">
        <v>46140</v>
      </c>
      <c r="C218" s="58">
        <v>46140</v>
      </c>
      <c r="D218" s="59" t="s">
        <v>475</v>
      </c>
      <c r="E218" s="50" t="s">
        <v>313</v>
      </c>
      <c r="F218" s="57">
        <v>36</v>
      </c>
      <c r="G218" s="60">
        <v>757</v>
      </c>
      <c r="H218" s="61" t="s">
        <v>476</v>
      </c>
      <c r="I218" s="50" t="s">
        <v>477</v>
      </c>
      <c r="J218" s="50" t="s">
        <v>478</v>
      </c>
      <c r="K218" s="62">
        <v>5403</v>
      </c>
      <c r="L218" s="57">
        <v>207</v>
      </c>
      <c r="M218" s="50" t="s">
        <v>26</v>
      </c>
      <c r="N218" s="50" t="s">
        <v>317</v>
      </c>
      <c r="O218" s="64">
        <v>621.70000000000005</v>
      </c>
      <c r="P218" s="65">
        <v>12</v>
      </c>
      <c r="Q218" s="64">
        <v>74.599999999999994</v>
      </c>
      <c r="R218" s="63">
        <v>0</v>
      </c>
      <c r="S218" s="64">
        <v>43.52</v>
      </c>
    </row>
    <row r="219" spans="1:19" ht="11.1" customHeight="1" x14ac:dyDescent="0.25">
      <c r="N219" s="50" t="s">
        <v>318</v>
      </c>
      <c r="O219" s="64">
        <v>839.29</v>
      </c>
      <c r="P219" s="65">
        <v>20</v>
      </c>
      <c r="Q219" s="64">
        <v>43.52</v>
      </c>
      <c r="R219" s="63">
        <v>0</v>
      </c>
      <c r="S219" s="64">
        <v>0</v>
      </c>
    </row>
    <row r="220" spans="1:19" ht="11.85" customHeight="1" x14ac:dyDescent="0.25">
      <c r="A220" s="66" t="s">
        <v>320</v>
      </c>
      <c r="B220" s="66"/>
      <c r="C220" s="66"/>
      <c r="D220" s="66"/>
      <c r="E220" s="66"/>
      <c r="F220" s="66"/>
      <c r="G220" s="66"/>
      <c r="H220" s="66"/>
    </row>
    <row r="221" spans="1:19" ht="11.1" customHeight="1" x14ac:dyDescent="0.25">
      <c r="N221" s="50" t="s">
        <v>317</v>
      </c>
      <c r="O221" s="64">
        <v>1248.08</v>
      </c>
      <c r="Q221" s="64">
        <v>149.77000000000001</v>
      </c>
      <c r="R221" s="63">
        <v>0</v>
      </c>
      <c r="S221" s="64">
        <v>43.52</v>
      </c>
    </row>
    <row r="222" spans="1:19" ht="11.1" customHeight="1" x14ac:dyDescent="0.25">
      <c r="N222" s="50" t="s">
        <v>318</v>
      </c>
      <c r="O222" s="64">
        <v>839.29</v>
      </c>
      <c r="Q222" s="64">
        <v>43.52</v>
      </c>
      <c r="R222" s="63">
        <v>0</v>
      </c>
      <c r="S222" s="64">
        <v>0</v>
      </c>
    </row>
    <row r="223" spans="1:19" ht="11.1" customHeight="1" x14ac:dyDescent="0.25">
      <c r="A223" s="57">
        <v>113506</v>
      </c>
      <c r="B223" s="53">
        <v>46140</v>
      </c>
      <c r="C223" s="58">
        <v>46140</v>
      </c>
      <c r="D223" s="59" t="s">
        <v>479</v>
      </c>
      <c r="E223" s="50" t="s">
        <v>313</v>
      </c>
      <c r="F223" s="57">
        <v>36</v>
      </c>
      <c r="G223" s="60">
        <v>504</v>
      </c>
      <c r="H223" s="61" t="s">
        <v>480</v>
      </c>
      <c r="I223" s="50" t="s">
        <v>481</v>
      </c>
      <c r="J223" s="50" t="s">
        <v>482</v>
      </c>
      <c r="K223" s="62">
        <v>5102</v>
      </c>
      <c r="L223" s="57">
        <v>205</v>
      </c>
      <c r="M223" s="50" t="s">
        <v>26</v>
      </c>
      <c r="N223" s="50" t="s">
        <v>317</v>
      </c>
      <c r="O223" s="64">
        <v>530.51</v>
      </c>
      <c r="P223" s="65">
        <v>12</v>
      </c>
      <c r="Q223" s="64">
        <v>63.66</v>
      </c>
      <c r="R223" s="63">
        <v>0</v>
      </c>
      <c r="S223" s="64">
        <v>0</v>
      </c>
    </row>
    <row r="224" spans="1:19" ht="11.85" customHeight="1" x14ac:dyDescent="0.25">
      <c r="A224" s="66" t="s">
        <v>320</v>
      </c>
      <c r="B224" s="66"/>
      <c r="C224" s="66"/>
      <c r="D224" s="66"/>
      <c r="E224" s="66"/>
      <c r="F224" s="66"/>
      <c r="G224" s="66"/>
      <c r="H224" s="66"/>
    </row>
    <row r="225" spans="1:19" ht="11.1" customHeight="1" x14ac:dyDescent="0.25">
      <c r="N225" s="50" t="s">
        <v>317</v>
      </c>
      <c r="O225" s="64">
        <v>530.51</v>
      </c>
      <c r="Q225" s="64">
        <v>63.66</v>
      </c>
      <c r="R225" s="63">
        <v>0</v>
      </c>
      <c r="S225" s="64">
        <v>0</v>
      </c>
    </row>
    <row r="226" spans="1:19" ht="11.1" customHeight="1" x14ac:dyDescent="0.25">
      <c r="A226" s="57">
        <v>113341</v>
      </c>
      <c r="B226" s="53">
        <v>46135</v>
      </c>
      <c r="C226" s="58">
        <v>46135</v>
      </c>
      <c r="D226" s="59" t="s">
        <v>483</v>
      </c>
      <c r="E226" s="50" t="s">
        <v>313</v>
      </c>
      <c r="F226" s="57">
        <v>36</v>
      </c>
      <c r="G226" s="60">
        <v>252</v>
      </c>
      <c r="H226" s="61" t="s">
        <v>484</v>
      </c>
      <c r="I226" s="50" t="s">
        <v>485</v>
      </c>
      <c r="J226" s="50" t="s">
        <v>486</v>
      </c>
      <c r="K226" s="62">
        <v>5403</v>
      </c>
      <c r="L226" s="57">
        <v>207</v>
      </c>
      <c r="M226" s="50" t="s">
        <v>26</v>
      </c>
      <c r="N226" s="50" t="s">
        <v>317</v>
      </c>
      <c r="O226" s="64">
        <v>160.36000000000001</v>
      </c>
      <c r="P226" s="65">
        <v>12</v>
      </c>
      <c r="Q226" s="64">
        <v>19.239999999999998</v>
      </c>
      <c r="R226" s="63">
        <v>0</v>
      </c>
      <c r="S226" s="64">
        <v>9.14</v>
      </c>
    </row>
    <row r="227" spans="1:19" ht="11.1" customHeight="1" x14ac:dyDescent="0.25">
      <c r="N227" s="50" t="s">
        <v>318</v>
      </c>
      <c r="O227" s="64">
        <v>206.05</v>
      </c>
      <c r="P227" s="65">
        <v>20</v>
      </c>
      <c r="Q227" s="64">
        <v>9.14</v>
      </c>
      <c r="R227" s="63">
        <v>0</v>
      </c>
      <c r="S227" s="64">
        <v>0</v>
      </c>
    </row>
    <row r="228" spans="1:19" ht="11.1" customHeight="1" x14ac:dyDescent="0.25">
      <c r="A228" s="57">
        <v>113342</v>
      </c>
      <c r="B228" s="53">
        <v>46135</v>
      </c>
      <c r="C228" s="58">
        <v>46135</v>
      </c>
      <c r="D228" s="59" t="s">
        <v>487</v>
      </c>
      <c r="E228" s="50" t="s">
        <v>313</v>
      </c>
      <c r="F228" s="57">
        <v>36</v>
      </c>
      <c r="G228" s="60">
        <v>252</v>
      </c>
      <c r="H228" s="61" t="s">
        <v>484</v>
      </c>
      <c r="I228" s="50" t="s">
        <v>485</v>
      </c>
      <c r="J228" s="50" t="s">
        <v>486</v>
      </c>
      <c r="K228" s="62">
        <v>5102</v>
      </c>
      <c r="L228" s="57">
        <v>205</v>
      </c>
      <c r="M228" s="50" t="s">
        <v>26</v>
      </c>
      <c r="N228" s="50" t="s">
        <v>317</v>
      </c>
      <c r="O228" s="64">
        <v>1505.66</v>
      </c>
      <c r="P228" s="65">
        <v>12</v>
      </c>
      <c r="Q228" s="64">
        <v>180.68</v>
      </c>
      <c r="R228" s="63">
        <v>0</v>
      </c>
      <c r="S228" s="64">
        <v>0</v>
      </c>
    </row>
    <row r="229" spans="1:19" ht="11.1" customHeight="1" x14ac:dyDescent="0.25">
      <c r="A229" s="57">
        <v>113343</v>
      </c>
      <c r="B229" s="53">
        <v>46135</v>
      </c>
      <c r="C229" s="58">
        <v>46135</v>
      </c>
      <c r="D229" s="59" t="s">
        <v>487</v>
      </c>
      <c r="E229" s="50" t="s">
        <v>313</v>
      </c>
      <c r="F229" s="57">
        <v>36</v>
      </c>
      <c r="G229" s="60">
        <v>252</v>
      </c>
      <c r="H229" s="61" t="s">
        <v>484</v>
      </c>
      <c r="I229" s="50" t="s">
        <v>485</v>
      </c>
      <c r="J229" s="50" t="s">
        <v>486</v>
      </c>
      <c r="K229" s="62">
        <v>5403</v>
      </c>
      <c r="L229" s="57">
        <v>207</v>
      </c>
      <c r="M229" s="50" t="s">
        <v>26</v>
      </c>
      <c r="N229" s="50" t="s">
        <v>317</v>
      </c>
      <c r="O229" s="64">
        <v>351.58</v>
      </c>
      <c r="P229" s="65">
        <v>12</v>
      </c>
      <c r="Q229" s="64">
        <v>42.19</v>
      </c>
      <c r="R229" s="63">
        <v>0</v>
      </c>
      <c r="S229" s="64">
        <v>24.62</v>
      </c>
    </row>
    <row r="230" spans="1:19" ht="11.1" customHeight="1" x14ac:dyDescent="0.25">
      <c r="N230" s="50" t="s">
        <v>318</v>
      </c>
      <c r="O230" s="64">
        <v>474.63</v>
      </c>
      <c r="P230" s="65">
        <v>20</v>
      </c>
      <c r="Q230" s="64">
        <v>24.62</v>
      </c>
      <c r="R230" s="63">
        <v>0</v>
      </c>
      <c r="S230" s="64">
        <v>0</v>
      </c>
    </row>
    <row r="231" spans="1:19" ht="11.85" customHeight="1" x14ac:dyDescent="0.25">
      <c r="A231" s="66" t="s">
        <v>320</v>
      </c>
      <c r="B231" s="66"/>
      <c r="C231" s="66"/>
      <c r="D231" s="66"/>
      <c r="E231" s="66"/>
      <c r="F231" s="66"/>
      <c r="G231" s="66"/>
      <c r="H231" s="66"/>
    </row>
    <row r="232" spans="1:19" ht="11.1" customHeight="1" x14ac:dyDescent="0.25">
      <c r="N232" s="50" t="s">
        <v>317</v>
      </c>
      <c r="O232" s="64">
        <v>2017.6</v>
      </c>
      <c r="Q232" s="64">
        <v>242.11</v>
      </c>
      <c r="R232" s="63">
        <v>0</v>
      </c>
      <c r="S232" s="64">
        <v>33.76</v>
      </c>
    </row>
    <row r="233" spans="1:19" ht="11.1" customHeight="1" x14ac:dyDescent="0.25">
      <c r="N233" s="50" t="s">
        <v>318</v>
      </c>
      <c r="O233" s="64">
        <v>680.68</v>
      </c>
      <c r="Q233" s="64">
        <v>33.76</v>
      </c>
      <c r="R233" s="63">
        <v>0</v>
      </c>
      <c r="S233" s="64">
        <v>0</v>
      </c>
    </row>
    <row r="234" spans="1:19" ht="11.1" customHeight="1" x14ac:dyDescent="0.25">
      <c r="A234" s="57">
        <v>112684</v>
      </c>
      <c r="B234" s="53">
        <v>46119</v>
      </c>
      <c r="C234" s="58">
        <v>46119</v>
      </c>
      <c r="D234" s="59" t="s">
        <v>488</v>
      </c>
      <c r="E234" s="50" t="s">
        <v>313</v>
      </c>
      <c r="F234" s="57">
        <v>36</v>
      </c>
      <c r="G234" s="60">
        <v>427</v>
      </c>
      <c r="H234" s="61" t="s">
        <v>489</v>
      </c>
      <c r="I234" s="50" t="s">
        <v>490</v>
      </c>
      <c r="J234" s="50" t="s">
        <v>491</v>
      </c>
      <c r="K234" s="62">
        <v>5102</v>
      </c>
      <c r="L234" s="57">
        <v>205</v>
      </c>
      <c r="M234" s="50" t="s">
        <v>26</v>
      </c>
      <c r="N234" s="50" t="s">
        <v>317</v>
      </c>
      <c r="O234" s="64">
        <v>772.8</v>
      </c>
      <c r="P234" s="65">
        <v>12</v>
      </c>
      <c r="Q234" s="64">
        <v>92.74</v>
      </c>
      <c r="R234" s="63">
        <v>0</v>
      </c>
      <c r="S234" s="64">
        <v>0</v>
      </c>
    </row>
    <row r="235" spans="1:19" ht="11.1" customHeight="1" x14ac:dyDescent="0.25">
      <c r="A235" s="57">
        <v>112685</v>
      </c>
      <c r="B235" s="53">
        <v>46119</v>
      </c>
      <c r="C235" s="58">
        <v>46119</v>
      </c>
      <c r="D235" s="59" t="s">
        <v>488</v>
      </c>
      <c r="E235" s="50" t="s">
        <v>313</v>
      </c>
      <c r="F235" s="57">
        <v>36</v>
      </c>
      <c r="G235" s="60">
        <v>427</v>
      </c>
      <c r="H235" s="61" t="s">
        <v>489</v>
      </c>
      <c r="I235" s="50" t="s">
        <v>490</v>
      </c>
      <c r="J235" s="50" t="s">
        <v>491</v>
      </c>
      <c r="K235" s="62">
        <v>5403</v>
      </c>
      <c r="L235" s="57">
        <v>207</v>
      </c>
      <c r="M235" s="50" t="s">
        <v>26</v>
      </c>
      <c r="N235" s="50" t="s">
        <v>317</v>
      </c>
      <c r="O235" s="64">
        <v>1016.7</v>
      </c>
      <c r="P235" s="65">
        <v>12</v>
      </c>
      <c r="Q235" s="64">
        <v>122</v>
      </c>
      <c r="R235" s="63">
        <v>0</v>
      </c>
      <c r="S235" s="64">
        <v>71.17</v>
      </c>
    </row>
    <row r="236" spans="1:19" ht="11.1" customHeight="1" x14ac:dyDescent="0.25">
      <c r="N236" s="50" t="s">
        <v>318</v>
      </c>
      <c r="O236" s="64">
        <v>1372.55</v>
      </c>
      <c r="P236" s="65">
        <v>20</v>
      </c>
      <c r="Q236" s="64">
        <v>71.17</v>
      </c>
      <c r="R236" s="63">
        <v>0</v>
      </c>
      <c r="S236" s="64">
        <v>0</v>
      </c>
    </row>
    <row r="237" spans="1:19" ht="11.1" customHeight="1" x14ac:dyDescent="0.25">
      <c r="A237" s="57">
        <v>113612</v>
      </c>
      <c r="B237" s="53">
        <v>46142</v>
      </c>
      <c r="C237" s="58">
        <v>46142</v>
      </c>
      <c r="D237" s="59" t="s">
        <v>492</v>
      </c>
      <c r="E237" s="50" t="s">
        <v>313</v>
      </c>
      <c r="F237" s="57">
        <v>36</v>
      </c>
      <c r="G237" s="60">
        <v>427</v>
      </c>
      <c r="H237" s="61" t="s">
        <v>489</v>
      </c>
      <c r="I237" s="50" t="s">
        <v>490</v>
      </c>
      <c r="J237" s="50" t="s">
        <v>491</v>
      </c>
      <c r="K237" s="62">
        <v>5403</v>
      </c>
      <c r="L237" s="57">
        <v>207</v>
      </c>
      <c r="M237" s="50" t="s">
        <v>26</v>
      </c>
      <c r="N237" s="50" t="s">
        <v>317</v>
      </c>
      <c r="O237" s="64">
        <v>3050.1</v>
      </c>
      <c r="P237" s="65">
        <v>12</v>
      </c>
      <c r="Q237" s="64">
        <v>366.01</v>
      </c>
      <c r="R237" s="63">
        <v>0</v>
      </c>
      <c r="S237" s="64">
        <v>213.51</v>
      </c>
    </row>
    <row r="238" spans="1:19" ht="11.1" customHeight="1" x14ac:dyDescent="0.25">
      <c r="N238" s="50" t="s">
        <v>318</v>
      </c>
      <c r="O238" s="64">
        <v>4117.6400000000003</v>
      </c>
      <c r="P238" s="65">
        <v>20</v>
      </c>
      <c r="Q238" s="64">
        <v>213.51</v>
      </c>
      <c r="R238" s="63">
        <v>0</v>
      </c>
      <c r="S238" s="64">
        <v>0</v>
      </c>
    </row>
    <row r="239" spans="1:19" ht="11.85" customHeight="1" x14ac:dyDescent="0.25">
      <c r="A239" s="66" t="s">
        <v>320</v>
      </c>
      <c r="B239" s="66"/>
      <c r="C239" s="66"/>
      <c r="D239" s="66"/>
      <c r="E239" s="66"/>
      <c r="F239" s="66"/>
      <c r="G239" s="66"/>
      <c r="H239" s="66"/>
    </row>
    <row r="240" spans="1:19" ht="11.1" customHeight="1" x14ac:dyDescent="0.25">
      <c r="N240" s="50" t="s">
        <v>317</v>
      </c>
      <c r="O240" s="64">
        <v>4839.6000000000004</v>
      </c>
      <c r="Q240" s="64">
        <v>580.75</v>
      </c>
      <c r="R240" s="63">
        <v>0</v>
      </c>
      <c r="S240" s="64">
        <v>284.68</v>
      </c>
    </row>
    <row r="241" spans="1:19" ht="11.1" customHeight="1" x14ac:dyDescent="0.25">
      <c r="N241" s="50" t="s">
        <v>318</v>
      </c>
      <c r="O241" s="64">
        <v>5490.19</v>
      </c>
      <c r="Q241" s="64">
        <v>284.68</v>
      </c>
      <c r="R241" s="63">
        <v>0</v>
      </c>
      <c r="S241" s="64">
        <v>0</v>
      </c>
    </row>
    <row r="242" spans="1:19" ht="11.1" customHeight="1" x14ac:dyDescent="0.25">
      <c r="A242" s="57">
        <v>112646</v>
      </c>
      <c r="B242" s="53">
        <v>46119</v>
      </c>
      <c r="C242" s="58">
        <v>46119</v>
      </c>
      <c r="D242" s="59" t="s">
        <v>493</v>
      </c>
      <c r="E242" s="50" t="s">
        <v>313</v>
      </c>
      <c r="F242" s="57">
        <v>36</v>
      </c>
      <c r="G242" s="60">
        <v>643</v>
      </c>
      <c r="H242" s="61" t="s">
        <v>494</v>
      </c>
      <c r="I242" s="50" t="s">
        <v>495</v>
      </c>
      <c r="J242" s="50" t="s">
        <v>496</v>
      </c>
      <c r="K242" s="62">
        <v>5102</v>
      </c>
      <c r="L242" s="57">
        <v>205</v>
      </c>
      <c r="M242" s="50" t="s">
        <v>26</v>
      </c>
      <c r="N242" s="50" t="s">
        <v>317</v>
      </c>
      <c r="O242" s="64">
        <v>737.89</v>
      </c>
      <c r="P242" s="65">
        <v>12</v>
      </c>
      <c r="Q242" s="64">
        <v>88.55</v>
      </c>
      <c r="R242" s="63">
        <v>0</v>
      </c>
      <c r="S242" s="64">
        <v>0</v>
      </c>
    </row>
    <row r="243" spans="1:19" ht="11.1" customHeight="1" x14ac:dyDescent="0.25">
      <c r="A243" s="57">
        <v>112910</v>
      </c>
      <c r="B243" s="53">
        <v>46122</v>
      </c>
      <c r="C243" s="58">
        <v>46122</v>
      </c>
      <c r="D243" s="59" t="s">
        <v>497</v>
      </c>
      <c r="E243" s="50" t="s">
        <v>313</v>
      </c>
      <c r="F243" s="57">
        <v>36</v>
      </c>
      <c r="G243" s="60">
        <v>643</v>
      </c>
      <c r="H243" s="61" t="s">
        <v>494</v>
      </c>
      <c r="I243" s="50" t="s">
        <v>495</v>
      </c>
      <c r="J243" s="50" t="s">
        <v>496</v>
      </c>
      <c r="K243" s="62">
        <v>5102</v>
      </c>
      <c r="L243" s="57">
        <v>205</v>
      </c>
      <c r="M243" s="50" t="s">
        <v>26</v>
      </c>
      <c r="N243" s="50" t="s">
        <v>317</v>
      </c>
      <c r="O243" s="64">
        <v>737.89</v>
      </c>
      <c r="P243" s="65">
        <v>12</v>
      </c>
      <c r="Q243" s="64">
        <v>88.55</v>
      </c>
      <c r="R243" s="63">
        <v>0</v>
      </c>
      <c r="S243" s="64">
        <v>0</v>
      </c>
    </row>
    <row r="244" spans="1:19" ht="11.1" customHeight="1" x14ac:dyDescent="0.25">
      <c r="A244" s="57">
        <v>113079</v>
      </c>
      <c r="B244" s="53">
        <v>46127</v>
      </c>
      <c r="C244" s="58">
        <v>46127</v>
      </c>
      <c r="D244" s="59" t="s">
        <v>498</v>
      </c>
      <c r="E244" s="50" t="s">
        <v>313</v>
      </c>
      <c r="F244" s="57">
        <v>36</v>
      </c>
      <c r="G244" s="60">
        <v>643</v>
      </c>
      <c r="H244" s="61" t="s">
        <v>494</v>
      </c>
      <c r="I244" s="50" t="s">
        <v>495</v>
      </c>
      <c r="J244" s="50" t="s">
        <v>496</v>
      </c>
      <c r="K244" s="62">
        <v>5102</v>
      </c>
      <c r="L244" s="57">
        <v>205</v>
      </c>
      <c r="M244" s="50" t="s">
        <v>26</v>
      </c>
      <c r="N244" s="50" t="s">
        <v>317</v>
      </c>
      <c r="O244" s="64">
        <v>737.89</v>
      </c>
      <c r="P244" s="65">
        <v>12</v>
      </c>
      <c r="Q244" s="64">
        <v>88.55</v>
      </c>
      <c r="R244" s="63">
        <v>0</v>
      </c>
      <c r="S244" s="64">
        <v>0</v>
      </c>
    </row>
    <row r="245" spans="1:19" ht="11.1" customHeight="1" x14ac:dyDescent="0.25">
      <c r="A245" s="57">
        <v>113137</v>
      </c>
      <c r="B245" s="53">
        <v>46128</v>
      </c>
      <c r="C245" s="58">
        <v>46128</v>
      </c>
      <c r="D245" s="59" t="s">
        <v>499</v>
      </c>
      <c r="E245" s="50" t="s">
        <v>313</v>
      </c>
      <c r="F245" s="57">
        <v>36</v>
      </c>
      <c r="G245" s="60">
        <v>643</v>
      </c>
      <c r="H245" s="61" t="s">
        <v>494</v>
      </c>
      <c r="I245" s="50" t="s">
        <v>495</v>
      </c>
      <c r="J245" s="50" t="s">
        <v>496</v>
      </c>
      <c r="K245" s="62">
        <v>5102</v>
      </c>
      <c r="L245" s="57">
        <v>205</v>
      </c>
      <c r="M245" s="50" t="s">
        <v>26</v>
      </c>
      <c r="N245" s="50" t="s">
        <v>317</v>
      </c>
      <c r="O245" s="64">
        <v>737.89</v>
      </c>
      <c r="P245" s="65">
        <v>12</v>
      </c>
      <c r="Q245" s="64">
        <v>88.55</v>
      </c>
      <c r="R245" s="63">
        <v>0</v>
      </c>
      <c r="S245" s="64">
        <v>0</v>
      </c>
    </row>
    <row r="246" spans="1:19" ht="11.1" customHeight="1" x14ac:dyDescent="0.25">
      <c r="A246" s="57">
        <v>113483</v>
      </c>
      <c r="B246" s="53">
        <v>46139</v>
      </c>
      <c r="C246" s="58">
        <v>46139</v>
      </c>
      <c r="D246" s="59" t="s">
        <v>500</v>
      </c>
      <c r="E246" s="50" t="s">
        <v>313</v>
      </c>
      <c r="F246" s="57">
        <v>36</v>
      </c>
      <c r="G246" s="60">
        <v>643</v>
      </c>
      <c r="H246" s="61" t="s">
        <v>494</v>
      </c>
      <c r="I246" s="50" t="s">
        <v>495</v>
      </c>
      <c r="J246" s="50" t="s">
        <v>496</v>
      </c>
      <c r="K246" s="62">
        <v>5102</v>
      </c>
      <c r="L246" s="57">
        <v>205</v>
      </c>
      <c r="M246" s="50" t="s">
        <v>26</v>
      </c>
      <c r="N246" s="50" t="s">
        <v>317</v>
      </c>
      <c r="O246" s="64">
        <v>737.89</v>
      </c>
      <c r="P246" s="65">
        <v>12</v>
      </c>
      <c r="Q246" s="64">
        <v>88.55</v>
      </c>
      <c r="R246" s="63">
        <v>0</v>
      </c>
      <c r="S246" s="64">
        <v>0</v>
      </c>
    </row>
    <row r="247" spans="1:19" ht="11.1" customHeight="1" x14ac:dyDescent="0.25">
      <c r="A247" s="57">
        <v>113573</v>
      </c>
      <c r="B247" s="53">
        <v>46141</v>
      </c>
      <c r="C247" s="58">
        <v>46141</v>
      </c>
      <c r="D247" s="59" t="s">
        <v>501</v>
      </c>
      <c r="E247" s="50" t="s">
        <v>313</v>
      </c>
      <c r="F247" s="57">
        <v>36</v>
      </c>
      <c r="G247" s="60">
        <v>643</v>
      </c>
      <c r="H247" s="61" t="s">
        <v>494</v>
      </c>
      <c r="I247" s="50" t="s">
        <v>495</v>
      </c>
      <c r="J247" s="50" t="s">
        <v>496</v>
      </c>
      <c r="K247" s="62">
        <v>5102</v>
      </c>
      <c r="L247" s="57">
        <v>205</v>
      </c>
      <c r="M247" s="50" t="s">
        <v>26</v>
      </c>
      <c r="N247" s="50" t="s">
        <v>317</v>
      </c>
      <c r="O247" s="64">
        <v>456.28</v>
      </c>
      <c r="P247" s="65">
        <v>12</v>
      </c>
      <c r="Q247" s="64">
        <v>54.75</v>
      </c>
      <c r="R247" s="63">
        <v>0</v>
      </c>
      <c r="S247" s="64">
        <v>0</v>
      </c>
    </row>
    <row r="248" spans="1:19" ht="11.1" customHeight="1" x14ac:dyDescent="0.25">
      <c r="A248" s="57">
        <v>113574</v>
      </c>
      <c r="B248" s="53">
        <v>46141</v>
      </c>
      <c r="C248" s="58">
        <v>46141</v>
      </c>
      <c r="D248" s="59" t="s">
        <v>501</v>
      </c>
      <c r="E248" s="50" t="s">
        <v>313</v>
      </c>
      <c r="F248" s="57">
        <v>36</v>
      </c>
      <c r="G248" s="60">
        <v>643</v>
      </c>
      <c r="H248" s="61" t="s">
        <v>494</v>
      </c>
      <c r="I248" s="50" t="s">
        <v>495</v>
      </c>
      <c r="J248" s="50" t="s">
        <v>496</v>
      </c>
      <c r="K248" s="62">
        <v>5403</v>
      </c>
      <c r="L248" s="57">
        <v>207</v>
      </c>
      <c r="M248" s="50" t="s">
        <v>26</v>
      </c>
      <c r="N248" s="50" t="s">
        <v>317</v>
      </c>
      <c r="O248" s="64">
        <v>1403.07</v>
      </c>
      <c r="P248" s="65">
        <v>12</v>
      </c>
      <c r="Q248" s="64">
        <v>168.37</v>
      </c>
      <c r="R248" s="63">
        <v>0</v>
      </c>
      <c r="S248" s="64">
        <v>98.22</v>
      </c>
    </row>
    <row r="249" spans="1:19" ht="11.1" customHeight="1" x14ac:dyDescent="0.25">
      <c r="N249" s="50" t="s">
        <v>318</v>
      </c>
      <c r="O249" s="64">
        <v>1894.14</v>
      </c>
      <c r="P249" s="65">
        <v>20</v>
      </c>
      <c r="Q249" s="64">
        <v>98.22</v>
      </c>
      <c r="R249" s="63">
        <v>0</v>
      </c>
      <c r="S249" s="64">
        <v>0</v>
      </c>
    </row>
    <row r="250" spans="1:19" ht="11.85" customHeight="1" x14ac:dyDescent="0.25">
      <c r="A250" s="66" t="s">
        <v>320</v>
      </c>
      <c r="B250" s="66"/>
      <c r="C250" s="66"/>
      <c r="D250" s="66"/>
      <c r="E250" s="66"/>
      <c r="F250" s="66"/>
      <c r="G250" s="66"/>
      <c r="H250" s="66"/>
    </row>
    <row r="251" spans="1:19" ht="11.1" customHeight="1" x14ac:dyDescent="0.25">
      <c r="N251" s="50" t="s">
        <v>317</v>
      </c>
      <c r="O251" s="64">
        <v>5548.8</v>
      </c>
      <c r="Q251" s="64">
        <v>665.87</v>
      </c>
      <c r="R251" s="63">
        <v>0</v>
      </c>
      <c r="S251" s="64">
        <v>98.22</v>
      </c>
    </row>
    <row r="252" spans="1:19" ht="11.1" customHeight="1" x14ac:dyDescent="0.25">
      <c r="N252" s="50" t="s">
        <v>318</v>
      </c>
      <c r="O252" s="64">
        <v>1894.14</v>
      </c>
      <c r="Q252" s="64">
        <v>98.22</v>
      </c>
      <c r="R252" s="63">
        <v>0</v>
      </c>
      <c r="S252" s="64">
        <v>0</v>
      </c>
    </row>
    <row r="253" spans="1:19" ht="11.1" customHeight="1" x14ac:dyDescent="0.25">
      <c r="A253" s="57">
        <v>113048</v>
      </c>
      <c r="B253" s="53">
        <v>46126</v>
      </c>
      <c r="C253" s="58">
        <v>46126</v>
      </c>
      <c r="D253" s="59" t="s">
        <v>502</v>
      </c>
      <c r="E253" s="50" t="s">
        <v>313</v>
      </c>
      <c r="F253" s="57">
        <v>36</v>
      </c>
      <c r="G253" s="60">
        <v>174</v>
      </c>
      <c r="H253" s="61" t="s">
        <v>503</v>
      </c>
      <c r="I253" s="50" t="s">
        <v>504</v>
      </c>
      <c r="J253" s="50" t="s">
        <v>505</v>
      </c>
      <c r="K253" s="62">
        <v>6201</v>
      </c>
      <c r="L253" s="57">
        <v>220</v>
      </c>
      <c r="M253" s="50" t="s">
        <v>50</v>
      </c>
      <c r="N253" s="50" t="s">
        <v>317</v>
      </c>
      <c r="O253" s="64">
        <v>1835.62</v>
      </c>
      <c r="P253" s="65">
        <v>7</v>
      </c>
      <c r="Q253" s="64">
        <v>128.49</v>
      </c>
      <c r="R253" s="63">
        <v>0</v>
      </c>
      <c r="S253" s="64">
        <v>0</v>
      </c>
    </row>
    <row r="254" spans="1:19" ht="11.85" customHeight="1" x14ac:dyDescent="0.25">
      <c r="A254" s="66" t="s">
        <v>320</v>
      </c>
      <c r="B254" s="66"/>
      <c r="C254" s="66"/>
      <c r="D254" s="66"/>
      <c r="E254" s="66"/>
      <c r="F254" s="66"/>
      <c r="G254" s="66"/>
      <c r="H254" s="66"/>
    </row>
    <row r="255" spans="1:19" ht="11.1" customHeight="1" x14ac:dyDescent="0.25">
      <c r="N255" s="50" t="s">
        <v>317</v>
      </c>
      <c r="O255" s="64">
        <v>1835.62</v>
      </c>
      <c r="Q255" s="64">
        <v>128.49</v>
      </c>
      <c r="R255" s="63">
        <v>0</v>
      </c>
      <c r="S255" s="64">
        <v>0</v>
      </c>
    </row>
    <row r="256" spans="1:19" ht="11.1" customHeight="1" x14ac:dyDescent="0.25">
      <c r="A256" s="57">
        <v>113279</v>
      </c>
      <c r="B256" s="53">
        <v>46134</v>
      </c>
      <c r="C256" s="58">
        <v>46134</v>
      </c>
      <c r="D256" s="59" t="s">
        <v>506</v>
      </c>
      <c r="E256" s="50" t="s">
        <v>313</v>
      </c>
      <c r="F256" s="57">
        <v>36</v>
      </c>
      <c r="G256" s="60">
        <v>741</v>
      </c>
      <c r="H256" s="61" t="s">
        <v>507</v>
      </c>
      <c r="I256" s="50" t="s">
        <v>508</v>
      </c>
      <c r="J256" s="50" t="s">
        <v>509</v>
      </c>
      <c r="K256" s="62">
        <v>5403</v>
      </c>
      <c r="L256" s="57">
        <v>207</v>
      </c>
      <c r="M256" s="50" t="s">
        <v>26</v>
      </c>
      <c r="N256" s="50" t="s">
        <v>317</v>
      </c>
      <c r="O256" s="64">
        <v>440.3</v>
      </c>
      <c r="P256" s="65">
        <v>12</v>
      </c>
      <c r="Q256" s="64">
        <v>52.84</v>
      </c>
      <c r="R256" s="63">
        <v>0</v>
      </c>
      <c r="S256" s="64">
        <v>30.83</v>
      </c>
    </row>
    <row r="257" spans="1:19" ht="11.1" customHeight="1" x14ac:dyDescent="0.25">
      <c r="N257" s="50" t="s">
        <v>318</v>
      </c>
      <c r="O257" s="64">
        <v>594.41</v>
      </c>
      <c r="P257" s="65">
        <v>20</v>
      </c>
      <c r="Q257" s="64">
        <v>30.83</v>
      </c>
      <c r="R257" s="63">
        <v>0</v>
      </c>
      <c r="S257" s="64">
        <v>0</v>
      </c>
    </row>
    <row r="258" spans="1:19" ht="11.1" customHeight="1" x14ac:dyDescent="0.25">
      <c r="A258" s="57">
        <v>113454</v>
      </c>
      <c r="B258" s="53">
        <v>46139</v>
      </c>
      <c r="C258" s="58">
        <v>46139</v>
      </c>
      <c r="D258" s="59" t="s">
        <v>510</v>
      </c>
      <c r="E258" s="50" t="s">
        <v>313</v>
      </c>
      <c r="F258" s="57">
        <v>36</v>
      </c>
      <c r="G258" s="60">
        <v>741</v>
      </c>
      <c r="H258" s="61" t="s">
        <v>507</v>
      </c>
      <c r="I258" s="50" t="s">
        <v>508</v>
      </c>
      <c r="J258" s="50" t="s">
        <v>509</v>
      </c>
      <c r="K258" s="62">
        <v>5102</v>
      </c>
      <c r="L258" s="57">
        <v>205</v>
      </c>
      <c r="M258" s="50" t="s">
        <v>26</v>
      </c>
      <c r="N258" s="50" t="s">
        <v>317</v>
      </c>
      <c r="O258" s="64">
        <v>220.79</v>
      </c>
      <c r="P258" s="65">
        <v>12</v>
      </c>
      <c r="Q258" s="64">
        <v>26.49</v>
      </c>
      <c r="R258" s="63">
        <v>0</v>
      </c>
      <c r="S258" s="64">
        <v>0</v>
      </c>
    </row>
    <row r="259" spans="1:19" ht="11.1" customHeight="1" x14ac:dyDescent="0.25">
      <c r="A259" s="57">
        <v>113455</v>
      </c>
      <c r="B259" s="53">
        <v>46139</v>
      </c>
      <c r="C259" s="58">
        <v>46139</v>
      </c>
      <c r="D259" s="59" t="s">
        <v>510</v>
      </c>
      <c r="E259" s="50" t="s">
        <v>313</v>
      </c>
      <c r="F259" s="57">
        <v>36</v>
      </c>
      <c r="G259" s="60">
        <v>741</v>
      </c>
      <c r="H259" s="61" t="s">
        <v>507</v>
      </c>
      <c r="I259" s="50" t="s">
        <v>508</v>
      </c>
      <c r="J259" s="50" t="s">
        <v>509</v>
      </c>
      <c r="K259" s="62">
        <v>5403</v>
      </c>
      <c r="L259" s="57">
        <v>207</v>
      </c>
      <c r="M259" s="50" t="s">
        <v>26</v>
      </c>
      <c r="N259" s="50" t="s">
        <v>317</v>
      </c>
      <c r="O259" s="64">
        <v>251.6</v>
      </c>
      <c r="P259" s="65">
        <v>12</v>
      </c>
      <c r="Q259" s="64">
        <v>30.19</v>
      </c>
      <c r="R259" s="63">
        <v>0</v>
      </c>
      <c r="S259" s="64">
        <v>17.61</v>
      </c>
    </row>
    <row r="260" spans="1:19" ht="11.1" customHeight="1" x14ac:dyDescent="0.25">
      <c r="N260" s="50" t="s">
        <v>318</v>
      </c>
      <c r="O260" s="64">
        <v>339.66</v>
      </c>
      <c r="P260" s="65">
        <v>20</v>
      </c>
      <c r="Q260" s="64">
        <v>17.61</v>
      </c>
      <c r="R260" s="63">
        <v>0</v>
      </c>
      <c r="S260" s="64">
        <v>0</v>
      </c>
    </row>
    <row r="261" spans="1:19" ht="11.1" customHeight="1" x14ac:dyDescent="0.25">
      <c r="A261" s="57">
        <v>113456</v>
      </c>
      <c r="B261" s="53">
        <v>46139</v>
      </c>
      <c r="C261" s="58">
        <v>46139</v>
      </c>
      <c r="D261" s="59" t="s">
        <v>511</v>
      </c>
      <c r="E261" s="50" t="s">
        <v>313</v>
      </c>
      <c r="F261" s="57">
        <v>36</v>
      </c>
      <c r="G261" s="60">
        <v>741</v>
      </c>
      <c r="H261" s="61" t="s">
        <v>507</v>
      </c>
      <c r="I261" s="50" t="s">
        <v>508</v>
      </c>
      <c r="J261" s="50" t="s">
        <v>509</v>
      </c>
      <c r="K261" s="62">
        <v>5102</v>
      </c>
      <c r="L261" s="57">
        <v>205</v>
      </c>
      <c r="M261" s="50" t="s">
        <v>26</v>
      </c>
      <c r="N261" s="50" t="s">
        <v>317</v>
      </c>
      <c r="O261" s="64">
        <v>29.19</v>
      </c>
      <c r="P261" s="65">
        <v>12</v>
      </c>
      <c r="Q261" s="64">
        <v>3.5</v>
      </c>
      <c r="R261" s="63">
        <v>0</v>
      </c>
      <c r="S261" s="64">
        <v>0</v>
      </c>
    </row>
    <row r="262" spans="1:19" ht="11.1" customHeight="1" x14ac:dyDescent="0.25">
      <c r="A262" s="57">
        <v>113601</v>
      </c>
      <c r="B262" s="53">
        <v>46141</v>
      </c>
      <c r="C262" s="58">
        <v>46141</v>
      </c>
      <c r="D262" s="59" t="s">
        <v>512</v>
      </c>
      <c r="E262" s="50" t="s">
        <v>313</v>
      </c>
      <c r="F262" s="57">
        <v>36</v>
      </c>
      <c r="G262" s="60">
        <v>741</v>
      </c>
      <c r="H262" s="61" t="s">
        <v>507</v>
      </c>
      <c r="I262" s="50" t="s">
        <v>508</v>
      </c>
      <c r="J262" s="50" t="s">
        <v>509</v>
      </c>
      <c r="K262" s="62">
        <v>5403</v>
      </c>
      <c r="L262" s="57">
        <v>207</v>
      </c>
      <c r="M262" s="50" t="s">
        <v>26</v>
      </c>
      <c r="N262" s="50" t="s">
        <v>317</v>
      </c>
      <c r="O262" s="64">
        <v>314.5</v>
      </c>
      <c r="P262" s="65">
        <v>12</v>
      </c>
      <c r="Q262" s="64">
        <v>37.74</v>
      </c>
      <c r="R262" s="63">
        <v>0</v>
      </c>
      <c r="S262" s="64">
        <v>22.02</v>
      </c>
    </row>
    <row r="263" spans="1:19" ht="11.1" customHeight="1" x14ac:dyDescent="0.25">
      <c r="N263" s="50" t="s">
        <v>318</v>
      </c>
      <c r="O263" s="64">
        <v>424.58</v>
      </c>
      <c r="P263" s="65">
        <v>20</v>
      </c>
      <c r="Q263" s="64">
        <v>22.02</v>
      </c>
      <c r="R263" s="63">
        <v>0</v>
      </c>
      <c r="S263" s="64">
        <v>0</v>
      </c>
    </row>
    <row r="264" spans="1:19" ht="11.85" customHeight="1" x14ac:dyDescent="0.25">
      <c r="A264" s="66" t="s">
        <v>320</v>
      </c>
      <c r="B264" s="66"/>
      <c r="C264" s="66"/>
      <c r="D264" s="66"/>
      <c r="E264" s="66"/>
      <c r="F264" s="66"/>
      <c r="G264" s="66"/>
      <c r="H264" s="66"/>
    </row>
    <row r="265" spans="1:19" ht="11.1" customHeight="1" x14ac:dyDescent="0.25">
      <c r="N265" s="50" t="s">
        <v>317</v>
      </c>
      <c r="O265" s="64">
        <v>1256.3800000000001</v>
      </c>
      <c r="Q265" s="64">
        <v>150.76</v>
      </c>
      <c r="R265" s="63">
        <v>0</v>
      </c>
      <c r="S265" s="64">
        <v>70.459999999999994</v>
      </c>
    </row>
    <row r="266" spans="1:19" ht="11.1" customHeight="1" x14ac:dyDescent="0.25">
      <c r="N266" s="50" t="s">
        <v>318</v>
      </c>
      <c r="O266" s="64">
        <v>1358.65</v>
      </c>
      <c r="Q266" s="64">
        <v>70.459999999999994</v>
      </c>
      <c r="R266" s="63">
        <v>0</v>
      </c>
      <c r="S266" s="64">
        <v>0</v>
      </c>
    </row>
    <row r="267" spans="1:19" ht="11.1" customHeight="1" x14ac:dyDescent="0.25">
      <c r="A267" s="57">
        <v>113394</v>
      </c>
      <c r="B267" s="53">
        <v>46136</v>
      </c>
      <c r="C267" s="58">
        <v>46136</v>
      </c>
      <c r="D267" s="59" t="s">
        <v>513</v>
      </c>
      <c r="E267" s="50" t="s">
        <v>313</v>
      </c>
      <c r="F267" s="57">
        <v>36</v>
      </c>
      <c r="G267" s="60">
        <v>234</v>
      </c>
      <c r="H267" s="61" t="s">
        <v>514</v>
      </c>
      <c r="I267" s="50" t="s">
        <v>515</v>
      </c>
      <c r="J267" s="50" t="s">
        <v>516</v>
      </c>
      <c r="K267" s="62">
        <v>5403</v>
      </c>
      <c r="L267" s="57">
        <v>207</v>
      </c>
      <c r="M267" s="50" t="s">
        <v>26</v>
      </c>
      <c r="N267" s="50" t="s">
        <v>317</v>
      </c>
      <c r="O267" s="64">
        <v>114.84</v>
      </c>
      <c r="P267" s="65">
        <v>12</v>
      </c>
      <c r="Q267" s="64">
        <v>13.78</v>
      </c>
      <c r="R267" s="63">
        <v>0</v>
      </c>
      <c r="S267" s="64">
        <v>8.0399999999999991</v>
      </c>
    </row>
    <row r="268" spans="1:19" ht="11.1" customHeight="1" x14ac:dyDescent="0.25">
      <c r="N268" s="50" t="s">
        <v>318</v>
      </c>
      <c r="O268" s="64">
        <v>155.03</v>
      </c>
      <c r="P268" s="65">
        <v>20</v>
      </c>
      <c r="Q268" s="64">
        <v>8.0399999999999991</v>
      </c>
      <c r="R268" s="63">
        <v>0</v>
      </c>
      <c r="S268" s="64">
        <v>0</v>
      </c>
    </row>
    <row r="269" spans="1:19" ht="11.85" customHeight="1" x14ac:dyDescent="0.25">
      <c r="A269" s="66" t="s">
        <v>320</v>
      </c>
      <c r="B269" s="66"/>
      <c r="C269" s="66"/>
      <c r="D269" s="66"/>
      <c r="E269" s="66"/>
      <c r="F269" s="66"/>
      <c r="G269" s="66"/>
      <c r="H269" s="66"/>
    </row>
    <row r="270" spans="1:19" ht="11.1" customHeight="1" x14ac:dyDescent="0.25">
      <c r="N270" s="50" t="s">
        <v>317</v>
      </c>
      <c r="O270" s="64">
        <v>114.84</v>
      </c>
      <c r="Q270" s="64">
        <v>13.78</v>
      </c>
      <c r="R270" s="63">
        <v>0</v>
      </c>
      <c r="S270" s="64">
        <v>8.0399999999999991</v>
      </c>
    </row>
    <row r="271" spans="1:19" ht="11.1" customHeight="1" x14ac:dyDescent="0.25">
      <c r="N271" s="50" t="s">
        <v>318</v>
      </c>
      <c r="O271" s="64">
        <v>155.03</v>
      </c>
      <c r="Q271" s="64">
        <v>8.0399999999999991</v>
      </c>
      <c r="R271" s="63">
        <v>0</v>
      </c>
      <c r="S271" s="64">
        <v>0</v>
      </c>
    </row>
    <row r="272" spans="1:19" ht="11.1" customHeight="1" x14ac:dyDescent="0.25">
      <c r="A272" s="57">
        <v>113089</v>
      </c>
      <c r="B272" s="53">
        <v>46127</v>
      </c>
      <c r="C272" s="58">
        <v>46127</v>
      </c>
      <c r="D272" s="59" t="s">
        <v>517</v>
      </c>
      <c r="E272" s="50" t="s">
        <v>313</v>
      </c>
      <c r="F272" s="57">
        <v>36</v>
      </c>
      <c r="G272" s="60">
        <v>509</v>
      </c>
      <c r="H272" s="61" t="s">
        <v>518</v>
      </c>
      <c r="I272" s="50" t="s">
        <v>519</v>
      </c>
      <c r="J272" s="50" t="s">
        <v>520</v>
      </c>
      <c r="K272" s="62">
        <v>5102</v>
      </c>
      <c r="L272" s="57">
        <v>205</v>
      </c>
      <c r="M272" s="50" t="s">
        <v>26</v>
      </c>
      <c r="N272" s="50" t="s">
        <v>317</v>
      </c>
      <c r="O272" s="64">
        <v>113.44</v>
      </c>
      <c r="P272" s="65">
        <v>12</v>
      </c>
      <c r="Q272" s="64">
        <v>13.6</v>
      </c>
      <c r="R272" s="63">
        <v>0</v>
      </c>
      <c r="S272" s="64">
        <v>0</v>
      </c>
    </row>
    <row r="273" spans="1:19" ht="11.1" customHeight="1" x14ac:dyDescent="0.25">
      <c r="A273" s="57">
        <v>113090</v>
      </c>
      <c r="B273" s="53">
        <v>46127</v>
      </c>
      <c r="C273" s="58">
        <v>46127</v>
      </c>
      <c r="D273" s="59" t="s">
        <v>517</v>
      </c>
      <c r="E273" s="50" t="s">
        <v>313</v>
      </c>
      <c r="F273" s="57">
        <v>36</v>
      </c>
      <c r="G273" s="60">
        <v>509</v>
      </c>
      <c r="H273" s="61" t="s">
        <v>518</v>
      </c>
      <c r="I273" s="50" t="s">
        <v>519</v>
      </c>
      <c r="J273" s="50" t="s">
        <v>520</v>
      </c>
      <c r="K273" s="62">
        <v>5403</v>
      </c>
      <c r="L273" s="57">
        <v>207</v>
      </c>
      <c r="M273" s="50" t="s">
        <v>26</v>
      </c>
      <c r="N273" s="50" t="s">
        <v>317</v>
      </c>
      <c r="O273" s="64">
        <v>587.58000000000004</v>
      </c>
      <c r="P273" s="65">
        <v>12</v>
      </c>
      <c r="Q273" s="64">
        <v>70.510000000000005</v>
      </c>
      <c r="R273" s="63">
        <v>0</v>
      </c>
      <c r="S273" s="64">
        <v>0</v>
      </c>
    </row>
    <row r="274" spans="1:19" ht="11.1" customHeight="1" x14ac:dyDescent="0.25">
      <c r="A274" s="57">
        <v>113164</v>
      </c>
      <c r="B274" s="53">
        <v>46129</v>
      </c>
      <c r="C274" s="58">
        <v>46129</v>
      </c>
      <c r="D274" s="59" t="s">
        <v>521</v>
      </c>
      <c r="E274" s="50" t="s">
        <v>313</v>
      </c>
      <c r="F274" s="57">
        <v>36</v>
      </c>
      <c r="G274" s="60">
        <v>509</v>
      </c>
      <c r="H274" s="61" t="s">
        <v>518</v>
      </c>
      <c r="I274" s="50" t="s">
        <v>519</v>
      </c>
      <c r="J274" s="50" t="s">
        <v>520</v>
      </c>
      <c r="K274" s="62">
        <v>5403</v>
      </c>
      <c r="L274" s="57">
        <v>207</v>
      </c>
      <c r="M274" s="50" t="s">
        <v>26</v>
      </c>
      <c r="N274" s="50" t="s">
        <v>317</v>
      </c>
      <c r="O274" s="64">
        <v>104.65</v>
      </c>
      <c r="P274" s="65">
        <v>12</v>
      </c>
      <c r="Q274" s="64">
        <v>12.56</v>
      </c>
      <c r="R274" s="63">
        <v>0</v>
      </c>
      <c r="S274" s="64">
        <v>0</v>
      </c>
    </row>
    <row r="275" spans="1:19" ht="11.1" customHeight="1" x14ac:dyDescent="0.25">
      <c r="A275" s="57">
        <v>113195</v>
      </c>
      <c r="B275" s="53">
        <v>46129</v>
      </c>
      <c r="C275" s="58">
        <v>46129</v>
      </c>
      <c r="D275" s="59" t="s">
        <v>522</v>
      </c>
      <c r="E275" s="50" t="s">
        <v>313</v>
      </c>
      <c r="F275" s="57">
        <v>36</v>
      </c>
      <c r="G275" s="60">
        <v>509</v>
      </c>
      <c r="H275" s="61" t="s">
        <v>518</v>
      </c>
      <c r="I275" s="50" t="s">
        <v>519</v>
      </c>
      <c r="J275" s="50" t="s">
        <v>520</v>
      </c>
      <c r="K275" s="62">
        <v>5403</v>
      </c>
      <c r="L275" s="57">
        <v>207</v>
      </c>
      <c r="M275" s="50" t="s">
        <v>26</v>
      </c>
      <c r="N275" s="50" t="s">
        <v>317</v>
      </c>
      <c r="O275" s="64">
        <v>211.57</v>
      </c>
      <c r="P275" s="65">
        <v>12</v>
      </c>
      <c r="Q275" s="64">
        <v>25.39</v>
      </c>
      <c r="R275" s="63">
        <v>0</v>
      </c>
      <c r="S275" s="64">
        <v>0</v>
      </c>
    </row>
    <row r="276" spans="1:19" ht="11.85" customHeight="1" x14ac:dyDescent="0.25">
      <c r="A276" s="66" t="s">
        <v>320</v>
      </c>
      <c r="B276" s="66"/>
      <c r="C276" s="66"/>
      <c r="D276" s="66"/>
      <c r="E276" s="66"/>
      <c r="F276" s="66"/>
      <c r="G276" s="66"/>
      <c r="H276" s="66"/>
    </row>
    <row r="277" spans="1:19" ht="11.1" customHeight="1" x14ac:dyDescent="0.25">
      <c r="N277" s="50" t="s">
        <v>317</v>
      </c>
      <c r="O277" s="64">
        <v>1017.24</v>
      </c>
      <c r="Q277" s="64">
        <v>122.06</v>
      </c>
      <c r="R277" s="63">
        <v>0</v>
      </c>
      <c r="S277" s="64">
        <v>0</v>
      </c>
    </row>
    <row r="278" spans="1:19" ht="11.1" customHeight="1" x14ac:dyDescent="0.25">
      <c r="A278" s="57">
        <v>113113</v>
      </c>
      <c r="B278" s="53">
        <v>46128</v>
      </c>
      <c r="C278" s="58">
        <v>46128</v>
      </c>
      <c r="D278" s="59" t="s">
        <v>523</v>
      </c>
      <c r="E278" s="50" t="s">
        <v>313</v>
      </c>
      <c r="F278" s="57">
        <v>36</v>
      </c>
      <c r="G278" s="60">
        <v>612</v>
      </c>
      <c r="H278" s="61" t="s">
        <v>524</v>
      </c>
      <c r="I278" s="50" t="s">
        <v>525</v>
      </c>
      <c r="J278" s="50" t="s">
        <v>526</v>
      </c>
      <c r="K278" s="62">
        <v>6102</v>
      </c>
      <c r="L278" s="57">
        <v>238</v>
      </c>
      <c r="M278" s="50" t="s">
        <v>31</v>
      </c>
      <c r="N278" s="50" t="s">
        <v>317</v>
      </c>
      <c r="O278" s="64">
        <v>6400.2</v>
      </c>
      <c r="P278" s="65">
        <v>12</v>
      </c>
      <c r="Q278" s="64">
        <v>768.02</v>
      </c>
      <c r="R278" s="63">
        <v>0</v>
      </c>
      <c r="S278" s="64">
        <v>0</v>
      </c>
    </row>
    <row r="279" spans="1:19" ht="11.85" customHeight="1" x14ac:dyDescent="0.25">
      <c r="A279" s="66" t="s">
        <v>320</v>
      </c>
      <c r="B279" s="66"/>
      <c r="C279" s="66"/>
      <c r="D279" s="66"/>
      <c r="E279" s="66"/>
      <c r="F279" s="66"/>
      <c r="G279" s="66"/>
      <c r="H279" s="66"/>
    </row>
    <row r="280" spans="1:19" ht="11.1" customHeight="1" x14ac:dyDescent="0.25">
      <c r="N280" s="50" t="s">
        <v>317</v>
      </c>
      <c r="O280" s="64">
        <v>6400.2</v>
      </c>
      <c r="Q280" s="64">
        <v>768.02</v>
      </c>
      <c r="R280" s="63">
        <v>0</v>
      </c>
      <c r="S280" s="64">
        <v>0</v>
      </c>
    </row>
    <row r="281" spans="1:19" ht="11.1" customHeight="1" x14ac:dyDescent="0.25">
      <c r="A281" s="57">
        <v>112876</v>
      </c>
      <c r="B281" s="53">
        <v>46122</v>
      </c>
      <c r="C281" s="58">
        <v>46122</v>
      </c>
      <c r="D281" s="59" t="s">
        <v>527</v>
      </c>
      <c r="E281" s="50" t="s">
        <v>313</v>
      </c>
      <c r="F281" s="57">
        <v>36</v>
      </c>
      <c r="G281" s="60">
        <v>26</v>
      </c>
      <c r="H281" s="61" t="s">
        <v>528</v>
      </c>
      <c r="I281" s="50" t="s">
        <v>529</v>
      </c>
      <c r="J281" s="50" t="s">
        <v>530</v>
      </c>
      <c r="K281" s="62">
        <v>5102</v>
      </c>
      <c r="L281" s="57">
        <v>205</v>
      </c>
      <c r="M281" s="50" t="s">
        <v>26</v>
      </c>
      <c r="N281" s="50" t="s">
        <v>317</v>
      </c>
      <c r="O281" s="64">
        <v>819.15</v>
      </c>
      <c r="P281" s="65">
        <v>12</v>
      </c>
      <c r="Q281" s="64">
        <v>98.3</v>
      </c>
      <c r="R281" s="63">
        <v>0</v>
      </c>
      <c r="S281" s="64">
        <v>0</v>
      </c>
    </row>
    <row r="282" spans="1:19" ht="11.1" customHeight="1" x14ac:dyDescent="0.25">
      <c r="A282" s="57">
        <v>112877</v>
      </c>
      <c r="B282" s="53">
        <v>46122</v>
      </c>
      <c r="C282" s="58">
        <v>46122</v>
      </c>
      <c r="D282" s="59" t="s">
        <v>527</v>
      </c>
      <c r="E282" s="50" t="s">
        <v>313</v>
      </c>
      <c r="F282" s="57">
        <v>36</v>
      </c>
      <c r="G282" s="60">
        <v>26</v>
      </c>
      <c r="H282" s="61" t="s">
        <v>528</v>
      </c>
      <c r="I282" s="50" t="s">
        <v>529</v>
      </c>
      <c r="J282" s="50" t="s">
        <v>530</v>
      </c>
      <c r="K282" s="62">
        <v>5403</v>
      </c>
      <c r="L282" s="57">
        <v>207</v>
      </c>
      <c r="M282" s="50" t="s">
        <v>26</v>
      </c>
      <c r="N282" s="50" t="s">
        <v>317</v>
      </c>
      <c r="O282" s="64">
        <v>507.12</v>
      </c>
      <c r="P282" s="65">
        <v>12</v>
      </c>
      <c r="Q282" s="64">
        <v>60.85</v>
      </c>
      <c r="R282" s="63">
        <v>0</v>
      </c>
      <c r="S282" s="64">
        <v>35.49</v>
      </c>
    </row>
    <row r="283" spans="1:19" ht="11.1" customHeight="1" x14ac:dyDescent="0.25">
      <c r="N283" s="50" t="s">
        <v>318</v>
      </c>
      <c r="O283" s="64">
        <v>684.61</v>
      </c>
      <c r="P283" s="65">
        <v>20</v>
      </c>
      <c r="Q283" s="64">
        <v>35.49</v>
      </c>
      <c r="R283" s="63">
        <v>0</v>
      </c>
      <c r="S283" s="64">
        <v>0</v>
      </c>
    </row>
    <row r="284" spans="1:19" ht="11.1" customHeight="1" x14ac:dyDescent="0.25">
      <c r="A284" s="57">
        <v>113435</v>
      </c>
      <c r="B284" s="53">
        <v>46139</v>
      </c>
      <c r="C284" s="58">
        <v>46139</v>
      </c>
      <c r="D284" s="59" t="s">
        <v>531</v>
      </c>
      <c r="E284" s="50" t="s">
        <v>313</v>
      </c>
      <c r="F284" s="57">
        <v>36</v>
      </c>
      <c r="G284" s="60">
        <v>26</v>
      </c>
      <c r="H284" s="61" t="s">
        <v>528</v>
      </c>
      <c r="I284" s="50" t="s">
        <v>529</v>
      </c>
      <c r="J284" s="50" t="s">
        <v>530</v>
      </c>
      <c r="K284" s="62">
        <v>5102</v>
      </c>
      <c r="L284" s="57">
        <v>205</v>
      </c>
      <c r="M284" s="50" t="s">
        <v>26</v>
      </c>
      <c r="N284" s="50" t="s">
        <v>317</v>
      </c>
      <c r="O284" s="64">
        <v>2873.95</v>
      </c>
      <c r="P284" s="65">
        <v>12</v>
      </c>
      <c r="Q284" s="64">
        <v>344.87</v>
      </c>
      <c r="R284" s="63">
        <v>0</v>
      </c>
      <c r="S284" s="64">
        <v>0</v>
      </c>
    </row>
    <row r="285" spans="1:19" ht="11.85" customHeight="1" x14ac:dyDescent="0.25">
      <c r="A285" s="66" t="s">
        <v>320</v>
      </c>
      <c r="B285" s="66"/>
      <c r="C285" s="66"/>
      <c r="D285" s="66"/>
      <c r="E285" s="66"/>
      <c r="F285" s="66"/>
      <c r="G285" s="66"/>
      <c r="H285" s="66"/>
    </row>
    <row r="286" spans="1:19" ht="11.1" customHeight="1" x14ac:dyDescent="0.25">
      <c r="N286" s="50" t="s">
        <v>317</v>
      </c>
      <c r="O286" s="64">
        <v>4200.22</v>
      </c>
      <c r="Q286" s="64">
        <v>504.02</v>
      </c>
      <c r="R286" s="63">
        <v>0</v>
      </c>
      <c r="S286" s="64">
        <v>35.49</v>
      </c>
    </row>
    <row r="287" spans="1:19" ht="11.1" customHeight="1" x14ac:dyDescent="0.25">
      <c r="N287" s="50" t="s">
        <v>318</v>
      </c>
      <c r="O287" s="64">
        <v>684.61</v>
      </c>
      <c r="Q287" s="64">
        <v>35.49</v>
      </c>
      <c r="R287" s="63">
        <v>0</v>
      </c>
      <c r="S287" s="64">
        <v>0</v>
      </c>
    </row>
    <row r="288" spans="1:19" ht="11.1" customHeight="1" x14ac:dyDescent="0.25">
      <c r="A288" s="57">
        <v>112993</v>
      </c>
      <c r="B288" s="53">
        <v>46125</v>
      </c>
      <c r="C288" s="58">
        <v>46125</v>
      </c>
      <c r="D288" s="59" t="s">
        <v>532</v>
      </c>
      <c r="E288" s="50" t="s">
        <v>313</v>
      </c>
      <c r="F288" s="57">
        <v>36</v>
      </c>
      <c r="G288" s="60">
        <v>242</v>
      </c>
      <c r="H288" s="61" t="s">
        <v>533</v>
      </c>
      <c r="I288" s="50" t="s">
        <v>534</v>
      </c>
      <c r="J288" s="50" t="s">
        <v>535</v>
      </c>
      <c r="K288" s="62">
        <v>5403</v>
      </c>
      <c r="L288" s="57">
        <v>207</v>
      </c>
      <c r="M288" s="50" t="s">
        <v>26</v>
      </c>
      <c r="N288" s="50" t="s">
        <v>317</v>
      </c>
      <c r="O288" s="64">
        <v>1824.1</v>
      </c>
      <c r="P288" s="65">
        <v>12</v>
      </c>
      <c r="Q288" s="64">
        <v>218.89</v>
      </c>
      <c r="R288" s="63">
        <v>0</v>
      </c>
      <c r="S288" s="64">
        <v>127.69</v>
      </c>
    </row>
    <row r="289" spans="1:19" ht="11.1" customHeight="1" x14ac:dyDescent="0.25">
      <c r="N289" s="50" t="s">
        <v>318</v>
      </c>
      <c r="O289" s="64">
        <v>2462.54</v>
      </c>
      <c r="P289" s="65">
        <v>20</v>
      </c>
      <c r="Q289" s="64">
        <v>127.69</v>
      </c>
      <c r="R289" s="63">
        <v>0</v>
      </c>
      <c r="S289" s="64">
        <v>0</v>
      </c>
    </row>
    <row r="290" spans="1:19" ht="11.1" customHeight="1" x14ac:dyDescent="0.25">
      <c r="A290" s="57">
        <v>113434</v>
      </c>
      <c r="B290" s="53">
        <v>46139</v>
      </c>
      <c r="C290" s="58">
        <v>46139</v>
      </c>
      <c r="D290" s="59" t="s">
        <v>536</v>
      </c>
      <c r="E290" s="50" t="s">
        <v>313</v>
      </c>
      <c r="F290" s="57">
        <v>36</v>
      </c>
      <c r="G290" s="60">
        <v>242</v>
      </c>
      <c r="H290" s="61" t="s">
        <v>533</v>
      </c>
      <c r="I290" s="50" t="s">
        <v>534</v>
      </c>
      <c r="J290" s="50" t="s">
        <v>535</v>
      </c>
      <c r="K290" s="62">
        <v>5403</v>
      </c>
      <c r="L290" s="57">
        <v>207</v>
      </c>
      <c r="M290" s="50" t="s">
        <v>26</v>
      </c>
      <c r="N290" s="50" t="s">
        <v>317</v>
      </c>
      <c r="O290" s="64">
        <v>635.5</v>
      </c>
      <c r="P290" s="65">
        <v>12</v>
      </c>
      <c r="Q290" s="64">
        <v>76.260000000000005</v>
      </c>
      <c r="R290" s="63">
        <v>0</v>
      </c>
      <c r="S290" s="64">
        <v>44.49</v>
      </c>
    </row>
    <row r="291" spans="1:19" ht="11.1" customHeight="1" x14ac:dyDescent="0.25">
      <c r="N291" s="50" t="s">
        <v>318</v>
      </c>
      <c r="O291" s="64">
        <v>857.93</v>
      </c>
      <c r="P291" s="65">
        <v>20</v>
      </c>
      <c r="Q291" s="64">
        <v>44.49</v>
      </c>
      <c r="R291" s="63">
        <v>0</v>
      </c>
      <c r="S291" s="64">
        <v>0</v>
      </c>
    </row>
    <row r="292" spans="1:19" ht="11.85" customHeight="1" x14ac:dyDescent="0.25">
      <c r="A292" s="66" t="s">
        <v>320</v>
      </c>
      <c r="B292" s="66"/>
      <c r="C292" s="66"/>
      <c r="D292" s="66"/>
      <c r="E292" s="66"/>
      <c r="F292" s="66"/>
      <c r="G292" s="66"/>
      <c r="H292" s="66"/>
    </row>
    <row r="293" spans="1:19" ht="11.1" customHeight="1" x14ac:dyDescent="0.25">
      <c r="N293" s="50" t="s">
        <v>317</v>
      </c>
      <c r="O293" s="64">
        <v>2459.6</v>
      </c>
      <c r="Q293" s="64">
        <v>295.14999999999998</v>
      </c>
      <c r="R293" s="63">
        <v>0</v>
      </c>
      <c r="S293" s="64">
        <v>172.18</v>
      </c>
    </row>
    <row r="294" spans="1:19" ht="11.1" customHeight="1" x14ac:dyDescent="0.25">
      <c r="N294" s="50" t="s">
        <v>318</v>
      </c>
      <c r="O294" s="64">
        <v>3320.47</v>
      </c>
      <c r="Q294" s="64">
        <v>172.18</v>
      </c>
      <c r="R294" s="63">
        <v>0</v>
      </c>
      <c r="S294" s="64">
        <v>0</v>
      </c>
    </row>
    <row r="295" spans="1:19" ht="11.1" customHeight="1" x14ac:dyDescent="0.25">
      <c r="A295" s="57">
        <v>113146</v>
      </c>
      <c r="B295" s="53">
        <v>46128</v>
      </c>
      <c r="C295" s="58">
        <v>46128</v>
      </c>
      <c r="D295" s="59" t="s">
        <v>537</v>
      </c>
      <c r="E295" s="50" t="s">
        <v>313</v>
      </c>
      <c r="F295" s="57">
        <v>36</v>
      </c>
      <c r="G295" s="60">
        <v>819</v>
      </c>
      <c r="H295" s="61" t="s">
        <v>538</v>
      </c>
      <c r="I295" s="50" t="s">
        <v>539</v>
      </c>
      <c r="J295" s="50" t="s">
        <v>540</v>
      </c>
      <c r="K295" s="62">
        <v>5102</v>
      </c>
      <c r="L295" s="57">
        <v>205</v>
      </c>
      <c r="M295" s="50" t="s">
        <v>26</v>
      </c>
      <c r="N295" s="50" t="s">
        <v>317</v>
      </c>
      <c r="O295" s="64">
        <v>565</v>
      </c>
      <c r="P295" s="65">
        <v>12</v>
      </c>
      <c r="Q295" s="64">
        <v>67.8</v>
      </c>
      <c r="R295" s="63">
        <v>0</v>
      </c>
      <c r="S295" s="64">
        <v>0</v>
      </c>
    </row>
    <row r="296" spans="1:19" ht="11.85" customHeight="1" x14ac:dyDescent="0.25">
      <c r="A296" s="66" t="s">
        <v>320</v>
      </c>
      <c r="B296" s="66"/>
      <c r="C296" s="66"/>
      <c r="D296" s="66"/>
      <c r="E296" s="66"/>
      <c r="F296" s="66"/>
      <c r="G296" s="66"/>
      <c r="H296" s="66"/>
    </row>
    <row r="297" spans="1:19" ht="11.1" customHeight="1" x14ac:dyDescent="0.25">
      <c r="N297" s="50" t="s">
        <v>317</v>
      </c>
      <c r="O297" s="64">
        <v>565</v>
      </c>
      <c r="Q297" s="64">
        <v>67.8</v>
      </c>
      <c r="R297" s="63">
        <v>0</v>
      </c>
      <c r="S297" s="64">
        <v>0</v>
      </c>
    </row>
    <row r="298" spans="1:19" ht="11.1" customHeight="1" x14ac:dyDescent="0.25">
      <c r="A298" s="57">
        <v>113613</v>
      </c>
      <c r="B298" s="53">
        <v>46142</v>
      </c>
      <c r="C298" s="58">
        <v>46142</v>
      </c>
      <c r="D298" s="59" t="s">
        <v>541</v>
      </c>
      <c r="E298" s="50" t="s">
        <v>313</v>
      </c>
      <c r="F298" s="57">
        <v>36</v>
      </c>
      <c r="G298" s="60">
        <v>133</v>
      </c>
      <c r="H298" s="61" t="s">
        <v>542</v>
      </c>
      <c r="I298" s="50" t="s">
        <v>543</v>
      </c>
      <c r="J298" s="50" t="s">
        <v>544</v>
      </c>
      <c r="K298" s="62">
        <v>5102</v>
      </c>
      <c r="L298" s="57">
        <v>205</v>
      </c>
      <c r="M298" s="50" t="s">
        <v>26</v>
      </c>
      <c r="N298" s="50" t="s">
        <v>317</v>
      </c>
      <c r="O298" s="64">
        <v>3163</v>
      </c>
      <c r="P298" s="65">
        <v>12</v>
      </c>
      <c r="Q298" s="64">
        <v>379.56</v>
      </c>
      <c r="R298" s="63">
        <v>0</v>
      </c>
      <c r="S298" s="64">
        <v>0</v>
      </c>
    </row>
    <row r="299" spans="1:19" ht="11.85" customHeight="1" x14ac:dyDescent="0.25">
      <c r="A299" s="66" t="s">
        <v>320</v>
      </c>
      <c r="B299" s="66"/>
      <c r="C299" s="66"/>
      <c r="D299" s="66"/>
      <c r="E299" s="66"/>
      <c r="F299" s="66"/>
      <c r="G299" s="66"/>
      <c r="H299" s="66"/>
    </row>
    <row r="300" spans="1:19" ht="11.1" customHeight="1" x14ac:dyDescent="0.25">
      <c r="N300" s="50" t="s">
        <v>317</v>
      </c>
      <c r="O300" s="64">
        <v>3163</v>
      </c>
      <c r="Q300" s="64">
        <v>379.56</v>
      </c>
      <c r="R300" s="63">
        <v>0</v>
      </c>
      <c r="S300" s="64">
        <v>0</v>
      </c>
    </row>
    <row r="301" spans="1:19" ht="11.1" customHeight="1" x14ac:dyDescent="0.25">
      <c r="A301" s="57">
        <v>112770</v>
      </c>
      <c r="B301" s="53">
        <v>46120</v>
      </c>
      <c r="C301" s="58">
        <v>46120</v>
      </c>
      <c r="D301" s="59" t="s">
        <v>545</v>
      </c>
      <c r="E301" s="50" t="s">
        <v>313</v>
      </c>
      <c r="F301" s="57">
        <v>36</v>
      </c>
      <c r="G301" s="60">
        <v>478</v>
      </c>
      <c r="H301" s="61" t="s">
        <v>546</v>
      </c>
      <c r="I301" s="50" t="s">
        <v>547</v>
      </c>
      <c r="J301" s="50" t="s">
        <v>548</v>
      </c>
      <c r="K301" s="62">
        <v>5102</v>
      </c>
      <c r="L301" s="57">
        <v>205</v>
      </c>
      <c r="M301" s="50" t="s">
        <v>26</v>
      </c>
      <c r="N301" s="50" t="s">
        <v>317</v>
      </c>
      <c r="O301" s="64">
        <v>176.01</v>
      </c>
      <c r="P301" s="65">
        <v>12</v>
      </c>
      <c r="Q301" s="64">
        <v>21.11</v>
      </c>
      <c r="R301" s="63">
        <v>0</v>
      </c>
      <c r="S301" s="64">
        <v>0</v>
      </c>
    </row>
    <row r="302" spans="1:19" ht="11.1" customHeight="1" x14ac:dyDescent="0.25">
      <c r="A302" s="57">
        <v>112771</v>
      </c>
      <c r="B302" s="53">
        <v>46120</v>
      </c>
      <c r="C302" s="58">
        <v>46120</v>
      </c>
      <c r="D302" s="59" t="s">
        <v>545</v>
      </c>
      <c r="E302" s="50" t="s">
        <v>313</v>
      </c>
      <c r="F302" s="57">
        <v>36</v>
      </c>
      <c r="G302" s="60">
        <v>478</v>
      </c>
      <c r="H302" s="61" t="s">
        <v>546</v>
      </c>
      <c r="I302" s="50" t="s">
        <v>547</v>
      </c>
      <c r="J302" s="50" t="s">
        <v>548</v>
      </c>
      <c r="K302" s="62">
        <v>5403</v>
      </c>
      <c r="L302" s="57">
        <v>207</v>
      </c>
      <c r="M302" s="50" t="s">
        <v>26</v>
      </c>
      <c r="N302" s="50" t="s">
        <v>317</v>
      </c>
      <c r="O302" s="64">
        <v>160.08000000000001</v>
      </c>
      <c r="P302" s="65">
        <v>12</v>
      </c>
      <c r="Q302" s="64">
        <v>19.21</v>
      </c>
      <c r="R302" s="63">
        <v>0</v>
      </c>
      <c r="S302" s="64">
        <v>11.2</v>
      </c>
    </row>
    <row r="303" spans="1:19" ht="11.1" customHeight="1" x14ac:dyDescent="0.25">
      <c r="N303" s="50" t="s">
        <v>318</v>
      </c>
      <c r="O303" s="64">
        <v>216.11</v>
      </c>
      <c r="P303" s="65">
        <v>20</v>
      </c>
      <c r="Q303" s="64">
        <v>11.2</v>
      </c>
      <c r="R303" s="63">
        <v>0</v>
      </c>
      <c r="S303" s="64">
        <v>0</v>
      </c>
    </row>
    <row r="304" spans="1:19" ht="11.85" customHeight="1" x14ac:dyDescent="0.25">
      <c r="A304" s="66" t="s">
        <v>320</v>
      </c>
      <c r="B304" s="66"/>
      <c r="C304" s="66"/>
      <c r="D304" s="66"/>
      <c r="E304" s="66"/>
      <c r="F304" s="66"/>
      <c r="G304" s="66"/>
      <c r="H304" s="66"/>
    </row>
    <row r="305" spans="1:19" ht="11.1" customHeight="1" x14ac:dyDescent="0.25">
      <c r="N305" s="50" t="s">
        <v>317</v>
      </c>
      <c r="O305" s="64">
        <v>336.09</v>
      </c>
      <c r="Q305" s="64">
        <v>40.32</v>
      </c>
      <c r="R305" s="63">
        <v>0</v>
      </c>
      <c r="S305" s="64">
        <v>11.2</v>
      </c>
    </row>
    <row r="306" spans="1:19" ht="11.1" customHeight="1" x14ac:dyDescent="0.25">
      <c r="N306" s="50" t="s">
        <v>318</v>
      </c>
      <c r="O306" s="64">
        <v>216.11</v>
      </c>
      <c r="Q306" s="64">
        <v>11.2</v>
      </c>
      <c r="R306" s="63">
        <v>0</v>
      </c>
      <c r="S306" s="64">
        <v>0</v>
      </c>
    </row>
    <row r="307" spans="1:19" ht="11.1" customHeight="1" x14ac:dyDescent="0.25">
      <c r="A307" s="57">
        <v>112467</v>
      </c>
      <c r="B307" s="53">
        <v>46113</v>
      </c>
      <c r="C307" s="58">
        <v>46113</v>
      </c>
      <c r="D307" s="59" t="s">
        <v>549</v>
      </c>
      <c r="E307" s="50" t="s">
        <v>313</v>
      </c>
      <c r="F307" s="57">
        <v>36</v>
      </c>
      <c r="G307" s="60">
        <v>195</v>
      </c>
      <c r="H307" s="61" t="s">
        <v>550</v>
      </c>
      <c r="I307" s="50" t="s">
        <v>551</v>
      </c>
      <c r="J307" s="50" t="s">
        <v>552</v>
      </c>
      <c r="K307" s="62">
        <v>5102</v>
      </c>
      <c r="L307" s="57">
        <v>205</v>
      </c>
      <c r="M307" s="50" t="s">
        <v>26</v>
      </c>
      <c r="N307" s="50" t="s">
        <v>317</v>
      </c>
      <c r="O307" s="64">
        <v>610.87</v>
      </c>
      <c r="P307" s="65">
        <v>12</v>
      </c>
      <c r="Q307" s="64">
        <v>73.31</v>
      </c>
      <c r="R307" s="63">
        <v>0</v>
      </c>
      <c r="S307" s="64">
        <v>0</v>
      </c>
    </row>
    <row r="308" spans="1:19" ht="11.1" customHeight="1" x14ac:dyDescent="0.25">
      <c r="A308" s="57">
        <v>112468</v>
      </c>
      <c r="B308" s="53">
        <v>46113</v>
      </c>
      <c r="C308" s="58">
        <v>46113</v>
      </c>
      <c r="D308" s="59" t="s">
        <v>549</v>
      </c>
      <c r="E308" s="50" t="s">
        <v>313</v>
      </c>
      <c r="F308" s="57">
        <v>36</v>
      </c>
      <c r="G308" s="60">
        <v>195</v>
      </c>
      <c r="H308" s="61" t="s">
        <v>550</v>
      </c>
      <c r="I308" s="50" t="s">
        <v>551</v>
      </c>
      <c r="J308" s="50" t="s">
        <v>552</v>
      </c>
      <c r="K308" s="62">
        <v>5405</v>
      </c>
      <c r="L308" s="57">
        <v>206</v>
      </c>
      <c r="M308" s="50" t="s">
        <v>26</v>
      </c>
      <c r="N308" s="50" t="s">
        <v>317</v>
      </c>
      <c r="O308" s="64">
        <v>0</v>
      </c>
      <c r="P308" s="65">
        <v>0</v>
      </c>
      <c r="Q308" s="64">
        <v>0</v>
      </c>
      <c r="R308" s="63">
        <v>0</v>
      </c>
      <c r="S308" s="64">
        <v>32.340000000000003</v>
      </c>
    </row>
    <row r="309" spans="1:19" ht="11.1" customHeight="1" x14ac:dyDescent="0.25">
      <c r="A309" s="57">
        <v>112469</v>
      </c>
      <c r="B309" s="53">
        <v>46113</v>
      </c>
      <c r="C309" s="58">
        <v>46113</v>
      </c>
      <c r="D309" s="59" t="s">
        <v>549</v>
      </c>
      <c r="E309" s="50" t="s">
        <v>313</v>
      </c>
      <c r="F309" s="57">
        <v>36</v>
      </c>
      <c r="G309" s="60">
        <v>195</v>
      </c>
      <c r="H309" s="61" t="s">
        <v>550</v>
      </c>
      <c r="I309" s="50" t="s">
        <v>551</v>
      </c>
      <c r="J309" s="50" t="s">
        <v>552</v>
      </c>
      <c r="K309" s="62">
        <v>5403</v>
      </c>
      <c r="L309" s="57">
        <v>207</v>
      </c>
      <c r="M309" s="50" t="s">
        <v>26</v>
      </c>
      <c r="N309" s="50" t="s">
        <v>317</v>
      </c>
      <c r="O309" s="64">
        <v>2491.69</v>
      </c>
      <c r="P309" s="65">
        <v>12</v>
      </c>
      <c r="Q309" s="64">
        <v>298.99</v>
      </c>
      <c r="R309" s="63">
        <v>0</v>
      </c>
      <c r="S309" s="64">
        <v>174.4</v>
      </c>
    </row>
    <row r="310" spans="1:19" ht="11.1" customHeight="1" x14ac:dyDescent="0.25">
      <c r="N310" s="50" t="s">
        <v>318</v>
      </c>
      <c r="O310" s="64">
        <v>3363.79</v>
      </c>
      <c r="P310" s="65">
        <v>20</v>
      </c>
      <c r="Q310" s="64">
        <v>174.4</v>
      </c>
      <c r="R310" s="63">
        <v>0</v>
      </c>
      <c r="S310" s="64">
        <v>0</v>
      </c>
    </row>
    <row r="311" spans="1:19" ht="11.1" customHeight="1" x14ac:dyDescent="0.25">
      <c r="A311" s="57">
        <v>112486</v>
      </c>
      <c r="B311" s="53">
        <v>46113</v>
      </c>
      <c r="C311" s="58">
        <v>46113</v>
      </c>
      <c r="D311" s="59" t="s">
        <v>553</v>
      </c>
      <c r="E311" s="50" t="s">
        <v>313</v>
      </c>
      <c r="F311" s="57">
        <v>36</v>
      </c>
      <c r="G311" s="60">
        <v>195</v>
      </c>
      <c r="H311" s="61" t="s">
        <v>550</v>
      </c>
      <c r="I311" s="50" t="s">
        <v>551</v>
      </c>
      <c r="J311" s="50" t="s">
        <v>552</v>
      </c>
      <c r="K311" s="62">
        <v>5102</v>
      </c>
      <c r="L311" s="57">
        <v>205</v>
      </c>
      <c r="M311" s="50" t="s">
        <v>26</v>
      </c>
      <c r="N311" s="50" t="s">
        <v>317</v>
      </c>
      <c r="O311" s="64">
        <v>447.8</v>
      </c>
      <c r="P311" s="65">
        <v>12</v>
      </c>
      <c r="Q311" s="64">
        <v>53.74</v>
      </c>
      <c r="R311" s="63">
        <v>0</v>
      </c>
      <c r="S311" s="64">
        <v>0</v>
      </c>
    </row>
    <row r="312" spans="1:19" ht="11.1" customHeight="1" x14ac:dyDescent="0.25">
      <c r="A312" s="57">
        <v>112600</v>
      </c>
      <c r="B312" s="53">
        <v>46118</v>
      </c>
      <c r="C312" s="58">
        <v>46118</v>
      </c>
      <c r="D312" s="59" t="s">
        <v>554</v>
      </c>
      <c r="E312" s="50" t="s">
        <v>313</v>
      </c>
      <c r="F312" s="57">
        <v>36</v>
      </c>
      <c r="G312" s="60">
        <v>195</v>
      </c>
      <c r="H312" s="61" t="s">
        <v>550</v>
      </c>
      <c r="I312" s="50" t="s">
        <v>551</v>
      </c>
      <c r="J312" s="50" t="s">
        <v>552</v>
      </c>
      <c r="K312" s="62">
        <v>5102</v>
      </c>
      <c r="L312" s="57">
        <v>205</v>
      </c>
      <c r="M312" s="50" t="s">
        <v>26</v>
      </c>
      <c r="N312" s="50" t="s">
        <v>317</v>
      </c>
      <c r="O312" s="64">
        <v>480.09</v>
      </c>
      <c r="P312" s="65">
        <v>12</v>
      </c>
      <c r="Q312" s="64">
        <v>57.62</v>
      </c>
      <c r="R312" s="63">
        <v>0</v>
      </c>
      <c r="S312" s="64">
        <v>0</v>
      </c>
    </row>
    <row r="313" spans="1:19" ht="11.1" customHeight="1" x14ac:dyDescent="0.25">
      <c r="A313" s="57">
        <v>112601</v>
      </c>
      <c r="B313" s="53">
        <v>46118</v>
      </c>
      <c r="C313" s="58">
        <v>46118</v>
      </c>
      <c r="D313" s="59" t="s">
        <v>555</v>
      </c>
      <c r="E313" s="50" t="s">
        <v>313</v>
      </c>
      <c r="F313" s="57">
        <v>36</v>
      </c>
      <c r="G313" s="60">
        <v>195</v>
      </c>
      <c r="H313" s="61" t="s">
        <v>550</v>
      </c>
      <c r="I313" s="50" t="s">
        <v>551</v>
      </c>
      <c r="J313" s="50" t="s">
        <v>552</v>
      </c>
      <c r="K313" s="62">
        <v>5102</v>
      </c>
      <c r="L313" s="57">
        <v>205</v>
      </c>
      <c r="M313" s="50" t="s">
        <v>26</v>
      </c>
      <c r="N313" s="50" t="s">
        <v>317</v>
      </c>
      <c r="O313" s="64">
        <v>1872.48</v>
      </c>
      <c r="P313" s="65">
        <v>12</v>
      </c>
      <c r="Q313" s="64">
        <v>224.7</v>
      </c>
      <c r="R313" s="63">
        <v>0</v>
      </c>
      <c r="S313" s="64">
        <v>0</v>
      </c>
    </row>
    <row r="314" spans="1:19" ht="11.1" customHeight="1" x14ac:dyDescent="0.25">
      <c r="A314" s="57">
        <v>112602</v>
      </c>
      <c r="B314" s="53">
        <v>46118</v>
      </c>
      <c r="C314" s="58">
        <v>46118</v>
      </c>
      <c r="D314" s="59" t="s">
        <v>556</v>
      </c>
      <c r="E314" s="50" t="s">
        <v>313</v>
      </c>
      <c r="F314" s="57">
        <v>36</v>
      </c>
      <c r="G314" s="60">
        <v>195</v>
      </c>
      <c r="H314" s="61" t="s">
        <v>550</v>
      </c>
      <c r="I314" s="50" t="s">
        <v>551</v>
      </c>
      <c r="J314" s="50" t="s">
        <v>552</v>
      </c>
      <c r="K314" s="62">
        <v>5910</v>
      </c>
      <c r="L314" s="57">
        <v>208</v>
      </c>
      <c r="M314" s="50" t="s">
        <v>26</v>
      </c>
      <c r="N314" s="50" t="s">
        <v>317</v>
      </c>
      <c r="O314" s="64">
        <v>180.13</v>
      </c>
      <c r="P314" s="65">
        <v>12</v>
      </c>
      <c r="Q314" s="64">
        <v>21.62</v>
      </c>
      <c r="R314" s="63">
        <v>0</v>
      </c>
      <c r="S314" s="64">
        <v>0</v>
      </c>
    </row>
    <row r="315" spans="1:19" ht="11.1" customHeight="1" x14ac:dyDescent="0.25">
      <c r="A315" s="57">
        <v>112751</v>
      </c>
      <c r="B315" s="53">
        <v>46120</v>
      </c>
      <c r="C315" s="58">
        <v>46120</v>
      </c>
      <c r="D315" s="59" t="s">
        <v>557</v>
      </c>
      <c r="E315" s="50" t="s">
        <v>313</v>
      </c>
      <c r="F315" s="57">
        <v>36</v>
      </c>
      <c r="G315" s="60">
        <v>195</v>
      </c>
      <c r="H315" s="61" t="s">
        <v>550</v>
      </c>
      <c r="I315" s="50" t="s">
        <v>551</v>
      </c>
      <c r="J315" s="50" t="s">
        <v>552</v>
      </c>
      <c r="K315" s="62">
        <v>5910</v>
      </c>
      <c r="L315" s="57">
        <v>208</v>
      </c>
      <c r="M315" s="50" t="s">
        <v>26</v>
      </c>
      <c r="N315" s="50" t="s">
        <v>317</v>
      </c>
      <c r="O315" s="64">
        <v>96.42</v>
      </c>
      <c r="P315" s="65">
        <v>12</v>
      </c>
      <c r="Q315" s="64">
        <v>11.57</v>
      </c>
      <c r="R315" s="63">
        <v>0</v>
      </c>
      <c r="S315" s="64">
        <v>0</v>
      </c>
    </row>
    <row r="316" spans="1:19" ht="11.1" customHeight="1" x14ac:dyDescent="0.25">
      <c r="A316" s="57">
        <v>112752</v>
      </c>
      <c r="B316" s="53">
        <v>46120</v>
      </c>
      <c r="C316" s="58">
        <v>46120</v>
      </c>
      <c r="D316" s="59" t="s">
        <v>558</v>
      </c>
      <c r="E316" s="50" t="s">
        <v>313</v>
      </c>
      <c r="F316" s="57">
        <v>36</v>
      </c>
      <c r="G316" s="60">
        <v>195</v>
      </c>
      <c r="H316" s="61" t="s">
        <v>550</v>
      </c>
      <c r="I316" s="50" t="s">
        <v>551</v>
      </c>
      <c r="J316" s="50" t="s">
        <v>552</v>
      </c>
      <c r="K316" s="62">
        <v>5910</v>
      </c>
      <c r="L316" s="57">
        <v>208</v>
      </c>
      <c r="M316" s="50" t="s">
        <v>26</v>
      </c>
      <c r="N316" s="50" t="s">
        <v>317</v>
      </c>
      <c r="O316" s="64">
        <v>5778.61</v>
      </c>
      <c r="P316" s="65">
        <v>12</v>
      </c>
      <c r="Q316" s="64">
        <v>693.43</v>
      </c>
      <c r="R316" s="63">
        <v>0</v>
      </c>
      <c r="S316" s="64">
        <v>0</v>
      </c>
    </row>
    <row r="317" spans="1:19" ht="11.1" customHeight="1" x14ac:dyDescent="0.25">
      <c r="A317" s="57">
        <v>112753</v>
      </c>
      <c r="B317" s="53">
        <v>46120</v>
      </c>
      <c r="C317" s="58">
        <v>46120</v>
      </c>
      <c r="D317" s="59" t="s">
        <v>559</v>
      </c>
      <c r="E317" s="50" t="s">
        <v>313</v>
      </c>
      <c r="F317" s="57">
        <v>36</v>
      </c>
      <c r="G317" s="60">
        <v>195</v>
      </c>
      <c r="H317" s="61" t="s">
        <v>550</v>
      </c>
      <c r="I317" s="50" t="s">
        <v>551</v>
      </c>
      <c r="J317" s="50" t="s">
        <v>552</v>
      </c>
      <c r="K317" s="62">
        <v>5102</v>
      </c>
      <c r="L317" s="57">
        <v>205</v>
      </c>
      <c r="M317" s="50" t="s">
        <v>26</v>
      </c>
      <c r="N317" s="50" t="s">
        <v>317</v>
      </c>
      <c r="O317" s="64">
        <v>4217.07</v>
      </c>
      <c r="P317" s="65">
        <v>12</v>
      </c>
      <c r="Q317" s="64">
        <v>506.05</v>
      </c>
      <c r="R317" s="63">
        <v>0</v>
      </c>
      <c r="S317" s="64">
        <v>0</v>
      </c>
    </row>
    <row r="318" spans="1:19" ht="11.1" customHeight="1" x14ac:dyDescent="0.25">
      <c r="A318" s="57">
        <v>112754</v>
      </c>
      <c r="B318" s="53">
        <v>46120</v>
      </c>
      <c r="C318" s="58">
        <v>46120</v>
      </c>
      <c r="D318" s="59" t="s">
        <v>560</v>
      </c>
      <c r="E318" s="50" t="s">
        <v>313</v>
      </c>
      <c r="F318" s="57">
        <v>36</v>
      </c>
      <c r="G318" s="60">
        <v>195</v>
      </c>
      <c r="H318" s="61" t="s">
        <v>550</v>
      </c>
      <c r="I318" s="50" t="s">
        <v>551</v>
      </c>
      <c r="J318" s="50" t="s">
        <v>552</v>
      </c>
      <c r="K318" s="62">
        <v>5102</v>
      </c>
      <c r="L318" s="57">
        <v>205</v>
      </c>
      <c r="M318" s="50" t="s">
        <v>26</v>
      </c>
      <c r="N318" s="50" t="s">
        <v>317</v>
      </c>
      <c r="O318" s="64">
        <v>114.63</v>
      </c>
      <c r="P318" s="65">
        <v>12</v>
      </c>
      <c r="Q318" s="64">
        <v>13.76</v>
      </c>
      <c r="R318" s="63">
        <v>0</v>
      </c>
      <c r="S318" s="64">
        <v>0</v>
      </c>
    </row>
    <row r="319" spans="1:19" ht="11.1" customHeight="1" x14ac:dyDescent="0.25">
      <c r="A319" s="57">
        <v>112755</v>
      </c>
      <c r="B319" s="53">
        <v>46120</v>
      </c>
      <c r="C319" s="58">
        <v>46120</v>
      </c>
      <c r="D319" s="59" t="s">
        <v>560</v>
      </c>
      <c r="E319" s="50" t="s">
        <v>313</v>
      </c>
      <c r="F319" s="57">
        <v>36</v>
      </c>
      <c r="G319" s="60">
        <v>195</v>
      </c>
      <c r="H319" s="61" t="s">
        <v>550</v>
      </c>
      <c r="I319" s="50" t="s">
        <v>551</v>
      </c>
      <c r="J319" s="50" t="s">
        <v>552</v>
      </c>
      <c r="K319" s="62">
        <v>5403</v>
      </c>
      <c r="L319" s="57">
        <v>207</v>
      </c>
      <c r="M319" s="50" t="s">
        <v>26</v>
      </c>
      <c r="N319" s="50" t="s">
        <v>317</v>
      </c>
      <c r="O319" s="64">
        <v>362.59</v>
      </c>
      <c r="P319" s="65">
        <v>12</v>
      </c>
      <c r="Q319" s="64">
        <v>43.51</v>
      </c>
      <c r="R319" s="63">
        <v>0</v>
      </c>
      <c r="S319" s="64">
        <v>25.38</v>
      </c>
    </row>
    <row r="320" spans="1:19" ht="11.1" customHeight="1" x14ac:dyDescent="0.25">
      <c r="N320" s="50" t="s">
        <v>318</v>
      </c>
      <c r="O320" s="64">
        <v>489.5</v>
      </c>
      <c r="P320" s="65">
        <v>20</v>
      </c>
      <c r="Q320" s="64">
        <v>25.38</v>
      </c>
      <c r="R320" s="63">
        <v>0</v>
      </c>
      <c r="S320" s="64">
        <v>0</v>
      </c>
    </row>
    <row r="321" spans="1:19" ht="11.1" customHeight="1" x14ac:dyDescent="0.25">
      <c r="A321" s="57">
        <v>112756</v>
      </c>
      <c r="B321" s="53">
        <v>46120</v>
      </c>
      <c r="C321" s="58">
        <v>46120</v>
      </c>
      <c r="D321" s="59" t="s">
        <v>561</v>
      </c>
      <c r="E321" s="50" t="s">
        <v>313</v>
      </c>
      <c r="F321" s="57">
        <v>36</v>
      </c>
      <c r="G321" s="60">
        <v>195</v>
      </c>
      <c r="H321" s="61" t="s">
        <v>550</v>
      </c>
      <c r="I321" s="50" t="s">
        <v>551</v>
      </c>
      <c r="J321" s="50" t="s">
        <v>552</v>
      </c>
      <c r="K321" s="62">
        <v>5102</v>
      </c>
      <c r="L321" s="57">
        <v>205</v>
      </c>
      <c r="M321" s="50" t="s">
        <v>26</v>
      </c>
      <c r="N321" s="50" t="s">
        <v>317</v>
      </c>
      <c r="O321" s="64">
        <v>2743.35</v>
      </c>
      <c r="P321" s="65">
        <v>12</v>
      </c>
      <c r="Q321" s="64">
        <v>329.21</v>
      </c>
      <c r="R321" s="63">
        <v>0</v>
      </c>
      <c r="S321" s="64">
        <v>0</v>
      </c>
    </row>
    <row r="322" spans="1:19" ht="11.1" customHeight="1" x14ac:dyDescent="0.25">
      <c r="A322" s="57">
        <v>112841</v>
      </c>
      <c r="B322" s="53">
        <v>46121</v>
      </c>
      <c r="C322" s="58">
        <v>46121</v>
      </c>
      <c r="D322" s="59" t="s">
        <v>562</v>
      </c>
      <c r="E322" s="50" t="s">
        <v>313</v>
      </c>
      <c r="F322" s="57">
        <v>36</v>
      </c>
      <c r="G322" s="60">
        <v>195</v>
      </c>
      <c r="H322" s="61" t="s">
        <v>550</v>
      </c>
      <c r="I322" s="50" t="s">
        <v>551</v>
      </c>
      <c r="J322" s="50" t="s">
        <v>552</v>
      </c>
      <c r="K322" s="62">
        <v>5102</v>
      </c>
      <c r="L322" s="57">
        <v>205</v>
      </c>
      <c r="M322" s="50" t="s">
        <v>26</v>
      </c>
      <c r="N322" s="50" t="s">
        <v>317</v>
      </c>
      <c r="O322" s="64">
        <v>146.35</v>
      </c>
      <c r="P322" s="65">
        <v>12</v>
      </c>
      <c r="Q322" s="64">
        <v>17.559999999999999</v>
      </c>
      <c r="R322" s="63">
        <v>0</v>
      </c>
      <c r="S322" s="64">
        <v>0</v>
      </c>
    </row>
    <row r="323" spans="1:19" ht="11.1" customHeight="1" x14ac:dyDescent="0.25">
      <c r="A323" s="57">
        <v>112842</v>
      </c>
      <c r="B323" s="53">
        <v>46121</v>
      </c>
      <c r="C323" s="58">
        <v>46121</v>
      </c>
      <c r="D323" s="59" t="s">
        <v>562</v>
      </c>
      <c r="E323" s="50" t="s">
        <v>313</v>
      </c>
      <c r="F323" s="57">
        <v>36</v>
      </c>
      <c r="G323" s="60">
        <v>195</v>
      </c>
      <c r="H323" s="61" t="s">
        <v>550</v>
      </c>
      <c r="I323" s="50" t="s">
        <v>551</v>
      </c>
      <c r="J323" s="50" t="s">
        <v>552</v>
      </c>
      <c r="K323" s="62">
        <v>5403</v>
      </c>
      <c r="L323" s="57">
        <v>207</v>
      </c>
      <c r="M323" s="50" t="s">
        <v>26</v>
      </c>
      <c r="N323" s="50" t="s">
        <v>317</v>
      </c>
      <c r="O323" s="64">
        <v>1064.8699999999999</v>
      </c>
      <c r="P323" s="65">
        <v>12</v>
      </c>
      <c r="Q323" s="64">
        <v>127.78</v>
      </c>
      <c r="R323" s="63">
        <v>0</v>
      </c>
      <c r="S323" s="64">
        <v>74.53</v>
      </c>
    </row>
    <row r="324" spans="1:19" ht="11.1" customHeight="1" x14ac:dyDescent="0.25">
      <c r="N324" s="50" t="s">
        <v>318</v>
      </c>
      <c r="O324" s="64">
        <v>1437.59</v>
      </c>
      <c r="P324" s="65">
        <v>20</v>
      </c>
      <c r="Q324" s="64">
        <v>74.53</v>
      </c>
      <c r="R324" s="63">
        <v>0</v>
      </c>
      <c r="S324" s="64">
        <v>0</v>
      </c>
    </row>
    <row r="325" spans="1:19" ht="11.1" customHeight="1" x14ac:dyDescent="0.25">
      <c r="A325" s="57">
        <v>112843</v>
      </c>
      <c r="B325" s="53">
        <v>46121</v>
      </c>
      <c r="C325" s="58">
        <v>46121</v>
      </c>
      <c r="D325" s="59" t="s">
        <v>563</v>
      </c>
      <c r="E325" s="50" t="s">
        <v>313</v>
      </c>
      <c r="F325" s="57">
        <v>36</v>
      </c>
      <c r="G325" s="60">
        <v>195</v>
      </c>
      <c r="H325" s="61" t="s">
        <v>550</v>
      </c>
      <c r="I325" s="50" t="s">
        <v>551</v>
      </c>
      <c r="J325" s="50" t="s">
        <v>552</v>
      </c>
      <c r="K325" s="62">
        <v>5403</v>
      </c>
      <c r="L325" s="57">
        <v>207</v>
      </c>
      <c r="M325" s="50" t="s">
        <v>26</v>
      </c>
      <c r="N325" s="50" t="s">
        <v>317</v>
      </c>
      <c r="O325" s="64">
        <v>314.88</v>
      </c>
      <c r="P325" s="65">
        <v>12</v>
      </c>
      <c r="Q325" s="64">
        <v>37.79</v>
      </c>
      <c r="R325" s="63">
        <v>0</v>
      </c>
      <c r="S325" s="64">
        <v>22.04</v>
      </c>
    </row>
    <row r="326" spans="1:19" ht="11.1" customHeight="1" x14ac:dyDescent="0.25">
      <c r="N326" s="50" t="s">
        <v>318</v>
      </c>
      <c r="O326" s="64">
        <v>425.09</v>
      </c>
      <c r="P326" s="65">
        <v>20</v>
      </c>
      <c r="Q326" s="64">
        <v>22.04</v>
      </c>
      <c r="R326" s="63">
        <v>0</v>
      </c>
      <c r="S326" s="64">
        <v>0</v>
      </c>
    </row>
    <row r="327" spans="1:19" ht="11.1" customHeight="1" x14ac:dyDescent="0.25">
      <c r="A327" s="57">
        <v>112844</v>
      </c>
      <c r="B327" s="53">
        <v>46121</v>
      </c>
      <c r="C327" s="58">
        <v>46121</v>
      </c>
      <c r="D327" s="59" t="s">
        <v>564</v>
      </c>
      <c r="E327" s="50" t="s">
        <v>313</v>
      </c>
      <c r="F327" s="57">
        <v>36</v>
      </c>
      <c r="G327" s="60">
        <v>195</v>
      </c>
      <c r="H327" s="61" t="s">
        <v>550</v>
      </c>
      <c r="I327" s="50" t="s">
        <v>551</v>
      </c>
      <c r="J327" s="50" t="s">
        <v>552</v>
      </c>
      <c r="K327" s="62">
        <v>5102</v>
      </c>
      <c r="L327" s="57">
        <v>205</v>
      </c>
      <c r="M327" s="50" t="s">
        <v>26</v>
      </c>
      <c r="N327" s="50" t="s">
        <v>317</v>
      </c>
      <c r="O327" s="64">
        <v>653.21</v>
      </c>
      <c r="P327" s="65">
        <v>12</v>
      </c>
      <c r="Q327" s="64">
        <v>78.38</v>
      </c>
      <c r="R327" s="63">
        <v>0</v>
      </c>
      <c r="S327" s="64">
        <v>0</v>
      </c>
    </row>
    <row r="328" spans="1:19" ht="11.1" customHeight="1" x14ac:dyDescent="0.25">
      <c r="A328" s="57">
        <v>112961</v>
      </c>
      <c r="B328" s="53">
        <v>46125</v>
      </c>
      <c r="C328" s="58">
        <v>46125</v>
      </c>
      <c r="D328" s="59" t="s">
        <v>565</v>
      </c>
      <c r="E328" s="50" t="s">
        <v>313</v>
      </c>
      <c r="F328" s="57">
        <v>36</v>
      </c>
      <c r="G328" s="60">
        <v>195</v>
      </c>
      <c r="H328" s="61" t="s">
        <v>550</v>
      </c>
      <c r="I328" s="50" t="s">
        <v>551</v>
      </c>
      <c r="J328" s="50" t="s">
        <v>552</v>
      </c>
      <c r="K328" s="62">
        <v>5102</v>
      </c>
      <c r="L328" s="57">
        <v>205</v>
      </c>
      <c r="M328" s="50" t="s">
        <v>26</v>
      </c>
      <c r="N328" s="50" t="s">
        <v>317</v>
      </c>
      <c r="O328" s="64">
        <v>4423.5</v>
      </c>
      <c r="P328" s="65">
        <v>12</v>
      </c>
      <c r="Q328" s="64">
        <v>530.82000000000005</v>
      </c>
      <c r="R328" s="63">
        <v>0</v>
      </c>
      <c r="S328" s="64">
        <v>0</v>
      </c>
    </row>
    <row r="329" spans="1:19" ht="11.1" customHeight="1" x14ac:dyDescent="0.25">
      <c r="A329" s="57">
        <v>112962</v>
      </c>
      <c r="B329" s="53">
        <v>46125</v>
      </c>
      <c r="C329" s="58">
        <v>46125</v>
      </c>
      <c r="D329" s="59" t="s">
        <v>566</v>
      </c>
      <c r="E329" s="50" t="s">
        <v>313</v>
      </c>
      <c r="F329" s="57">
        <v>36</v>
      </c>
      <c r="G329" s="60">
        <v>195</v>
      </c>
      <c r="H329" s="61" t="s">
        <v>550</v>
      </c>
      <c r="I329" s="50" t="s">
        <v>551</v>
      </c>
      <c r="J329" s="50" t="s">
        <v>552</v>
      </c>
      <c r="K329" s="62">
        <v>5102</v>
      </c>
      <c r="L329" s="57">
        <v>205</v>
      </c>
      <c r="M329" s="50" t="s">
        <v>26</v>
      </c>
      <c r="N329" s="50" t="s">
        <v>317</v>
      </c>
      <c r="O329" s="64">
        <v>3167.75</v>
      </c>
      <c r="P329" s="65">
        <v>12</v>
      </c>
      <c r="Q329" s="64">
        <v>380.13</v>
      </c>
      <c r="R329" s="63">
        <v>0</v>
      </c>
      <c r="S329" s="64">
        <v>0</v>
      </c>
    </row>
    <row r="330" spans="1:19" ht="11.1" customHeight="1" x14ac:dyDescent="0.25">
      <c r="A330" s="57">
        <v>112963</v>
      </c>
      <c r="B330" s="53">
        <v>46125</v>
      </c>
      <c r="C330" s="58">
        <v>46125</v>
      </c>
      <c r="D330" s="59" t="s">
        <v>567</v>
      </c>
      <c r="E330" s="50" t="s">
        <v>313</v>
      </c>
      <c r="F330" s="57">
        <v>36</v>
      </c>
      <c r="G330" s="60">
        <v>195</v>
      </c>
      <c r="H330" s="61" t="s">
        <v>550</v>
      </c>
      <c r="I330" s="50" t="s">
        <v>551</v>
      </c>
      <c r="J330" s="50" t="s">
        <v>552</v>
      </c>
      <c r="K330" s="62">
        <v>5102</v>
      </c>
      <c r="L330" s="57">
        <v>205</v>
      </c>
      <c r="M330" s="50" t="s">
        <v>26</v>
      </c>
      <c r="N330" s="50" t="s">
        <v>317</v>
      </c>
      <c r="O330" s="64">
        <v>2162.75</v>
      </c>
      <c r="P330" s="65">
        <v>12</v>
      </c>
      <c r="Q330" s="64">
        <v>259.52999999999997</v>
      </c>
      <c r="R330" s="63">
        <v>0</v>
      </c>
      <c r="S330" s="64">
        <v>0</v>
      </c>
    </row>
    <row r="331" spans="1:19" ht="11.1" customHeight="1" x14ac:dyDescent="0.25">
      <c r="A331" s="57">
        <v>112970</v>
      </c>
      <c r="B331" s="53">
        <v>46125</v>
      </c>
      <c r="C331" s="58">
        <v>46125</v>
      </c>
      <c r="D331" s="59" t="s">
        <v>568</v>
      </c>
      <c r="E331" s="50" t="s">
        <v>313</v>
      </c>
      <c r="F331" s="57">
        <v>36</v>
      </c>
      <c r="G331" s="60">
        <v>195</v>
      </c>
      <c r="H331" s="61" t="s">
        <v>550</v>
      </c>
      <c r="I331" s="50" t="s">
        <v>551</v>
      </c>
      <c r="J331" s="50" t="s">
        <v>552</v>
      </c>
      <c r="K331" s="62">
        <v>5102</v>
      </c>
      <c r="L331" s="57">
        <v>205</v>
      </c>
      <c r="M331" s="50" t="s">
        <v>26</v>
      </c>
      <c r="N331" s="50" t="s">
        <v>317</v>
      </c>
      <c r="O331" s="64">
        <v>627.51</v>
      </c>
      <c r="P331" s="65">
        <v>12</v>
      </c>
      <c r="Q331" s="64">
        <v>75.3</v>
      </c>
      <c r="R331" s="63">
        <v>0</v>
      </c>
      <c r="S331" s="64">
        <v>0</v>
      </c>
    </row>
    <row r="332" spans="1:19" ht="11.1" customHeight="1" x14ac:dyDescent="0.25">
      <c r="A332" s="57">
        <v>112971</v>
      </c>
      <c r="B332" s="53">
        <v>46125</v>
      </c>
      <c r="C332" s="58">
        <v>46125</v>
      </c>
      <c r="D332" s="59" t="s">
        <v>568</v>
      </c>
      <c r="E332" s="50" t="s">
        <v>313</v>
      </c>
      <c r="F332" s="57">
        <v>36</v>
      </c>
      <c r="G332" s="60">
        <v>195</v>
      </c>
      <c r="H332" s="61" t="s">
        <v>550</v>
      </c>
      <c r="I332" s="50" t="s">
        <v>551</v>
      </c>
      <c r="J332" s="50" t="s">
        <v>552</v>
      </c>
      <c r="K332" s="62">
        <v>5403</v>
      </c>
      <c r="L332" s="57">
        <v>207</v>
      </c>
      <c r="M332" s="50" t="s">
        <v>26</v>
      </c>
      <c r="N332" s="50" t="s">
        <v>317</v>
      </c>
      <c r="O332" s="64">
        <v>318.06</v>
      </c>
      <c r="P332" s="65">
        <v>12</v>
      </c>
      <c r="Q332" s="64">
        <v>38.17</v>
      </c>
      <c r="R332" s="63">
        <v>0</v>
      </c>
      <c r="S332" s="64">
        <v>22.25</v>
      </c>
    </row>
    <row r="333" spans="1:19" ht="11.1" customHeight="1" x14ac:dyDescent="0.25">
      <c r="N333" s="50" t="s">
        <v>318</v>
      </c>
      <c r="O333" s="64">
        <v>429.39</v>
      </c>
      <c r="P333" s="65">
        <v>20</v>
      </c>
      <c r="Q333" s="64">
        <v>22.25</v>
      </c>
      <c r="R333" s="63">
        <v>0</v>
      </c>
      <c r="S333" s="64">
        <v>0</v>
      </c>
    </row>
    <row r="334" spans="1:19" ht="11.1" customHeight="1" x14ac:dyDescent="0.25">
      <c r="A334" s="57">
        <v>113040</v>
      </c>
      <c r="B334" s="53">
        <v>46126</v>
      </c>
      <c r="C334" s="58">
        <v>46126</v>
      </c>
      <c r="D334" s="59" t="s">
        <v>569</v>
      </c>
      <c r="E334" s="50" t="s">
        <v>313</v>
      </c>
      <c r="F334" s="57">
        <v>36</v>
      </c>
      <c r="G334" s="60">
        <v>195</v>
      </c>
      <c r="H334" s="61" t="s">
        <v>550</v>
      </c>
      <c r="I334" s="50" t="s">
        <v>551</v>
      </c>
      <c r="J334" s="50" t="s">
        <v>552</v>
      </c>
      <c r="K334" s="62">
        <v>5102</v>
      </c>
      <c r="L334" s="57">
        <v>205</v>
      </c>
      <c r="M334" s="50" t="s">
        <v>26</v>
      </c>
      <c r="N334" s="50" t="s">
        <v>317</v>
      </c>
      <c r="O334" s="64">
        <v>1513.41</v>
      </c>
      <c r="P334" s="65">
        <v>12</v>
      </c>
      <c r="Q334" s="64">
        <v>181.59</v>
      </c>
      <c r="R334" s="63">
        <v>0</v>
      </c>
      <c r="S334" s="64">
        <v>0</v>
      </c>
    </row>
    <row r="335" spans="1:19" ht="11.1" customHeight="1" x14ac:dyDescent="0.25">
      <c r="A335" s="57">
        <v>113041</v>
      </c>
      <c r="B335" s="53">
        <v>46126</v>
      </c>
      <c r="C335" s="58">
        <v>46126</v>
      </c>
      <c r="D335" s="59" t="s">
        <v>569</v>
      </c>
      <c r="E335" s="50" t="s">
        <v>313</v>
      </c>
      <c r="F335" s="57">
        <v>36</v>
      </c>
      <c r="G335" s="60">
        <v>195</v>
      </c>
      <c r="H335" s="61" t="s">
        <v>550</v>
      </c>
      <c r="I335" s="50" t="s">
        <v>551</v>
      </c>
      <c r="J335" s="50" t="s">
        <v>552</v>
      </c>
      <c r="K335" s="62">
        <v>5403</v>
      </c>
      <c r="L335" s="57">
        <v>207</v>
      </c>
      <c r="M335" s="50" t="s">
        <v>26</v>
      </c>
      <c r="N335" s="50" t="s">
        <v>317</v>
      </c>
      <c r="O335" s="64">
        <v>999.02</v>
      </c>
      <c r="P335" s="65">
        <v>12</v>
      </c>
      <c r="Q335" s="64">
        <v>119.89</v>
      </c>
      <c r="R335" s="63">
        <v>0</v>
      </c>
      <c r="S335" s="64">
        <v>69.930000000000007</v>
      </c>
    </row>
    <row r="336" spans="1:19" ht="11.1" customHeight="1" x14ac:dyDescent="0.25">
      <c r="N336" s="50" t="s">
        <v>318</v>
      </c>
      <c r="O336" s="64">
        <v>1348.68</v>
      </c>
      <c r="P336" s="65">
        <v>20</v>
      </c>
      <c r="Q336" s="64">
        <v>69.930000000000007</v>
      </c>
      <c r="R336" s="63">
        <v>0</v>
      </c>
      <c r="S336" s="64">
        <v>0</v>
      </c>
    </row>
    <row r="337" spans="1:19" ht="11.1" customHeight="1" x14ac:dyDescent="0.25">
      <c r="A337" s="57">
        <v>113094</v>
      </c>
      <c r="B337" s="53">
        <v>46127</v>
      </c>
      <c r="C337" s="58">
        <v>46127</v>
      </c>
      <c r="D337" s="59" t="s">
        <v>570</v>
      </c>
      <c r="E337" s="50" t="s">
        <v>313</v>
      </c>
      <c r="F337" s="57">
        <v>36</v>
      </c>
      <c r="G337" s="60">
        <v>195</v>
      </c>
      <c r="H337" s="61" t="s">
        <v>550</v>
      </c>
      <c r="I337" s="50" t="s">
        <v>551</v>
      </c>
      <c r="J337" s="50" t="s">
        <v>552</v>
      </c>
      <c r="K337" s="62">
        <v>5102</v>
      </c>
      <c r="L337" s="57">
        <v>205</v>
      </c>
      <c r="M337" s="50" t="s">
        <v>26</v>
      </c>
      <c r="N337" s="50" t="s">
        <v>317</v>
      </c>
      <c r="O337" s="64">
        <v>2241.14</v>
      </c>
      <c r="P337" s="65">
        <v>12</v>
      </c>
      <c r="Q337" s="64">
        <v>268.94</v>
      </c>
      <c r="R337" s="63">
        <v>0</v>
      </c>
      <c r="S337" s="64">
        <v>0</v>
      </c>
    </row>
    <row r="338" spans="1:19" ht="11.1" customHeight="1" x14ac:dyDescent="0.25">
      <c r="A338" s="57">
        <v>113095</v>
      </c>
      <c r="B338" s="53">
        <v>46127</v>
      </c>
      <c r="C338" s="58">
        <v>46127</v>
      </c>
      <c r="D338" s="59" t="s">
        <v>570</v>
      </c>
      <c r="E338" s="50" t="s">
        <v>313</v>
      </c>
      <c r="F338" s="57">
        <v>36</v>
      </c>
      <c r="G338" s="60">
        <v>195</v>
      </c>
      <c r="H338" s="61" t="s">
        <v>550</v>
      </c>
      <c r="I338" s="50" t="s">
        <v>551</v>
      </c>
      <c r="J338" s="50" t="s">
        <v>552</v>
      </c>
      <c r="K338" s="62">
        <v>5403</v>
      </c>
      <c r="L338" s="57">
        <v>207</v>
      </c>
      <c r="M338" s="50" t="s">
        <v>26</v>
      </c>
      <c r="N338" s="50" t="s">
        <v>317</v>
      </c>
      <c r="O338" s="64">
        <v>2085.2199999999998</v>
      </c>
      <c r="P338" s="65">
        <v>12</v>
      </c>
      <c r="Q338" s="64">
        <v>250.21</v>
      </c>
      <c r="R338" s="63">
        <v>0</v>
      </c>
      <c r="S338" s="64">
        <v>145.96</v>
      </c>
    </row>
    <row r="339" spans="1:19" ht="11.1" customHeight="1" x14ac:dyDescent="0.25">
      <c r="N339" s="50" t="s">
        <v>318</v>
      </c>
      <c r="O339" s="64">
        <v>2815.06</v>
      </c>
      <c r="P339" s="65">
        <v>20</v>
      </c>
      <c r="Q339" s="64">
        <v>145.96</v>
      </c>
      <c r="R339" s="63">
        <v>0</v>
      </c>
      <c r="S339" s="64">
        <v>0</v>
      </c>
    </row>
    <row r="340" spans="1:19" ht="11.1" customHeight="1" x14ac:dyDescent="0.25">
      <c r="A340" s="57">
        <v>113175</v>
      </c>
      <c r="B340" s="53">
        <v>46129</v>
      </c>
      <c r="C340" s="58">
        <v>46129</v>
      </c>
      <c r="D340" s="59" t="s">
        <v>571</v>
      </c>
      <c r="E340" s="50" t="s">
        <v>313</v>
      </c>
      <c r="F340" s="57">
        <v>36</v>
      </c>
      <c r="G340" s="60">
        <v>195</v>
      </c>
      <c r="H340" s="61" t="s">
        <v>550</v>
      </c>
      <c r="I340" s="50" t="s">
        <v>551</v>
      </c>
      <c r="J340" s="50" t="s">
        <v>552</v>
      </c>
      <c r="K340" s="62">
        <v>5102</v>
      </c>
      <c r="L340" s="57">
        <v>205</v>
      </c>
      <c r="M340" s="50" t="s">
        <v>26</v>
      </c>
      <c r="N340" s="50" t="s">
        <v>317</v>
      </c>
      <c r="O340" s="64">
        <v>877.92</v>
      </c>
      <c r="P340" s="65">
        <v>12</v>
      </c>
      <c r="Q340" s="64">
        <v>105.35</v>
      </c>
      <c r="R340" s="63">
        <v>0</v>
      </c>
      <c r="S340" s="64">
        <v>0</v>
      </c>
    </row>
    <row r="341" spans="1:19" ht="11.1" customHeight="1" x14ac:dyDescent="0.25">
      <c r="A341" s="57">
        <v>113176</v>
      </c>
      <c r="B341" s="53">
        <v>46129</v>
      </c>
      <c r="C341" s="58">
        <v>46129</v>
      </c>
      <c r="D341" s="59" t="s">
        <v>571</v>
      </c>
      <c r="E341" s="50" t="s">
        <v>313</v>
      </c>
      <c r="F341" s="57">
        <v>36</v>
      </c>
      <c r="G341" s="60">
        <v>195</v>
      </c>
      <c r="H341" s="61" t="s">
        <v>550</v>
      </c>
      <c r="I341" s="50" t="s">
        <v>551</v>
      </c>
      <c r="J341" s="50" t="s">
        <v>552</v>
      </c>
      <c r="K341" s="62">
        <v>5403</v>
      </c>
      <c r="L341" s="57">
        <v>207</v>
      </c>
      <c r="M341" s="50" t="s">
        <v>26</v>
      </c>
      <c r="N341" s="50" t="s">
        <v>317</v>
      </c>
      <c r="O341" s="64">
        <v>325.98</v>
      </c>
      <c r="P341" s="65">
        <v>12</v>
      </c>
      <c r="Q341" s="64">
        <v>39.119999999999997</v>
      </c>
      <c r="R341" s="63">
        <v>0</v>
      </c>
      <c r="S341" s="64">
        <v>22.81</v>
      </c>
    </row>
    <row r="342" spans="1:19" ht="11.1" customHeight="1" x14ac:dyDescent="0.25">
      <c r="N342" s="50" t="s">
        <v>318</v>
      </c>
      <c r="O342" s="64">
        <v>440.07</v>
      </c>
      <c r="P342" s="65">
        <v>20</v>
      </c>
      <c r="Q342" s="64">
        <v>22.81</v>
      </c>
      <c r="R342" s="63">
        <v>0</v>
      </c>
      <c r="S342" s="64">
        <v>0</v>
      </c>
    </row>
    <row r="343" spans="1:19" ht="11.1" customHeight="1" x14ac:dyDescent="0.25">
      <c r="A343" s="57">
        <v>113240</v>
      </c>
      <c r="B343" s="53">
        <v>46132</v>
      </c>
      <c r="C343" s="58">
        <v>46132</v>
      </c>
      <c r="D343" s="59" t="s">
        <v>572</v>
      </c>
      <c r="E343" s="50" t="s">
        <v>313</v>
      </c>
      <c r="F343" s="57">
        <v>36</v>
      </c>
      <c r="G343" s="60">
        <v>195</v>
      </c>
      <c r="H343" s="61" t="s">
        <v>550</v>
      </c>
      <c r="I343" s="50" t="s">
        <v>551</v>
      </c>
      <c r="J343" s="50" t="s">
        <v>552</v>
      </c>
      <c r="K343" s="62">
        <v>5910</v>
      </c>
      <c r="L343" s="57">
        <v>208</v>
      </c>
      <c r="M343" s="50" t="s">
        <v>26</v>
      </c>
      <c r="N343" s="50" t="s">
        <v>317</v>
      </c>
      <c r="O343" s="64">
        <v>180.13</v>
      </c>
      <c r="P343" s="65">
        <v>12</v>
      </c>
      <c r="Q343" s="64">
        <v>21.62</v>
      </c>
      <c r="R343" s="63">
        <v>0</v>
      </c>
      <c r="S343" s="64">
        <v>0</v>
      </c>
    </row>
    <row r="344" spans="1:19" ht="11.1" customHeight="1" x14ac:dyDescent="0.25">
      <c r="A344" s="57">
        <v>113242</v>
      </c>
      <c r="B344" s="53">
        <v>46132</v>
      </c>
      <c r="C344" s="58">
        <v>46132</v>
      </c>
      <c r="D344" s="59" t="s">
        <v>573</v>
      </c>
      <c r="E344" s="50" t="s">
        <v>313</v>
      </c>
      <c r="F344" s="57">
        <v>36</v>
      </c>
      <c r="G344" s="60">
        <v>195</v>
      </c>
      <c r="H344" s="61" t="s">
        <v>550</v>
      </c>
      <c r="I344" s="50" t="s">
        <v>551</v>
      </c>
      <c r="J344" s="50" t="s">
        <v>552</v>
      </c>
      <c r="K344" s="62">
        <v>5102</v>
      </c>
      <c r="L344" s="57">
        <v>205</v>
      </c>
      <c r="M344" s="50" t="s">
        <v>26</v>
      </c>
      <c r="N344" s="50" t="s">
        <v>317</v>
      </c>
      <c r="O344" s="64">
        <v>996.85</v>
      </c>
      <c r="P344" s="65">
        <v>12</v>
      </c>
      <c r="Q344" s="64">
        <v>119.63</v>
      </c>
      <c r="R344" s="63">
        <v>0</v>
      </c>
      <c r="S344" s="64">
        <v>0</v>
      </c>
    </row>
    <row r="345" spans="1:19" ht="11.1" customHeight="1" x14ac:dyDescent="0.25">
      <c r="A345" s="57">
        <v>113243</v>
      </c>
      <c r="B345" s="53">
        <v>46132</v>
      </c>
      <c r="C345" s="58">
        <v>46132</v>
      </c>
      <c r="D345" s="59" t="s">
        <v>574</v>
      </c>
      <c r="E345" s="50" t="s">
        <v>313</v>
      </c>
      <c r="F345" s="57">
        <v>36</v>
      </c>
      <c r="G345" s="60">
        <v>195</v>
      </c>
      <c r="H345" s="61" t="s">
        <v>550</v>
      </c>
      <c r="I345" s="50" t="s">
        <v>551</v>
      </c>
      <c r="J345" s="50" t="s">
        <v>552</v>
      </c>
      <c r="K345" s="62">
        <v>5102</v>
      </c>
      <c r="L345" s="57">
        <v>205</v>
      </c>
      <c r="M345" s="50" t="s">
        <v>26</v>
      </c>
      <c r="N345" s="50" t="s">
        <v>317</v>
      </c>
      <c r="O345" s="64">
        <v>2111.14</v>
      </c>
      <c r="P345" s="65">
        <v>12</v>
      </c>
      <c r="Q345" s="64">
        <v>253.34</v>
      </c>
      <c r="R345" s="63">
        <v>0</v>
      </c>
      <c r="S345" s="64">
        <v>0</v>
      </c>
    </row>
    <row r="346" spans="1:19" ht="11.1" customHeight="1" x14ac:dyDescent="0.25">
      <c r="A346" s="57">
        <v>113244</v>
      </c>
      <c r="B346" s="53">
        <v>46132</v>
      </c>
      <c r="C346" s="58">
        <v>46132</v>
      </c>
      <c r="D346" s="59" t="s">
        <v>574</v>
      </c>
      <c r="E346" s="50" t="s">
        <v>313</v>
      </c>
      <c r="F346" s="57">
        <v>36</v>
      </c>
      <c r="G346" s="60">
        <v>195</v>
      </c>
      <c r="H346" s="61" t="s">
        <v>550</v>
      </c>
      <c r="I346" s="50" t="s">
        <v>551</v>
      </c>
      <c r="J346" s="50" t="s">
        <v>552</v>
      </c>
      <c r="K346" s="62">
        <v>5403</v>
      </c>
      <c r="L346" s="57">
        <v>207</v>
      </c>
      <c r="M346" s="50" t="s">
        <v>26</v>
      </c>
      <c r="N346" s="50" t="s">
        <v>317</v>
      </c>
      <c r="O346" s="64">
        <v>1386.96</v>
      </c>
      <c r="P346" s="65">
        <v>12</v>
      </c>
      <c r="Q346" s="64">
        <v>166.43</v>
      </c>
      <c r="R346" s="63">
        <v>0</v>
      </c>
      <c r="S346" s="64">
        <v>97.07</v>
      </c>
    </row>
    <row r="347" spans="1:19" ht="11.1" customHeight="1" x14ac:dyDescent="0.25">
      <c r="N347" s="50" t="s">
        <v>318</v>
      </c>
      <c r="O347" s="64">
        <v>1872.4</v>
      </c>
      <c r="P347" s="65">
        <v>20</v>
      </c>
      <c r="Q347" s="64">
        <v>97.07</v>
      </c>
      <c r="R347" s="63">
        <v>0</v>
      </c>
      <c r="S347" s="64">
        <v>0</v>
      </c>
    </row>
    <row r="348" spans="1:19" ht="11.1" customHeight="1" x14ac:dyDescent="0.25">
      <c r="A348" s="57">
        <v>113262</v>
      </c>
      <c r="B348" s="53">
        <v>46134</v>
      </c>
      <c r="C348" s="58">
        <v>46134</v>
      </c>
      <c r="D348" s="59" t="s">
        <v>575</v>
      </c>
      <c r="E348" s="50" t="s">
        <v>313</v>
      </c>
      <c r="F348" s="57">
        <v>36</v>
      </c>
      <c r="G348" s="60">
        <v>195</v>
      </c>
      <c r="H348" s="61" t="s">
        <v>550</v>
      </c>
      <c r="I348" s="50" t="s">
        <v>551</v>
      </c>
      <c r="J348" s="50" t="s">
        <v>552</v>
      </c>
      <c r="K348" s="62">
        <v>5102</v>
      </c>
      <c r="L348" s="57">
        <v>205</v>
      </c>
      <c r="M348" s="50" t="s">
        <v>26</v>
      </c>
      <c r="N348" s="50" t="s">
        <v>317</v>
      </c>
      <c r="O348" s="64">
        <v>175.12</v>
      </c>
      <c r="P348" s="65">
        <v>12</v>
      </c>
      <c r="Q348" s="64">
        <v>21.01</v>
      </c>
      <c r="R348" s="63">
        <v>0</v>
      </c>
      <c r="S348" s="64">
        <v>0</v>
      </c>
    </row>
    <row r="349" spans="1:19" ht="11.1" customHeight="1" x14ac:dyDescent="0.25">
      <c r="A349" s="57">
        <v>113263</v>
      </c>
      <c r="B349" s="53">
        <v>46134</v>
      </c>
      <c r="C349" s="58">
        <v>46134</v>
      </c>
      <c r="D349" s="59" t="s">
        <v>575</v>
      </c>
      <c r="E349" s="50" t="s">
        <v>313</v>
      </c>
      <c r="F349" s="57">
        <v>36</v>
      </c>
      <c r="G349" s="60">
        <v>195</v>
      </c>
      <c r="H349" s="61" t="s">
        <v>550</v>
      </c>
      <c r="I349" s="50" t="s">
        <v>551</v>
      </c>
      <c r="J349" s="50" t="s">
        <v>552</v>
      </c>
      <c r="K349" s="62">
        <v>5403</v>
      </c>
      <c r="L349" s="57">
        <v>207</v>
      </c>
      <c r="M349" s="50" t="s">
        <v>26</v>
      </c>
      <c r="N349" s="50" t="s">
        <v>317</v>
      </c>
      <c r="O349" s="64">
        <v>576.96</v>
      </c>
      <c r="P349" s="65">
        <v>12</v>
      </c>
      <c r="Q349" s="64">
        <v>69.23</v>
      </c>
      <c r="R349" s="63">
        <v>0</v>
      </c>
      <c r="S349" s="64">
        <v>40.380000000000003</v>
      </c>
    </row>
    <row r="350" spans="1:19" ht="11.1" customHeight="1" x14ac:dyDescent="0.25">
      <c r="N350" s="50" t="s">
        <v>318</v>
      </c>
      <c r="O350" s="64">
        <v>778.9</v>
      </c>
      <c r="P350" s="65">
        <v>20</v>
      </c>
      <c r="Q350" s="64">
        <v>40.380000000000003</v>
      </c>
      <c r="R350" s="63">
        <v>0</v>
      </c>
      <c r="S350" s="64">
        <v>0</v>
      </c>
    </row>
    <row r="351" spans="1:19" ht="11.1" customHeight="1" x14ac:dyDescent="0.25">
      <c r="A351" s="57">
        <v>113423</v>
      </c>
      <c r="B351" s="53">
        <v>46136</v>
      </c>
      <c r="C351" s="58">
        <v>46136</v>
      </c>
      <c r="D351" s="59" t="s">
        <v>576</v>
      </c>
      <c r="E351" s="50" t="s">
        <v>313</v>
      </c>
      <c r="F351" s="57">
        <v>36</v>
      </c>
      <c r="G351" s="60">
        <v>195</v>
      </c>
      <c r="H351" s="61" t="s">
        <v>550</v>
      </c>
      <c r="I351" s="50" t="s">
        <v>551</v>
      </c>
      <c r="J351" s="50" t="s">
        <v>552</v>
      </c>
      <c r="K351" s="62">
        <v>5102</v>
      </c>
      <c r="L351" s="57">
        <v>205</v>
      </c>
      <c r="M351" s="50" t="s">
        <v>26</v>
      </c>
      <c r="N351" s="50" t="s">
        <v>317</v>
      </c>
      <c r="O351" s="64">
        <v>16061.08</v>
      </c>
      <c r="P351" s="65">
        <v>12</v>
      </c>
      <c r="Q351" s="64">
        <v>1927.34</v>
      </c>
      <c r="R351" s="63">
        <v>0</v>
      </c>
      <c r="S351" s="64">
        <v>0</v>
      </c>
    </row>
    <row r="352" spans="1:19" ht="11.1" customHeight="1" x14ac:dyDescent="0.25">
      <c r="A352" s="57">
        <v>113424</v>
      </c>
      <c r="B352" s="53">
        <v>46136</v>
      </c>
      <c r="C352" s="58">
        <v>46136</v>
      </c>
      <c r="D352" s="59" t="s">
        <v>576</v>
      </c>
      <c r="E352" s="50" t="s">
        <v>313</v>
      </c>
      <c r="F352" s="57">
        <v>36</v>
      </c>
      <c r="G352" s="60">
        <v>195</v>
      </c>
      <c r="H352" s="61" t="s">
        <v>550</v>
      </c>
      <c r="I352" s="50" t="s">
        <v>551</v>
      </c>
      <c r="J352" s="50" t="s">
        <v>552</v>
      </c>
      <c r="K352" s="62">
        <v>5403</v>
      </c>
      <c r="L352" s="57">
        <v>207</v>
      </c>
      <c r="M352" s="50" t="s">
        <v>26</v>
      </c>
      <c r="N352" s="50" t="s">
        <v>317</v>
      </c>
      <c r="O352" s="64">
        <v>17920.5</v>
      </c>
      <c r="P352" s="65">
        <v>12</v>
      </c>
      <c r="Q352" s="64">
        <v>2150.4499999999998</v>
      </c>
      <c r="R352" s="63">
        <v>0</v>
      </c>
      <c r="S352" s="64">
        <v>1254.45</v>
      </c>
    </row>
    <row r="353" spans="1:19" ht="11.1" customHeight="1" x14ac:dyDescent="0.25">
      <c r="N353" s="50" t="s">
        <v>318</v>
      </c>
      <c r="O353" s="64">
        <v>24192.69</v>
      </c>
      <c r="P353" s="65">
        <v>20</v>
      </c>
      <c r="Q353" s="64">
        <v>1254.45</v>
      </c>
      <c r="R353" s="63">
        <v>0</v>
      </c>
      <c r="S353" s="64">
        <v>0</v>
      </c>
    </row>
    <row r="354" spans="1:19" ht="11.1" customHeight="1" x14ac:dyDescent="0.25">
      <c r="A354" s="57">
        <v>113445</v>
      </c>
      <c r="B354" s="53">
        <v>46139</v>
      </c>
      <c r="C354" s="58">
        <v>46139</v>
      </c>
      <c r="D354" s="59" t="s">
        <v>577</v>
      </c>
      <c r="E354" s="50" t="s">
        <v>313</v>
      </c>
      <c r="F354" s="57">
        <v>36</v>
      </c>
      <c r="G354" s="60">
        <v>195</v>
      </c>
      <c r="H354" s="61" t="s">
        <v>550</v>
      </c>
      <c r="I354" s="50" t="s">
        <v>551</v>
      </c>
      <c r="J354" s="50" t="s">
        <v>552</v>
      </c>
      <c r="K354" s="62">
        <v>5102</v>
      </c>
      <c r="L354" s="57">
        <v>205</v>
      </c>
      <c r="M354" s="50" t="s">
        <v>26</v>
      </c>
      <c r="N354" s="50" t="s">
        <v>317</v>
      </c>
      <c r="O354" s="64">
        <v>425.72</v>
      </c>
      <c r="P354" s="65">
        <v>12</v>
      </c>
      <c r="Q354" s="64">
        <v>51.09</v>
      </c>
      <c r="R354" s="63">
        <v>0</v>
      </c>
      <c r="S354" s="64">
        <v>0</v>
      </c>
    </row>
    <row r="355" spans="1:19" ht="11.1" customHeight="1" x14ac:dyDescent="0.25">
      <c r="A355" s="57">
        <v>113497</v>
      </c>
      <c r="B355" s="53">
        <v>46140</v>
      </c>
      <c r="C355" s="58">
        <v>46140</v>
      </c>
      <c r="D355" s="59" t="s">
        <v>578</v>
      </c>
      <c r="E355" s="50" t="s">
        <v>313</v>
      </c>
      <c r="F355" s="57">
        <v>36</v>
      </c>
      <c r="G355" s="60">
        <v>195</v>
      </c>
      <c r="H355" s="61" t="s">
        <v>550</v>
      </c>
      <c r="I355" s="50" t="s">
        <v>551</v>
      </c>
      <c r="J355" s="50" t="s">
        <v>552</v>
      </c>
      <c r="K355" s="62">
        <v>5405</v>
      </c>
      <c r="L355" s="57">
        <v>206</v>
      </c>
      <c r="M355" s="50" t="s">
        <v>26</v>
      </c>
      <c r="N355" s="50" t="s">
        <v>317</v>
      </c>
      <c r="O355" s="64">
        <v>0</v>
      </c>
      <c r="P355" s="65">
        <v>0</v>
      </c>
      <c r="Q355" s="64">
        <v>0</v>
      </c>
      <c r="R355" s="63">
        <v>0</v>
      </c>
      <c r="S355" s="64">
        <v>65.5</v>
      </c>
    </row>
    <row r="356" spans="1:19" ht="11.1" customHeight="1" x14ac:dyDescent="0.25">
      <c r="A356" s="57">
        <v>113529</v>
      </c>
      <c r="B356" s="53">
        <v>46140</v>
      </c>
      <c r="C356" s="58">
        <v>46140</v>
      </c>
      <c r="D356" s="59" t="s">
        <v>579</v>
      </c>
      <c r="E356" s="50" t="s">
        <v>313</v>
      </c>
      <c r="F356" s="57">
        <v>36</v>
      </c>
      <c r="G356" s="60">
        <v>195</v>
      </c>
      <c r="H356" s="61" t="s">
        <v>550</v>
      </c>
      <c r="I356" s="50" t="s">
        <v>551</v>
      </c>
      <c r="J356" s="50" t="s">
        <v>552</v>
      </c>
      <c r="K356" s="62">
        <v>5403</v>
      </c>
      <c r="L356" s="57">
        <v>207</v>
      </c>
      <c r="M356" s="50" t="s">
        <v>26</v>
      </c>
      <c r="N356" s="50" t="s">
        <v>317</v>
      </c>
      <c r="O356" s="64">
        <v>32.799999999999997</v>
      </c>
      <c r="P356" s="65">
        <v>12</v>
      </c>
      <c r="Q356" s="64">
        <v>3.94</v>
      </c>
      <c r="R356" s="63">
        <v>0</v>
      </c>
      <c r="S356" s="64">
        <v>2.2999999999999998</v>
      </c>
    </row>
    <row r="357" spans="1:19" ht="11.1" customHeight="1" x14ac:dyDescent="0.25">
      <c r="N357" s="50" t="s">
        <v>318</v>
      </c>
      <c r="O357" s="64">
        <v>44.28</v>
      </c>
      <c r="P357" s="65">
        <v>20</v>
      </c>
      <c r="Q357" s="64">
        <v>2.2999999999999998</v>
      </c>
      <c r="R357" s="63">
        <v>0</v>
      </c>
      <c r="S357" s="64">
        <v>0</v>
      </c>
    </row>
    <row r="358" spans="1:19" ht="11.1" customHeight="1" x14ac:dyDescent="0.25">
      <c r="A358" s="57">
        <v>113575</v>
      </c>
      <c r="B358" s="53">
        <v>46141</v>
      </c>
      <c r="C358" s="58">
        <v>46141</v>
      </c>
      <c r="D358" s="59" t="s">
        <v>580</v>
      </c>
      <c r="E358" s="50" t="s">
        <v>313</v>
      </c>
      <c r="F358" s="57">
        <v>36</v>
      </c>
      <c r="G358" s="60">
        <v>195</v>
      </c>
      <c r="H358" s="61" t="s">
        <v>550</v>
      </c>
      <c r="I358" s="50" t="s">
        <v>551</v>
      </c>
      <c r="J358" s="50" t="s">
        <v>552</v>
      </c>
      <c r="K358" s="62">
        <v>5102</v>
      </c>
      <c r="L358" s="57">
        <v>205</v>
      </c>
      <c r="M358" s="50" t="s">
        <v>26</v>
      </c>
      <c r="N358" s="50" t="s">
        <v>317</v>
      </c>
      <c r="O358" s="64">
        <v>292</v>
      </c>
      <c r="P358" s="65">
        <v>12</v>
      </c>
      <c r="Q358" s="64">
        <v>35.04</v>
      </c>
      <c r="R358" s="63">
        <v>0</v>
      </c>
      <c r="S358" s="64">
        <v>0</v>
      </c>
    </row>
    <row r="359" spans="1:19" ht="11.1" customHeight="1" x14ac:dyDescent="0.25">
      <c r="A359" s="57">
        <v>113641</v>
      </c>
      <c r="B359" s="53">
        <v>46142</v>
      </c>
      <c r="C359" s="58">
        <v>46142</v>
      </c>
      <c r="D359" s="59" t="s">
        <v>581</v>
      </c>
      <c r="E359" s="50" t="s">
        <v>313</v>
      </c>
      <c r="F359" s="57">
        <v>36</v>
      </c>
      <c r="G359" s="60">
        <v>195</v>
      </c>
      <c r="H359" s="61" t="s">
        <v>550</v>
      </c>
      <c r="I359" s="50" t="s">
        <v>551</v>
      </c>
      <c r="J359" s="50" t="s">
        <v>552</v>
      </c>
      <c r="K359" s="62">
        <v>5910</v>
      </c>
      <c r="L359" s="57">
        <v>208</v>
      </c>
      <c r="M359" s="50" t="s">
        <v>26</v>
      </c>
      <c r="N359" s="50" t="s">
        <v>317</v>
      </c>
      <c r="O359" s="64">
        <v>3252.21</v>
      </c>
      <c r="P359" s="65">
        <v>12</v>
      </c>
      <c r="Q359" s="64">
        <v>390.27</v>
      </c>
      <c r="R359" s="63">
        <v>0</v>
      </c>
      <c r="S359" s="64">
        <v>0</v>
      </c>
    </row>
    <row r="360" spans="1:19" ht="11.1" customHeight="1" x14ac:dyDescent="0.25">
      <c r="A360" s="57">
        <v>113676</v>
      </c>
      <c r="B360" s="53">
        <v>46135</v>
      </c>
      <c r="C360" s="58">
        <v>46135</v>
      </c>
      <c r="D360" s="59" t="s">
        <v>582</v>
      </c>
      <c r="E360" s="50" t="s">
        <v>313</v>
      </c>
      <c r="F360" s="57">
        <v>36</v>
      </c>
      <c r="G360" s="60">
        <v>195</v>
      </c>
      <c r="H360" s="61" t="s">
        <v>550</v>
      </c>
      <c r="I360" s="50" t="s">
        <v>551</v>
      </c>
      <c r="J360" s="50" t="s">
        <v>552</v>
      </c>
      <c r="K360" s="62">
        <v>5102</v>
      </c>
      <c r="L360" s="57">
        <v>205</v>
      </c>
      <c r="M360" s="50" t="s">
        <v>26</v>
      </c>
      <c r="N360" s="50" t="s">
        <v>317</v>
      </c>
      <c r="O360" s="64">
        <v>0</v>
      </c>
      <c r="P360" s="65">
        <v>0</v>
      </c>
      <c r="Q360" s="64">
        <v>0</v>
      </c>
      <c r="R360" s="63">
        <v>0</v>
      </c>
      <c r="S360" s="64">
        <v>0</v>
      </c>
    </row>
    <row r="361" spans="1:19" ht="11.1" customHeight="1" x14ac:dyDescent="0.25">
      <c r="A361" s="57">
        <v>113677</v>
      </c>
      <c r="B361" s="53">
        <v>46135</v>
      </c>
      <c r="C361" s="58">
        <v>46135</v>
      </c>
      <c r="D361" s="59" t="s">
        <v>582</v>
      </c>
      <c r="E361" s="50" t="s">
        <v>313</v>
      </c>
      <c r="F361" s="57">
        <v>36</v>
      </c>
      <c r="G361" s="60">
        <v>195</v>
      </c>
      <c r="H361" s="61" t="s">
        <v>550</v>
      </c>
      <c r="I361" s="50" t="s">
        <v>551</v>
      </c>
      <c r="J361" s="50" t="s">
        <v>552</v>
      </c>
      <c r="K361" s="62">
        <v>5403</v>
      </c>
      <c r="L361" s="57">
        <v>207</v>
      </c>
      <c r="M361" s="50" t="s">
        <v>26</v>
      </c>
      <c r="N361" s="50" t="s">
        <v>317</v>
      </c>
      <c r="O361" s="64">
        <v>0</v>
      </c>
      <c r="P361" s="65">
        <v>0</v>
      </c>
      <c r="Q361" s="64">
        <v>0</v>
      </c>
      <c r="R361" s="63">
        <v>0</v>
      </c>
      <c r="S361" s="64">
        <v>0</v>
      </c>
    </row>
    <row r="362" spans="1:19" ht="11.1" customHeight="1" x14ac:dyDescent="0.25">
      <c r="N362" s="50" t="s">
        <v>318</v>
      </c>
      <c r="O362" s="64">
        <v>0</v>
      </c>
      <c r="P362" s="65">
        <v>0</v>
      </c>
      <c r="Q362" s="64">
        <v>0</v>
      </c>
      <c r="R362" s="63">
        <v>0</v>
      </c>
      <c r="S362" s="64">
        <v>0</v>
      </c>
    </row>
    <row r="363" spans="1:19" ht="11.85" customHeight="1" x14ac:dyDescent="0.25">
      <c r="A363" s="66" t="s">
        <v>320</v>
      </c>
      <c r="B363" s="66"/>
      <c r="C363" s="66"/>
      <c r="D363" s="66"/>
      <c r="E363" s="66"/>
      <c r="F363" s="66"/>
      <c r="G363" s="66"/>
      <c r="H363" s="66"/>
    </row>
    <row r="364" spans="1:19" ht="11.1" customHeight="1" x14ac:dyDescent="0.25">
      <c r="N364" s="50" t="s">
        <v>317</v>
      </c>
      <c r="O364" s="64">
        <v>83728.77</v>
      </c>
      <c r="Q364" s="64">
        <v>10047.459999999999</v>
      </c>
      <c r="R364" s="63">
        <v>0</v>
      </c>
      <c r="S364" s="64">
        <v>2049.34</v>
      </c>
    </row>
    <row r="365" spans="1:19" ht="11.1" customHeight="1" x14ac:dyDescent="0.25">
      <c r="N365" s="50" t="s">
        <v>318</v>
      </c>
      <c r="O365" s="64">
        <v>37637.440000000002</v>
      </c>
      <c r="Q365" s="64">
        <v>1951.5</v>
      </c>
      <c r="R365" s="63">
        <v>0</v>
      </c>
      <c r="S365" s="64">
        <v>0</v>
      </c>
    </row>
    <row r="366" spans="1:19" ht="11.1" customHeight="1" x14ac:dyDescent="0.25">
      <c r="A366" s="57">
        <v>113661</v>
      </c>
      <c r="B366" s="53">
        <v>46142</v>
      </c>
      <c r="C366" s="58">
        <v>46142</v>
      </c>
      <c r="D366" s="59" t="s">
        <v>583</v>
      </c>
      <c r="E366" s="50" t="s">
        <v>313</v>
      </c>
      <c r="F366" s="57">
        <v>36</v>
      </c>
      <c r="G366" s="60">
        <v>421</v>
      </c>
      <c r="H366" s="61" t="s">
        <v>584</v>
      </c>
      <c r="I366" s="50" t="s">
        <v>585</v>
      </c>
      <c r="J366" s="50" t="s">
        <v>586</v>
      </c>
      <c r="K366" s="62">
        <v>6102</v>
      </c>
      <c r="L366" s="57">
        <v>238</v>
      </c>
      <c r="M366" s="50" t="s">
        <v>31</v>
      </c>
      <c r="N366" s="50" t="s">
        <v>317</v>
      </c>
      <c r="O366" s="64">
        <v>2937.3</v>
      </c>
      <c r="P366" s="65">
        <v>12</v>
      </c>
      <c r="Q366" s="64">
        <v>352.48</v>
      </c>
      <c r="R366" s="63">
        <v>0</v>
      </c>
      <c r="S366" s="64">
        <v>0</v>
      </c>
    </row>
    <row r="367" spans="1:19" ht="11.85" customHeight="1" x14ac:dyDescent="0.25">
      <c r="A367" s="66" t="s">
        <v>320</v>
      </c>
      <c r="B367" s="66"/>
      <c r="C367" s="66"/>
      <c r="D367" s="66"/>
      <c r="E367" s="66"/>
      <c r="F367" s="66"/>
      <c r="G367" s="66"/>
      <c r="H367" s="66"/>
    </row>
    <row r="368" spans="1:19" ht="11.1" customHeight="1" x14ac:dyDescent="0.25">
      <c r="N368" s="50" t="s">
        <v>317</v>
      </c>
      <c r="O368" s="64">
        <v>2937.3</v>
      </c>
      <c r="Q368" s="64">
        <v>352.48</v>
      </c>
      <c r="R368" s="63">
        <v>0</v>
      </c>
      <c r="S368" s="64">
        <v>0</v>
      </c>
    </row>
    <row r="369" spans="1:19" ht="11.1" customHeight="1" x14ac:dyDescent="0.25">
      <c r="A369" s="57">
        <v>113239</v>
      </c>
      <c r="B369" s="53">
        <v>46132</v>
      </c>
      <c r="C369" s="58">
        <v>46132</v>
      </c>
      <c r="D369" s="59" t="s">
        <v>587</v>
      </c>
      <c r="E369" s="50" t="s">
        <v>313</v>
      </c>
      <c r="F369" s="57">
        <v>36</v>
      </c>
      <c r="G369" s="60">
        <v>750</v>
      </c>
      <c r="H369" s="61" t="s">
        <v>588</v>
      </c>
      <c r="I369" s="50" t="s">
        <v>589</v>
      </c>
      <c r="J369" s="50" t="s">
        <v>590</v>
      </c>
      <c r="K369" s="62">
        <v>6102</v>
      </c>
      <c r="L369" s="57">
        <v>238</v>
      </c>
      <c r="M369" s="50" t="s">
        <v>34</v>
      </c>
      <c r="N369" s="50" t="s">
        <v>317</v>
      </c>
      <c r="O369" s="64">
        <v>32.99</v>
      </c>
      <c r="P369" s="65">
        <v>12</v>
      </c>
      <c r="Q369" s="64">
        <v>3.96</v>
      </c>
      <c r="R369" s="63">
        <v>0</v>
      </c>
      <c r="S369" s="64">
        <v>0</v>
      </c>
    </row>
    <row r="370" spans="1:19" ht="11.85" customHeight="1" x14ac:dyDescent="0.25">
      <c r="A370" s="66" t="s">
        <v>320</v>
      </c>
      <c r="B370" s="66"/>
      <c r="C370" s="66"/>
      <c r="D370" s="66"/>
      <c r="E370" s="66"/>
      <c r="F370" s="66"/>
      <c r="G370" s="66"/>
      <c r="H370" s="66"/>
    </row>
    <row r="371" spans="1:19" ht="11.1" customHeight="1" x14ac:dyDescent="0.25">
      <c r="N371" s="50" t="s">
        <v>317</v>
      </c>
      <c r="O371" s="64">
        <v>32.99</v>
      </c>
      <c r="Q371" s="64">
        <v>3.96</v>
      </c>
      <c r="R371" s="63">
        <v>0</v>
      </c>
      <c r="S371" s="64">
        <v>0</v>
      </c>
    </row>
    <row r="372" spans="1:19" ht="11.1" customHeight="1" x14ac:dyDescent="0.25">
      <c r="A372" s="57">
        <v>113344</v>
      </c>
      <c r="B372" s="53">
        <v>46135</v>
      </c>
      <c r="C372" s="58">
        <v>46135</v>
      </c>
      <c r="D372" s="59" t="s">
        <v>591</v>
      </c>
      <c r="E372" s="50" t="s">
        <v>313</v>
      </c>
      <c r="F372" s="57">
        <v>36</v>
      </c>
      <c r="G372" s="60">
        <v>862</v>
      </c>
      <c r="H372" s="61" t="s">
        <v>592</v>
      </c>
      <c r="I372" s="50" t="s">
        <v>593</v>
      </c>
      <c r="J372" s="50" t="s">
        <v>594</v>
      </c>
      <c r="K372" s="62">
        <v>5102</v>
      </c>
      <c r="L372" s="57">
        <v>205</v>
      </c>
      <c r="M372" s="50" t="s">
        <v>26</v>
      </c>
      <c r="N372" s="50" t="s">
        <v>317</v>
      </c>
      <c r="O372" s="64">
        <v>2161.2800000000002</v>
      </c>
      <c r="P372" s="65">
        <v>12</v>
      </c>
      <c r="Q372" s="64">
        <v>259.35000000000002</v>
      </c>
      <c r="R372" s="63">
        <v>0</v>
      </c>
      <c r="S372" s="64">
        <v>0</v>
      </c>
    </row>
    <row r="373" spans="1:19" ht="11.85" customHeight="1" x14ac:dyDescent="0.25">
      <c r="A373" s="66" t="s">
        <v>320</v>
      </c>
      <c r="B373" s="66"/>
      <c r="C373" s="66"/>
      <c r="D373" s="66"/>
      <c r="E373" s="66"/>
      <c r="F373" s="66"/>
      <c r="G373" s="66"/>
      <c r="H373" s="66"/>
    </row>
    <row r="374" spans="1:19" ht="11.1" customHeight="1" x14ac:dyDescent="0.25">
      <c r="N374" s="50" t="s">
        <v>317</v>
      </c>
      <c r="O374" s="64">
        <v>2161.2800000000002</v>
      </c>
      <c r="Q374" s="64">
        <v>259.35000000000002</v>
      </c>
      <c r="R374" s="63">
        <v>0</v>
      </c>
      <c r="S374" s="64">
        <v>0</v>
      </c>
    </row>
    <row r="375" spans="1:19" ht="11.1" customHeight="1" x14ac:dyDescent="0.25">
      <c r="A375" s="57">
        <v>113256</v>
      </c>
      <c r="B375" s="53">
        <v>46134</v>
      </c>
      <c r="C375" s="58">
        <v>46134</v>
      </c>
      <c r="D375" s="59" t="s">
        <v>595</v>
      </c>
      <c r="E375" s="50" t="s">
        <v>313</v>
      </c>
      <c r="F375" s="57">
        <v>36</v>
      </c>
      <c r="G375" s="60">
        <v>827</v>
      </c>
      <c r="H375" s="61" t="s">
        <v>596</v>
      </c>
      <c r="I375" s="50" t="s">
        <v>597</v>
      </c>
      <c r="J375" s="50" t="s">
        <v>598</v>
      </c>
      <c r="K375" s="62">
        <v>5102</v>
      </c>
      <c r="L375" s="57">
        <v>205</v>
      </c>
      <c r="M375" s="50" t="s">
        <v>26</v>
      </c>
      <c r="N375" s="50" t="s">
        <v>317</v>
      </c>
      <c r="O375" s="64">
        <v>80.42</v>
      </c>
      <c r="P375" s="65">
        <v>12</v>
      </c>
      <c r="Q375" s="64">
        <v>9.65</v>
      </c>
      <c r="R375" s="63">
        <v>0</v>
      </c>
      <c r="S375" s="64">
        <v>0</v>
      </c>
    </row>
    <row r="376" spans="1:19" ht="11.1" customHeight="1" x14ac:dyDescent="0.25">
      <c r="A376" s="57">
        <v>113257</v>
      </c>
      <c r="B376" s="53">
        <v>46134</v>
      </c>
      <c r="C376" s="58">
        <v>46134</v>
      </c>
      <c r="D376" s="59" t="s">
        <v>595</v>
      </c>
      <c r="E376" s="50" t="s">
        <v>313</v>
      </c>
      <c r="F376" s="57">
        <v>36</v>
      </c>
      <c r="G376" s="60">
        <v>827</v>
      </c>
      <c r="H376" s="61" t="s">
        <v>596</v>
      </c>
      <c r="I376" s="50" t="s">
        <v>597</v>
      </c>
      <c r="J376" s="50" t="s">
        <v>598</v>
      </c>
      <c r="K376" s="62">
        <v>5403</v>
      </c>
      <c r="L376" s="57">
        <v>207</v>
      </c>
      <c r="M376" s="50" t="s">
        <v>26</v>
      </c>
      <c r="N376" s="50" t="s">
        <v>317</v>
      </c>
      <c r="O376" s="64">
        <v>1432.88</v>
      </c>
      <c r="P376" s="65">
        <v>12</v>
      </c>
      <c r="Q376" s="64">
        <v>171.95</v>
      </c>
      <c r="R376" s="63">
        <v>0</v>
      </c>
      <c r="S376" s="64">
        <v>100.3</v>
      </c>
    </row>
    <row r="377" spans="1:19" ht="11.1" customHeight="1" x14ac:dyDescent="0.25">
      <c r="N377" s="50" t="s">
        <v>318</v>
      </c>
      <c r="O377" s="64">
        <v>1934.39</v>
      </c>
      <c r="P377" s="65">
        <v>20</v>
      </c>
      <c r="Q377" s="64">
        <v>100.3</v>
      </c>
      <c r="R377" s="63">
        <v>0</v>
      </c>
      <c r="S377" s="64">
        <v>0</v>
      </c>
    </row>
    <row r="378" spans="1:19" ht="11.1" customHeight="1" x14ac:dyDescent="0.25">
      <c r="A378" s="57">
        <v>113409</v>
      </c>
      <c r="B378" s="53">
        <v>46136</v>
      </c>
      <c r="C378" s="58">
        <v>46136</v>
      </c>
      <c r="D378" s="59" t="s">
        <v>599</v>
      </c>
      <c r="E378" s="50" t="s">
        <v>313</v>
      </c>
      <c r="F378" s="57">
        <v>36</v>
      </c>
      <c r="G378" s="60">
        <v>827</v>
      </c>
      <c r="H378" s="61" t="s">
        <v>596</v>
      </c>
      <c r="I378" s="50" t="s">
        <v>597</v>
      </c>
      <c r="J378" s="50" t="s">
        <v>598</v>
      </c>
      <c r="K378" s="62">
        <v>5102</v>
      </c>
      <c r="L378" s="57">
        <v>205</v>
      </c>
      <c r="M378" s="50" t="s">
        <v>26</v>
      </c>
      <c r="N378" s="50" t="s">
        <v>317</v>
      </c>
      <c r="O378" s="64">
        <v>140.63999999999999</v>
      </c>
      <c r="P378" s="65">
        <v>12</v>
      </c>
      <c r="Q378" s="64">
        <v>16.88</v>
      </c>
      <c r="R378" s="63">
        <v>0</v>
      </c>
      <c r="S378" s="64">
        <v>0</v>
      </c>
    </row>
    <row r="379" spans="1:19" ht="11.1" customHeight="1" x14ac:dyDescent="0.25">
      <c r="A379" s="57">
        <v>113410</v>
      </c>
      <c r="B379" s="53">
        <v>46136</v>
      </c>
      <c r="C379" s="58">
        <v>46136</v>
      </c>
      <c r="D379" s="59" t="s">
        <v>599</v>
      </c>
      <c r="E379" s="50" t="s">
        <v>313</v>
      </c>
      <c r="F379" s="57">
        <v>36</v>
      </c>
      <c r="G379" s="60">
        <v>827</v>
      </c>
      <c r="H379" s="61" t="s">
        <v>596</v>
      </c>
      <c r="I379" s="50" t="s">
        <v>597</v>
      </c>
      <c r="J379" s="50" t="s">
        <v>598</v>
      </c>
      <c r="K379" s="62">
        <v>5403</v>
      </c>
      <c r="L379" s="57">
        <v>207</v>
      </c>
      <c r="M379" s="50" t="s">
        <v>26</v>
      </c>
      <c r="N379" s="50" t="s">
        <v>317</v>
      </c>
      <c r="O379" s="64">
        <v>349.02</v>
      </c>
      <c r="P379" s="65">
        <v>12</v>
      </c>
      <c r="Q379" s="64">
        <v>41.88</v>
      </c>
      <c r="R379" s="63">
        <v>0</v>
      </c>
      <c r="S379" s="64">
        <v>24.44</v>
      </c>
    </row>
    <row r="380" spans="1:19" ht="11.1" customHeight="1" x14ac:dyDescent="0.25">
      <c r="N380" s="50" t="s">
        <v>318</v>
      </c>
      <c r="O380" s="64">
        <v>471.18</v>
      </c>
      <c r="P380" s="65">
        <v>20</v>
      </c>
      <c r="Q380" s="64">
        <v>24.44</v>
      </c>
      <c r="R380" s="63">
        <v>0</v>
      </c>
      <c r="S380" s="64">
        <v>0</v>
      </c>
    </row>
    <row r="381" spans="1:19" ht="11.1" customHeight="1" x14ac:dyDescent="0.25">
      <c r="A381" s="57">
        <v>113411</v>
      </c>
      <c r="B381" s="53">
        <v>46136</v>
      </c>
      <c r="C381" s="58">
        <v>46136</v>
      </c>
      <c r="D381" s="59" t="s">
        <v>600</v>
      </c>
      <c r="E381" s="50" t="s">
        <v>313</v>
      </c>
      <c r="F381" s="57">
        <v>36</v>
      </c>
      <c r="G381" s="60">
        <v>827</v>
      </c>
      <c r="H381" s="61" t="s">
        <v>596</v>
      </c>
      <c r="I381" s="50" t="s">
        <v>597</v>
      </c>
      <c r="J381" s="50" t="s">
        <v>598</v>
      </c>
      <c r="K381" s="62">
        <v>5403</v>
      </c>
      <c r="L381" s="57">
        <v>207</v>
      </c>
      <c r="M381" s="50" t="s">
        <v>26</v>
      </c>
      <c r="N381" s="50" t="s">
        <v>317</v>
      </c>
      <c r="O381" s="64">
        <v>179.11</v>
      </c>
      <c r="P381" s="65">
        <v>12</v>
      </c>
      <c r="Q381" s="64">
        <v>21.49</v>
      </c>
      <c r="R381" s="63">
        <v>0</v>
      </c>
      <c r="S381" s="64">
        <v>12.54</v>
      </c>
    </row>
    <row r="382" spans="1:19" ht="11.1" customHeight="1" x14ac:dyDescent="0.25">
      <c r="N382" s="50" t="s">
        <v>318</v>
      </c>
      <c r="O382" s="64">
        <v>241.8</v>
      </c>
      <c r="P382" s="65">
        <v>20</v>
      </c>
      <c r="Q382" s="64">
        <v>12.54</v>
      </c>
      <c r="R382" s="63">
        <v>0</v>
      </c>
      <c r="S382" s="64">
        <v>0</v>
      </c>
    </row>
    <row r="383" spans="1:19" ht="11.1" customHeight="1" x14ac:dyDescent="0.25">
      <c r="A383" s="57">
        <v>113412</v>
      </c>
      <c r="B383" s="53">
        <v>46136</v>
      </c>
      <c r="C383" s="58">
        <v>46136</v>
      </c>
      <c r="D383" s="59" t="s">
        <v>601</v>
      </c>
      <c r="E383" s="50" t="s">
        <v>313</v>
      </c>
      <c r="F383" s="57">
        <v>36</v>
      </c>
      <c r="G383" s="60">
        <v>827</v>
      </c>
      <c r="H383" s="61" t="s">
        <v>596</v>
      </c>
      <c r="I383" s="50" t="s">
        <v>597</v>
      </c>
      <c r="J383" s="50" t="s">
        <v>598</v>
      </c>
      <c r="K383" s="62">
        <v>5102</v>
      </c>
      <c r="L383" s="57">
        <v>205</v>
      </c>
      <c r="M383" s="50" t="s">
        <v>26</v>
      </c>
      <c r="N383" s="50" t="s">
        <v>317</v>
      </c>
      <c r="O383" s="64">
        <v>17.97</v>
      </c>
      <c r="P383" s="65">
        <v>12</v>
      </c>
      <c r="Q383" s="64">
        <v>2.16</v>
      </c>
      <c r="R383" s="63">
        <v>0</v>
      </c>
      <c r="S383" s="64">
        <v>0</v>
      </c>
    </row>
    <row r="384" spans="1:19" ht="11.1" customHeight="1" x14ac:dyDescent="0.25">
      <c r="A384" s="57">
        <v>113554</v>
      </c>
      <c r="B384" s="53">
        <v>46140</v>
      </c>
      <c r="C384" s="58">
        <v>46140</v>
      </c>
      <c r="D384" s="59" t="s">
        <v>602</v>
      </c>
      <c r="E384" s="50" t="s">
        <v>313</v>
      </c>
      <c r="F384" s="57">
        <v>36</v>
      </c>
      <c r="G384" s="60">
        <v>827</v>
      </c>
      <c r="H384" s="61" t="s">
        <v>596</v>
      </c>
      <c r="I384" s="50" t="s">
        <v>597</v>
      </c>
      <c r="J384" s="50" t="s">
        <v>598</v>
      </c>
      <c r="K384" s="62">
        <v>5102</v>
      </c>
      <c r="L384" s="57">
        <v>205</v>
      </c>
      <c r="M384" s="50" t="s">
        <v>26</v>
      </c>
      <c r="N384" s="50" t="s">
        <v>317</v>
      </c>
      <c r="O384" s="64">
        <v>228.56</v>
      </c>
      <c r="P384" s="65">
        <v>12</v>
      </c>
      <c r="Q384" s="64">
        <v>27.43</v>
      </c>
      <c r="R384" s="63">
        <v>0</v>
      </c>
      <c r="S384" s="64">
        <v>0</v>
      </c>
    </row>
    <row r="385" spans="1:19" ht="11.1" customHeight="1" x14ac:dyDescent="0.25">
      <c r="A385" s="57">
        <v>113555</v>
      </c>
      <c r="B385" s="53">
        <v>46140</v>
      </c>
      <c r="C385" s="58">
        <v>46140</v>
      </c>
      <c r="D385" s="59" t="s">
        <v>602</v>
      </c>
      <c r="E385" s="50" t="s">
        <v>313</v>
      </c>
      <c r="F385" s="57">
        <v>36</v>
      </c>
      <c r="G385" s="60">
        <v>827</v>
      </c>
      <c r="H385" s="61" t="s">
        <v>596</v>
      </c>
      <c r="I385" s="50" t="s">
        <v>597</v>
      </c>
      <c r="J385" s="50" t="s">
        <v>598</v>
      </c>
      <c r="K385" s="62">
        <v>5403</v>
      </c>
      <c r="L385" s="57">
        <v>207</v>
      </c>
      <c r="M385" s="50" t="s">
        <v>26</v>
      </c>
      <c r="N385" s="50" t="s">
        <v>317</v>
      </c>
      <c r="O385" s="64">
        <v>2143.08</v>
      </c>
      <c r="P385" s="65">
        <v>12</v>
      </c>
      <c r="Q385" s="64">
        <v>257.17</v>
      </c>
      <c r="R385" s="63">
        <v>0</v>
      </c>
      <c r="S385" s="64">
        <v>150.01</v>
      </c>
    </row>
    <row r="386" spans="1:19" ht="11.1" customHeight="1" x14ac:dyDescent="0.25">
      <c r="N386" s="50" t="s">
        <v>318</v>
      </c>
      <c r="O386" s="64">
        <v>2893.16</v>
      </c>
      <c r="P386" s="65">
        <v>20</v>
      </c>
      <c r="Q386" s="64">
        <v>150.01</v>
      </c>
      <c r="R386" s="63">
        <v>0</v>
      </c>
      <c r="S386" s="64">
        <v>0</v>
      </c>
    </row>
    <row r="387" spans="1:19" ht="11.1" customHeight="1" x14ac:dyDescent="0.25">
      <c r="A387" s="57">
        <v>113673</v>
      </c>
      <c r="B387" s="53">
        <v>46134</v>
      </c>
      <c r="C387" s="58">
        <v>46134</v>
      </c>
      <c r="D387" s="59" t="s">
        <v>603</v>
      </c>
      <c r="E387" s="50" t="s">
        <v>313</v>
      </c>
      <c r="F387" s="57">
        <v>36</v>
      </c>
      <c r="G387" s="60">
        <v>827</v>
      </c>
      <c r="H387" s="61" t="s">
        <v>596</v>
      </c>
      <c r="I387" s="50" t="s">
        <v>597</v>
      </c>
      <c r="J387" s="50" t="s">
        <v>598</v>
      </c>
      <c r="K387" s="62">
        <v>5102</v>
      </c>
      <c r="L387" s="57">
        <v>205</v>
      </c>
      <c r="M387" s="50" t="s">
        <v>26</v>
      </c>
      <c r="N387" s="50" t="s">
        <v>317</v>
      </c>
      <c r="O387" s="64">
        <v>0</v>
      </c>
      <c r="P387" s="65">
        <v>0</v>
      </c>
      <c r="Q387" s="64">
        <v>0</v>
      </c>
      <c r="R387" s="63">
        <v>0</v>
      </c>
      <c r="S387" s="64">
        <v>0</v>
      </c>
    </row>
    <row r="388" spans="1:19" ht="11.1" customHeight="1" x14ac:dyDescent="0.25">
      <c r="A388" s="57">
        <v>113674</v>
      </c>
      <c r="B388" s="53">
        <v>46134</v>
      </c>
      <c r="C388" s="58">
        <v>46134</v>
      </c>
      <c r="D388" s="59" t="s">
        <v>603</v>
      </c>
      <c r="E388" s="50" t="s">
        <v>313</v>
      </c>
      <c r="F388" s="57">
        <v>36</v>
      </c>
      <c r="G388" s="60">
        <v>827</v>
      </c>
      <c r="H388" s="61" t="s">
        <v>596</v>
      </c>
      <c r="I388" s="50" t="s">
        <v>597</v>
      </c>
      <c r="J388" s="50" t="s">
        <v>598</v>
      </c>
      <c r="K388" s="62">
        <v>5403</v>
      </c>
      <c r="L388" s="57">
        <v>207</v>
      </c>
      <c r="M388" s="50" t="s">
        <v>26</v>
      </c>
      <c r="N388" s="50" t="s">
        <v>317</v>
      </c>
      <c r="O388" s="64">
        <v>0</v>
      </c>
      <c r="P388" s="65">
        <v>0</v>
      </c>
      <c r="Q388" s="64">
        <v>0</v>
      </c>
      <c r="R388" s="63">
        <v>0</v>
      </c>
      <c r="S388" s="64">
        <v>0</v>
      </c>
    </row>
    <row r="389" spans="1:19" ht="11.1" customHeight="1" x14ac:dyDescent="0.25">
      <c r="N389" s="50" t="s">
        <v>318</v>
      </c>
      <c r="O389" s="64">
        <v>0</v>
      </c>
      <c r="P389" s="65">
        <v>0</v>
      </c>
      <c r="Q389" s="64">
        <v>0</v>
      </c>
      <c r="R389" s="63">
        <v>0</v>
      </c>
      <c r="S389" s="64">
        <v>0</v>
      </c>
    </row>
    <row r="390" spans="1:19" ht="11.85" customHeight="1" x14ac:dyDescent="0.25">
      <c r="A390" s="66" t="s">
        <v>320</v>
      </c>
      <c r="B390" s="66"/>
      <c r="C390" s="66"/>
      <c r="D390" s="66"/>
      <c r="E390" s="66"/>
      <c r="F390" s="66"/>
      <c r="G390" s="66"/>
      <c r="H390" s="66"/>
    </row>
    <row r="391" spans="1:19" ht="11.1" customHeight="1" x14ac:dyDescent="0.25">
      <c r="N391" s="50" t="s">
        <v>317</v>
      </c>
      <c r="O391" s="64">
        <v>4571.68</v>
      </c>
      <c r="Q391" s="64">
        <v>548.61</v>
      </c>
      <c r="R391" s="63">
        <v>0</v>
      </c>
      <c r="S391" s="64">
        <v>287.29000000000002</v>
      </c>
    </row>
    <row r="392" spans="1:19" ht="11.1" customHeight="1" x14ac:dyDescent="0.25">
      <c r="N392" s="50" t="s">
        <v>318</v>
      </c>
      <c r="O392" s="64">
        <v>5540.53</v>
      </c>
      <c r="Q392" s="64">
        <v>287.29000000000002</v>
      </c>
      <c r="R392" s="63">
        <v>0</v>
      </c>
      <c r="S392" s="64">
        <v>0</v>
      </c>
    </row>
    <row r="393" spans="1:19" ht="11.1" customHeight="1" x14ac:dyDescent="0.25">
      <c r="A393" s="57">
        <v>113017</v>
      </c>
      <c r="B393" s="53">
        <v>46126</v>
      </c>
      <c r="C393" s="58">
        <v>46126</v>
      </c>
      <c r="D393" s="59" t="s">
        <v>604</v>
      </c>
      <c r="E393" s="50" t="s">
        <v>313</v>
      </c>
      <c r="F393" s="57">
        <v>36</v>
      </c>
      <c r="G393" s="60">
        <v>551</v>
      </c>
      <c r="H393" s="61" t="s">
        <v>605</v>
      </c>
      <c r="I393" s="50" t="s">
        <v>606</v>
      </c>
      <c r="J393" s="50" t="s">
        <v>607</v>
      </c>
      <c r="K393" s="62">
        <v>5102</v>
      </c>
      <c r="L393" s="57">
        <v>205</v>
      </c>
      <c r="M393" s="50" t="s">
        <v>26</v>
      </c>
      <c r="N393" s="50" t="s">
        <v>317</v>
      </c>
      <c r="O393" s="64">
        <v>1841.76</v>
      </c>
      <c r="P393" s="65">
        <v>12</v>
      </c>
      <c r="Q393" s="64">
        <v>221.02</v>
      </c>
      <c r="R393" s="63">
        <v>0</v>
      </c>
      <c r="S393" s="64">
        <v>0</v>
      </c>
    </row>
    <row r="394" spans="1:19" ht="11.1" customHeight="1" x14ac:dyDescent="0.25">
      <c r="A394" s="57">
        <v>113018</v>
      </c>
      <c r="B394" s="53">
        <v>46126</v>
      </c>
      <c r="C394" s="58">
        <v>46126</v>
      </c>
      <c r="D394" s="59" t="s">
        <v>608</v>
      </c>
      <c r="E394" s="50" t="s">
        <v>313</v>
      </c>
      <c r="F394" s="57">
        <v>36</v>
      </c>
      <c r="G394" s="60">
        <v>551</v>
      </c>
      <c r="H394" s="61" t="s">
        <v>605</v>
      </c>
      <c r="I394" s="50" t="s">
        <v>606</v>
      </c>
      <c r="J394" s="50" t="s">
        <v>607</v>
      </c>
      <c r="K394" s="62">
        <v>5403</v>
      </c>
      <c r="L394" s="57">
        <v>207</v>
      </c>
      <c r="M394" s="50" t="s">
        <v>26</v>
      </c>
      <c r="N394" s="50" t="s">
        <v>317</v>
      </c>
      <c r="O394" s="64">
        <v>1586</v>
      </c>
      <c r="P394" s="65">
        <v>12</v>
      </c>
      <c r="Q394" s="64">
        <v>190.32</v>
      </c>
      <c r="R394" s="63">
        <v>0</v>
      </c>
      <c r="S394" s="64">
        <v>111.02</v>
      </c>
    </row>
    <row r="395" spans="1:19" ht="11.1" customHeight="1" x14ac:dyDescent="0.25">
      <c r="N395" s="50" t="s">
        <v>318</v>
      </c>
      <c r="O395" s="64">
        <v>2141.1</v>
      </c>
      <c r="P395" s="65">
        <v>20</v>
      </c>
      <c r="Q395" s="64">
        <v>111.02</v>
      </c>
      <c r="R395" s="63">
        <v>0</v>
      </c>
      <c r="S395" s="64">
        <v>0</v>
      </c>
    </row>
    <row r="396" spans="1:19" ht="11.1" customHeight="1" x14ac:dyDescent="0.25">
      <c r="A396" s="57">
        <v>113101</v>
      </c>
      <c r="B396" s="53">
        <v>46127</v>
      </c>
      <c r="C396" s="58">
        <v>46127</v>
      </c>
      <c r="D396" s="59" t="s">
        <v>609</v>
      </c>
      <c r="E396" s="50" t="s">
        <v>313</v>
      </c>
      <c r="F396" s="57">
        <v>36</v>
      </c>
      <c r="G396" s="60">
        <v>551</v>
      </c>
      <c r="H396" s="61" t="s">
        <v>605</v>
      </c>
      <c r="I396" s="50" t="s">
        <v>606</v>
      </c>
      <c r="J396" s="50" t="s">
        <v>607</v>
      </c>
      <c r="K396" s="62">
        <v>5403</v>
      </c>
      <c r="L396" s="57">
        <v>207</v>
      </c>
      <c r="M396" s="50" t="s">
        <v>26</v>
      </c>
      <c r="N396" s="50" t="s">
        <v>317</v>
      </c>
      <c r="O396" s="64">
        <v>1277.28</v>
      </c>
      <c r="P396" s="65">
        <v>12</v>
      </c>
      <c r="Q396" s="64">
        <v>153.27000000000001</v>
      </c>
      <c r="R396" s="63">
        <v>0</v>
      </c>
      <c r="S396" s="64">
        <v>89.4</v>
      </c>
    </row>
    <row r="397" spans="1:19" ht="11.1" customHeight="1" x14ac:dyDescent="0.25">
      <c r="N397" s="50" t="s">
        <v>318</v>
      </c>
      <c r="O397" s="64">
        <v>1724.32</v>
      </c>
      <c r="P397" s="65">
        <v>20</v>
      </c>
      <c r="Q397" s="64">
        <v>89.4</v>
      </c>
      <c r="R397" s="63">
        <v>0</v>
      </c>
      <c r="S397" s="64">
        <v>0</v>
      </c>
    </row>
    <row r="398" spans="1:19" ht="11.1" customHeight="1" x14ac:dyDescent="0.25">
      <c r="A398" s="57">
        <v>113614</v>
      </c>
      <c r="B398" s="53">
        <v>46142</v>
      </c>
      <c r="C398" s="58">
        <v>46142</v>
      </c>
      <c r="D398" s="59" t="s">
        <v>610</v>
      </c>
      <c r="E398" s="50" t="s">
        <v>313</v>
      </c>
      <c r="F398" s="57">
        <v>36</v>
      </c>
      <c r="G398" s="60">
        <v>551</v>
      </c>
      <c r="H398" s="61" t="s">
        <v>605</v>
      </c>
      <c r="I398" s="50" t="s">
        <v>606</v>
      </c>
      <c r="J398" s="50" t="s">
        <v>607</v>
      </c>
      <c r="K398" s="62">
        <v>5102</v>
      </c>
      <c r="L398" s="57">
        <v>205</v>
      </c>
      <c r="M398" s="50" t="s">
        <v>26</v>
      </c>
      <c r="N398" s="50" t="s">
        <v>317</v>
      </c>
      <c r="O398" s="64">
        <v>844.08</v>
      </c>
      <c r="P398" s="65">
        <v>12</v>
      </c>
      <c r="Q398" s="64">
        <v>101.29</v>
      </c>
      <c r="R398" s="63">
        <v>0</v>
      </c>
      <c r="S398" s="64">
        <v>0</v>
      </c>
    </row>
    <row r="399" spans="1:19" ht="11.1" customHeight="1" x14ac:dyDescent="0.25">
      <c r="A399" s="57">
        <v>113615</v>
      </c>
      <c r="B399" s="53">
        <v>46142</v>
      </c>
      <c r="C399" s="58">
        <v>46142</v>
      </c>
      <c r="D399" s="59" t="s">
        <v>610</v>
      </c>
      <c r="E399" s="50" t="s">
        <v>313</v>
      </c>
      <c r="F399" s="57">
        <v>36</v>
      </c>
      <c r="G399" s="60">
        <v>551</v>
      </c>
      <c r="H399" s="61" t="s">
        <v>605</v>
      </c>
      <c r="I399" s="50" t="s">
        <v>606</v>
      </c>
      <c r="J399" s="50" t="s">
        <v>607</v>
      </c>
      <c r="K399" s="62">
        <v>5403</v>
      </c>
      <c r="L399" s="57">
        <v>207</v>
      </c>
      <c r="M399" s="50" t="s">
        <v>26</v>
      </c>
      <c r="N399" s="50" t="s">
        <v>317</v>
      </c>
      <c r="O399" s="64">
        <v>1913.72</v>
      </c>
      <c r="P399" s="65">
        <v>12</v>
      </c>
      <c r="Q399" s="64">
        <v>229.65</v>
      </c>
      <c r="R399" s="63">
        <v>0</v>
      </c>
      <c r="S399" s="64">
        <v>133.96</v>
      </c>
    </row>
    <row r="400" spans="1:19" ht="11.1" customHeight="1" x14ac:dyDescent="0.25">
      <c r="N400" s="50" t="s">
        <v>318</v>
      </c>
      <c r="O400" s="64">
        <v>2583.52</v>
      </c>
      <c r="P400" s="65">
        <v>20</v>
      </c>
      <c r="Q400" s="64">
        <v>133.96</v>
      </c>
      <c r="R400" s="63">
        <v>0</v>
      </c>
      <c r="S400" s="64">
        <v>0</v>
      </c>
    </row>
    <row r="401" spans="1:19" ht="11.1" customHeight="1" x14ac:dyDescent="0.25">
      <c r="A401" s="57">
        <v>113616</v>
      </c>
      <c r="B401" s="53">
        <v>46142</v>
      </c>
      <c r="C401" s="58">
        <v>46142</v>
      </c>
      <c r="D401" s="59" t="s">
        <v>611</v>
      </c>
      <c r="E401" s="50" t="s">
        <v>313</v>
      </c>
      <c r="F401" s="57">
        <v>36</v>
      </c>
      <c r="G401" s="60">
        <v>551</v>
      </c>
      <c r="H401" s="61" t="s">
        <v>605</v>
      </c>
      <c r="I401" s="50" t="s">
        <v>606</v>
      </c>
      <c r="J401" s="50" t="s">
        <v>607</v>
      </c>
      <c r="K401" s="62">
        <v>5403</v>
      </c>
      <c r="L401" s="57">
        <v>207</v>
      </c>
      <c r="M401" s="50" t="s">
        <v>26</v>
      </c>
      <c r="N401" s="50" t="s">
        <v>317</v>
      </c>
      <c r="O401" s="64">
        <v>270.20999999999998</v>
      </c>
      <c r="P401" s="65">
        <v>12</v>
      </c>
      <c r="Q401" s="64">
        <v>32.43</v>
      </c>
      <c r="R401" s="63">
        <v>0</v>
      </c>
      <c r="S401" s="64">
        <v>18.920000000000002</v>
      </c>
    </row>
    <row r="402" spans="1:19" ht="11.1" customHeight="1" x14ac:dyDescent="0.25">
      <c r="N402" s="50" t="s">
        <v>318</v>
      </c>
      <c r="O402" s="64">
        <v>364.78</v>
      </c>
      <c r="P402" s="65">
        <v>20</v>
      </c>
      <c r="Q402" s="64">
        <v>18.920000000000002</v>
      </c>
      <c r="R402" s="63">
        <v>0</v>
      </c>
      <c r="S402" s="64">
        <v>0</v>
      </c>
    </row>
    <row r="403" spans="1:19" ht="11.85" customHeight="1" x14ac:dyDescent="0.25">
      <c r="A403" s="66" t="s">
        <v>320</v>
      </c>
      <c r="B403" s="66"/>
      <c r="C403" s="66"/>
      <c r="D403" s="66"/>
      <c r="E403" s="66"/>
      <c r="F403" s="66"/>
      <c r="G403" s="66"/>
      <c r="H403" s="66"/>
    </row>
    <row r="404" spans="1:19" ht="11.1" customHeight="1" x14ac:dyDescent="0.25">
      <c r="N404" s="50" t="s">
        <v>317</v>
      </c>
      <c r="O404" s="64">
        <v>7733.05</v>
      </c>
      <c r="Q404" s="64">
        <v>927.98</v>
      </c>
      <c r="R404" s="63">
        <v>0</v>
      </c>
      <c r="S404" s="64">
        <v>353.3</v>
      </c>
    </row>
    <row r="405" spans="1:19" ht="11.1" customHeight="1" x14ac:dyDescent="0.25">
      <c r="N405" s="50" t="s">
        <v>318</v>
      </c>
      <c r="O405" s="64">
        <v>6813.72</v>
      </c>
      <c r="Q405" s="64">
        <v>353.3</v>
      </c>
      <c r="R405" s="63">
        <v>0</v>
      </c>
      <c r="S405" s="64">
        <v>0</v>
      </c>
    </row>
    <row r="406" spans="1:19" ht="11.1" customHeight="1" x14ac:dyDescent="0.25">
      <c r="A406" s="57">
        <v>113059</v>
      </c>
      <c r="B406" s="53">
        <v>46126</v>
      </c>
      <c r="C406" s="58">
        <v>46126</v>
      </c>
      <c r="D406" s="59" t="s">
        <v>612</v>
      </c>
      <c r="E406" s="50" t="s">
        <v>313</v>
      </c>
      <c r="F406" s="57">
        <v>36</v>
      </c>
      <c r="G406" s="60">
        <v>227</v>
      </c>
      <c r="H406" s="61" t="s">
        <v>613</v>
      </c>
      <c r="I406" s="50" t="s">
        <v>614</v>
      </c>
      <c r="J406" s="50" t="s">
        <v>615</v>
      </c>
      <c r="K406" s="62">
        <v>5102</v>
      </c>
      <c r="L406" s="57">
        <v>205</v>
      </c>
      <c r="M406" s="50" t="s">
        <v>26</v>
      </c>
      <c r="N406" s="50" t="s">
        <v>317</v>
      </c>
      <c r="O406" s="64">
        <v>103.2</v>
      </c>
      <c r="P406" s="65">
        <v>12</v>
      </c>
      <c r="Q406" s="64">
        <v>12.38</v>
      </c>
      <c r="R406" s="63">
        <v>0</v>
      </c>
      <c r="S406" s="64">
        <v>0</v>
      </c>
    </row>
    <row r="407" spans="1:19" ht="11.1" customHeight="1" x14ac:dyDescent="0.25">
      <c r="A407" s="57">
        <v>113060</v>
      </c>
      <c r="B407" s="53">
        <v>46126</v>
      </c>
      <c r="C407" s="58">
        <v>46126</v>
      </c>
      <c r="D407" s="59" t="s">
        <v>612</v>
      </c>
      <c r="E407" s="50" t="s">
        <v>313</v>
      </c>
      <c r="F407" s="57">
        <v>36</v>
      </c>
      <c r="G407" s="60">
        <v>227</v>
      </c>
      <c r="H407" s="61" t="s">
        <v>613</v>
      </c>
      <c r="I407" s="50" t="s">
        <v>614</v>
      </c>
      <c r="J407" s="50" t="s">
        <v>615</v>
      </c>
      <c r="K407" s="62">
        <v>5403</v>
      </c>
      <c r="L407" s="57">
        <v>207</v>
      </c>
      <c r="M407" s="50" t="s">
        <v>26</v>
      </c>
      <c r="N407" s="50" t="s">
        <v>317</v>
      </c>
      <c r="O407" s="64">
        <v>722.42</v>
      </c>
      <c r="P407" s="65">
        <v>12</v>
      </c>
      <c r="Q407" s="64">
        <v>86.69</v>
      </c>
      <c r="R407" s="63">
        <v>0</v>
      </c>
      <c r="S407" s="64">
        <v>50.57</v>
      </c>
    </row>
    <row r="408" spans="1:19" ht="11.1" customHeight="1" x14ac:dyDescent="0.25">
      <c r="N408" s="50" t="s">
        <v>318</v>
      </c>
      <c r="O408" s="64">
        <v>975.27</v>
      </c>
      <c r="P408" s="65">
        <v>20</v>
      </c>
      <c r="Q408" s="64">
        <v>50.57</v>
      </c>
      <c r="R408" s="63">
        <v>0</v>
      </c>
      <c r="S408" s="64">
        <v>0</v>
      </c>
    </row>
    <row r="409" spans="1:19" ht="11.1" customHeight="1" x14ac:dyDescent="0.25">
      <c r="A409" s="57">
        <v>113109</v>
      </c>
      <c r="B409" s="53">
        <v>46128</v>
      </c>
      <c r="C409" s="58">
        <v>46128</v>
      </c>
      <c r="D409" s="59" t="s">
        <v>616</v>
      </c>
      <c r="E409" s="50" t="s">
        <v>313</v>
      </c>
      <c r="F409" s="57">
        <v>36</v>
      </c>
      <c r="G409" s="60">
        <v>227</v>
      </c>
      <c r="H409" s="61" t="s">
        <v>613</v>
      </c>
      <c r="I409" s="50" t="s">
        <v>614</v>
      </c>
      <c r="J409" s="50" t="s">
        <v>615</v>
      </c>
      <c r="K409" s="62">
        <v>5102</v>
      </c>
      <c r="L409" s="57">
        <v>205</v>
      </c>
      <c r="M409" s="50" t="s">
        <v>26</v>
      </c>
      <c r="N409" s="50" t="s">
        <v>317</v>
      </c>
      <c r="O409" s="64">
        <v>174.42</v>
      </c>
      <c r="P409" s="65">
        <v>12</v>
      </c>
      <c r="Q409" s="64">
        <v>20.94</v>
      </c>
      <c r="R409" s="63">
        <v>0</v>
      </c>
      <c r="S409" s="64">
        <v>0</v>
      </c>
    </row>
    <row r="410" spans="1:19" ht="11.1" customHeight="1" x14ac:dyDescent="0.25">
      <c r="A410" s="57">
        <v>113110</v>
      </c>
      <c r="B410" s="53">
        <v>46128</v>
      </c>
      <c r="C410" s="58">
        <v>46128</v>
      </c>
      <c r="D410" s="59" t="s">
        <v>616</v>
      </c>
      <c r="E410" s="50" t="s">
        <v>313</v>
      </c>
      <c r="F410" s="57">
        <v>36</v>
      </c>
      <c r="G410" s="60">
        <v>227</v>
      </c>
      <c r="H410" s="61" t="s">
        <v>613</v>
      </c>
      <c r="I410" s="50" t="s">
        <v>614</v>
      </c>
      <c r="J410" s="50" t="s">
        <v>615</v>
      </c>
      <c r="K410" s="62">
        <v>5403</v>
      </c>
      <c r="L410" s="57">
        <v>207</v>
      </c>
      <c r="M410" s="50" t="s">
        <v>26</v>
      </c>
      <c r="N410" s="50" t="s">
        <v>317</v>
      </c>
      <c r="O410" s="64">
        <v>491.73</v>
      </c>
      <c r="P410" s="65">
        <v>12</v>
      </c>
      <c r="Q410" s="64">
        <v>59</v>
      </c>
      <c r="R410" s="63">
        <v>0</v>
      </c>
      <c r="S410" s="64">
        <v>34.42</v>
      </c>
    </row>
    <row r="411" spans="1:19" ht="11.1" customHeight="1" x14ac:dyDescent="0.25">
      <c r="N411" s="50" t="s">
        <v>318</v>
      </c>
      <c r="O411" s="64">
        <v>663.83</v>
      </c>
      <c r="P411" s="65">
        <v>20</v>
      </c>
      <c r="Q411" s="64">
        <v>34.42</v>
      </c>
      <c r="R411" s="63">
        <v>0</v>
      </c>
      <c r="S411" s="64">
        <v>0</v>
      </c>
    </row>
    <row r="412" spans="1:19" ht="11.1" customHeight="1" x14ac:dyDescent="0.25">
      <c r="A412" s="57">
        <v>113155</v>
      </c>
      <c r="B412" s="53">
        <v>46128</v>
      </c>
      <c r="C412" s="58">
        <v>46128</v>
      </c>
      <c r="D412" s="59" t="s">
        <v>617</v>
      </c>
      <c r="E412" s="50" t="s">
        <v>313</v>
      </c>
      <c r="F412" s="57">
        <v>36</v>
      </c>
      <c r="G412" s="60">
        <v>227</v>
      </c>
      <c r="H412" s="61" t="s">
        <v>613</v>
      </c>
      <c r="I412" s="50" t="s">
        <v>614</v>
      </c>
      <c r="J412" s="50" t="s">
        <v>615</v>
      </c>
      <c r="K412" s="62">
        <v>5403</v>
      </c>
      <c r="L412" s="57">
        <v>207</v>
      </c>
      <c r="M412" s="50" t="s">
        <v>26</v>
      </c>
      <c r="N412" s="50" t="s">
        <v>317</v>
      </c>
      <c r="O412" s="64">
        <v>718.48</v>
      </c>
      <c r="P412" s="65">
        <v>12</v>
      </c>
      <c r="Q412" s="64">
        <v>86.22</v>
      </c>
      <c r="R412" s="63">
        <v>0</v>
      </c>
      <c r="S412" s="64">
        <v>50.3</v>
      </c>
    </row>
    <row r="413" spans="1:19" ht="11.1" customHeight="1" x14ac:dyDescent="0.25">
      <c r="N413" s="50" t="s">
        <v>318</v>
      </c>
      <c r="O413" s="64">
        <v>969.95</v>
      </c>
      <c r="P413" s="65">
        <v>20</v>
      </c>
      <c r="Q413" s="64">
        <v>50.3</v>
      </c>
      <c r="R413" s="63">
        <v>0</v>
      </c>
      <c r="S413" s="64">
        <v>0</v>
      </c>
    </row>
    <row r="414" spans="1:19" ht="11.1" customHeight="1" x14ac:dyDescent="0.25">
      <c r="A414" s="57">
        <v>113425</v>
      </c>
      <c r="B414" s="53">
        <v>46136</v>
      </c>
      <c r="C414" s="58">
        <v>46136</v>
      </c>
      <c r="D414" s="59" t="s">
        <v>618</v>
      </c>
      <c r="E414" s="50" t="s">
        <v>313</v>
      </c>
      <c r="F414" s="57">
        <v>36</v>
      </c>
      <c r="G414" s="60">
        <v>227</v>
      </c>
      <c r="H414" s="61" t="s">
        <v>613</v>
      </c>
      <c r="I414" s="50" t="s">
        <v>614</v>
      </c>
      <c r="J414" s="50" t="s">
        <v>615</v>
      </c>
      <c r="K414" s="62">
        <v>5403</v>
      </c>
      <c r="L414" s="57">
        <v>207</v>
      </c>
      <c r="M414" s="50" t="s">
        <v>26</v>
      </c>
      <c r="N414" s="50" t="s">
        <v>317</v>
      </c>
      <c r="O414" s="64">
        <v>1387.17</v>
      </c>
      <c r="P414" s="65">
        <v>12</v>
      </c>
      <c r="Q414" s="64">
        <v>166.46</v>
      </c>
      <c r="R414" s="63">
        <v>0</v>
      </c>
      <c r="S414" s="64">
        <v>97.11</v>
      </c>
    </row>
    <row r="415" spans="1:19" ht="11.1" customHeight="1" x14ac:dyDescent="0.25">
      <c r="N415" s="50" t="s">
        <v>318</v>
      </c>
      <c r="O415" s="64">
        <v>1872.68</v>
      </c>
      <c r="P415" s="65">
        <v>20</v>
      </c>
      <c r="Q415" s="64">
        <v>97.11</v>
      </c>
      <c r="R415" s="63">
        <v>0</v>
      </c>
      <c r="S415" s="64">
        <v>0</v>
      </c>
    </row>
    <row r="416" spans="1:19" ht="11.1" customHeight="1" x14ac:dyDescent="0.25">
      <c r="A416" s="57">
        <v>113680</v>
      </c>
      <c r="B416" s="53">
        <v>46136</v>
      </c>
      <c r="C416" s="58">
        <v>46136</v>
      </c>
      <c r="D416" s="59" t="s">
        <v>619</v>
      </c>
      <c r="E416" s="50" t="s">
        <v>313</v>
      </c>
      <c r="F416" s="57">
        <v>36</v>
      </c>
      <c r="G416" s="60">
        <v>227</v>
      </c>
      <c r="H416" s="61" t="s">
        <v>613</v>
      </c>
      <c r="I416" s="50" t="s">
        <v>614</v>
      </c>
      <c r="J416" s="50" t="s">
        <v>615</v>
      </c>
      <c r="K416" s="62">
        <v>5403</v>
      </c>
      <c r="L416" s="57">
        <v>207</v>
      </c>
      <c r="M416" s="50" t="s">
        <v>26</v>
      </c>
      <c r="N416" s="50" t="s">
        <v>317</v>
      </c>
      <c r="O416" s="64">
        <v>0</v>
      </c>
      <c r="P416" s="65">
        <v>0</v>
      </c>
      <c r="Q416" s="64">
        <v>0</v>
      </c>
      <c r="R416" s="63">
        <v>0</v>
      </c>
      <c r="S416" s="64">
        <v>0</v>
      </c>
    </row>
    <row r="417" spans="1:19" ht="11.1" customHeight="1" x14ac:dyDescent="0.25">
      <c r="N417" s="50" t="s">
        <v>318</v>
      </c>
      <c r="O417" s="64">
        <v>0</v>
      </c>
      <c r="P417" s="65">
        <v>0</v>
      </c>
      <c r="Q417" s="64">
        <v>0</v>
      </c>
      <c r="R417" s="63">
        <v>0</v>
      </c>
      <c r="S417" s="64">
        <v>0</v>
      </c>
    </row>
    <row r="418" spans="1:19" ht="11.1" customHeight="1" x14ac:dyDescent="0.25">
      <c r="A418" s="57">
        <v>113681</v>
      </c>
      <c r="B418" s="53">
        <v>46136</v>
      </c>
      <c r="C418" s="58">
        <v>46136</v>
      </c>
      <c r="D418" s="59" t="s">
        <v>620</v>
      </c>
      <c r="E418" s="50" t="s">
        <v>313</v>
      </c>
      <c r="F418" s="57">
        <v>36</v>
      </c>
      <c r="G418" s="60">
        <v>227</v>
      </c>
      <c r="H418" s="61" t="s">
        <v>613</v>
      </c>
      <c r="I418" s="50" t="s">
        <v>614</v>
      </c>
      <c r="J418" s="50" t="s">
        <v>615</v>
      </c>
      <c r="K418" s="62">
        <v>5403</v>
      </c>
      <c r="L418" s="57">
        <v>207</v>
      </c>
      <c r="M418" s="50" t="s">
        <v>26</v>
      </c>
      <c r="N418" s="50" t="s">
        <v>317</v>
      </c>
      <c r="O418" s="64">
        <v>0</v>
      </c>
      <c r="P418" s="65">
        <v>0</v>
      </c>
      <c r="Q418" s="64">
        <v>0</v>
      </c>
      <c r="R418" s="63">
        <v>0</v>
      </c>
      <c r="S418" s="64">
        <v>0</v>
      </c>
    </row>
    <row r="419" spans="1:19" ht="11.1" customHeight="1" x14ac:dyDescent="0.25">
      <c r="N419" s="50" t="s">
        <v>318</v>
      </c>
      <c r="O419" s="64">
        <v>0</v>
      </c>
      <c r="P419" s="65">
        <v>0</v>
      </c>
      <c r="Q419" s="64">
        <v>0</v>
      </c>
      <c r="R419" s="63">
        <v>0</v>
      </c>
      <c r="S419" s="64">
        <v>0</v>
      </c>
    </row>
    <row r="420" spans="1:19" ht="11.85" customHeight="1" x14ac:dyDescent="0.25">
      <c r="A420" s="66" t="s">
        <v>320</v>
      </c>
      <c r="B420" s="66"/>
      <c r="C420" s="66"/>
      <c r="D420" s="66"/>
      <c r="E420" s="66"/>
      <c r="F420" s="66"/>
      <c r="G420" s="66"/>
      <c r="H420" s="66"/>
    </row>
    <row r="421" spans="1:19" ht="11.1" customHeight="1" x14ac:dyDescent="0.25">
      <c r="N421" s="50" t="s">
        <v>317</v>
      </c>
      <c r="O421" s="64">
        <v>3597.42</v>
      </c>
      <c r="Q421" s="64">
        <v>431.69</v>
      </c>
      <c r="R421" s="63">
        <v>0</v>
      </c>
      <c r="S421" s="64">
        <v>232.4</v>
      </c>
    </row>
    <row r="422" spans="1:19" ht="11.1" customHeight="1" x14ac:dyDescent="0.25">
      <c r="N422" s="50" t="s">
        <v>318</v>
      </c>
      <c r="O422" s="64">
        <v>4481.7299999999996</v>
      </c>
      <c r="Q422" s="64">
        <v>232.4</v>
      </c>
      <c r="R422" s="63">
        <v>0</v>
      </c>
      <c r="S422" s="64">
        <v>0</v>
      </c>
    </row>
    <row r="423" spans="1:19" ht="11.1" customHeight="1" x14ac:dyDescent="0.25">
      <c r="A423" s="57">
        <v>112539</v>
      </c>
      <c r="B423" s="53">
        <v>46114</v>
      </c>
      <c r="C423" s="58">
        <v>46114</v>
      </c>
      <c r="D423" s="59" t="s">
        <v>621</v>
      </c>
      <c r="E423" s="50" t="s">
        <v>313</v>
      </c>
      <c r="F423" s="57">
        <v>36</v>
      </c>
      <c r="G423" s="60">
        <v>57</v>
      </c>
      <c r="H423" s="61" t="s">
        <v>622</v>
      </c>
      <c r="I423" s="50" t="s">
        <v>623</v>
      </c>
      <c r="J423" s="50" t="s">
        <v>624</v>
      </c>
      <c r="K423" s="62">
        <v>5102</v>
      </c>
      <c r="L423" s="57">
        <v>205</v>
      </c>
      <c r="M423" s="50" t="s">
        <v>26</v>
      </c>
      <c r="N423" s="50" t="s">
        <v>317</v>
      </c>
      <c r="O423" s="64">
        <v>592.65</v>
      </c>
      <c r="P423" s="65">
        <v>12</v>
      </c>
      <c r="Q423" s="64">
        <v>71.12</v>
      </c>
      <c r="R423" s="63">
        <v>0</v>
      </c>
      <c r="S423" s="64">
        <v>0</v>
      </c>
    </row>
    <row r="424" spans="1:19" ht="11.85" customHeight="1" x14ac:dyDescent="0.25">
      <c r="A424" s="66" t="s">
        <v>320</v>
      </c>
      <c r="B424" s="66"/>
      <c r="C424" s="66"/>
      <c r="D424" s="66"/>
      <c r="E424" s="66"/>
      <c r="F424" s="66"/>
      <c r="G424" s="66"/>
      <c r="H424" s="66"/>
    </row>
    <row r="425" spans="1:19" ht="11.1" customHeight="1" x14ac:dyDescent="0.25">
      <c r="N425" s="50" t="s">
        <v>317</v>
      </c>
      <c r="O425" s="64">
        <v>592.65</v>
      </c>
      <c r="Q425" s="64">
        <v>71.12</v>
      </c>
      <c r="R425" s="63">
        <v>0</v>
      </c>
      <c r="S425" s="64">
        <v>0</v>
      </c>
    </row>
    <row r="426" spans="1:19" ht="11.1" customHeight="1" x14ac:dyDescent="0.25">
      <c r="A426" s="57">
        <v>113043</v>
      </c>
      <c r="B426" s="53">
        <v>46126</v>
      </c>
      <c r="C426" s="58">
        <v>46126</v>
      </c>
      <c r="D426" s="59" t="s">
        <v>625</v>
      </c>
      <c r="E426" s="50" t="s">
        <v>313</v>
      </c>
      <c r="F426" s="57">
        <v>36</v>
      </c>
      <c r="G426" s="60">
        <v>860</v>
      </c>
      <c r="H426" s="61" t="s">
        <v>626</v>
      </c>
      <c r="I426" s="50" t="s">
        <v>627</v>
      </c>
      <c r="J426" s="50" t="s">
        <v>628</v>
      </c>
      <c r="K426" s="62">
        <v>5102</v>
      </c>
      <c r="L426" s="57">
        <v>205</v>
      </c>
      <c r="M426" s="50" t="s">
        <v>26</v>
      </c>
      <c r="N426" s="50" t="s">
        <v>317</v>
      </c>
      <c r="O426" s="64">
        <v>352.5</v>
      </c>
      <c r="P426" s="65">
        <v>12</v>
      </c>
      <c r="Q426" s="64">
        <v>42.3</v>
      </c>
      <c r="R426" s="63">
        <v>0</v>
      </c>
      <c r="S426" s="64">
        <v>0</v>
      </c>
    </row>
    <row r="427" spans="1:19" ht="11.85" customHeight="1" x14ac:dyDescent="0.25">
      <c r="A427" s="66" t="s">
        <v>320</v>
      </c>
      <c r="B427" s="66"/>
      <c r="C427" s="66"/>
      <c r="D427" s="66"/>
      <c r="E427" s="66"/>
      <c r="F427" s="66"/>
      <c r="G427" s="66"/>
      <c r="H427" s="66"/>
    </row>
    <row r="428" spans="1:19" ht="11.1" customHeight="1" x14ac:dyDescent="0.25">
      <c r="N428" s="50" t="s">
        <v>317</v>
      </c>
      <c r="O428" s="64">
        <v>352.5</v>
      </c>
      <c r="Q428" s="64">
        <v>42.3</v>
      </c>
      <c r="R428" s="63">
        <v>0</v>
      </c>
      <c r="S428" s="64">
        <v>0</v>
      </c>
    </row>
    <row r="429" spans="1:19" ht="11.1" customHeight="1" x14ac:dyDescent="0.25">
      <c r="A429" s="57">
        <v>112484</v>
      </c>
      <c r="B429" s="53">
        <v>46113</v>
      </c>
      <c r="C429" s="58">
        <v>46113</v>
      </c>
      <c r="D429" s="59" t="s">
        <v>629</v>
      </c>
      <c r="E429" s="50" t="s">
        <v>313</v>
      </c>
      <c r="F429" s="57">
        <v>36</v>
      </c>
      <c r="G429" s="60">
        <v>481</v>
      </c>
      <c r="H429" s="61" t="s">
        <v>630</v>
      </c>
      <c r="I429" s="50" t="s">
        <v>631</v>
      </c>
      <c r="J429" s="50" t="s">
        <v>632</v>
      </c>
      <c r="K429" s="62">
        <v>6403</v>
      </c>
      <c r="L429" s="57">
        <v>207</v>
      </c>
      <c r="M429" s="50" t="s">
        <v>34</v>
      </c>
      <c r="N429" s="50" t="s">
        <v>317</v>
      </c>
      <c r="O429" s="64">
        <v>1344.24</v>
      </c>
      <c r="P429" s="65">
        <v>12</v>
      </c>
      <c r="Q429" s="64">
        <v>161.31</v>
      </c>
      <c r="R429" s="63">
        <v>0</v>
      </c>
      <c r="S429" s="64">
        <v>204.28</v>
      </c>
    </row>
    <row r="430" spans="1:19" ht="11.1" customHeight="1" x14ac:dyDescent="0.25">
      <c r="N430" s="50" t="s">
        <v>318</v>
      </c>
      <c r="O430" s="64">
        <v>1924.15</v>
      </c>
      <c r="P430" s="65">
        <v>19</v>
      </c>
      <c r="Q430" s="64">
        <v>204.28</v>
      </c>
      <c r="R430" s="63">
        <v>0</v>
      </c>
      <c r="S430" s="64">
        <v>0</v>
      </c>
    </row>
    <row r="431" spans="1:19" ht="11.1" customHeight="1" x14ac:dyDescent="0.25">
      <c r="A431" s="57">
        <v>112928</v>
      </c>
      <c r="B431" s="53">
        <v>46125</v>
      </c>
      <c r="C431" s="58">
        <v>46125</v>
      </c>
      <c r="D431" s="59" t="s">
        <v>633</v>
      </c>
      <c r="E431" s="50" t="s">
        <v>313</v>
      </c>
      <c r="F431" s="57">
        <v>36</v>
      </c>
      <c r="G431" s="60">
        <v>481</v>
      </c>
      <c r="H431" s="61" t="s">
        <v>630</v>
      </c>
      <c r="I431" s="50" t="s">
        <v>631</v>
      </c>
      <c r="J431" s="50" t="s">
        <v>632</v>
      </c>
      <c r="K431" s="62">
        <v>6102</v>
      </c>
      <c r="L431" s="57">
        <v>238</v>
      </c>
      <c r="M431" s="50" t="s">
        <v>34</v>
      </c>
      <c r="N431" s="50" t="s">
        <v>317</v>
      </c>
      <c r="O431" s="64">
        <v>2570.8000000000002</v>
      </c>
      <c r="P431" s="65">
        <v>12</v>
      </c>
      <c r="Q431" s="64">
        <v>308.5</v>
      </c>
      <c r="R431" s="63">
        <v>0</v>
      </c>
      <c r="S431" s="64">
        <v>0</v>
      </c>
    </row>
    <row r="432" spans="1:19" ht="11.85" customHeight="1" x14ac:dyDescent="0.25">
      <c r="A432" s="66" t="s">
        <v>320</v>
      </c>
      <c r="B432" s="66"/>
      <c r="C432" s="66"/>
      <c r="D432" s="66"/>
      <c r="E432" s="66"/>
      <c r="F432" s="66"/>
      <c r="G432" s="66"/>
      <c r="H432" s="66"/>
    </row>
    <row r="433" spans="1:19" ht="11.1" customHeight="1" x14ac:dyDescent="0.25">
      <c r="N433" s="50" t="s">
        <v>317</v>
      </c>
      <c r="O433" s="64">
        <v>3915.04</v>
      </c>
      <c r="Q433" s="64">
        <v>469.81</v>
      </c>
      <c r="R433" s="63">
        <v>0</v>
      </c>
      <c r="S433" s="64">
        <v>204.28</v>
      </c>
    </row>
    <row r="434" spans="1:19" ht="11.1" customHeight="1" x14ac:dyDescent="0.25">
      <c r="N434" s="50" t="s">
        <v>318</v>
      </c>
      <c r="O434" s="64">
        <v>1924.15</v>
      </c>
      <c r="Q434" s="64">
        <v>204.28</v>
      </c>
      <c r="R434" s="63">
        <v>0</v>
      </c>
      <c r="S434" s="64">
        <v>0</v>
      </c>
    </row>
    <row r="435" spans="1:19" ht="11.1" customHeight="1" x14ac:dyDescent="0.25">
      <c r="A435" s="57">
        <v>112926</v>
      </c>
      <c r="B435" s="53">
        <v>46125</v>
      </c>
      <c r="C435" s="58">
        <v>46125</v>
      </c>
      <c r="D435" s="59" t="s">
        <v>634</v>
      </c>
      <c r="E435" s="50" t="s">
        <v>313</v>
      </c>
      <c r="F435" s="57">
        <v>36</v>
      </c>
      <c r="G435" s="60">
        <v>311</v>
      </c>
      <c r="H435" s="61" t="s">
        <v>635</v>
      </c>
      <c r="I435" s="50" t="s">
        <v>636</v>
      </c>
      <c r="J435" s="50" t="s">
        <v>637</v>
      </c>
      <c r="K435" s="62">
        <v>6403</v>
      </c>
      <c r="L435" s="57">
        <v>207</v>
      </c>
      <c r="M435" s="50" t="s">
        <v>34</v>
      </c>
      <c r="N435" s="50" t="s">
        <v>317</v>
      </c>
      <c r="O435" s="64">
        <v>2841.12</v>
      </c>
      <c r="P435" s="65">
        <v>12</v>
      </c>
      <c r="Q435" s="64">
        <v>340.93</v>
      </c>
      <c r="R435" s="63">
        <v>0</v>
      </c>
      <c r="S435" s="64">
        <v>0</v>
      </c>
    </row>
    <row r="436" spans="1:19" ht="11.1" customHeight="1" x14ac:dyDescent="0.25">
      <c r="A436" s="57">
        <v>112927</v>
      </c>
      <c r="B436" s="53">
        <v>46125</v>
      </c>
      <c r="C436" s="58">
        <v>46125</v>
      </c>
      <c r="D436" s="59" t="s">
        <v>634</v>
      </c>
      <c r="E436" s="50" t="s">
        <v>313</v>
      </c>
      <c r="F436" s="57">
        <v>36</v>
      </c>
      <c r="G436" s="60">
        <v>311</v>
      </c>
      <c r="H436" s="61" t="s">
        <v>635</v>
      </c>
      <c r="I436" s="50" t="s">
        <v>636</v>
      </c>
      <c r="J436" s="50" t="s">
        <v>637</v>
      </c>
      <c r="K436" s="62">
        <v>6102</v>
      </c>
      <c r="L436" s="57">
        <v>238</v>
      </c>
      <c r="M436" s="50" t="s">
        <v>34</v>
      </c>
      <c r="N436" s="50" t="s">
        <v>317</v>
      </c>
      <c r="O436" s="64">
        <v>1637.68</v>
      </c>
      <c r="P436" s="65">
        <v>12</v>
      </c>
      <c r="Q436" s="64">
        <v>196.52</v>
      </c>
      <c r="R436" s="63">
        <v>0</v>
      </c>
      <c r="S436" s="64">
        <v>0</v>
      </c>
    </row>
    <row r="437" spans="1:19" ht="11.85" customHeight="1" x14ac:dyDescent="0.25">
      <c r="A437" s="66" t="s">
        <v>320</v>
      </c>
      <c r="B437" s="66"/>
      <c r="C437" s="66"/>
      <c r="D437" s="66"/>
      <c r="E437" s="66"/>
      <c r="F437" s="66"/>
      <c r="G437" s="66"/>
      <c r="H437" s="66"/>
    </row>
    <row r="438" spans="1:19" ht="11.1" customHeight="1" x14ac:dyDescent="0.25">
      <c r="N438" s="50" t="s">
        <v>317</v>
      </c>
      <c r="O438" s="64">
        <v>4478.8</v>
      </c>
      <c r="Q438" s="64">
        <v>537.45000000000005</v>
      </c>
      <c r="R438" s="63">
        <v>0</v>
      </c>
      <c r="S438" s="64">
        <v>0</v>
      </c>
    </row>
    <row r="439" spans="1:19" ht="11.1" customHeight="1" x14ac:dyDescent="0.25">
      <c r="A439" s="57">
        <v>113092</v>
      </c>
      <c r="B439" s="53">
        <v>46127</v>
      </c>
      <c r="C439" s="58">
        <v>46127</v>
      </c>
      <c r="D439" s="59" t="s">
        <v>638</v>
      </c>
      <c r="E439" s="50" t="s">
        <v>313</v>
      </c>
      <c r="F439" s="57">
        <v>36</v>
      </c>
      <c r="G439" s="60">
        <v>83</v>
      </c>
      <c r="H439" s="61" t="s">
        <v>639</v>
      </c>
      <c r="I439" s="50" t="s">
        <v>640</v>
      </c>
      <c r="J439" s="50" t="s">
        <v>641</v>
      </c>
      <c r="K439" s="62">
        <v>5102</v>
      </c>
      <c r="L439" s="57">
        <v>205</v>
      </c>
      <c r="M439" s="50" t="s">
        <v>26</v>
      </c>
      <c r="N439" s="50" t="s">
        <v>317</v>
      </c>
      <c r="O439" s="64">
        <v>558</v>
      </c>
      <c r="P439" s="65">
        <v>12</v>
      </c>
      <c r="Q439" s="64">
        <v>66.959999999999994</v>
      </c>
      <c r="R439" s="63">
        <v>0</v>
      </c>
      <c r="S439" s="64">
        <v>0</v>
      </c>
    </row>
    <row r="440" spans="1:19" ht="11.1" customHeight="1" x14ac:dyDescent="0.25">
      <c r="A440" s="57">
        <v>113234</v>
      </c>
      <c r="B440" s="53">
        <v>46132</v>
      </c>
      <c r="C440" s="58">
        <v>46132</v>
      </c>
      <c r="D440" s="59" t="s">
        <v>642</v>
      </c>
      <c r="E440" s="50" t="s">
        <v>313</v>
      </c>
      <c r="F440" s="57">
        <v>36</v>
      </c>
      <c r="G440" s="60">
        <v>83</v>
      </c>
      <c r="H440" s="61" t="s">
        <v>639</v>
      </c>
      <c r="I440" s="50" t="s">
        <v>640</v>
      </c>
      <c r="J440" s="50" t="s">
        <v>641</v>
      </c>
      <c r="K440" s="62">
        <v>5102</v>
      </c>
      <c r="L440" s="57">
        <v>205</v>
      </c>
      <c r="M440" s="50" t="s">
        <v>26</v>
      </c>
      <c r="N440" s="50" t="s">
        <v>317</v>
      </c>
      <c r="O440" s="64">
        <v>926.96</v>
      </c>
      <c r="P440" s="65">
        <v>12</v>
      </c>
      <c r="Q440" s="64">
        <v>111.24</v>
      </c>
      <c r="R440" s="63">
        <v>0</v>
      </c>
      <c r="S440" s="64">
        <v>0</v>
      </c>
    </row>
    <row r="441" spans="1:19" ht="11.85" customHeight="1" x14ac:dyDescent="0.25">
      <c r="A441" s="66" t="s">
        <v>320</v>
      </c>
      <c r="B441" s="66"/>
      <c r="C441" s="66"/>
      <c r="D441" s="66"/>
      <c r="E441" s="66"/>
      <c r="F441" s="66"/>
      <c r="G441" s="66"/>
      <c r="H441" s="66"/>
    </row>
    <row r="442" spans="1:19" ht="11.1" customHeight="1" x14ac:dyDescent="0.25">
      <c r="N442" s="50" t="s">
        <v>317</v>
      </c>
      <c r="O442" s="64">
        <v>1484.96</v>
      </c>
      <c r="Q442" s="64">
        <v>178.2</v>
      </c>
      <c r="R442" s="63">
        <v>0</v>
      </c>
      <c r="S442" s="64">
        <v>0</v>
      </c>
    </row>
    <row r="443" spans="1:19" ht="11.1" customHeight="1" x14ac:dyDescent="0.25">
      <c r="A443" s="57">
        <v>113136</v>
      </c>
      <c r="B443" s="53">
        <v>46128</v>
      </c>
      <c r="C443" s="58">
        <v>46128</v>
      </c>
      <c r="D443" s="59" t="s">
        <v>643</v>
      </c>
      <c r="E443" s="50" t="s">
        <v>313</v>
      </c>
      <c r="F443" s="57">
        <v>36</v>
      </c>
      <c r="G443" s="60">
        <v>570</v>
      </c>
      <c r="H443" s="61" t="s">
        <v>644</v>
      </c>
      <c r="I443" s="50" t="s">
        <v>645</v>
      </c>
      <c r="J443" s="50" t="s">
        <v>646</v>
      </c>
      <c r="K443" s="62">
        <v>5102</v>
      </c>
      <c r="L443" s="57">
        <v>205</v>
      </c>
      <c r="M443" s="50" t="s">
        <v>26</v>
      </c>
      <c r="N443" s="50" t="s">
        <v>317</v>
      </c>
      <c r="O443" s="64">
        <v>529.08000000000004</v>
      </c>
      <c r="P443" s="65">
        <v>12</v>
      </c>
      <c r="Q443" s="64">
        <v>63.49</v>
      </c>
      <c r="R443" s="63">
        <v>0</v>
      </c>
      <c r="S443" s="64">
        <v>0</v>
      </c>
    </row>
    <row r="444" spans="1:19" ht="11.85" customHeight="1" x14ac:dyDescent="0.25">
      <c r="A444" s="66" t="s">
        <v>320</v>
      </c>
      <c r="B444" s="66"/>
      <c r="C444" s="66"/>
      <c r="D444" s="66"/>
      <c r="E444" s="66"/>
      <c r="F444" s="66"/>
      <c r="G444" s="66"/>
      <c r="H444" s="66"/>
    </row>
    <row r="445" spans="1:19" ht="11.1" customHeight="1" x14ac:dyDescent="0.25">
      <c r="N445" s="50" t="s">
        <v>317</v>
      </c>
      <c r="O445" s="64">
        <v>529.08000000000004</v>
      </c>
      <c r="Q445" s="64">
        <v>63.49</v>
      </c>
      <c r="R445" s="63">
        <v>0</v>
      </c>
      <c r="S445" s="64">
        <v>0</v>
      </c>
    </row>
    <row r="446" spans="1:19" ht="11.1" customHeight="1" x14ac:dyDescent="0.25">
      <c r="A446" s="57">
        <v>113098</v>
      </c>
      <c r="B446" s="53">
        <v>46127</v>
      </c>
      <c r="C446" s="58">
        <v>46127</v>
      </c>
      <c r="D446" s="59" t="s">
        <v>647</v>
      </c>
      <c r="E446" s="50" t="s">
        <v>313</v>
      </c>
      <c r="F446" s="57">
        <v>36</v>
      </c>
      <c r="G446" s="60">
        <v>586</v>
      </c>
      <c r="H446" s="61" t="s">
        <v>648</v>
      </c>
      <c r="I446" s="50" t="s">
        <v>649</v>
      </c>
      <c r="J446" s="50" t="s">
        <v>650</v>
      </c>
      <c r="K446" s="62">
        <v>5102</v>
      </c>
      <c r="L446" s="57">
        <v>205</v>
      </c>
      <c r="M446" s="50" t="s">
        <v>26</v>
      </c>
      <c r="N446" s="50" t="s">
        <v>317</v>
      </c>
      <c r="O446" s="64">
        <v>3418.79</v>
      </c>
      <c r="P446" s="65">
        <v>12</v>
      </c>
      <c r="Q446" s="64">
        <v>410.25</v>
      </c>
      <c r="R446" s="63">
        <v>0</v>
      </c>
      <c r="S446" s="64">
        <v>0</v>
      </c>
    </row>
    <row r="447" spans="1:19" ht="11.1" customHeight="1" x14ac:dyDescent="0.25">
      <c r="A447" s="57">
        <v>113671</v>
      </c>
      <c r="B447" s="53">
        <v>46127</v>
      </c>
      <c r="C447" s="58">
        <v>46127</v>
      </c>
      <c r="D447" s="59" t="s">
        <v>651</v>
      </c>
      <c r="E447" s="50" t="s">
        <v>313</v>
      </c>
      <c r="F447" s="57">
        <v>36</v>
      </c>
      <c r="G447" s="60">
        <v>586</v>
      </c>
      <c r="H447" s="61" t="s">
        <v>648</v>
      </c>
      <c r="I447" s="50" t="s">
        <v>649</v>
      </c>
      <c r="J447" s="50" t="s">
        <v>650</v>
      </c>
      <c r="K447" s="62">
        <v>5102</v>
      </c>
      <c r="L447" s="57">
        <v>205</v>
      </c>
      <c r="M447" s="50" t="s">
        <v>26</v>
      </c>
      <c r="N447" s="50" t="s">
        <v>317</v>
      </c>
      <c r="O447" s="64">
        <v>0</v>
      </c>
      <c r="P447" s="65">
        <v>0</v>
      </c>
      <c r="Q447" s="64">
        <v>0</v>
      </c>
      <c r="R447" s="63">
        <v>0</v>
      </c>
      <c r="S447" s="64">
        <v>0</v>
      </c>
    </row>
    <row r="448" spans="1:19" ht="11.85" customHeight="1" x14ac:dyDescent="0.25">
      <c r="A448" s="66" t="s">
        <v>320</v>
      </c>
      <c r="B448" s="66"/>
      <c r="C448" s="66"/>
      <c r="D448" s="66"/>
      <c r="E448" s="66"/>
      <c r="F448" s="66"/>
      <c r="G448" s="66"/>
      <c r="H448" s="66"/>
    </row>
    <row r="449" spans="1:19" ht="11.1" customHeight="1" x14ac:dyDescent="0.25">
      <c r="N449" s="50" t="s">
        <v>317</v>
      </c>
      <c r="O449" s="64">
        <v>3418.79</v>
      </c>
      <c r="Q449" s="64">
        <v>410.25</v>
      </c>
      <c r="R449" s="63">
        <v>0</v>
      </c>
      <c r="S449" s="64">
        <v>0</v>
      </c>
    </row>
    <row r="450" spans="1:19" ht="11.1" customHeight="1" x14ac:dyDescent="0.25">
      <c r="A450" s="57">
        <v>112888</v>
      </c>
      <c r="B450" s="53">
        <v>46122</v>
      </c>
      <c r="C450" s="58">
        <v>46122</v>
      </c>
      <c r="D450" s="59" t="s">
        <v>652</v>
      </c>
      <c r="E450" s="50" t="s">
        <v>313</v>
      </c>
      <c r="F450" s="57">
        <v>36</v>
      </c>
      <c r="G450" s="60">
        <v>934</v>
      </c>
      <c r="H450" s="61" t="s">
        <v>653</v>
      </c>
      <c r="I450" s="50" t="s">
        <v>654</v>
      </c>
      <c r="J450" s="50" t="s">
        <v>655</v>
      </c>
      <c r="K450" s="62">
        <v>5403</v>
      </c>
      <c r="L450" s="57">
        <v>207</v>
      </c>
      <c r="M450" s="50" t="s">
        <v>26</v>
      </c>
      <c r="N450" s="50" t="s">
        <v>317</v>
      </c>
      <c r="O450" s="64">
        <v>11590.45</v>
      </c>
      <c r="P450" s="65">
        <v>12</v>
      </c>
      <c r="Q450" s="64">
        <v>1390.85</v>
      </c>
      <c r="R450" s="63">
        <v>0</v>
      </c>
      <c r="S450" s="64">
        <v>0</v>
      </c>
    </row>
    <row r="451" spans="1:19" ht="11.1" customHeight="1" x14ac:dyDescent="0.25">
      <c r="A451" s="57">
        <v>112986</v>
      </c>
      <c r="B451" s="53">
        <v>46125</v>
      </c>
      <c r="C451" s="58">
        <v>46125</v>
      </c>
      <c r="D451" s="59" t="s">
        <v>656</v>
      </c>
      <c r="E451" s="50" t="s">
        <v>313</v>
      </c>
      <c r="F451" s="57">
        <v>36</v>
      </c>
      <c r="G451" s="60">
        <v>934</v>
      </c>
      <c r="H451" s="61" t="s">
        <v>653</v>
      </c>
      <c r="I451" s="50" t="s">
        <v>654</v>
      </c>
      <c r="J451" s="50" t="s">
        <v>655</v>
      </c>
      <c r="K451" s="62">
        <v>5102</v>
      </c>
      <c r="L451" s="57">
        <v>205</v>
      </c>
      <c r="M451" s="50" t="s">
        <v>26</v>
      </c>
      <c r="N451" s="50" t="s">
        <v>317</v>
      </c>
      <c r="O451" s="64">
        <v>958</v>
      </c>
      <c r="P451" s="65">
        <v>12</v>
      </c>
      <c r="Q451" s="64">
        <v>114.96</v>
      </c>
      <c r="R451" s="63">
        <v>0</v>
      </c>
      <c r="S451" s="64">
        <v>0</v>
      </c>
    </row>
    <row r="452" spans="1:19" ht="11.1" customHeight="1" x14ac:dyDescent="0.25">
      <c r="A452" s="57">
        <v>112987</v>
      </c>
      <c r="B452" s="53">
        <v>46125</v>
      </c>
      <c r="C452" s="58">
        <v>46125</v>
      </c>
      <c r="D452" s="59" t="s">
        <v>656</v>
      </c>
      <c r="E452" s="50" t="s">
        <v>313</v>
      </c>
      <c r="F452" s="57">
        <v>36</v>
      </c>
      <c r="G452" s="60">
        <v>934</v>
      </c>
      <c r="H452" s="61" t="s">
        <v>653</v>
      </c>
      <c r="I452" s="50" t="s">
        <v>654</v>
      </c>
      <c r="J452" s="50" t="s">
        <v>655</v>
      </c>
      <c r="K452" s="62">
        <v>5403</v>
      </c>
      <c r="L452" s="57">
        <v>207</v>
      </c>
      <c r="M452" s="50" t="s">
        <v>26</v>
      </c>
      <c r="N452" s="50" t="s">
        <v>317</v>
      </c>
      <c r="O452" s="64">
        <v>56.75</v>
      </c>
      <c r="P452" s="65">
        <v>12</v>
      </c>
      <c r="Q452" s="64">
        <v>6.81</v>
      </c>
      <c r="R452" s="63">
        <v>0</v>
      </c>
      <c r="S452" s="64">
        <v>0</v>
      </c>
    </row>
    <row r="453" spans="1:19" ht="11.1" customHeight="1" x14ac:dyDescent="0.25">
      <c r="A453" s="57">
        <v>113025</v>
      </c>
      <c r="B453" s="53">
        <v>46126</v>
      </c>
      <c r="C453" s="58">
        <v>46126</v>
      </c>
      <c r="D453" s="59" t="s">
        <v>657</v>
      </c>
      <c r="E453" s="50" t="s">
        <v>313</v>
      </c>
      <c r="F453" s="57">
        <v>36</v>
      </c>
      <c r="G453" s="60">
        <v>934</v>
      </c>
      <c r="H453" s="61" t="s">
        <v>653</v>
      </c>
      <c r="I453" s="50" t="s">
        <v>654</v>
      </c>
      <c r="J453" s="50" t="s">
        <v>655</v>
      </c>
      <c r="K453" s="62">
        <v>5403</v>
      </c>
      <c r="L453" s="57">
        <v>207</v>
      </c>
      <c r="M453" s="50" t="s">
        <v>26</v>
      </c>
      <c r="N453" s="50" t="s">
        <v>317</v>
      </c>
      <c r="O453" s="64">
        <v>629</v>
      </c>
      <c r="P453" s="65">
        <v>12</v>
      </c>
      <c r="Q453" s="64">
        <v>75.48</v>
      </c>
      <c r="R453" s="63">
        <v>0</v>
      </c>
      <c r="S453" s="64">
        <v>0</v>
      </c>
    </row>
    <row r="454" spans="1:19" ht="11.85" customHeight="1" x14ac:dyDescent="0.25">
      <c r="A454" s="66" t="s">
        <v>320</v>
      </c>
      <c r="B454" s="66"/>
      <c r="C454" s="66"/>
      <c r="D454" s="66"/>
      <c r="E454" s="66"/>
      <c r="F454" s="66"/>
      <c r="G454" s="66"/>
      <c r="H454" s="66"/>
    </row>
    <row r="455" spans="1:19" ht="11.1" customHeight="1" x14ac:dyDescent="0.25">
      <c r="N455" s="50" t="s">
        <v>317</v>
      </c>
      <c r="O455" s="64">
        <v>13234.2</v>
      </c>
      <c r="Q455" s="64">
        <v>1588.1</v>
      </c>
      <c r="R455" s="63">
        <v>0</v>
      </c>
      <c r="S455" s="64">
        <v>0</v>
      </c>
    </row>
    <row r="456" spans="1:19" ht="11.1" customHeight="1" x14ac:dyDescent="0.25">
      <c r="A456" s="57">
        <v>112783</v>
      </c>
      <c r="B456" s="53">
        <v>46120</v>
      </c>
      <c r="C456" s="58">
        <v>46120</v>
      </c>
      <c r="D456" s="59" t="s">
        <v>658</v>
      </c>
      <c r="E456" s="50" t="s">
        <v>313</v>
      </c>
      <c r="F456" s="57">
        <v>36</v>
      </c>
      <c r="G456" s="60">
        <v>275</v>
      </c>
      <c r="H456" s="61" t="s">
        <v>659</v>
      </c>
      <c r="I456" s="50" t="s">
        <v>660</v>
      </c>
      <c r="J456" s="50" t="s">
        <v>661</v>
      </c>
      <c r="K456" s="62">
        <v>5403</v>
      </c>
      <c r="L456" s="57">
        <v>207</v>
      </c>
      <c r="M456" s="50" t="s">
        <v>26</v>
      </c>
      <c r="N456" s="50" t="s">
        <v>317</v>
      </c>
      <c r="O456" s="64">
        <v>1649.44</v>
      </c>
      <c r="P456" s="65">
        <v>12</v>
      </c>
      <c r="Q456" s="64">
        <v>197.92</v>
      </c>
      <c r="R456" s="63">
        <v>0</v>
      </c>
      <c r="S456" s="64">
        <v>115.45</v>
      </c>
    </row>
    <row r="457" spans="1:19" ht="11.1" customHeight="1" x14ac:dyDescent="0.25">
      <c r="N457" s="50" t="s">
        <v>318</v>
      </c>
      <c r="O457" s="64">
        <v>2226.7399999999998</v>
      </c>
      <c r="P457" s="65">
        <v>20</v>
      </c>
      <c r="Q457" s="64">
        <v>115.45</v>
      </c>
      <c r="R457" s="63">
        <v>0</v>
      </c>
      <c r="S457" s="64">
        <v>0</v>
      </c>
    </row>
    <row r="458" spans="1:19" ht="11.1" customHeight="1" x14ac:dyDescent="0.25">
      <c r="A458" s="57">
        <v>112851</v>
      </c>
      <c r="B458" s="53">
        <v>46121</v>
      </c>
      <c r="C458" s="58">
        <v>46121</v>
      </c>
      <c r="D458" s="59" t="s">
        <v>662</v>
      </c>
      <c r="E458" s="50" t="s">
        <v>313</v>
      </c>
      <c r="F458" s="57">
        <v>36</v>
      </c>
      <c r="G458" s="60">
        <v>275</v>
      </c>
      <c r="H458" s="61" t="s">
        <v>659</v>
      </c>
      <c r="I458" s="50" t="s">
        <v>660</v>
      </c>
      <c r="J458" s="50" t="s">
        <v>661</v>
      </c>
      <c r="K458" s="62">
        <v>5102</v>
      </c>
      <c r="L458" s="57">
        <v>205</v>
      </c>
      <c r="M458" s="50" t="s">
        <v>26</v>
      </c>
      <c r="N458" s="50" t="s">
        <v>317</v>
      </c>
      <c r="O458" s="64">
        <v>1003.8</v>
      </c>
      <c r="P458" s="65">
        <v>12</v>
      </c>
      <c r="Q458" s="64">
        <v>120.46</v>
      </c>
      <c r="R458" s="63">
        <v>0</v>
      </c>
      <c r="S458" s="64">
        <v>0</v>
      </c>
    </row>
    <row r="459" spans="1:19" ht="11.1" customHeight="1" x14ac:dyDescent="0.25">
      <c r="A459" s="57">
        <v>112852</v>
      </c>
      <c r="B459" s="53">
        <v>46121</v>
      </c>
      <c r="C459" s="58">
        <v>46121</v>
      </c>
      <c r="D459" s="59" t="s">
        <v>662</v>
      </c>
      <c r="E459" s="50" t="s">
        <v>313</v>
      </c>
      <c r="F459" s="57">
        <v>36</v>
      </c>
      <c r="G459" s="60">
        <v>275</v>
      </c>
      <c r="H459" s="61" t="s">
        <v>659</v>
      </c>
      <c r="I459" s="50" t="s">
        <v>660</v>
      </c>
      <c r="J459" s="50" t="s">
        <v>661</v>
      </c>
      <c r="K459" s="62">
        <v>5403</v>
      </c>
      <c r="L459" s="57">
        <v>207</v>
      </c>
      <c r="M459" s="50" t="s">
        <v>26</v>
      </c>
      <c r="N459" s="50" t="s">
        <v>317</v>
      </c>
      <c r="O459" s="64">
        <v>6479.8</v>
      </c>
      <c r="P459" s="65">
        <v>12</v>
      </c>
      <c r="Q459" s="64">
        <v>777.58</v>
      </c>
      <c r="R459" s="63">
        <v>0</v>
      </c>
      <c r="S459" s="64">
        <v>453.59</v>
      </c>
    </row>
    <row r="460" spans="1:19" ht="11.1" customHeight="1" x14ac:dyDescent="0.25">
      <c r="N460" s="50" t="s">
        <v>318</v>
      </c>
      <c r="O460" s="64">
        <v>8747.73</v>
      </c>
      <c r="P460" s="65">
        <v>20</v>
      </c>
      <c r="Q460" s="64">
        <v>453.59</v>
      </c>
      <c r="R460" s="63">
        <v>0</v>
      </c>
      <c r="S460" s="64">
        <v>0</v>
      </c>
    </row>
    <row r="461" spans="1:19" ht="11.1" customHeight="1" x14ac:dyDescent="0.25">
      <c r="A461" s="57">
        <v>112853</v>
      </c>
      <c r="B461" s="53">
        <v>46121</v>
      </c>
      <c r="C461" s="58">
        <v>46121</v>
      </c>
      <c r="D461" s="59" t="s">
        <v>663</v>
      </c>
      <c r="E461" s="50" t="s">
        <v>313</v>
      </c>
      <c r="F461" s="57">
        <v>36</v>
      </c>
      <c r="G461" s="60">
        <v>275</v>
      </c>
      <c r="H461" s="61" t="s">
        <v>659</v>
      </c>
      <c r="I461" s="50" t="s">
        <v>660</v>
      </c>
      <c r="J461" s="50" t="s">
        <v>661</v>
      </c>
      <c r="K461" s="62">
        <v>5102</v>
      </c>
      <c r="L461" s="57">
        <v>205</v>
      </c>
      <c r="M461" s="50" t="s">
        <v>26</v>
      </c>
      <c r="N461" s="50" t="s">
        <v>317</v>
      </c>
      <c r="O461" s="64">
        <v>602.28</v>
      </c>
      <c r="P461" s="65">
        <v>12</v>
      </c>
      <c r="Q461" s="64">
        <v>72.27</v>
      </c>
      <c r="R461" s="63">
        <v>0</v>
      </c>
      <c r="S461" s="64">
        <v>0</v>
      </c>
    </row>
    <row r="462" spans="1:19" ht="11.1" customHeight="1" x14ac:dyDescent="0.25">
      <c r="A462" s="57">
        <v>112854</v>
      </c>
      <c r="B462" s="53">
        <v>46121</v>
      </c>
      <c r="C462" s="58">
        <v>46121</v>
      </c>
      <c r="D462" s="59" t="s">
        <v>663</v>
      </c>
      <c r="E462" s="50" t="s">
        <v>313</v>
      </c>
      <c r="F462" s="57">
        <v>36</v>
      </c>
      <c r="G462" s="60">
        <v>275</v>
      </c>
      <c r="H462" s="61" t="s">
        <v>659</v>
      </c>
      <c r="I462" s="50" t="s">
        <v>660</v>
      </c>
      <c r="J462" s="50" t="s">
        <v>661</v>
      </c>
      <c r="K462" s="62">
        <v>5403</v>
      </c>
      <c r="L462" s="57">
        <v>207</v>
      </c>
      <c r="M462" s="50" t="s">
        <v>26</v>
      </c>
      <c r="N462" s="50" t="s">
        <v>317</v>
      </c>
      <c r="O462" s="64">
        <v>2268.6</v>
      </c>
      <c r="P462" s="65">
        <v>12</v>
      </c>
      <c r="Q462" s="64">
        <v>272.23</v>
      </c>
      <c r="R462" s="63">
        <v>0</v>
      </c>
      <c r="S462" s="64">
        <v>158.80000000000001</v>
      </c>
    </row>
    <row r="463" spans="1:19" ht="11.1" customHeight="1" x14ac:dyDescent="0.25">
      <c r="N463" s="50" t="s">
        <v>318</v>
      </c>
      <c r="O463" s="64">
        <v>3062.61</v>
      </c>
      <c r="P463" s="65">
        <v>20</v>
      </c>
      <c r="Q463" s="64">
        <v>158.80000000000001</v>
      </c>
      <c r="R463" s="63">
        <v>0</v>
      </c>
      <c r="S463" s="64">
        <v>0</v>
      </c>
    </row>
    <row r="464" spans="1:19" ht="11.1" customHeight="1" x14ac:dyDescent="0.25">
      <c r="A464" s="57">
        <v>112925</v>
      </c>
      <c r="B464" s="53">
        <v>46125</v>
      </c>
      <c r="C464" s="58">
        <v>46125</v>
      </c>
      <c r="D464" s="59" t="s">
        <v>664</v>
      </c>
      <c r="E464" s="50" t="s">
        <v>313</v>
      </c>
      <c r="F464" s="57">
        <v>36</v>
      </c>
      <c r="G464" s="60">
        <v>275</v>
      </c>
      <c r="H464" s="61" t="s">
        <v>659</v>
      </c>
      <c r="I464" s="50" t="s">
        <v>660</v>
      </c>
      <c r="J464" s="50" t="s">
        <v>661</v>
      </c>
      <c r="K464" s="62">
        <v>5403</v>
      </c>
      <c r="L464" s="57">
        <v>207</v>
      </c>
      <c r="M464" s="50" t="s">
        <v>26</v>
      </c>
      <c r="N464" s="50" t="s">
        <v>317</v>
      </c>
      <c r="O464" s="64">
        <v>1006.4</v>
      </c>
      <c r="P464" s="65">
        <v>12</v>
      </c>
      <c r="Q464" s="64">
        <v>120.77</v>
      </c>
      <c r="R464" s="63">
        <v>0</v>
      </c>
      <c r="S464" s="64">
        <v>70.45</v>
      </c>
    </row>
    <row r="465" spans="1:19" ht="11.1" customHeight="1" x14ac:dyDescent="0.25">
      <c r="N465" s="50" t="s">
        <v>318</v>
      </c>
      <c r="O465" s="64">
        <v>1358.64</v>
      </c>
      <c r="P465" s="65">
        <v>20</v>
      </c>
      <c r="Q465" s="64">
        <v>70.45</v>
      </c>
      <c r="R465" s="63">
        <v>0</v>
      </c>
      <c r="S465" s="64">
        <v>0</v>
      </c>
    </row>
    <row r="466" spans="1:19" ht="11.1" customHeight="1" x14ac:dyDescent="0.25">
      <c r="A466" s="57">
        <v>113091</v>
      </c>
      <c r="B466" s="53">
        <v>46127</v>
      </c>
      <c r="C466" s="58">
        <v>46127</v>
      </c>
      <c r="D466" s="59" t="s">
        <v>665</v>
      </c>
      <c r="E466" s="50" t="s">
        <v>313</v>
      </c>
      <c r="F466" s="57">
        <v>36</v>
      </c>
      <c r="G466" s="60">
        <v>275</v>
      </c>
      <c r="H466" s="61" t="s">
        <v>659</v>
      </c>
      <c r="I466" s="50" t="s">
        <v>660</v>
      </c>
      <c r="J466" s="50" t="s">
        <v>661</v>
      </c>
      <c r="K466" s="62">
        <v>5102</v>
      </c>
      <c r="L466" s="57">
        <v>205</v>
      </c>
      <c r="M466" s="50" t="s">
        <v>26</v>
      </c>
      <c r="N466" s="50" t="s">
        <v>317</v>
      </c>
      <c r="O466" s="64">
        <v>166.52</v>
      </c>
      <c r="P466" s="65">
        <v>12</v>
      </c>
      <c r="Q466" s="64">
        <v>19.98</v>
      </c>
      <c r="R466" s="63">
        <v>0</v>
      </c>
      <c r="S466" s="64">
        <v>0</v>
      </c>
    </row>
    <row r="467" spans="1:19" ht="11.1" customHeight="1" x14ac:dyDescent="0.25">
      <c r="A467" s="57">
        <v>113130</v>
      </c>
      <c r="B467" s="53">
        <v>46128</v>
      </c>
      <c r="C467" s="58">
        <v>46128</v>
      </c>
      <c r="D467" s="59" t="s">
        <v>666</v>
      </c>
      <c r="E467" s="50" t="s">
        <v>313</v>
      </c>
      <c r="F467" s="57">
        <v>36</v>
      </c>
      <c r="G467" s="60">
        <v>275</v>
      </c>
      <c r="H467" s="61" t="s">
        <v>659</v>
      </c>
      <c r="I467" s="50" t="s">
        <v>660</v>
      </c>
      <c r="J467" s="50" t="s">
        <v>661</v>
      </c>
      <c r="K467" s="62">
        <v>5102</v>
      </c>
      <c r="L467" s="57">
        <v>205</v>
      </c>
      <c r="M467" s="50" t="s">
        <v>26</v>
      </c>
      <c r="N467" s="50" t="s">
        <v>317</v>
      </c>
      <c r="O467" s="64">
        <v>333.04</v>
      </c>
      <c r="P467" s="65">
        <v>12</v>
      </c>
      <c r="Q467" s="64">
        <v>39.96</v>
      </c>
      <c r="R467" s="63">
        <v>0</v>
      </c>
      <c r="S467" s="64">
        <v>0</v>
      </c>
    </row>
    <row r="468" spans="1:19" ht="11.1" customHeight="1" x14ac:dyDescent="0.25">
      <c r="A468" s="57">
        <v>113208</v>
      </c>
      <c r="B468" s="53">
        <v>46129</v>
      </c>
      <c r="C468" s="58">
        <v>46129</v>
      </c>
      <c r="D468" s="59" t="s">
        <v>667</v>
      </c>
      <c r="E468" s="50" t="s">
        <v>313</v>
      </c>
      <c r="F468" s="57">
        <v>36</v>
      </c>
      <c r="G468" s="60">
        <v>275</v>
      </c>
      <c r="H468" s="61" t="s">
        <v>659</v>
      </c>
      <c r="I468" s="50" t="s">
        <v>660</v>
      </c>
      <c r="J468" s="50" t="s">
        <v>661</v>
      </c>
      <c r="K468" s="62">
        <v>5403</v>
      </c>
      <c r="L468" s="57">
        <v>207</v>
      </c>
      <c r="M468" s="50" t="s">
        <v>26</v>
      </c>
      <c r="N468" s="50" t="s">
        <v>317</v>
      </c>
      <c r="O468" s="64">
        <v>2767.6</v>
      </c>
      <c r="P468" s="65">
        <v>12</v>
      </c>
      <c r="Q468" s="64">
        <v>332.11</v>
      </c>
      <c r="R468" s="63">
        <v>0</v>
      </c>
      <c r="S468" s="64">
        <v>193.73</v>
      </c>
    </row>
    <row r="469" spans="1:19" ht="11.1" customHeight="1" x14ac:dyDescent="0.25">
      <c r="N469" s="50" t="s">
        <v>318</v>
      </c>
      <c r="O469" s="64">
        <v>3736.26</v>
      </c>
      <c r="P469" s="65">
        <v>20</v>
      </c>
      <c r="Q469" s="64">
        <v>193.73</v>
      </c>
      <c r="R469" s="63">
        <v>0</v>
      </c>
      <c r="S469" s="64">
        <v>0</v>
      </c>
    </row>
    <row r="470" spans="1:19" ht="11.1" customHeight="1" x14ac:dyDescent="0.25">
      <c r="A470" s="57">
        <v>113549</v>
      </c>
      <c r="B470" s="53">
        <v>46140</v>
      </c>
      <c r="C470" s="58">
        <v>46140</v>
      </c>
      <c r="D470" s="59" t="s">
        <v>668</v>
      </c>
      <c r="E470" s="50" t="s">
        <v>313</v>
      </c>
      <c r="F470" s="57">
        <v>36</v>
      </c>
      <c r="G470" s="60">
        <v>275</v>
      </c>
      <c r="H470" s="61" t="s">
        <v>659</v>
      </c>
      <c r="I470" s="50" t="s">
        <v>660</v>
      </c>
      <c r="J470" s="50" t="s">
        <v>661</v>
      </c>
      <c r="K470" s="62">
        <v>5403</v>
      </c>
      <c r="L470" s="57">
        <v>207</v>
      </c>
      <c r="M470" s="50" t="s">
        <v>26</v>
      </c>
      <c r="N470" s="50" t="s">
        <v>317</v>
      </c>
      <c r="O470" s="64">
        <v>629</v>
      </c>
      <c r="P470" s="65">
        <v>12</v>
      </c>
      <c r="Q470" s="64">
        <v>75.48</v>
      </c>
      <c r="R470" s="63">
        <v>0</v>
      </c>
      <c r="S470" s="64">
        <v>44.03</v>
      </c>
    </row>
    <row r="471" spans="1:19" ht="11.1" customHeight="1" x14ac:dyDescent="0.25">
      <c r="N471" s="50" t="s">
        <v>318</v>
      </c>
      <c r="O471" s="64">
        <v>849.15</v>
      </c>
      <c r="P471" s="65">
        <v>20</v>
      </c>
      <c r="Q471" s="64">
        <v>44.03</v>
      </c>
      <c r="R471" s="63">
        <v>0</v>
      </c>
      <c r="S471" s="64">
        <v>0</v>
      </c>
    </row>
    <row r="472" spans="1:19" ht="11.1" customHeight="1" x14ac:dyDescent="0.25">
      <c r="A472" s="57">
        <v>113550</v>
      </c>
      <c r="B472" s="53">
        <v>46140</v>
      </c>
      <c r="C472" s="58">
        <v>46140</v>
      </c>
      <c r="D472" s="59" t="s">
        <v>669</v>
      </c>
      <c r="E472" s="50" t="s">
        <v>313</v>
      </c>
      <c r="F472" s="57">
        <v>36</v>
      </c>
      <c r="G472" s="60">
        <v>275</v>
      </c>
      <c r="H472" s="61" t="s">
        <v>659</v>
      </c>
      <c r="I472" s="50" t="s">
        <v>660</v>
      </c>
      <c r="J472" s="50" t="s">
        <v>661</v>
      </c>
      <c r="K472" s="62">
        <v>5403</v>
      </c>
      <c r="L472" s="57">
        <v>207</v>
      </c>
      <c r="M472" s="50" t="s">
        <v>26</v>
      </c>
      <c r="N472" s="50" t="s">
        <v>317</v>
      </c>
      <c r="O472" s="64">
        <v>3650.95</v>
      </c>
      <c r="P472" s="65">
        <v>12</v>
      </c>
      <c r="Q472" s="64">
        <v>438.11</v>
      </c>
      <c r="R472" s="63">
        <v>0</v>
      </c>
      <c r="S472" s="64">
        <v>255.56</v>
      </c>
    </row>
    <row r="473" spans="1:19" ht="11.1" customHeight="1" x14ac:dyDescent="0.25">
      <c r="N473" s="50" t="s">
        <v>318</v>
      </c>
      <c r="O473" s="64">
        <v>4928.78</v>
      </c>
      <c r="P473" s="65">
        <v>20</v>
      </c>
      <c r="Q473" s="64">
        <v>255.56</v>
      </c>
      <c r="R473" s="63">
        <v>0</v>
      </c>
      <c r="S473" s="64">
        <v>0</v>
      </c>
    </row>
    <row r="474" spans="1:19" ht="11.1" customHeight="1" x14ac:dyDescent="0.25">
      <c r="A474" s="57">
        <v>113576</v>
      </c>
      <c r="B474" s="53">
        <v>46141</v>
      </c>
      <c r="C474" s="58">
        <v>46141</v>
      </c>
      <c r="D474" s="59" t="s">
        <v>670</v>
      </c>
      <c r="E474" s="50" t="s">
        <v>313</v>
      </c>
      <c r="F474" s="57">
        <v>36</v>
      </c>
      <c r="G474" s="60">
        <v>275</v>
      </c>
      <c r="H474" s="61" t="s">
        <v>659</v>
      </c>
      <c r="I474" s="50" t="s">
        <v>660</v>
      </c>
      <c r="J474" s="50" t="s">
        <v>661</v>
      </c>
      <c r="K474" s="62">
        <v>5403</v>
      </c>
      <c r="L474" s="57">
        <v>207</v>
      </c>
      <c r="M474" s="50" t="s">
        <v>26</v>
      </c>
      <c r="N474" s="50" t="s">
        <v>317</v>
      </c>
      <c r="O474" s="64">
        <v>1446.7</v>
      </c>
      <c r="P474" s="65">
        <v>12</v>
      </c>
      <c r="Q474" s="64">
        <v>173.6</v>
      </c>
      <c r="R474" s="63">
        <v>0</v>
      </c>
      <c r="S474" s="64">
        <v>101.27</v>
      </c>
    </row>
    <row r="475" spans="1:19" ht="11.1" customHeight="1" x14ac:dyDescent="0.25">
      <c r="N475" s="50" t="s">
        <v>318</v>
      </c>
      <c r="O475" s="64">
        <v>1953.05</v>
      </c>
      <c r="P475" s="65">
        <v>20</v>
      </c>
      <c r="Q475" s="64">
        <v>101.27</v>
      </c>
      <c r="R475" s="63">
        <v>0</v>
      </c>
      <c r="S475" s="64">
        <v>0</v>
      </c>
    </row>
    <row r="476" spans="1:19" ht="11.85" customHeight="1" x14ac:dyDescent="0.25">
      <c r="A476" s="66" t="s">
        <v>320</v>
      </c>
      <c r="B476" s="66"/>
      <c r="C476" s="66"/>
      <c r="D476" s="66"/>
      <c r="E476" s="66"/>
      <c r="F476" s="66"/>
      <c r="G476" s="66"/>
      <c r="H476" s="66"/>
    </row>
    <row r="477" spans="1:19" ht="11.1" customHeight="1" x14ac:dyDescent="0.25">
      <c r="N477" s="50" t="s">
        <v>317</v>
      </c>
      <c r="O477" s="64">
        <v>22004.13</v>
      </c>
      <c r="Q477" s="64">
        <v>2640.47</v>
      </c>
      <c r="R477" s="63">
        <v>0</v>
      </c>
      <c r="S477" s="64">
        <v>1392.88</v>
      </c>
    </row>
    <row r="478" spans="1:19" ht="11.1" customHeight="1" x14ac:dyDescent="0.25">
      <c r="N478" s="50" t="s">
        <v>318</v>
      </c>
      <c r="O478" s="64">
        <v>26862.959999999999</v>
      </c>
      <c r="Q478" s="64">
        <v>1392.88</v>
      </c>
      <c r="R478" s="63">
        <v>0</v>
      </c>
      <c r="S478" s="64">
        <v>0</v>
      </c>
    </row>
    <row r="479" spans="1:19" ht="11.1" customHeight="1" x14ac:dyDescent="0.25">
      <c r="A479" s="57">
        <v>113688</v>
      </c>
      <c r="B479" s="53">
        <v>46134</v>
      </c>
      <c r="C479" s="58">
        <v>46134</v>
      </c>
      <c r="D479" s="59" t="s">
        <v>671</v>
      </c>
      <c r="E479" s="50" t="s">
        <v>313</v>
      </c>
      <c r="F479" s="57">
        <v>36</v>
      </c>
      <c r="G479" s="60">
        <v>127</v>
      </c>
      <c r="H479" s="61" t="s">
        <v>672</v>
      </c>
      <c r="I479" s="50" t="s">
        <v>673</v>
      </c>
      <c r="J479" s="50" t="s">
        <v>674</v>
      </c>
      <c r="K479" s="62">
        <v>5202</v>
      </c>
      <c r="L479" s="57">
        <v>216</v>
      </c>
      <c r="M479" s="50" t="s">
        <v>34</v>
      </c>
      <c r="N479" s="50" t="s">
        <v>317</v>
      </c>
      <c r="O479" s="64">
        <v>51200</v>
      </c>
      <c r="P479" s="65">
        <v>12</v>
      </c>
      <c r="Q479" s="64">
        <v>6144</v>
      </c>
      <c r="R479" s="63">
        <v>0</v>
      </c>
      <c r="S479" s="64">
        <v>0</v>
      </c>
    </row>
    <row r="480" spans="1:19" ht="11.85" customHeight="1" x14ac:dyDescent="0.25">
      <c r="A480" s="66" t="s">
        <v>320</v>
      </c>
      <c r="B480" s="66"/>
      <c r="C480" s="66"/>
      <c r="D480" s="66"/>
      <c r="E480" s="66"/>
      <c r="F480" s="66"/>
      <c r="G480" s="66"/>
      <c r="H480" s="66"/>
    </row>
    <row r="481" spans="1:19" ht="11.1" customHeight="1" x14ac:dyDescent="0.25">
      <c r="N481" s="50" t="s">
        <v>317</v>
      </c>
      <c r="O481" s="64">
        <v>51200</v>
      </c>
      <c r="Q481" s="64">
        <v>6144</v>
      </c>
      <c r="R481" s="63">
        <v>0</v>
      </c>
      <c r="S481" s="64">
        <v>0</v>
      </c>
    </row>
    <row r="482" spans="1:19" ht="11.1" customHeight="1" x14ac:dyDescent="0.25">
      <c r="A482" s="57">
        <v>112571</v>
      </c>
      <c r="B482" s="53">
        <v>46118</v>
      </c>
      <c r="C482" s="58">
        <v>46118</v>
      </c>
      <c r="D482" s="59" t="s">
        <v>675</v>
      </c>
      <c r="E482" s="50" t="s">
        <v>313</v>
      </c>
      <c r="F482" s="57">
        <v>36</v>
      </c>
      <c r="G482" s="60">
        <v>60</v>
      </c>
      <c r="H482" s="61" t="s">
        <v>676</v>
      </c>
      <c r="I482" s="50" t="s">
        <v>677</v>
      </c>
      <c r="J482" s="50" t="s">
        <v>678</v>
      </c>
      <c r="K482" s="62">
        <v>5102</v>
      </c>
      <c r="L482" s="57">
        <v>205</v>
      </c>
      <c r="M482" s="50" t="s">
        <v>26</v>
      </c>
      <c r="N482" s="50" t="s">
        <v>317</v>
      </c>
      <c r="O482" s="64">
        <v>13358.21</v>
      </c>
      <c r="P482" s="65">
        <v>12</v>
      </c>
      <c r="Q482" s="64">
        <v>1602.97</v>
      </c>
      <c r="R482" s="63">
        <v>0</v>
      </c>
      <c r="S482" s="64">
        <v>0</v>
      </c>
    </row>
    <row r="483" spans="1:19" ht="11.1" customHeight="1" x14ac:dyDescent="0.25">
      <c r="A483" s="57">
        <v>112572</v>
      </c>
      <c r="B483" s="53">
        <v>46118</v>
      </c>
      <c r="C483" s="58">
        <v>46118</v>
      </c>
      <c r="D483" s="59" t="s">
        <v>675</v>
      </c>
      <c r="E483" s="50" t="s">
        <v>313</v>
      </c>
      <c r="F483" s="57">
        <v>36</v>
      </c>
      <c r="G483" s="60">
        <v>60</v>
      </c>
      <c r="H483" s="61" t="s">
        <v>676</v>
      </c>
      <c r="I483" s="50" t="s">
        <v>677</v>
      </c>
      <c r="J483" s="50" t="s">
        <v>678</v>
      </c>
      <c r="K483" s="62">
        <v>5403</v>
      </c>
      <c r="L483" s="57">
        <v>207</v>
      </c>
      <c r="M483" s="50" t="s">
        <v>26</v>
      </c>
      <c r="N483" s="50" t="s">
        <v>317</v>
      </c>
      <c r="O483" s="64">
        <v>11457.9</v>
      </c>
      <c r="P483" s="65">
        <v>12</v>
      </c>
      <c r="Q483" s="64">
        <v>1374.95</v>
      </c>
      <c r="R483" s="63">
        <v>0</v>
      </c>
      <c r="S483" s="64">
        <v>802.07</v>
      </c>
    </row>
    <row r="484" spans="1:19" ht="11.1" customHeight="1" x14ac:dyDescent="0.25">
      <c r="N484" s="50" t="s">
        <v>318</v>
      </c>
      <c r="O484" s="64">
        <v>15468.16</v>
      </c>
      <c r="P484" s="65">
        <v>20</v>
      </c>
      <c r="Q484" s="64">
        <v>802.07</v>
      </c>
      <c r="R484" s="63">
        <v>0</v>
      </c>
      <c r="S484" s="64">
        <v>0</v>
      </c>
    </row>
    <row r="485" spans="1:19" ht="11.85" customHeight="1" x14ac:dyDescent="0.25">
      <c r="A485" s="66" t="s">
        <v>320</v>
      </c>
      <c r="B485" s="66"/>
      <c r="C485" s="66"/>
      <c r="D485" s="66"/>
      <c r="E485" s="66"/>
      <c r="F485" s="66"/>
      <c r="G485" s="66"/>
      <c r="H485" s="66"/>
    </row>
    <row r="486" spans="1:19" ht="11.1" customHeight="1" x14ac:dyDescent="0.25">
      <c r="N486" s="50" t="s">
        <v>317</v>
      </c>
      <c r="O486" s="64">
        <v>24816.11</v>
      </c>
      <c r="Q486" s="64">
        <v>2977.92</v>
      </c>
      <c r="R486" s="63">
        <v>0</v>
      </c>
      <c r="S486" s="64">
        <v>802.07</v>
      </c>
    </row>
    <row r="487" spans="1:19" ht="11.1" customHeight="1" x14ac:dyDescent="0.25">
      <c r="N487" s="50" t="s">
        <v>318</v>
      </c>
      <c r="O487" s="64">
        <v>15468.16</v>
      </c>
      <c r="Q487" s="64">
        <v>802.07</v>
      </c>
      <c r="R487" s="63">
        <v>0</v>
      </c>
      <c r="S487" s="64">
        <v>0</v>
      </c>
    </row>
    <row r="488" spans="1:19" ht="11.1" customHeight="1" x14ac:dyDescent="0.25">
      <c r="A488" s="57">
        <v>112568</v>
      </c>
      <c r="B488" s="53">
        <v>46118</v>
      </c>
      <c r="C488" s="58">
        <v>46118</v>
      </c>
      <c r="D488" s="59" t="s">
        <v>679</v>
      </c>
      <c r="E488" s="50" t="s">
        <v>313</v>
      </c>
      <c r="F488" s="57">
        <v>36</v>
      </c>
      <c r="G488" s="60">
        <v>90</v>
      </c>
      <c r="H488" s="61" t="s">
        <v>680</v>
      </c>
      <c r="I488" s="50" t="s">
        <v>681</v>
      </c>
      <c r="J488" s="50" t="s">
        <v>682</v>
      </c>
      <c r="K488" s="62">
        <v>5102</v>
      </c>
      <c r="L488" s="57">
        <v>205</v>
      </c>
      <c r="M488" s="50" t="s">
        <v>26</v>
      </c>
      <c r="N488" s="50" t="s">
        <v>317</v>
      </c>
      <c r="O488" s="64">
        <v>23418.66</v>
      </c>
      <c r="P488" s="65">
        <v>12</v>
      </c>
      <c r="Q488" s="64">
        <v>2810.23</v>
      </c>
      <c r="R488" s="63">
        <v>0</v>
      </c>
      <c r="S488" s="64">
        <v>0</v>
      </c>
    </row>
    <row r="489" spans="1:19" ht="11.1" customHeight="1" x14ac:dyDescent="0.25">
      <c r="A489" s="57">
        <v>112569</v>
      </c>
      <c r="B489" s="53">
        <v>46118</v>
      </c>
      <c r="C489" s="58">
        <v>46118</v>
      </c>
      <c r="D489" s="59" t="s">
        <v>679</v>
      </c>
      <c r="E489" s="50" t="s">
        <v>313</v>
      </c>
      <c r="F489" s="57">
        <v>36</v>
      </c>
      <c r="G489" s="60">
        <v>90</v>
      </c>
      <c r="H489" s="61" t="s">
        <v>680</v>
      </c>
      <c r="I489" s="50" t="s">
        <v>681</v>
      </c>
      <c r="J489" s="50" t="s">
        <v>682</v>
      </c>
      <c r="K489" s="62">
        <v>5405</v>
      </c>
      <c r="L489" s="57">
        <v>206</v>
      </c>
      <c r="M489" s="50" t="s">
        <v>26</v>
      </c>
      <c r="N489" s="50" t="s">
        <v>317</v>
      </c>
      <c r="O489" s="64">
        <v>0</v>
      </c>
      <c r="P489" s="65">
        <v>0</v>
      </c>
      <c r="Q489" s="64">
        <v>0</v>
      </c>
      <c r="R489" s="63">
        <v>0</v>
      </c>
      <c r="S489" s="64">
        <v>1874.07</v>
      </c>
    </row>
    <row r="490" spans="1:19" ht="11.1" customHeight="1" x14ac:dyDescent="0.25">
      <c r="A490" s="57">
        <v>112570</v>
      </c>
      <c r="B490" s="53">
        <v>46118</v>
      </c>
      <c r="C490" s="58">
        <v>46118</v>
      </c>
      <c r="D490" s="59" t="s">
        <v>679</v>
      </c>
      <c r="E490" s="50" t="s">
        <v>313</v>
      </c>
      <c r="F490" s="57">
        <v>36</v>
      </c>
      <c r="G490" s="60">
        <v>90</v>
      </c>
      <c r="H490" s="61" t="s">
        <v>680</v>
      </c>
      <c r="I490" s="50" t="s">
        <v>681</v>
      </c>
      <c r="J490" s="50" t="s">
        <v>682</v>
      </c>
      <c r="K490" s="62">
        <v>5403</v>
      </c>
      <c r="L490" s="57">
        <v>207</v>
      </c>
      <c r="M490" s="50" t="s">
        <v>26</v>
      </c>
      <c r="N490" s="50" t="s">
        <v>317</v>
      </c>
      <c r="O490" s="64">
        <v>20695.11</v>
      </c>
      <c r="P490" s="65">
        <v>12</v>
      </c>
      <c r="Q490" s="64">
        <v>2483.41</v>
      </c>
      <c r="R490" s="63">
        <v>0</v>
      </c>
      <c r="S490" s="64">
        <v>1448.66</v>
      </c>
    </row>
    <row r="491" spans="1:19" ht="11.1" customHeight="1" x14ac:dyDescent="0.25">
      <c r="N491" s="50" t="s">
        <v>318</v>
      </c>
      <c r="O491" s="64">
        <v>27938.43</v>
      </c>
      <c r="P491" s="65">
        <v>20</v>
      </c>
      <c r="Q491" s="64">
        <v>1448.66</v>
      </c>
      <c r="R491" s="63">
        <v>0</v>
      </c>
      <c r="S491" s="64">
        <v>0</v>
      </c>
    </row>
    <row r="492" spans="1:19" ht="11.85" customHeight="1" x14ac:dyDescent="0.25">
      <c r="A492" s="66" t="s">
        <v>320</v>
      </c>
      <c r="B492" s="66"/>
      <c r="C492" s="66"/>
      <c r="D492" s="66"/>
      <c r="E492" s="66"/>
      <c r="F492" s="66"/>
      <c r="G492" s="66"/>
      <c r="H492" s="66"/>
    </row>
    <row r="493" spans="1:19" ht="11.1" customHeight="1" x14ac:dyDescent="0.25">
      <c r="N493" s="50" t="s">
        <v>317</v>
      </c>
      <c r="O493" s="64">
        <v>44113.77</v>
      </c>
      <c r="Q493" s="64">
        <v>5293.64</v>
      </c>
      <c r="R493" s="63">
        <v>0</v>
      </c>
      <c r="S493" s="64">
        <v>3322.73</v>
      </c>
    </row>
    <row r="494" spans="1:19" ht="11.1" customHeight="1" x14ac:dyDescent="0.25">
      <c r="N494" s="50" t="s">
        <v>318</v>
      </c>
      <c r="O494" s="64">
        <v>27938.43</v>
      </c>
      <c r="Q494" s="64">
        <v>1448.66</v>
      </c>
      <c r="R494" s="63">
        <v>0</v>
      </c>
      <c r="S494" s="64">
        <v>0</v>
      </c>
    </row>
    <row r="495" spans="1:19" ht="11.1" customHeight="1" x14ac:dyDescent="0.25">
      <c r="A495" s="57">
        <v>112573</v>
      </c>
      <c r="B495" s="53">
        <v>46118</v>
      </c>
      <c r="C495" s="58">
        <v>46118</v>
      </c>
      <c r="D495" s="59" t="s">
        <v>683</v>
      </c>
      <c r="E495" s="50" t="s">
        <v>313</v>
      </c>
      <c r="F495" s="57">
        <v>36</v>
      </c>
      <c r="G495" s="60">
        <v>89</v>
      </c>
      <c r="H495" s="61" t="s">
        <v>684</v>
      </c>
      <c r="I495" s="50" t="s">
        <v>685</v>
      </c>
      <c r="J495" s="50" t="s">
        <v>686</v>
      </c>
      <c r="K495" s="62">
        <v>5102</v>
      </c>
      <c r="L495" s="57">
        <v>205</v>
      </c>
      <c r="M495" s="50" t="s">
        <v>26</v>
      </c>
      <c r="N495" s="50" t="s">
        <v>317</v>
      </c>
      <c r="O495" s="64">
        <v>33325</v>
      </c>
      <c r="P495" s="65">
        <v>12</v>
      </c>
      <c r="Q495" s="64">
        <v>3999.01</v>
      </c>
      <c r="R495" s="63">
        <v>0</v>
      </c>
      <c r="S495" s="64">
        <v>0</v>
      </c>
    </row>
    <row r="496" spans="1:19" ht="11.1" customHeight="1" x14ac:dyDescent="0.25">
      <c r="A496" s="57">
        <v>112574</v>
      </c>
      <c r="B496" s="53">
        <v>46118</v>
      </c>
      <c r="C496" s="58">
        <v>46118</v>
      </c>
      <c r="D496" s="59" t="s">
        <v>683</v>
      </c>
      <c r="E496" s="50" t="s">
        <v>313</v>
      </c>
      <c r="F496" s="57">
        <v>36</v>
      </c>
      <c r="G496" s="60">
        <v>89</v>
      </c>
      <c r="H496" s="61" t="s">
        <v>684</v>
      </c>
      <c r="I496" s="50" t="s">
        <v>685</v>
      </c>
      <c r="J496" s="50" t="s">
        <v>686</v>
      </c>
      <c r="K496" s="62">
        <v>5405</v>
      </c>
      <c r="L496" s="57">
        <v>206</v>
      </c>
      <c r="M496" s="50" t="s">
        <v>26</v>
      </c>
      <c r="N496" s="50" t="s">
        <v>317</v>
      </c>
      <c r="O496" s="64">
        <v>0</v>
      </c>
      <c r="P496" s="65">
        <v>0</v>
      </c>
      <c r="Q496" s="64">
        <v>0</v>
      </c>
      <c r="R496" s="63">
        <v>0</v>
      </c>
      <c r="S496" s="64">
        <v>99.52</v>
      </c>
    </row>
    <row r="497" spans="1:19" ht="11.1" customHeight="1" x14ac:dyDescent="0.25">
      <c r="A497" s="57">
        <v>112575</v>
      </c>
      <c r="B497" s="53">
        <v>46118</v>
      </c>
      <c r="C497" s="58">
        <v>46118</v>
      </c>
      <c r="D497" s="59" t="s">
        <v>683</v>
      </c>
      <c r="E497" s="50" t="s">
        <v>313</v>
      </c>
      <c r="F497" s="57">
        <v>36</v>
      </c>
      <c r="G497" s="60">
        <v>89</v>
      </c>
      <c r="H497" s="61" t="s">
        <v>684</v>
      </c>
      <c r="I497" s="50" t="s">
        <v>685</v>
      </c>
      <c r="J497" s="50" t="s">
        <v>686</v>
      </c>
      <c r="K497" s="62">
        <v>5403</v>
      </c>
      <c r="L497" s="57">
        <v>207</v>
      </c>
      <c r="M497" s="50" t="s">
        <v>26</v>
      </c>
      <c r="N497" s="50" t="s">
        <v>317</v>
      </c>
      <c r="O497" s="64">
        <v>31771.35</v>
      </c>
      <c r="P497" s="65">
        <v>12</v>
      </c>
      <c r="Q497" s="64">
        <v>3812.58</v>
      </c>
      <c r="R497" s="63">
        <v>0</v>
      </c>
      <c r="S497" s="64">
        <v>2224</v>
      </c>
    </row>
    <row r="498" spans="1:19" ht="11.1" customHeight="1" x14ac:dyDescent="0.25">
      <c r="N498" s="50" t="s">
        <v>318</v>
      </c>
      <c r="O498" s="64">
        <v>42891.34</v>
      </c>
      <c r="P498" s="65">
        <v>20</v>
      </c>
      <c r="Q498" s="64">
        <v>2224</v>
      </c>
      <c r="R498" s="63">
        <v>0</v>
      </c>
      <c r="S498" s="64">
        <v>0</v>
      </c>
    </row>
    <row r="499" spans="1:19" ht="11.85" customHeight="1" x14ac:dyDescent="0.25">
      <c r="A499" s="66" t="s">
        <v>320</v>
      </c>
      <c r="B499" s="66"/>
      <c r="C499" s="66"/>
      <c r="D499" s="66"/>
      <c r="E499" s="66"/>
      <c r="F499" s="66"/>
      <c r="G499" s="66"/>
      <c r="H499" s="66"/>
    </row>
    <row r="500" spans="1:19" ht="11.1" customHeight="1" x14ac:dyDescent="0.25">
      <c r="N500" s="50" t="s">
        <v>317</v>
      </c>
      <c r="O500" s="64">
        <v>65096.35</v>
      </c>
      <c r="Q500" s="64">
        <v>7811.59</v>
      </c>
      <c r="R500" s="63">
        <v>0</v>
      </c>
      <c r="S500" s="64">
        <v>2323.52</v>
      </c>
    </row>
    <row r="501" spans="1:19" ht="11.1" customHeight="1" x14ac:dyDescent="0.25">
      <c r="N501" s="50" t="s">
        <v>318</v>
      </c>
      <c r="O501" s="64">
        <v>42891.34</v>
      </c>
      <c r="Q501" s="64">
        <v>2224</v>
      </c>
      <c r="R501" s="63">
        <v>0</v>
      </c>
      <c r="S501" s="64">
        <v>0</v>
      </c>
    </row>
    <row r="502" spans="1:19" ht="11.1" customHeight="1" x14ac:dyDescent="0.25">
      <c r="A502" s="57">
        <v>112834</v>
      </c>
      <c r="B502" s="53">
        <v>46121</v>
      </c>
      <c r="C502" s="58">
        <v>46121</v>
      </c>
      <c r="D502" s="59" t="s">
        <v>687</v>
      </c>
      <c r="E502" s="50" t="s">
        <v>313</v>
      </c>
      <c r="F502" s="57">
        <v>36</v>
      </c>
      <c r="G502" s="60">
        <v>163</v>
      </c>
      <c r="H502" s="61" t="s">
        <v>688</v>
      </c>
      <c r="I502" s="50" t="s">
        <v>689</v>
      </c>
      <c r="J502" s="50" t="s">
        <v>690</v>
      </c>
      <c r="K502" s="62">
        <v>6403</v>
      </c>
      <c r="L502" s="57">
        <v>207</v>
      </c>
      <c r="M502" s="50" t="s">
        <v>38</v>
      </c>
      <c r="N502" s="50" t="s">
        <v>317</v>
      </c>
      <c r="O502" s="64">
        <v>445.38</v>
      </c>
      <c r="P502" s="65">
        <v>12</v>
      </c>
      <c r="Q502" s="64">
        <v>53.45</v>
      </c>
      <c r="R502" s="63">
        <v>0</v>
      </c>
      <c r="S502" s="64">
        <v>87.65</v>
      </c>
    </row>
    <row r="503" spans="1:19" ht="11.1" customHeight="1" x14ac:dyDescent="0.25">
      <c r="N503" s="50" t="s">
        <v>318</v>
      </c>
      <c r="O503" s="64">
        <v>783.87</v>
      </c>
      <c r="P503" s="65">
        <v>18</v>
      </c>
      <c r="Q503" s="64">
        <v>87.65</v>
      </c>
      <c r="R503" s="63">
        <v>0</v>
      </c>
      <c r="S503" s="64">
        <v>0</v>
      </c>
    </row>
    <row r="504" spans="1:19" ht="11.1" customHeight="1" x14ac:dyDescent="0.25">
      <c r="A504" s="57">
        <v>112864</v>
      </c>
      <c r="B504" s="53">
        <v>46121</v>
      </c>
      <c r="C504" s="58">
        <v>46121</v>
      </c>
      <c r="D504" s="59" t="s">
        <v>691</v>
      </c>
      <c r="E504" s="50" t="s">
        <v>313</v>
      </c>
      <c r="F504" s="57">
        <v>36</v>
      </c>
      <c r="G504" s="60">
        <v>163</v>
      </c>
      <c r="H504" s="61" t="s">
        <v>688</v>
      </c>
      <c r="I504" s="50" t="s">
        <v>689</v>
      </c>
      <c r="J504" s="50" t="s">
        <v>690</v>
      </c>
      <c r="K504" s="62">
        <v>6403</v>
      </c>
      <c r="L504" s="57">
        <v>207</v>
      </c>
      <c r="M504" s="50" t="s">
        <v>38</v>
      </c>
      <c r="N504" s="50" t="s">
        <v>317</v>
      </c>
      <c r="O504" s="64">
        <v>1657.31</v>
      </c>
      <c r="P504" s="65">
        <v>12</v>
      </c>
      <c r="Q504" s="64">
        <v>198.87</v>
      </c>
      <c r="R504" s="63">
        <v>0</v>
      </c>
      <c r="S504" s="64">
        <v>326.16000000000003</v>
      </c>
    </row>
    <row r="505" spans="1:19" ht="11.1" customHeight="1" x14ac:dyDescent="0.25">
      <c r="N505" s="50" t="s">
        <v>318</v>
      </c>
      <c r="O505" s="64">
        <v>2916.87</v>
      </c>
      <c r="P505" s="65">
        <v>18</v>
      </c>
      <c r="Q505" s="64">
        <v>326.16000000000003</v>
      </c>
      <c r="R505" s="63">
        <v>0</v>
      </c>
      <c r="S505" s="64">
        <v>0</v>
      </c>
    </row>
    <row r="506" spans="1:19" ht="11.1" customHeight="1" x14ac:dyDescent="0.25">
      <c r="A506" s="57">
        <v>112865</v>
      </c>
      <c r="B506" s="53">
        <v>46121</v>
      </c>
      <c r="C506" s="58">
        <v>46121</v>
      </c>
      <c r="D506" s="59" t="s">
        <v>691</v>
      </c>
      <c r="E506" s="50" t="s">
        <v>313</v>
      </c>
      <c r="F506" s="57">
        <v>36</v>
      </c>
      <c r="G506" s="60">
        <v>163</v>
      </c>
      <c r="H506" s="61" t="s">
        <v>688</v>
      </c>
      <c r="I506" s="50" t="s">
        <v>689</v>
      </c>
      <c r="J506" s="50" t="s">
        <v>690</v>
      </c>
      <c r="K506" s="62">
        <v>6102</v>
      </c>
      <c r="L506" s="57">
        <v>238</v>
      </c>
      <c r="M506" s="50" t="s">
        <v>38</v>
      </c>
      <c r="N506" s="50" t="s">
        <v>317</v>
      </c>
      <c r="O506" s="64">
        <v>690</v>
      </c>
      <c r="P506" s="65">
        <v>12</v>
      </c>
      <c r="Q506" s="64">
        <v>82.8</v>
      </c>
      <c r="R506" s="63">
        <v>0</v>
      </c>
      <c r="S506" s="64">
        <v>0</v>
      </c>
    </row>
    <row r="507" spans="1:19" ht="11.1" customHeight="1" x14ac:dyDescent="0.25">
      <c r="A507" s="57">
        <v>112866</v>
      </c>
      <c r="B507" s="53">
        <v>46121</v>
      </c>
      <c r="C507" s="58">
        <v>46121</v>
      </c>
      <c r="D507" s="59" t="s">
        <v>692</v>
      </c>
      <c r="E507" s="50" t="s">
        <v>313</v>
      </c>
      <c r="F507" s="57">
        <v>36</v>
      </c>
      <c r="G507" s="60">
        <v>163</v>
      </c>
      <c r="H507" s="61" t="s">
        <v>688</v>
      </c>
      <c r="I507" s="50" t="s">
        <v>689</v>
      </c>
      <c r="J507" s="50" t="s">
        <v>690</v>
      </c>
      <c r="K507" s="62">
        <v>6403</v>
      </c>
      <c r="L507" s="57">
        <v>207</v>
      </c>
      <c r="M507" s="50" t="s">
        <v>38</v>
      </c>
      <c r="N507" s="50" t="s">
        <v>317</v>
      </c>
      <c r="O507" s="64">
        <v>19638.59</v>
      </c>
      <c r="P507" s="65">
        <v>12</v>
      </c>
      <c r="Q507" s="64">
        <v>2356.6</v>
      </c>
      <c r="R507" s="63">
        <v>0</v>
      </c>
      <c r="S507" s="64">
        <v>3864.85</v>
      </c>
    </row>
    <row r="508" spans="1:19" ht="11.1" customHeight="1" x14ac:dyDescent="0.25">
      <c r="N508" s="50" t="s">
        <v>318</v>
      </c>
      <c r="O508" s="64">
        <v>34563.919999999998</v>
      </c>
      <c r="P508" s="65">
        <v>18</v>
      </c>
      <c r="Q508" s="64">
        <v>3864.85</v>
      </c>
      <c r="R508" s="63">
        <v>0</v>
      </c>
      <c r="S508" s="64">
        <v>0</v>
      </c>
    </row>
    <row r="509" spans="1:19" ht="11.1" customHeight="1" x14ac:dyDescent="0.25">
      <c r="A509" s="57">
        <v>112867</v>
      </c>
      <c r="B509" s="53">
        <v>46121</v>
      </c>
      <c r="C509" s="58">
        <v>46121</v>
      </c>
      <c r="D509" s="59" t="s">
        <v>692</v>
      </c>
      <c r="E509" s="50" t="s">
        <v>313</v>
      </c>
      <c r="F509" s="57">
        <v>36</v>
      </c>
      <c r="G509" s="60">
        <v>163</v>
      </c>
      <c r="H509" s="61" t="s">
        <v>688</v>
      </c>
      <c r="I509" s="50" t="s">
        <v>689</v>
      </c>
      <c r="J509" s="50" t="s">
        <v>690</v>
      </c>
      <c r="K509" s="62">
        <v>6102</v>
      </c>
      <c r="L509" s="57">
        <v>238</v>
      </c>
      <c r="M509" s="50" t="s">
        <v>38</v>
      </c>
      <c r="N509" s="50" t="s">
        <v>317</v>
      </c>
      <c r="O509" s="64">
        <v>11887.22</v>
      </c>
      <c r="P509" s="65">
        <v>12</v>
      </c>
      <c r="Q509" s="64">
        <v>1426.43</v>
      </c>
      <c r="R509" s="63">
        <v>0</v>
      </c>
      <c r="S509" s="64">
        <v>0</v>
      </c>
    </row>
    <row r="510" spans="1:19" ht="11.1" customHeight="1" x14ac:dyDescent="0.25">
      <c r="A510" s="57">
        <v>112874</v>
      </c>
      <c r="B510" s="53">
        <v>46122</v>
      </c>
      <c r="C510" s="58">
        <v>46122</v>
      </c>
      <c r="D510" s="59" t="s">
        <v>693</v>
      </c>
      <c r="E510" s="50" t="s">
        <v>313</v>
      </c>
      <c r="F510" s="57">
        <v>36</v>
      </c>
      <c r="G510" s="60">
        <v>163</v>
      </c>
      <c r="H510" s="61" t="s">
        <v>688</v>
      </c>
      <c r="I510" s="50" t="s">
        <v>689</v>
      </c>
      <c r="J510" s="50" t="s">
        <v>690</v>
      </c>
      <c r="K510" s="62">
        <v>6403</v>
      </c>
      <c r="L510" s="57">
        <v>207</v>
      </c>
      <c r="M510" s="50" t="s">
        <v>38</v>
      </c>
      <c r="N510" s="50" t="s">
        <v>317</v>
      </c>
      <c r="O510" s="64">
        <v>206.06</v>
      </c>
      <c r="P510" s="65">
        <v>12</v>
      </c>
      <c r="Q510" s="64">
        <v>24.73</v>
      </c>
      <c r="R510" s="63">
        <v>0</v>
      </c>
      <c r="S510" s="64">
        <v>40.549999999999997</v>
      </c>
    </row>
    <row r="511" spans="1:19" ht="11.1" customHeight="1" x14ac:dyDescent="0.25">
      <c r="N511" s="50" t="s">
        <v>318</v>
      </c>
      <c r="O511" s="64">
        <v>362.67</v>
      </c>
      <c r="P511" s="65">
        <v>18</v>
      </c>
      <c r="Q511" s="64">
        <v>40.549999999999997</v>
      </c>
      <c r="R511" s="63">
        <v>0</v>
      </c>
      <c r="S511" s="64">
        <v>0</v>
      </c>
    </row>
    <row r="512" spans="1:19" ht="11.1" customHeight="1" x14ac:dyDescent="0.25">
      <c r="A512" s="57">
        <v>112875</v>
      </c>
      <c r="B512" s="53">
        <v>46122</v>
      </c>
      <c r="C512" s="58">
        <v>46122</v>
      </c>
      <c r="D512" s="59" t="s">
        <v>693</v>
      </c>
      <c r="E512" s="50" t="s">
        <v>313</v>
      </c>
      <c r="F512" s="57">
        <v>36</v>
      </c>
      <c r="G512" s="60">
        <v>163</v>
      </c>
      <c r="H512" s="61" t="s">
        <v>688</v>
      </c>
      <c r="I512" s="50" t="s">
        <v>689</v>
      </c>
      <c r="J512" s="50" t="s">
        <v>690</v>
      </c>
      <c r="K512" s="62">
        <v>6102</v>
      </c>
      <c r="L512" s="57">
        <v>238</v>
      </c>
      <c r="M512" s="50" t="s">
        <v>38</v>
      </c>
      <c r="N512" s="50" t="s">
        <v>317</v>
      </c>
      <c r="O512" s="64">
        <v>238.88</v>
      </c>
      <c r="P512" s="65">
        <v>12</v>
      </c>
      <c r="Q512" s="64">
        <v>28.67</v>
      </c>
      <c r="R512" s="63">
        <v>0</v>
      </c>
      <c r="S512" s="64">
        <v>0</v>
      </c>
    </row>
    <row r="513" spans="1:19" ht="11.1" customHeight="1" x14ac:dyDescent="0.25">
      <c r="A513" s="57">
        <v>113138</v>
      </c>
      <c r="B513" s="53">
        <v>46128</v>
      </c>
      <c r="C513" s="58">
        <v>46128</v>
      </c>
      <c r="D513" s="59" t="s">
        <v>694</v>
      </c>
      <c r="E513" s="50" t="s">
        <v>313</v>
      </c>
      <c r="F513" s="57">
        <v>36</v>
      </c>
      <c r="G513" s="60">
        <v>163</v>
      </c>
      <c r="H513" s="61" t="s">
        <v>688</v>
      </c>
      <c r="I513" s="50" t="s">
        <v>689</v>
      </c>
      <c r="J513" s="50" t="s">
        <v>690</v>
      </c>
      <c r="K513" s="62">
        <v>6403</v>
      </c>
      <c r="L513" s="57">
        <v>207</v>
      </c>
      <c r="M513" s="50" t="s">
        <v>38</v>
      </c>
      <c r="N513" s="50" t="s">
        <v>317</v>
      </c>
      <c r="O513" s="64">
        <v>15108.09</v>
      </c>
      <c r="P513" s="65">
        <v>12</v>
      </c>
      <c r="Q513" s="64">
        <v>1812.96</v>
      </c>
      <c r="R513" s="63">
        <v>0</v>
      </c>
      <c r="S513" s="64">
        <v>2973.29</v>
      </c>
    </row>
    <row r="514" spans="1:19" ht="11.1" customHeight="1" x14ac:dyDescent="0.25">
      <c r="N514" s="50" t="s">
        <v>318</v>
      </c>
      <c r="O514" s="64">
        <v>26590.27</v>
      </c>
      <c r="P514" s="65">
        <v>18</v>
      </c>
      <c r="Q514" s="64">
        <v>2973.29</v>
      </c>
      <c r="R514" s="63">
        <v>0</v>
      </c>
      <c r="S514" s="64">
        <v>0</v>
      </c>
    </row>
    <row r="515" spans="1:19" ht="11.1" customHeight="1" x14ac:dyDescent="0.25">
      <c r="A515" s="57">
        <v>113139</v>
      </c>
      <c r="B515" s="53">
        <v>46128</v>
      </c>
      <c r="C515" s="58">
        <v>46128</v>
      </c>
      <c r="D515" s="59" t="s">
        <v>694</v>
      </c>
      <c r="E515" s="50" t="s">
        <v>313</v>
      </c>
      <c r="F515" s="57">
        <v>36</v>
      </c>
      <c r="G515" s="60">
        <v>163</v>
      </c>
      <c r="H515" s="61" t="s">
        <v>688</v>
      </c>
      <c r="I515" s="50" t="s">
        <v>689</v>
      </c>
      <c r="J515" s="50" t="s">
        <v>690</v>
      </c>
      <c r="K515" s="62">
        <v>6102</v>
      </c>
      <c r="L515" s="57">
        <v>238</v>
      </c>
      <c r="M515" s="50" t="s">
        <v>38</v>
      </c>
      <c r="N515" s="50" t="s">
        <v>317</v>
      </c>
      <c r="O515" s="64">
        <v>3765.86</v>
      </c>
      <c r="P515" s="65">
        <v>12</v>
      </c>
      <c r="Q515" s="64">
        <v>451.87</v>
      </c>
      <c r="R515" s="63">
        <v>0</v>
      </c>
      <c r="S515" s="64">
        <v>0</v>
      </c>
    </row>
    <row r="516" spans="1:19" ht="11.1" customHeight="1" x14ac:dyDescent="0.25">
      <c r="A516" s="57">
        <v>113369</v>
      </c>
      <c r="B516" s="53">
        <v>46135</v>
      </c>
      <c r="C516" s="58">
        <v>46135</v>
      </c>
      <c r="D516" s="59" t="s">
        <v>695</v>
      </c>
      <c r="E516" s="50" t="s">
        <v>313</v>
      </c>
      <c r="F516" s="57">
        <v>36</v>
      </c>
      <c r="G516" s="60">
        <v>163</v>
      </c>
      <c r="H516" s="61" t="s">
        <v>688</v>
      </c>
      <c r="I516" s="50" t="s">
        <v>689</v>
      </c>
      <c r="J516" s="50" t="s">
        <v>690</v>
      </c>
      <c r="K516" s="62">
        <v>6403</v>
      </c>
      <c r="L516" s="57">
        <v>207</v>
      </c>
      <c r="M516" s="50" t="s">
        <v>38</v>
      </c>
      <c r="N516" s="50" t="s">
        <v>317</v>
      </c>
      <c r="O516" s="64">
        <v>17761.009999999998</v>
      </c>
      <c r="P516" s="65">
        <v>12</v>
      </c>
      <c r="Q516" s="64">
        <v>2131.2600000000002</v>
      </c>
      <c r="R516" s="63">
        <v>0</v>
      </c>
      <c r="S516" s="64">
        <v>3495.42</v>
      </c>
    </row>
    <row r="517" spans="1:19" ht="11.1" customHeight="1" x14ac:dyDescent="0.25">
      <c r="N517" s="50" t="s">
        <v>318</v>
      </c>
      <c r="O517" s="64">
        <v>31259.35</v>
      </c>
      <c r="P517" s="65">
        <v>18</v>
      </c>
      <c r="Q517" s="64">
        <v>3495.42</v>
      </c>
      <c r="R517" s="63">
        <v>0</v>
      </c>
      <c r="S517" s="64">
        <v>0</v>
      </c>
    </row>
    <row r="518" spans="1:19" ht="11.1" customHeight="1" x14ac:dyDescent="0.25">
      <c r="A518" s="57">
        <v>113370</v>
      </c>
      <c r="B518" s="53">
        <v>46135</v>
      </c>
      <c r="C518" s="58">
        <v>46135</v>
      </c>
      <c r="D518" s="59" t="s">
        <v>695</v>
      </c>
      <c r="E518" s="50" t="s">
        <v>313</v>
      </c>
      <c r="F518" s="57">
        <v>36</v>
      </c>
      <c r="G518" s="60">
        <v>163</v>
      </c>
      <c r="H518" s="61" t="s">
        <v>688</v>
      </c>
      <c r="I518" s="50" t="s">
        <v>689</v>
      </c>
      <c r="J518" s="50" t="s">
        <v>690</v>
      </c>
      <c r="K518" s="62">
        <v>6102</v>
      </c>
      <c r="L518" s="57">
        <v>238</v>
      </c>
      <c r="M518" s="50" t="s">
        <v>38</v>
      </c>
      <c r="N518" s="50" t="s">
        <v>317</v>
      </c>
      <c r="O518" s="64">
        <v>4318.21</v>
      </c>
      <c r="P518" s="65">
        <v>12</v>
      </c>
      <c r="Q518" s="64">
        <v>518.19000000000005</v>
      </c>
      <c r="R518" s="63">
        <v>0</v>
      </c>
      <c r="S518" s="64">
        <v>0</v>
      </c>
    </row>
    <row r="519" spans="1:19" ht="11.85" customHeight="1" x14ac:dyDescent="0.25">
      <c r="A519" s="66" t="s">
        <v>320</v>
      </c>
      <c r="B519" s="66"/>
      <c r="C519" s="66"/>
      <c r="D519" s="66"/>
      <c r="E519" s="66"/>
      <c r="F519" s="66"/>
      <c r="G519" s="66"/>
      <c r="H519" s="66"/>
    </row>
    <row r="520" spans="1:19" ht="11.1" customHeight="1" x14ac:dyDescent="0.25">
      <c r="N520" s="50" t="s">
        <v>317</v>
      </c>
      <c r="O520" s="64">
        <v>75716.61</v>
      </c>
      <c r="Q520" s="64">
        <v>9085.83</v>
      </c>
      <c r="R520" s="63">
        <v>0</v>
      </c>
      <c r="S520" s="64">
        <v>10787.92</v>
      </c>
    </row>
    <row r="521" spans="1:19" ht="11.1" customHeight="1" x14ac:dyDescent="0.25">
      <c r="N521" s="50" t="s">
        <v>318</v>
      </c>
      <c r="O521" s="64">
        <v>96476.95</v>
      </c>
      <c r="Q521" s="64">
        <v>10787.92</v>
      </c>
      <c r="R521" s="63">
        <v>0</v>
      </c>
      <c r="S521" s="64">
        <v>0</v>
      </c>
    </row>
    <row r="522" spans="1:19" ht="11.1" customHeight="1" x14ac:dyDescent="0.25">
      <c r="A522" s="57">
        <v>112558</v>
      </c>
      <c r="B522" s="53">
        <v>46118</v>
      </c>
      <c r="C522" s="58">
        <v>46118</v>
      </c>
      <c r="D522" s="59" t="s">
        <v>696</v>
      </c>
      <c r="E522" s="50" t="s">
        <v>313</v>
      </c>
      <c r="F522" s="57">
        <v>36</v>
      </c>
      <c r="G522" s="60">
        <v>125</v>
      </c>
      <c r="H522" s="61" t="s">
        <v>697</v>
      </c>
      <c r="I522" s="50" t="s">
        <v>698</v>
      </c>
      <c r="J522" s="50" t="s">
        <v>699</v>
      </c>
      <c r="K522" s="62">
        <v>5102</v>
      </c>
      <c r="L522" s="57">
        <v>205</v>
      </c>
      <c r="M522" s="50" t="s">
        <v>26</v>
      </c>
      <c r="N522" s="50" t="s">
        <v>317</v>
      </c>
      <c r="O522" s="64">
        <v>8363.1</v>
      </c>
      <c r="P522" s="65">
        <v>12</v>
      </c>
      <c r="Q522" s="64">
        <v>1003.55</v>
      </c>
      <c r="R522" s="63">
        <v>0</v>
      </c>
      <c r="S522" s="64">
        <v>0</v>
      </c>
    </row>
    <row r="523" spans="1:19" ht="11.1" customHeight="1" x14ac:dyDescent="0.25">
      <c r="A523" s="57">
        <v>112559</v>
      </c>
      <c r="B523" s="53">
        <v>46118</v>
      </c>
      <c r="C523" s="58">
        <v>46118</v>
      </c>
      <c r="D523" s="59" t="s">
        <v>696</v>
      </c>
      <c r="E523" s="50" t="s">
        <v>313</v>
      </c>
      <c r="F523" s="57">
        <v>36</v>
      </c>
      <c r="G523" s="60">
        <v>125</v>
      </c>
      <c r="H523" s="61" t="s">
        <v>697</v>
      </c>
      <c r="I523" s="50" t="s">
        <v>698</v>
      </c>
      <c r="J523" s="50" t="s">
        <v>699</v>
      </c>
      <c r="K523" s="62">
        <v>5405</v>
      </c>
      <c r="L523" s="57">
        <v>206</v>
      </c>
      <c r="M523" s="50" t="s">
        <v>26</v>
      </c>
      <c r="N523" s="50" t="s">
        <v>317</v>
      </c>
      <c r="O523" s="64">
        <v>0</v>
      </c>
      <c r="P523" s="65">
        <v>0</v>
      </c>
      <c r="Q523" s="64">
        <v>0</v>
      </c>
      <c r="R523" s="63">
        <v>0</v>
      </c>
      <c r="S523" s="64">
        <v>3658.74</v>
      </c>
    </row>
    <row r="524" spans="1:19" ht="11.1" customHeight="1" x14ac:dyDescent="0.25">
      <c r="A524" s="57">
        <v>112560</v>
      </c>
      <c r="B524" s="53">
        <v>46118</v>
      </c>
      <c r="C524" s="58">
        <v>46118</v>
      </c>
      <c r="D524" s="59" t="s">
        <v>696</v>
      </c>
      <c r="E524" s="50" t="s">
        <v>313</v>
      </c>
      <c r="F524" s="57">
        <v>36</v>
      </c>
      <c r="G524" s="60">
        <v>125</v>
      </c>
      <c r="H524" s="61" t="s">
        <v>697</v>
      </c>
      <c r="I524" s="50" t="s">
        <v>698</v>
      </c>
      <c r="J524" s="50" t="s">
        <v>699</v>
      </c>
      <c r="K524" s="62">
        <v>5403</v>
      </c>
      <c r="L524" s="57">
        <v>207</v>
      </c>
      <c r="M524" s="50" t="s">
        <v>26</v>
      </c>
      <c r="N524" s="50" t="s">
        <v>317</v>
      </c>
      <c r="O524" s="64">
        <v>3726.84</v>
      </c>
      <c r="P524" s="65">
        <v>12</v>
      </c>
      <c r="Q524" s="64">
        <v>447.24</v>
      </c>
      <c r="R524" s="63">
        <v>0</v>
      </c>
      <c r="S524" s="64">
        <v>260.87</v>
      </c>
    </row>
    <row r="525" spans="1:19" ht="11.1" customHeight="1" x14ac:dyDescent="0.25">
      <c r="N525" s="50" t="s">
        <v>318</v>
      </c>
      <c r="O525" s="64">
        <v>5031.24</v>
      </c>
      <c r="P525" s="65">
        <v>20</v>
      </c>
      <c r="Q525" s="64">
        <v>260.87</v>
      </c>
      <c r="R525" s="63">
        <v>0</v>
      </c>
      <c r="S525" s="64">
        <v>0</v>
      </c>
    </row>
    <row r="526" spans="1:19" ht="11.1" customHeight="1" x14ac:dyDescent="0.25">
      <c r="A526" s="57">
        <v>113678</v>
      </c>
      <c r="B526" s="53">
        <v>46135</v>
      </c>
      <c r="C526" s="58">
        <v>46135</v>
      </c>
      <c r="D526" s="59" t="s">
        <v>700</v>
      </c>
      <c r="E526" s="50" t="s">
        <v>313</v>
      </c>
      <c r="F526" s="57">
        <v>36</v>
      </c>
      <c r="G526" s="60">
        <v>125</v>
      </c>
      <c r="H526" s="61" t="s">
        <v>697</v>
      </c>
      <c r="I526" s="50" t="s">
        <v>698</v>
      </c>
      <c r="J526" s="50" t="s">
        <v>699</v>
      </c>
      <c r="K526" s="62">
        <v>5102</v>
      </c>
      <c r="L526" s="57">
        <v>205</v>
      </c>
      <c r="M526" s="50" t="s">
        <v>26</v>
      </c>
      <c r="N526" s="50" t="s">
        <v>317</v>
      </c>
      <c r="O526" s="64">
        <v>0</v>
      </c>
      <c r="P526" s="65">
        <v>0</v>
      </c>
      <c r="Q526" s="64">
        <v>0</v>
      </c>
      <c r="R526" s="63">
        <v>0</v>
      </c>
      <c r="S526" s="64">
        <v>0</v>
      </c>
    </row>
    <row r="527" spans="1:19" ht="11.1" customHeight="1" x14ac:dyDescent="0.25">
      <c r="A527" s="57">
        <v>113679</v>
      </c>
      <c r="B527" s="53">
        <v>46135</v>
      </c>
      <c r="C527" s="58">
        <v>46135</v>
      </c>
      <c r="D527" s="59" t="s">
        <v>700</v>
      </c>
      <c r="E527" s="50" t="s">
        <v>313</v>
      </c>
      <c r="F527" s="57">
        <v>36</v>
      </c>
      <c r="G527" s="60">
        <v>125</v>
      </c>
      <c r="H527" s="61" t="s">
        <v>697</v>
      </c>
      <c r="I527" s="50" t="s">
        <v>698</v>
      </c>
      <c r="J527" s="50" t="s">
        <v>699</v>
      </c>
      <c r="K527" s="62">
        <v>5403</v>
      </c>
      <c r="L527" s="57">
        <v>207</v>
      </c>
      <c r="M527" s="50" t="s">
        <v>26</v>
      </c>
      <c r="N527" s="50" t="s">
        <v>317</v>
      </c>
      <c r="O527" s="64">
        <v>0</v>
      </c>
      <c r="P527" s="65">
        <v>0</v>
      </c>
      <c r="Q527" s="64">
        <v>0</v>
      </c>
      <c r="R527" s="63">
        <v>0</v>
      </c>
      <c r="S527" s="64">
        <v>0</v>
      </c>
    </row>
    <row r="528" spans="1:19" ht="11.1" customHeight="1" x14ac:dyDescent="0.25">
      <c r="N528" s="50" t="s">
        <v>318</v>
      </c>
      <c r="O528" s="64">
        <v>0</v>
      </c>
      <c r="P528" s="65">
        <v>0</v>
      </c>
      <c r="Q528" s="64">
        <v>0</v>
      </c>
      <c r="R528" s="63">
        <v>0</v>
      </c>
      <c r="S528" s="64">
        <v>0</v>
      </c>
    </row>
    <row r="529" spans="1:19" ht="11.85" customHeight="1" x14ac:dyDescent="0.25">
      <c r="A529" s="66" t="s">
        <v>320</v>
      </c>
      <c r="B529" s="66"/>
      <c r="C529" s="66"/>
      <c r="D529" s="66"/>
      <c r="E529" s="66"/>
      <c r="F529" s="66"/>
      <c r="G529" s="66"/>
      <c r="H529" s="66"/>
    </row>
    <row r="530" spans="1:19" ht="11.1" customHeight="1" x14ac:dyDescent="0.25">
      <c r="N530" s="50" t="s">
        <v>317</v>
      </c>
      <c r="O530" s="64">
        <v>12089.94</v>
      </c>
      <c r="Q530" s="64">
        <v>1450.79</v>
      </c>
      <c r="R530" s="63">
        <v>0</v>
      </c>
      <c r="S530" s="64">
        <v>3919.61</v>
      </c>
    </row>
    <row r="531" spans="1:19" ht="11.1" customHeight="1" x14ac:dyDescent="0.25">
      <c r="N531" s="50" t="s">
        <v>318</v>
      </c>
      <c r="O531" s="64">
        <v>5031.24</v>
      </c>
      <c r="Q531" s="64">
        <v>260.87</v>
      </c>
      <c r="R531" s="63">
        <v>0</v>
      </c>
      <c r="S531" s="64">
        <v>0</v>
      </c>
    </row>
    <row r="532" spans="1:19" ht="11.1" customHeight="1" x14ac:dyDescent="0.25">
      <c r="A532" s="57">
        <v>112565</v>
      </c>
      <c r="B532" s="53">
        <v>46118</v>
      </c>
      <c r="C532" s="58">
        <v>46118</v>
      </c>
      <c r="D532" s="59" t="s">
        <v>701</v>
      </c>
      <c r="E532" s="50" t="s">
        <v>313</v>
      </c>
      <c r="F532" s="57">
        <v>36</v>
      </c>
      <c r="G532" s="60">
        <v>72</v>
      </c>
      <c r="H532" s="61" t="s">
        <v>702</v>
      </c>
      <c r="I532" s="50" t="s">
        <v>703</v>
      </c>
      <c r="J532" s="50" t="s">
        <v>704</v>
      </c>
      <c r="K532" s="62">
        <v>5102</v>
      </c>
      <c r="L532" s="57">
        <v>205</v>
      </c>
      <c r="M532" s="50" t="s">
        <v>26</v>
      </c>
      <c r="N532" s="50" t="s">
        <v>317</v>
      </c>
      <c r="O532" s="64">
        <v>8250.98</v>
      </c>
      <c r="P532" s="65">
        <v>12</v>
      </c>
      <c r="Q532" s="64">
        <v>990.15</v>
      </c>
      <c r="R532" s="63">
        <v>0</v>
      </c>
      <c r="S532" s="64">
        <v>0</v>
      </c>
    </row>
    <row r="533" spans="1:19" ht="11.1" customHeight="1" x14ac:dyDescent="0.25">
      <c r="A533" s="57">
        <v>112566</v>
      </c>
      <c r="B533" s="53">
        <v>46118</v>
      </c>
      <c r="C533" s="58">
        <v>46118</v>
      </c>
      <c r="D533" s="59" t="s">
        <v>701</v>
      </c>
      <c r="E533" s="50" t="s">
        <v>313</v>
      </c>
      <c r="F533" s="57">
        <v>36</v>
      </c>
      <c r="G533" s="60">
        <v>72</v>
      </c>
      <c r="H533" s="61" t="s">
        <v>702</v>
      </c>
      <c r="I533" s="50" t="s">
        <v>703</v>
      </c>
      <c r="J533" s="50" t="s">
        <v>704</v>
      </c>
      <c r="K533" s="62">
        <v>5405</v>
      </c>
      <c r="L533" s="57">
        <v>206</v>
      </c>
      <c r="M533" s="50" t="s">
        <v>26</v>
      </c>
      <c r="N533" s="50" t="s">
        <v>317</v>
      </c>
      <c r="O533" s="64">
        <v>0</v>
      </c>
      <c r="P533" s="65">
        <v>0</v>
      </c>
      <c r="Q533" s="64">
        <v>0</v>
      </c>
      <c r="R533" s="63">
        <v>0</v>
      </c>
      <c r="S533" s="64">
        <v>259.77999999999997</v>
      </c>
    </row>
    <row r="534" spans="1:19" ht="11.1" customHeight="1" x14ac:dyDescent="0.25">
      <c r="A534" s="57">
        <v>112567</v>
      </c>
      <c r="B534" s="53">
        <v>46118</v>
      </c>
      <c r="C534" s="58">
        <v>46118</v>
      </c>
      <c r="D534" s="59" t="s">
        <v>701</v>
      </c>
      <c r="E534" s="50" t="s">
        <v>313</v>
      </c>
      <c r="F534" s="57">
        <v>36</v>
      </c>
      <c r="G534" s="60">
        <v>72</v>
      </c>
      <c r="H534" s="61" t="s">
        <v>702</v>
      </c>
      <c r="I534" s="50" t="s">
        <v>703</v>
      </c>
      <c r="J534" s="50" t="s">
        <v>704</v>
      </c>
      <c r="K534" s="62">
        <v>5403</v>
      </c>
      <c r="L534" s="57">
        <v>207</v>
      </c>
      <c r="M534" s="50" t="s">
        <v>26</v>
      </c>
      <c r="N534" s="50" t="s">
        <v>317</v>
      </c>
      <c r="O534" s="64">
        <v>10652.3</v>
      </c>
      <c r="P534" s="65">
        <v>12</v>
      </c>
      <c r="Q534" s="64">
        <v>1278.26</v>
      </c>
      <c r="R534" s="63">
        <v>0</v>
      </c>
      <c r="S534" s="64">
        <v>745.66</v>
      </c>
    </row>
    <row r="535" spans="1:19" ht="11.1" customHeight="1" x14ac:dyDescent="0.25">
      <c r="N535" s="50" t="s">
        <v>318</v>
      </c>
      <c r="O535" s="64">
        <v>14380.61</v>
      </c>
      <c r="P535" s="65">
        <v>20</v>
      </c>
      <c r="Q535" s="64">
        <v>745.66</v>
      </c>
      <c r="R535" s="63">
        <v>0</v>
      </c>
      <c r="S535" s="64">
        <v>0</v>
      </c>
    </row>
    <row r="536" spans="1:19" ht="11.85" customHeight="1" x14ac:dyDescent="0.25">
      <c r="A536" s="66" t="s">
        <v>320</v>
      </c>
      <c r="B536" s="66"/>
      <c r="C536" s="66"/>
      <c r="D536" s="66"/>
      <c r="E536" s="66"/>
      <c r="F536" s="66"/>
      <c r="G536" s="66"/>
      <c r="H536" s="66"/>
    </row>
    <row r="537" spans="1:19" ht="11.1" customHeight="1" x14ac:dyDescent="0.25">
      <c r="N537" s="50" t="s">
        <v>317</v>
      </c>
      <c r="O537" s="64">
        <v>18903.28</v>
      </c>
      <c r="Q537" s="64">
        <v>2268.41</v>
      </c>
      <c r="R537" s="63">
        <v>0</v>
      </c>
      <c r="S537" s="64">
        <v>1005.44</v>
      </c>
    </row>
    <row r="538" spans="1:19" ht="11.1" customHeight="1" x14ac:dyDescent="0.25">
      <c r="N538" s="50" t="s">
        <v>318</v>
      </c>
      <c r="O538" s="64">
        <v>14380.61</v>
      </c>
      <c r="Q538" s="64">
        <v>745.66</v>
      </c>
      <c r="R538" s="63">
        <v>0</v>
      </c>
      <c r="S538" s="64">
        <v>0</v>
      </c>
    </row>
    <row r="539" spans="1:19" ht="11.1" customHeight="1" x14ac:dyDescent="0.25">
      <c r="A539" s="57">
        <v>112485</v>
      </c>
      <c r="B539" s="53">
        <v>46113</v>
      </c>
      <c r="C539" s="58">
        <v>46113</v>
      </c>
      <c r="D539" s="59" t="s">
        <v>705</v>
      </c>
      <c r="E539" s="50" t="s">
        <v>313</v>
      </c>
      <c r="F539" s="57">
        <v>36</v>
      </c>
      <c r="G539" s="60">
        <v>440</v>
      </c>
      <c r="H539" s="61" t="s">
        <v>706</v>
      </c>
      <c r="I539" s="50" t="s">
        <v>707</v>
      </c>
      <c r="J539" s="50" t="s">
        <v>708</v>
      </c>
      <c r="K539" s="62">
        <v>5403</v>
      </c>
      <c r="L539" s="57">
        <v>207</v>
      </c>
      <c r="M539" s="50" t="s">
        <v>26</v>
      </c>
      <c r="N539" s="50" t="s">
        <v>317</v>
      </c>
      <c r="O539" s="64">
        <v>92.33</v>
      </c>
      <c r="P539" s="65">
        <v>12</v>
      </c>
      <c r="Q539" s="64">
        <v>11.08</v>
      </c>
      <c r="R539" s="63">
        <v>0</v>
      </c>
      <c r="S539" s="64">
        <v>6.46</v>
      </c>
    </row>
    <row r="540" spans="1:19" ht="11.1" customHeight="1" x14ac:dyDescent="0.25">
      <c r="N540" s="50" t="s">
        <v>318</v>
      </c>
      <c r="O540" s="64">
        <v>124.65</v>
      </c>
      <c r="P540" s="65">
        <v>20</v>
      </c>
      <c r="Q540" s="64">
        <v>6.46</v>
      </c>
      <c r="R540" s="63">
        <v>0</v>
      </c>
      <c r="S540" s="64">
        <v>0</v>
      </c>
    </row>
    <row r="541" spans="1:19" ht="11.1" customHeight="1" x14ac:dyDescent="0.25">
      <c r="A541" s="57">
        <v>112789</v>
      </c>
      <c r="B541" s="53">
        <v>46120</v>
      </c>
      <c r="C541" s="58">
        <v>46120</v>
      </c>
      <c r="D541" s="59" t="s">
        <v>709</v>
      </c>
      <c r="E541" s="50" t="s">
        <v>313</v>
      </c>
      <c r="F541" s="57">
        <v>36</v>
      </c>
      <c r="G541" s="60">
        <v>440</v>
      </c>
      <c r="H541" s="61" t="s">
        <v>706</v>
      </c>
      <c r="I541" s="50" t="s">
        <v>707</v>
      </c>
      <c r="J541" s="50" t="s">
        <v>708</v>
      </c>
      <c r="K541" s="62">
        <v>5102</v>
      </c>
      <c r="L541" s="57">
        <v>205</v>
      </c>
      <c r="M541" s="50" t="s">
        <v>26</v>
      </c>
      <c r="N541" s="50" t="s">
        <v>317</v>
      </c>
      <c r="O541" s="64">
        <v>147.09</v>
      </c>
      <c r="P541" s="65">
        <v>12</v>
      </c>
      <c r="Q541" s="64">
        <v>17.649999999999999</v>
      </c>
      <c r="R541" s="63">
        <v>0</v>
      </c>
      <c r="S541" s="64">
        <v>0</v>
      </c>
    </row>
    <row r="542" spans="1:19" ht="11.85" customHeight="1" x14ac:dyDescent="0.25">
      <c r="A542" s="66" t="s">
        <v>320</v>
      </c>
      <c r="B542" s="66"/>
      <c r="C542" s="66"/>
      <c r="D542" s="66"/>
      <c r="E542" s="66"/>
      <c r="F542" s="66"/>
      <c r="G542" s="66"/>
      <c r="H542" s="66"/>
    </row>
    <row r="543" spans="1:19" ht="11.1" customHeight="1" x14ac:dyDescent="0.25">
      <c r="N543" s="50" t="s">
        <v>317</v>
      </c>
      <c r="O543" s="64">
        <v>239.42</v>
      </c>
      <c r="Q543" s="64">
        <v>28.73</v>
      </c>
      <c r="R543" s="63">
        <v>0</v>
      </c>
      <c r="S543" s="64">
        <v>6.46</v>
      </c>
    </row>
    <row r="544" spans="1:19" ht="11.1" customHeight="1" x14ac:dyDescent="0.25">
      <c r="N544" s="50" t="s">
        <v>318</v>
      </c>
      <c r="O544" s="64">
        <v>124.65</v>
      </c>
      <c r="Q544" s="64">
        <v>6.46</v>
      </c>
      <c r="R544" s="63">
        <v>0</v>
      </c>
      <c r="S544" s="64">
        <v>0</v>
      </c>
    </row>
    <row r="545" spans="1:19" ht="11.1" customHeight="1" x14ac:dyDescent="0.25">
      <c r="A545" s="57">
        <v>113340</v>
      </c>
      <c r="B545" s="53">
        <v>46135</v>
      </c>
      <c r="C545" s="58">
        <v>46135</v>
      </c>
      <c r="D545" s="59" t="s">
        <v>710</v>
      </c>
      <c r="E545" s="50" t="s">
        <v>313</v>
      </c>
      <c r="F545" s="57">
        <v>36</v>
      </c>
      <c r="G545" s="60">
        <v>797</v>
      </c>
      <c r="H545" s="61" t="s">
        <v>711</v>
      </c>
      <c r="I545" s="50" t="s">
        <v>712</v>
      </c>
      <c r="J545" s="50" t="s">
        <v>713</v>
      </c>
      <c r="K545" s="62">
        <v>5403</v>
      </c>
      <c r="L545" s="57">
        <v>207</v>
      </c>
      <c r="M545" s="50" t="s">
        <v>26</v>
      </c>
      <c r="N545" s="50" t="s">
        <v>317</v>
      </c>
      <c r="O545" s="64">
        <v>33.96</v>
      </c>
      <c r="P545" s="65">
        <v>12</v>
      </c>
      <c r="Q545" s="64">
        <v>4.08</v>
      </c>
      <c r="R545" s="63">
        <v>0</v>
      </c>
      <c r="S545" s="64">
        <v>2.38</v>
      </c>
    </row>
    <row r="546" spans="1:19" ht="11.1" customHeight="1" x14ac:dyDescent="0.25">
      <c r="N546" s="50" t="s">
        <v>318</v>
      </c>
      <c r="O546" s="64">
        <v>45.85</v>
      </c>
      <c r="P546" s="65">
        <v>20</v>
      </c>
      <c r="Q546" s="64">
        <v>2.38</v>
      </c>
      <c r="R546" s="63">
        <v>0</v>
      </c>
      <c r="S546" s="64">
        <v>0</v>
      </c>
    </row>
    <row r="547" spans="1:19" ht="11.85" customHeight="1" x14ac:dyDescent="0.25">
      <c r="A547" s="66" t="s">
        <v>320</v>
      </c>
      <c r="B547" s="66"/>
      <c r="C547" s="66"/>
      <c r="D547" s="66"/>
      <c r="E547" s="66"/>
      <c r="F547" s="66"/>
      <c r="G547" s="66"/>
      <c r="H547" s="66"/>
    </row>
    <row r="548" spans="1:19" ht="11.1" customHeight="1" x14ac:dyDescent="0.25">
      <c r="N548" s="50" t="s">
        <v>317</v>
      </c>
      <c r="O548" s="64">
        <v>33.96</v>
      </c>
      <c r="Q548" s="64">
        <v>4.08</v>
      </c>
      <c r="R548" s="63">
        <v>0</v>
      </c>
      <c r="S548" s="64">
        <v>2.38</v>
      </c>
    </row>
    <row r="549" spans="1:19" ht="11.1" customHeight="1" x14ac:dyDescent="0.25">
      <c r="N549" s="50" t="s">
        <v>318</v>
      </c>
      <c r="O549" s="64">
        <v>45.85</v>
      </c>
      <c r="Q549" s="64">
        <v>2.38</v>
      </c>
      <c r="R549" s="63">
        <v>0</v>
      </c>
      <c r="S549" s="64">
        <v>0</v>
      </c>
    </row>
    <row r="550" spans="1:19" ht="11.1" customHeight="1" x14ac:dyDescent="0.25">
      <c r="A550" s="57">
        <v>113112</v>
      </c>
      <c r="B550" s="53">
        <v>46128</v>
      </c>
      <c r="C550" s="58">
        <v>46128</v>
      </c>
      <c r="D550" s="59" t="s">
        <v>714</v>
      </c>
      <c r="E550" s="50" t="s">
        <v>313</v>
      </c>
      <c r="F550" s="57">
        <v>36</v>
      </c>
      <c r="G550" s="60">
        <v>657</v>
      </c>
      <c r="H550" s="61" t="s">
        <v>715</v>
      </c>
      <c r="I550" s="50" t="s">
        <v>716</v>
      </c>
      <c r="J550" s="50" t="s">
        <v>717</v>
      </c>
      <c r="K550" s="62">
        <v>5102</v>
      </c>
      <c r="L550" s="57">
        <v>205</v>
      </c>
      <c r="M550" s="50" t="s">
        <v>26</v>
      </c>
      <c r="N550" s="50" t="s">
        <v>317</v>
      </c>
      <c r="O550" s="64">
        <v>194.4</v>
      </c>
      <c r="P550" s="65">
        <v>12</v>
      </c>
      <c r="Q550" s="64">
        <v>23.33</v>
      </c>
      <c r="R550" s="63">
        <v>0</v>
      </c>
      <c r="S550" s="64">
        <v>0</v>
      </c>
    </row>
    <row r="551" spans="1:19" ht="11.1" customHeight="1" x14ac:dyDescent="0.25">
      <c r="A551" s="57">
        <v>113564</v>
      </c>
      <c r="B551" s="53">
        <v>46141</v>
      </c>
      <c r="C551" s="58">
        <v>46141</v>
      </c>
      <c r="D551" s="59" t="s">
        <v>718</v>
      </c>
      <c r="E551" s="50" t="s">
        <v>313</v>
      </c>
      <c r="F551" s="57">
        <v>36</v>
      </c>
      <c r="G551" s="60">
        <v>657</v>
      </c>
      <c r="H551" s="61" t="s">
        <v>715</v>
      </c>
      <c r="I551" s="50" t="s">
        <v>716</v>
      </c>
      <c r="J551" s="50" t="s">
        <v>717</v>
      </c>
      <c r="K551" s="62">
        <v>5102</v>
      </c>
      <c r="L551" s="57">
        <v>205</v>
      </c>
      <c r="M551" s="50" t="s">
        <v>26</v>
      </c>
      <c r="N551" s="50" t="s">
        <v>317</v>
      </c>
      <c r="O551" s="64">
        <v>145.80000000000001</v>
      </c>
      <c r="P551" s="65">
        <v>12</v>
      </c>
      <c r="Q551" s="64">
        <v>17.5</v>
      </c>
      <c r="R551" s="63">
        <v>0</v>
      </c>
      <c r="S551" s="64">
        <v>0</v>
      </c>
    </row>
    <row r="552" spans="1:19" ht="11.1" customHeight="1" x14ac:dyDescent="0.25">
      <c r="A552" s="57">
        <v>113684</v>
      </c>
      <c r="B552" s="53">
        <v>46141</v>
      </c>
      <c r="C552" s="58">
        <v>46141</v>
      </c>
      <c r="D552" s="59" t="s">
        <v>719</v>
      </c>
      <c r="E552" s="50" t="s">
        <v>313</v>
      </c>
      <c r="F552" s="57">
        <v>36</v>
      </c>
      <c r="G552" s="60">
        <v>657</v>
      </c>
      <c r="H552" s="61" t="s">
        <v>715</v>
      </c>
      <c r="I552" s="50" t="s">
        <v>716</v>
      </c>
      <c r="J552" s="50" t="s">
        <v>717</v>
      </c>
      <c r="K552" s="62">
        <v>5102</v>
      </c>
      <c r="L552" s="57">
        <v>205</v>
      </c>
      <c r="M552" s="50" t="s">
        <v>26</v>
      </c>
      <c r="N552" s="50" t="s">
        <v>317</v>
      </c>
      <c r="O552" s="64">
        <v>0</v>
      </c>
      <c r="P552" s="65">
        <v>0</v>
      </c>
      <c r="Q552" s="64">
        <v>0</v>
      </c>
      <c r="R552" s="63">
        <v>0</v>
      </c>
      <c r="S552" s="64">
        <v>0</v>
      </c>
    </row>
    <row r="553" spans="1:19" ht="11.85" customHeight="1" x14ac:dyDescent="0.25">
      <c r="A553" s="66" t="s">
        <v>320</v>
      </c>
      <c r="B553" s="66"/>
      <c r="C553" s="66"/>
      <c r="D553" s="66"/>
      <c r="E553" s="66"/>
      <c r="F553" s="66"/>
      <c r="G553" s="66"/>
      <c r="H553" s="66"/>
    </row>
    <row r="554" spans="1:19" ht="11.1" customHeight="1" x14ac:dyDescent="0.25">
      <c r="N554" s="50" t="s">
        <v>317</v>
      </c>
      <c r="O554" s="64">
        <v>340.2</v>
      </c>
      <c r="Q554" s="64">
        <v>40.83</v>
      </c>
      <c r="R554" s="63">
        <v>0</v>
      </c>
      <c r="S554" s="64">
        <v>0</v>
      </c>
    </row>
    <row r="555" spans="1:19" ht="11.1" customHeight="1" x14ac:dyDescent="0.25">
      <c r="A555" s="57">
        <v>112529</v>
      </c>
      <c r="B555" s="53">
        <v>46114</v>
      </c>
      <c r="C555" s="58">
        <v>46114</v>
      </c>
      <c r="D555" s="59" t="s">
        <v>720</v>
      </c>
      <c r="E555" s="50" t="s">
        <v>313</v>
      </c>
      <c r="F555" s="57">
        <v>36</v>
      </c>
      <c r="G555" s="60">
        <v>911</v>
      </c>
      <c r="H555" s="61" t="s">
        <v>721</v>
      </c>
      <c r="I555" s="50" t="s">
        <v>722</v>
      </c>
      <c r="J555" s="50" t="s">
        <v>723</v>
      </c>
      <c r="K555" s="62">
        <v>5403</v>
      </c>
      <c r="L555" s="57">
        <v>207</v>
      </c>
      <c r="M555" s="50" t="s">
        <v>26</v>
      </c>
      <c r="N555" s="50" t="s">
        <v>317</v>
      </c>
      <c r="O555" s="64">
        <v>125.8</v>
      </c>
      <c r="P555" s="65">
        <v>12</v>
      </c>
      <c r="Q555" s="64">
        <v>15.1</v>
      </c>
      <c r="R555" s="63">
        <v>0</v>
      </c>
      <c r="S555" s="64">
        <v>8.81</v>
      </c>
    </row>
    <row r="556" spans="1:19" ht="11.1" customHeight="1" x14ac:dyDescent="0.25">
      <c r="N556" s="50" t="s">
        <v>318</v>
      </c>
      <c r="O556" s="64">
        <v>169.83</v>
      </c>
      <c r="P556" s="65">
        <v>20</v>
      </c>
      <c r="Q556" s="64">
        <v>8.81</v>
      </c>
      <c r="R556" s="63">
        <v>0</v>
      </c>
      <c r="S556" s="64">
        <v>0</v>
      </c>
    </row>
    <row r="557" spans="1:19" ht="11.85" customHeight="1" x14ac:dyDescent="0.25">
      <c r="A557" s="66" t="s">
        <v>320</v>
      </c>
      <c r="B557" s="66"/>
      <c r="C557" s="66"/>
      <c r="D557" s="66"/>
      <c r="E557" s="66"/>
      <c r="F557" s="66"/>
      <c r="G557" s="66"/>
      <c r="H557" s="66"/>
    </row>
    <row r="558" spans="1:19" ht="11.1" customHeight="1" x14ac:dyDescent="0.25">
      <c r="N558" s="50" t="s">
        <v>317</v>
      </c>
      <c r="O558" s="64">
        <v>125.8</v>
      </c>
      <c r="Q558" s="64">
        <v>15.1</v>
      </c>
      <c r="R558" s="63">
        <v>0</v>
      </c>
      <c r="S558" s="64">
        <v>8.81</v>
      </c>
    </row>
    <row r="559" spans="1:19" ht="11.1" customHeight="1" x14ac:dyDescent="0.25">
      <c r="N559" s="50" t="s">
        <v>318</v>
      </c>
      <c r="O559" s="64">
        <v>169.83</v>
      </c>
      <c r="Q559" s="64">
        <v>8.81</v>
      </c>
      <c r="R559" s="63">
        <v>0</v>
      </c>
      <c r="S559" s="64">
        <v>0</v>
      </c>
    </row>
    <row r="560" spans="1:19" ht="11.1" customHeight="1" x14ac:dyDescent="0.25">
      <c r="A560" s="57">
        <v>113029</v>
      </c>
      <c r="B560" s="53">
        <v>46126</v>
      </c>
      <c r="C560" s="58">
        <v>46126</v>
      </c>
      <c r="D560" s="59" t="s">
        <v>724</v>
      </c>
      <c r="E560" s="50" t="s">
        <v>313</v>
      </c>
      <c r="F560" s="57">
        <v>36</v>
      </c>
      <c r="G560" s="60">
        <v>932</v>
      </c>
      <c r="H560" s="61" t="s">
        <v>725</v>
      </c>
      <c r="I560" s="50" t="s">
        <v>726</v>
      </c>
      <c r="J560" s="50" t="s">
        <v>727</v>
      </c>
      <c r="K560" s="62">
        <v>5102</v>
      </c>
      <c r="L560" s="57">
        <v>205</v>
      </c>
      <c r="M560" s="50" t="s">
        <v>26</v>
      </c>
      <c r="N560" s="50" t="s">
        <v>317</v>
      </c>
      <c r="O560" s="64">
        <v>585</v>
      </c>
      <c r="P560" s="65">
        <v>12</v>
      </c>
      <c r="Q560" s="64">
        <v>70.2</v>
      </c>
      <c r="R560" s="63">
        <v>0</v>
      </c>
      <c r="S560" s="64">
        <v>0</v>
      </c>
    </row>
    <row r="561" spans="1:19" ht="11.1" customHeight="1" x14ac:dyDescent="0.25">
      <c r="A561" s="57">
        <v>113334</v>
      </c>
      <c r="B561" s="53">
        <v>46135</v>
      </c>
      <c r="C561" s="58">
        <v>46135</v>
      </c>
      <c r="D561" s="59" t="s">
        <v>728</v>
      </c>
      <c r="E561" s="50" t="s">
        <v>313</v>
      </c>
      <c r="F561" s="57">
        <v>36</v>
      </c>
      <c r="G561" s="60">
        <v>932</v>
      </c>
      <c r="H561" s="61" t="s">
        <v>725</v>
      </c>
      <c r="I561" s="50" t="s">
        <v>726</v>
      </c>
      <c r="J561" s="50" t="s">
        <v>727</v>
      </c>
      <c r="K561" s="62">
        <v>5102</v>
      </c>
      <c r="L561" s="57">
        <v>205</v>
      </c>
      <c r="M561" s="50" t="s">
        <v>26</v>
      </c>
      <c r="N561" s="50" t="s">
        <v>317</v>
      </c>
      <c r="O561" s="64">
        <v>669.7</v>
      </c>
      <c r="P561" s="65">
        <v>12</v>
      </c>
      <c r="Q561" s="64">
        <v>80.36</v>
      </c>
      <c r="R561" s="63">
        <v>0</v>
      </c>
      <c r="S561" s="64">
        <v>0</v>
      </c>
    </row>
    <row r="562" spans="1:19" ht="11.1" customHeight="1" x14ac:dyDescent="0.25">
      <c r="A562" s="57">
        <v>113335</v>
      </c>
      <c r="B562" s="53">
        <v>46135</v>
      </c>
      <c r="C562" s="58">
        <v>46135</v>
      </c>
      <c r="D562" s="59" t="s">
        <v>728</v>
      </c>
      <c r="E562" s="50" t="s">
        <v>313</v>
      </c>
      <c r="F562" s="57">
        <v>36</v>
      </c>
      <c r="G562" s="60">
        <v>932</v>
      </c>
      <c r="H562" s="61" t="s">
        <v>725</v>
      </c>
      <c r="I562" s="50" t="s">
        <v>726</v>
      </c>
      <c r="J562" s="50" t="s">
        <v>727</v>
      </c>
      <c r="K562" s="62">
        <v>5403</v>
      </c>
      <c r="L562" s="57">
        <v>207</v>
      </c>
      <c r="M562" s="50" t="s">
        <v>26</v>
      </c>
      <c r="N562" s="50" t="s">
        <v>317</v>
      </c>
      <c r="O562" s="64">
        <v>82.26</v>
      </c>
      <c r="P562" s="65">
        <v>12</v>
      </c>
      <c r="Q562" s="64">
        <v>9.8699999999999992</v>
      </c>
      <c r="R562" s="63">
        <v>0</v>
      </c>
      <c r="S562" s="64">
        <v>5.76</v>
      </c>
    </row>
    <row r="563" spans="1:19" ht="11.1" customHeight="1" x14ac:dyDescent="0.25">
      <c r="N563" s="50" t="s">
        <v>318</v>
      </c>
      <c r="O563" s="64">
        <v>111.05</v>
      </c>
      <c r="P563" s="65">
        <v>20</v>
      </c>
      <c r="Q563" s="64">
        <v>5.76</v>
      </c>
      <c r="R563" s="63">
        <v>0</v>
      </c>
      <c r="S563" s="64">
        <v>0</v>
      </c>
    </row>
    <row r="564" spans="1:19" ht="11.85" customHeight="1" x14ac:dyDescent="0.25">
      <c r="A564" s="66" t="s">
        <v>320</v>
      </c>
      <c r="B564" s="66"/>
      <c r="C564" s="66"/>
      <c r="D564" s="66"/>
      <c r="E564" s="66"/>
      <c r="F564" s="66"/>
      <c r="G564" s="66"/>
      <c r="H564" s="66"/>
    </row>
    <row r="565" spans="1:19" ht="11.1" customHeight="1" x14ac:dyDescent="0.25">
      <c r="N565" s="50" t="s">
        <v>317</v>
      </c>
      <c r="O565" s="64">
        <v>1336.96</v>
      </c>
      <c r="Q565" s="64">
        <v>160.43</v>
      </c>
      <c r="R565" s="63">
        <v>0</v>
      </c>
      <c r="S565" s="64">
        <v>5.76</v>
      </c>
    </row>
    <row r="566" spans="1:19" ht="11.1" customHeight="1" x14ac:dyDescent="0.25">
      <c r="N566" s="50" t="s">
        <v>318</v>
      </c>
      <c r="O566" s="64">
        <v>111.05</v>
      </c>
      <c r="Q566" s="64">
        <v>5.76</v>
      </c>
      <c r="R566" s="63">
        <v>0</v>
      </c>
      <c r="S566" s="64">
        <v>0</v>
      </c>
    </row>
    <row r="567" spans="1:19" ht="11.1" customHeight="1" x14ac:dyDescent="0.25">
      <c r="A567" s="57">
        <v>113355</v>
      </c>
      <c r="B567" s="53">
        <v>46135</v>
      </c>
      <c r="C567" s="58">
        <v>46135</v>
      </c>
      <c r="D567" s="59" t="s">
        <v>729</v>
      </c>
      <c r="E567" s="50" t="s">
        <v>313</v>
      </c>
      <c r="F567" s="57">
        <v>36</v>
      </c>
      <c r="G567" s="60">
        <v>889</v>
      </c>
      <c r="H567" s="61" t="s">
        <v>730</v>
      </c>
      <c r="I567" s="50" t="s">
        <v>731</v>
      </c>
      <c r="J567" s="50" t="s">
        <v>732</v>
      </c>
      <c r="K567" s="62">
        <v>5102</v>
      </c>
      <c r="L567" s="57">
        <v>205</v>
      </c>
      <c r="M567" s="50" t="s">
        <v>26</v>
      </c>
      <c r="N567" s="50" t="s">
        <v>317</v>
      </c>
      <c r="O567" s="64">
        <v>530.51</v>
      </c>
      <c r="P567" s="65">
        <v>12</v>
      </c>
      <c r="Q567" s="64">
        <v>63.66</v>
      </c>
      <c r="R567" s="63">
        <v>0</v>
      </c>
      <c r="S567" s="64">
        <v>0</v>
      </c>
    </row>
    <row r="568" spans="1:19" ht="11.85" customHeight="1" x14ac:dyDescent="0.25">
      <c r="A568" s="66" t="s">
        <v>320</v>
      </c>
      <c r="B568" s="66"/>
      <c r="C568" s="66"/>
      <c r="D568" s="66"/>
      <c r="E568" s="66"/>
      <c r="F568" s="66"/>
      <c r="G568" s="66"/>
      <c r="H568" s="66"/>
    </row>
    <row r="569" spans="1:19" ht="11.1" customHeight="1" x14ac:dyDescent="0.25">
      <c r="N569" s="50" t="s">
        <v>317</v>
      </c>
      <c r="O569" s="64">
        <v>530.51</v>
      </c>
      <c r="Q569" s="64">
        <v>63.66</v>
      </c>
      <c r="R569" s="63">
        <v>0</v>
      </c>
      <c r="S569" s="64">
        <v>0</v>
      </c>
    </row>
    <row r="570" spans="1:19" ht="11.1" customHeight="1" x14ac:dyDescent="0.25">
      <c r="A570" s="57">
        <v>113093</v>
      </c>
      <c r="B570" s="53">
        <v>46127</v>
      </c>
      <c r="C570" s="58">
        <v>46127</v>
      </c>
      <c r="D570" s="59" t="s">
        <v>733</v>
      </c>
      <c r="E570" s="50" t="s">
        <v>313</v>
      </c>
      <c r="F570" s="57">
        <v>36</v>
      </c>
      <c r="G570" s="60">
        <v>375</v>
      </c>
      <c r="H570" s="61" t="s">
        <v>734</v>
      </c>
      <c r="I570" s="50" t="s">
        <v>735</v>
      </c>
      <c r="J570" s="50" t="s">
        <v>736</v>
      </c>
      <c r="K570" s="62">
        <v>5403</v>
      </c>
      <c r="L570" s="57">
        <v>207</v>
      </c>
      <c r="M570" s="50" t="s">
        <v>26</v>
      </c>
      <c r="N570" s="50" t="s">
        <v>317</v>
      </c>
      <c r="O570" s="64">
        <v>1899.41</v>
      </c>
      <c r="P570" s="65">
        <v>12</v>
      </c>
      <c r="Q570" s="64">
        <v>227.92</v>
      </c>
      <c r="R570" s="63">
        <v>0</v>
      </c>
      <c r="S570" s="64">
        <v>0</v>
      </c>
    </row>
    <row r="571" spans="1:19" ht="11.1" customHeight="1" x14ac:dyDescent="0.25">
      <c r="A571" s="57">
        <v>113183</v>
      </c>
      <c r="B571" s="53">
        <v>46129</v>
      </c>
      <c r="C571" s="58">
        <v>46129</v>
      </c>
      <c r="D571" s="59" t="s">
        <v>737</v>
      </c>
      <c r="E571" s="50" t="s">
        <v>313</v>
      </c>
      <c r="F571" s="57">
        <v>36</v>
      </c>
      <c r="G571" s="60">
        <v>375</v>
      </c>
      <c r="H571" s="61" t="s">
        <v>734</v>
      </c>
      <c r="I571" s="50" t="s">
        <v>735</v>
      </c>
      <c r="J571" s="50" t="s">
        <v>736</v>
      </c>
      <c r="K571" s="62">
        <v>5403</v>
      </c>
      <c r="L571" s="57">
        <v>207</v>
      </c>
      <c r="M571" s="50" t="s">
        <v>26</v>
      </c>
      <c r="N571" s="50" t="s">
        <v>317</v>
      </c>
      <c r="O571" s="64">
        <v>982.64</v>
      </c>
      <c r="P571" s="65">
        <v>12</v>
      </c>
      <c r="Q571" s="64">
        <v>117.92</v>
      </c>
      <c r="R571" s="63">
        <v>0</v>
      </c>
      <c r="S571" s="64">
        <v>0</v>
      </c>
    </row>
    <row r="572" spans="1:19" ht="11.85" customHeight="1" x14ac:dyDescent="0.25">
      <c r="A572" s="66" t="s">
        <v>320</v>
      </c>
      <c r="B572" s="66"/>
      <c r="C572" s="66"/>
      <c r="D572" s="66"/>
      <c r="E572" s="66"/>
      <c r="F572" s="66"/>
      <c r="G572" s="66"/>
      <c r="H572" s="66"/>
    </row>
    <row r="573" spans="1:19" ht="11.1" customHeight="1" x14ac:dyDescent="0.25">
      <c r="N573" s="50" t="s">
        <v>317</v>
      </c>
      <c r="O573" s="64">
        <v>2882.05</v>
      </c>
      <c r="Q573" s="64">
        <v>345.84</v>
      </c>
      <c r="R573" s="63">
        <v>0</v>
      </c>
      <c r="S573" s="64">
        <v>0</v>
      </c>
    </row>
    <row r="574" spans="1:19" ht="11.1" customHeight="1" x14ac:dyDescent="0.25">
      <c r="A574" s="57">
        <v>112505</v>
      </c>
      <c r="B574" s="53">
        <v>46114</v>
      </c>
      <c r="C574" s="58">
        <v>46114</v>
      </c>
      <c r="D574" s="59" t="s">
        <v>738</v>
      </c>
      <c r="E574" s="50" t="s">
        <v>313</v>
      </c>
      <c r="F574" s="57">
        <v>36</v>
      </c>
      <c r="G574" s="60">
        <v>156</v>
      </c>
      <c r="H574" s="61" t="s">
        <v>739</v>
      </c>
      <c r="I574" s="50" t="s">
        <v>740</v>
      </c>
      <c r="J574" s="50" t="s">
        <v>741</v>
      </c>
      <c r="K574" s="62">
        <v>5102</v>
      </c>
      <c r="L574" s="57">
        <v>205</v>
      </c>
      <c r="M574" s="50" t="s">
        <v>26</v>
      </c>
      <c r="N574" s="50" t="s">
        <v>317</v>
      </c>
      <c r="O574" s="64">
        <v>652.80999999999995</v>
      </c>
      <c r="P574" s="65">
        <v>12</v>
      </c>
      <c r="Q574" s="64">
        <v>78.34</v>
      </c>
      <c r="R574" s="63">
        <v>0</v>
      </c>
      <c r="S574" s="64">
        <v>0</v>
      </c>
    </row>
    <row r="575" spans="1:19" ht="11.1" customHeight="1" x14ac:dyDescent="0.25">
      <c r="A575" s="57">
        <v>112506</v>
      </c>
      <c r="B575" s="53">
        <v>46114</v>
      </c>
      <c r="C575" s="58">
        <v>46114</v>
      </c>
      <c r="D575" s="59" t="s">
        <v>738</v>
      </c>
      <c r="E575" s="50" t="s">
        <v>313</v>
      </c>
      <c r="F575" s="57">
        <v>36</v>
      </c>
      <c r="G575" s="60">
        <v>156</v>
      </c>
      <c r="H575" s="61" t="s">
        <v>739</v>
      </c>
      <c r="I575" s="50" t="s">
        <v>740</v>
      </c>
      <c r="J575" s="50" t="s">
        <v>741</v>
      </c>
      <c r="K575" s="62">
        <v>5405</v>
      </c>
      <c r="L575" s="57">
        <v>206</v>
      </c>
      <c r="M575" s="50" t="s">
        <v>26</v>
      </c>
      <c r="N575" s="50" t="s">
        <v>317</v>
      </c>
      <c r="O575" s="64">
        <v>0</v>
      </c>
      <c r="P575" s="65">
        <v>0</v>
      </c>
      <c r="Q575" s="64">
        <v>0</v>
      </c>
      <c r="R575" s="63">
        <v>0</v>
      </c>
      <c r="S575" s="64">
        <v>187.2</v>
      </c>
    </row>
    <row r="576" spans="1:19" ht="11.1" customHeight="1" x14ac:dyDescent="0.25">
      <c r="A576" s="57">
        <v>112507</v>
      </c>
      <c r="B576" s="53">
        <v>46114</v>
      </c>
      <c r="C576" s="58">
        <v>46114</v>
      </c>
      <c r="D576" s="59" t="s">
        <v>738</v>
      </c>
      <c r="E576" s="50" t="s">
        <v>313</v>
      </c>
      <c r="F576" s="57">
        <v>36</v>
      </c>
      <c r="G576" s="60">
        <v>156</v>
      </c>
      <c r="H576" s="61" t="s">
        <v>739</v>
      </c>
      <c r="I576" s="50" t="s">
        <v>740</v>
      </c>
      <c r="J576" s="50" t="s">
        <v>741</v>
      </c>
      <c r="K576" s="62">
        <v>5403</v>
      </c>
      <c r="L576" s="57">
        <v>207</v>
      </c>
      <c r="M576" s="50" t="s">
        <v>26</v>
      </c>
      <c r="N576" s="50" t="s">
        <v>317</v>
      </c>
      <c r="O576" s="64">
        <v>1229.17</v>
      </c>
      <c r="P576" s="65">
        <v>12</v>
      </c>
      <c r="Q576" s="64">
        <v>147.5</v>
      </c>
      <c r="R576" s="63">
        <v>0</v>
      </c>
      <c r="S576" s="64">
        <v>86.04</v>
      </c>
    </row>
    <row r="577" spans="1:19" ht="11.1" customHeight="1" x14ac:dyDescent="0.25">
      <c r="N577" s="50" t="s">
        <v>318</v>
      </c>
      <c r="O577" s="64">
        <v>1659.39</v>
      </c>
      <c r="P577" s="65">
        <v>20</v>
      </c>
      <c r="Q577" s="64">
        <v>86.04</v>
      </c>
      <c r="R577" s="63">
        <v>0</v>
      </c>
      <c r="S577" s="64">
        <v>0</v>
      </c>
    </row>
    <row r="578" spans="1:19" ht="11.1" customHeight="1" x14ac:dyDescent="0.25">
      <c r="A578" s="57">
        <v>112641</v>
      </c>
      <c r="B578" s="53">
        <v>46118</v>
      </c>
      <c r="C578" s="58">
        <v>46118</v>
      </c>
      <c r="D578" s="59" t="s">
        <v>742</v>
      </c>
      <c r="E578" s="50" t="s">
        <v>313</v>
      </c>
      <c r="F578" s="57">
        <v>36</v>
      </c>
      <c r="G578" s="60">
        <v>156</v>
      </c>
      <c r="H578" s="61" t="s">
        <v>739</v>
      </c>
      <c r="I578" s="50" t="s">
        <v>740</v>
      </c>
      <c r="J578" s="50" t="s">
        <v>741</v>
      </c>
      <c r="K578" s="62">
        <v>5102</v>
      </c>
      <c r="L578" s="57">
        <v>205</v>
      </c>
      <c r="M578" s="50" t="s">
        <v>26</v>
      </c>
      <c r="N578" s="50" t="s">
        <v>317</v>
      </c>
      <c r="O578" s="64">
        <v>1566.24</v>
      </c>
      <c r="P578" s="65">
        <v>12</v>
      </c>
      <c r="Q578" s="64">
        <v>187.95</v>
      </c>
      <c r="R578" s="63">
        <v>0</v>
      </c>
      <c r="S578" s="64">
        <v>0</v>
      </c>
    </row>
    <row r="579" spans="1:19" ht="11.1" customHeight="1" x14ac:dyDescent="0.25">
      <c r="A579" s="57">
        <v>112642</v>
      </c>
      <c r="B579" s="53">
        <v>46118</v>
      </c>
      <c r="C579" s="58">
        <v>46118</v>
      </c>
      <c r="D579" s="59" t="s">
        <v>742</v>
      </c>
      <c r="E579" s="50" t="s">
        <v>313</v>
      </c>
      <c r="F579" s="57">
        <v>36</v>
      </c>
      <c r="G579" s="60">
        <v>156</v>
      </c>
      <c r="H579" s="61" t="s">
        <v>739</v>
      </c>
      <c r="I579" s="50" t="s">
        <v>740</v>
      </c>
      <c r="J579" s="50" t="s">
        <v>741</v>
      </c>
      <c r="K579" s="62">
        <v>5403</v>
      </c>
      <c r="L579" s="57">
        <v>207</v>
      </c>
      <c r="M579" s="50" t="s">
        <v>26</v>
      </c>
      <c r="N579" s="50" t="s">
        <v>317</v>
      </c>
      <c r="O579" s="64">
        <v>1195.2</v>
      </c>
      <c r="P579" s="65">
        <v>12</v>
      </c>
      <c r="Q579" s="64">
        <v>143.43</v>
      </c>
      <c r="R579" s="63">
        <v>0</v>
      </c>
      <c r="S579" s="64">
        <v>83.67</v>
      </c>
    </row>
    <row r="580" spans="1:19" ht="11.1" customHeight="1" x14ac:dyDescent="0.25">
      <c r="N580" s="50" t="s">
        <v>318</v>
      </c>
      <c r="O580" s="64">
        <v>1613.52</v>
      </c>
      <c r="P580" s="65">
        <v>20</v>
      </c>
      <c r="Q580" s="64">
        <v>83.67</v>
      </c>
      <c r="R580" s="63">
        <v>0</v>
      </c>
      <c r="S580" s="64">
        <v>0</v>
      </c>
    </row>
    <row r="581" spans="1:19" ht="11.1" customHeight="1" x14ac:dyDescent="0.25">
      <c r="A581" s="57">
        <v>112643</v>
      </c>
      <c r="B581" s="53">
        <v>46119</v>
      </c>
      <c r="C581" s="58">
        <v>46119</v>
      </c>
      <c r="D581" s="59" t="s">
        <v>743</v>
      </c>
      <c r="E581" s="50" t="s">
        <v>313</v>
      </c>
      <c r="F581" s="57">
        <v>36</v>
      </c>
      <c r="G581" s="60">
        <v>156</v>
      </c>
      <c r="H581" s="61" t="s">
        <v>739</v>
      </c>
      <c r="I581" s="50" t="s">
        <v>740</v>
      </c>
      <c r="J581" s="50" t="s">
        <v>741</v>
      </c>
      <c r="K581" s="62">
        <v>5102</v>
      </c>
      <c r="L581" s="57">
        <v>205</v>
      </c>
      <c r="M581" s="50" t="s">
        <v>26</v>
      </c>
      <c r="N581" s="50" t="s">
        <v>317</v>
      </c>
      <c r="O581" s="64">
        <v>719.94</v>
      </c>
      <c r="P581" s="65">
        <v>12</v>
      </c>
      <c r="Q581" s="64">
        <v>86.4</v>
      </c>
      <c r="R581" s="63">
        <v>0</v>
      </c>
      <c r="S581" s="64">
        <v>0</v>
      </c>
    </row>
    <row r="582" spans="1:19" ht="11.1" customHeight="1" x14ac:dyDescent="0.25">
      <c r="A582" s="57">
        <v>112644</v>
      </c>
      <c r="B582" s="53">
        <v>46119</v>
      </c>
      <c r="C582" s="58">
        <v>46119</v>
      </c>
      <c r="D582" s="59" t="s">
        <v>743</v>
      </c>
      <c r="E582" s="50" t="s">
        <v>313</v>
      </c>
      <c r="F582" s="57">
        <v>36</v>
      </c>
      <c r="G582" s="60">
        <v>156</v>
      </c>
      <c r="H582" s="61" t="s">
        <v>739</v>
      </c>
      <c r="I582" s="50" t="s">
        <v>740</v>
      </c>
      <c r="J582" s="50" t="s">
        <v>741</v>
      </c>
      <c r="K582" s="62">
        <v>5403</v>
      </c>
      <c r="L582" s="57">
        <v>207</v>
      </c>
      <c r="M582" s="50" t="s">
        <v>26</v>
      </c>
      <c r="N582" s="50" t="s">
        <v>317</v>
      </c>
      <c r="O582" s="64">
        <v>1238.73</v>
      </c>
      <c r="P582" s="65">
        <v>12</v>
      </c>
      <c r="Q582" s="64">
        <v>148.66</v>
      </c>
      <c r="R582" s="63">
        <v>0</v>
      </c>
      <c r="S582" s="64">
        <v>86.71</v>
      </c>
    </row>
    <row r="583" spans="1:19" ht="11.1" customHeight="1" x14ac:dyDescent="0.25">
      <c r="N583" s="50" t="s">
        <v>318</v>
      </c>
      <c r="O583" s="64">
        <v>1672.29</v>
      </c>
      <c r="P583" s="65">
        <v>20</v>
      </c>
      <c r="Q583" s="64">
        <v>86.71</v>
      </c>
      <c r="R583" s="63">
        <v>0</v>
      </c>
      <c r="S583" s="64">
        <v>0</v>
      </c>
    </row>
    <row r="584" spans="1:19" ht="11.1" customHeight="1" x14ac:dyDescent="0.25">
      <c r="A584" s="57">
        <v>112649</v>
      </c>
      <c r="B584" s="53">
        <v>46119</v>
      </c>
      <c r="C584" s="58">
        <v>46119</v>
      </c>
      <c r="D584" s="59" t="s">
        <v>744</v>
      </c>
      <c r="E584" s="50" t="s">
        <v>313</v>
      </c>
      <c r="F584" s="57">
        <v>36</v>
      </c>
      <c r="G584" s="60">
        <v>156</v>
      </c>
      <c r="H584" s="61" t="s">
        <v>739</v>
      </c>
      <c r="I584" s="50" t="s">
        <v>740</v>
      </c>
      <c r="J584" s="50" t="s">
        <v>741</v>
      </c>
      <c r="K584" s="62">
        <v>5102</v>
      </c>
      <c r="L584" s="57">
        <v>205</v>
      </c>
      <c r="M584" s="50" t="s">
        <v>26</v>
      </c>
      <c r="N584" s="50" t="s">
        <v>317</v>
      </c>
      <c r="O584" s="64">
        <v>1425.4</v>
      </c>
      <c r="P584" s="65">
        <v>12</v>
      </c>
      <c r="Q584" s="64">
        <v>171.05</v>
      </c>
      <c r="R584" s="63">
        <v>0</v>
      </c>
      <c r="S584" s="64">
        <v>0</v>
      </c>
    </row>
    <row r="585" spans="1:19" ht="11.1" customHeight="1" x14ac:dyDescent="0.25">
      <c r="A585" s="57">
        <v>112650</v>
      </c>
      <c r="B585" s="53">
        <v>46119</v>
      </c>
      <c r="C585" s="58">
        <v>46119</v>
      </c>
      <c r="D585" s="59" t="s">
        <v>744</v>
      </c>
      <c r="E585" s="50" t="s">
        <v>313</v>
      </c>
      <c r="F585" s="57">
        <v>36</v>
      </c>
      <c r="G585" s="60">
        <v>156</v>
      </c>
      <c r="H585" s="61" t="s">
        <v>739</v>
      </c>
      <c r="I585" s="50" t="s">
        <v>740</v>
      </c>
      <c r="J585" s="50" t="s">
        <v>741</v>
      </c>
      <c r="K585" s="62">
        <v>5405</v>
      </c>
      <c r="L585" s="57">
        <v>206</v>
      </c>
      <c r="M585" s="50" t="s">
        <v>26</v>
      </c>
      <c r="N585" s="50" t="s">
        <v>317</v>
      </c>
      <c r="O585" s="64">
        <v>0</v>
      </c>
      <c r="P585" s="65">
        <v>0</v>
      </c>
      <c r="Q585" s="64">
        <v>0</v>
      </c>
      <c r="R585" s="63">
        <v>0</v>
      </c>
      <c r="S585" s="64">
        <v>93.6</v>
      </c>
    </row>
    <row r="586" spans="1:19" ht="11.1" customHeight="1" x14ac:dyDescent="0.25">
      <c r="A586" s="57">
        <v>112651</v>
      </c>
      <c r="B586" s="53">
        <v>46119</v>
      </c>
      <c r="C586" s="58">
        <v>46119</v>
      </c>
      <c r="D586" s="59" t="s">
        <v>744</v>
      </c>
      <c r="E586" s="50" t="s">
        <v>313</v>
      </c>
      <c r="F586" s="57">
        <v>36</v>
      </c>
      <c r="G586" s="60">
        <v>156</v>
      </c>
      <c r="H586" s="61" t="s">
        <v>739</v>
      </c>
      <c r="I586" s="50" t="s">
        <v>740</v>
      </c>
      <c r="J586" s="50" t="s">
        <v>741</v>
      </c>
      <c r="K586" s="62">
        <v>5403</v>
      </c>
      <c r="L586" s="57">
        <v>207</v>
      </c>
      <c r="M586" s="50" t="s">
        <v>26</v>
      </c>
      <c r="N586" s="50" t="s">
        <v>317</v>
      </c>
      <c r="O586" s="64">
        <v>1115.19</v>
      </c>
      <c r="P586" s="65">
        <v>12</v>
      </c>
      <c r="Q586" s="64">
        <v>133.82</v>
      </c>
      <c r="R586" s="63">
        <v>0</v>
      </c>
      <c r="S586" s="64">
        <v>78.069999999999993</v>
      </c>
    </row>
    <row r="587" spans="1:19" ht="11.1" customHeight="1" x14ac:dyDescent="0.25">
      <c r="N587" s="50" t="s">
        <v>318</v>
      </c>
      <c r="O587" s="64">
        <v>1505.52</v>
      </c>
      <c r="P587" s="65">
        <v>20</v>
      </c>
      <c r="Q587" s="64">
        <v>78.069999999999993</v>
      </c>
      <c r="R587" s="63">
        <v>0</v>
      </c>
      <c r="S587" s="64">
        <v>0</v>
      </c>
    </row>
    <row r="588" spans="1:19" ht="11.1" customHeight="1" x14ac:dyDescent="0.25">
      <c r="A588" s="57">
        <v>113037</v>
      </c>
      <c r="B588" s="53">
        <v>46126</v>
      </c>
      <c r="C588" s="58">
        <v>46126</v>
      </c>
      <c r="D588" s="59" t="s">
        <v>745</v>
      </c>
      <c r="E588" s="50" t="s">
        <v>313</v>
      </c>
      <c r="F588" s="57">
        <v>36</v>
      </c>
      <c r="G588" s="60">
        <v>156</v>
      </c>
      <c r="H588" s="61" t="s">
        <v>739</v>
      </c>
      <c r="I588" s="50" t="s">
        <v>740</v>
      </c>
      <c r="J588" s="50" t="s">
        <v>741</v>
      </c>
      <c r="K588" s="62">
        <v>5102</v>
      </c>
      <c r="L588" s="57">
        <v>205</v>
      </c>
      <c r="M588" s="50" t="s">
        <v>26</v>
      </c>
      <c r="N588" s="50" t="s">
        <v>317</v>
      </c>
      <c r="O588" s="64">
        <v>2047.42</v>
      </c>
      <c r="P588" s="65">
        <v>12</v>
      </c>
      <c r="Q588" s="64">
        <v>245.7</v>
      </c>
      <c r="R588" s="63">
        <v>0</v>
      </c>
      <c r="S588" s="64">
        <v>0</v>
      </c>
    </row>
    <row r="589" spans="1:19" ht="11.1" customHeight="1" x14ac:dyDescent="0.25">
      <c r="A589" s="57">
        <v>113038</v>
      </c>
      <c r="B589" s="53">
        <v>46126</v>
      </c>
      <c r="C589" s="58">
        <v>46126</v>
      </c>
      <c r="D589" s="59" t="s">
        <v>745</v>
      </c>
      <c r="E589" s="50" t="s">
        <v>313</v>
      </c>
      <c r="F589" s="57">
        <v>36</v>
      </c>
      <c r="G589" s="60">
        <v>156</v>
      </c>
      <c r="H589" s="61" t="s">
        <v>739</v>
      </c>
      <c r="I589" s="50" t="s">
        <v>740</v>
      </c>
      <c r="J589" s="50" t="s">
        <v>741</v>
      </c>
      <c r="K589" s="62">
        <v>5403</v>
      </c>
      <c r="L589" s="57">
        <v>207</v>
      </c>
      <c r="M589" s="50" t="s">
        <v>26</v>
      </c>
      <c r="N589" s="50" t="s">
        <v>317</v>
      </c>
      <c r="O589" s="64">
        <v>502.38</v>
      </c>
      <c r="P589" s="65">
        <v>12</v>
      </c>
      <c r="Q589" s="64">
        <v>60.28</v>
      </c>
      <c r="R589" s="63">
        <v>0</v>
      </c>
      <c r="S589" s="64">
        <v>35.17</v>
      </c>
    </row>
    <row r="590" spans="1:19" ht="11.1" customHeight="1" x14ac:dyDescent="0.25">
      <c r="N590" s="50" t="s">
        <v>318</v>
      </c>
      <c r="O590" s="64">
        <v>678.22</v>
      </c>
      <c r="P590" s="65">
        <v>20</v>
      </c>
      <c r="Q590" s="64">
        <v>35.17</v>
      </c>
      <c r="R590" s="63">
        <v>0</v>
      </c>
      <c r="S590" s="64">
        <v>0</v>
      </c>
    </row>
    <row r="591" spans="1:19" ht="11.1" customHeight="1" x14ac:dyDescent="0.25">
      <c r="A591" s="57">
        <v>113158</v>
      </c>
      <c r="B591" s="53">
        <v>46128</v>
      </c>
      <c r="C591" s="58">
        <v>46128</v>
      </c>
      <c r="D591" s="59" t="s">
        <v>746</v>
      </c>
      <c r="E591" s="50" t="s">
        <v>313</v>
      </c>
      <c r="F591" s="57">
        <v>36</v>
      </c>
      <c r="G591" s="60">
        <v>156</v>
      </c>
      <c r="H591" s="61" t="s">
        <v>739</v>
      </c>
      <c r="I591" s="50" t="s">
        <v>740</v>
      </c>
      <c r="J591" s="50" t="s">
        <v>741</v>
      </c>
      <c r="K591" s="62">
        <v>5102</v>
      </c>
      <c r="L591" s="57">
        <v>205</v>
      </c>
      <c r="M591" s="50" t="s">
        <v>26</v>
      </c>
      <c r="N591" s="50" t="s">
        <v>317</v>
      </c>
      <c r="O591" s="64">
        <v>830.86</v>
      </c>
      <c r="P591" s="65">
        <v>12</v>
      </c>
      <c r="Q591" s="64">
        <v>99.7</v>
      </c>
      <c r="R591" s="63">
        <v>0</v>
      </c>
      <c r="S591" s="64">
        <v>0</v>
      </c>
    </row>
    <row r="592" spans="1:19" ht="11.1" customHeight="1" x14ac:dyDescent="0.25">
      <c r="A592" s="57">
        <v>113159</v>
      </c>
      <c r="B592" s="53">
        <v>46128</v>
      </c>
      <c r="C592" s="58">
        <v>46128</v>
      </c>
      <c r="D592" s="59" t="s">
        <v>746</v>
      </c>
      <c r="E592" s="50" t="s">
        <v>313</v>
      </c>
      <c r="F592" s="57">
        <v>36</v>
      </c>
      <c r="G592" s="60">
        <v>156</v>
      </c>
      <c r="H592" s="61" t="s">
        <v>739</v>
      </c>
      <c r="I592" s="50" t="s">
        <v>740</v>
      </c>
      <c r="J592" s="50" t="s">
        <v>741</v>
      </c>
      <c r="K592" s="62">
        <v>5403</v>
      </c>
      <c r="L592" s="57">
        <v>207</v>
      </c>
      <c r="M592" s="50" t="s">
        <v>26</v>
      </c>
      <c r="N592" s="50" t="s">
        <v>317</v>
      </c>
      <c r="O592" s="64">
        <v>1358.2</v>
      </c>
      <c r="P592" s="65">
        <v>12</v>
      </c>
      <c r="Q592" s="64">
        <v>162.97999999999999</v>
      </c>
      <c r="R592" s="63">
        <v>0</v>
      </c>
      <c r="S592" s="64">
        <v>95.08</v>
      </c>
    </row>
    <row r="593" spans="1:19" ht="11.1" customHeight="1" x14ac:dyDescent="0.25">
      <c r="N593" s="50" t="s">
        <v>318</v>
      </c>
      <c r="O593" s="64">
        <v>1833.58</v>
      </c>
      <c r="P593" s="65">
        <v>20</v>
      </c>
      <c r="Q593" s="64">
        <v>95.08</v>
      </c>
      <c r="R593" s="63">
        <v>0</v>
      </c>
      <c r="S593" s="64">
        <v>0</v>
      </c>
    </row>
    <row r="594" spans="1:19" ht="11.1" customHeight="1" x14ac:dyDescent="0.25">
      <c r="A594" s="57">
        <v>113353</v>
      </c>
      <c r="B594" s="53">
        <v>46135</v>
      </c>
      <c r="C594" s="58">
        <v>46135</v>
      </c>
      <c r="D594" s="59" t="s">
        <v>747</v>
      </c>
      <c r="E594" s="50" t="s">
        <v>313</v>
      </c>
      <c r="F594" s="57">
        <v>36</v>
      </c>
      <c r="G594" s="60">
        <v>156</v>
      </c>
      <c r="H594" s="61" t="s">
        <v>739</v>
      </c>
      <c r="I594" s="50" t="s">
        <v>740</v>
      </c>
      <c r="J594" s="50" t="s">
        <v>741</v>
      </c>
      <c r="K594" s="62">
        <v>5102</v>
      </c>
      <c r="L594" s="57">
        <v>205</v>
      </c>
      <c r="M594" s="50" t="s">
        <v>26</v>
      </c>
      <c r="N594" s="50" t="s">
        <v>317</v>
      </c>
      <c r="O594" s="64">
        <v>2112.1999999999998</v>
      </c>
      <c r="P594" s="65">
        <v>12</v>
      </c>
      <c r="Q594" s="64">
        <v>253.44</v>
      </c>
      <c r="R594" s="63">
        <v>0</v>
      </c>
      <c r="S594" s="64">
        <v>0</v>
      </c>
    </row>
    <row r="595" spans="1:19" ht="11.1" customHeight="1" x14ac:dyDescent="0.25">
      <c r="A595" s="57">
        <v>113354</v>
      </c>
      <c r="B595" s="53">
        <v>46135</v>
      </c>
      <c r="C595" s="58">
        <v>46135</v>
      </c>
      <c r="D595" s="59" t="s">
        <v>747</v>
      </c>
      <c r="E595" s="50" t="s">
        <v>313</v>
      </c>
      <c r="F595" s="57">
        <v>36</v>
      </c>
      <c r="G595" s="60">
        <v>156</v>
      </c>
      <c r="H595" s="61" t="s">
        <v>739</v>
      </c>
      <c r="I595" s="50" t="s">
        <v>740</v>
      </c>
      <c r="J595" s="50" t="s">
        <v>741</v>
      </c>
      <c r="K595" s="62">
        <v>5403</v>
      </c>
      <c r="L595" s="57">
        <v>207</v>
      </c>
      <c r="M595" s="50" t="s">
        <v>26</v>
      </c>
      <c r="N595" s="50" t="s">
        <v>317</v>
      </c>
      <c r="O595" s="64">
        <v>1165.8</v>
      </c>
      <c r="P595" s="65">
        <v>12</v>
      </c>
      <c r="Q595" s="64">
        <v>139.88999999999999</v>
      </c>
      <c r="R595" s="63">
        <v>0</v>
      </c>
      <c r="S595" s="64">
        <v>81.599999999999994</v>
      </c>
    </row>
    <row r="596" spans="1:19" ht="11.1" customHeight="1" x14ac:dyDescent="0.25">
      <c r="N596" s="50" t="s">
        <v>318</v>
      </c>
      <c r="O596" s="64">
        <v>1573.83</v>
      </c>
      <c r="P596" s="65">
        <v>20</v>
      </c>
      <c r="Q596" s="64">
        <v>81.599999999999994</v>
      </c>
      <c r="R596" s="63">
        <v>0</v>
      </c>
      <c r="S596" s="64">
        <v>0</v>
      </c>
    </row>
    <row r="597" spans="1:19" ht="11.1" customHeight="1" x14ac:dyDescent="0.25">
      <c r="A597" s="57">
        <v>113365</v>
      </c>
      <c r="B597" s="53">
        <v>46135</v>
      </c>
      <c r="C597" s="58">
        <v>46135</v>
      </c>
      <c r="D597" s="59" t="s">
        <v>748</v>
      </c>
      <c r="E597" s="50" t="s">
        <v>313</v>
      </c>
      <c r="F597" s="57">
        <v>36</v>
      </c>
      <c r="G597" s="60">
        <v>156</v>
      </c>
      <c r="H597" s="61" t="s">
        <v>739</v>
      </c>
      <c r="I597" s="50" t="s">
        <v>740</v>
      </c>
      <c r="J597" s="50" t="s">
        <v>741</v>
      </c>
      <c r="K597" s="62">
        <v>5102</v>
      </c>
      <c r="L597" s="57">
        <v>205</v>
      </c>
      <c r="M597" s="50" t="s">
        <v>26</v>
      </c>
      <c r="N597" s="50" t="s">
        <v>317</v>
      </c>
      <c r="O597" s="64">
        <v>1956.22</v>
      </c>
      <c r="P597" s="65">
        <v>12</v>
      </c>
      <c r="Q597" s="64">
        <v>234.75</v>
      </c>
      <c r="R597" s="63">
        <v>0</v>
      </c>
      <c r="S597" s="64">
        <v>0</v>
      </c>
    </row>
    <row r="598" spans="1:19" ht="11.1" customHeight="1" x14ac:dyDescent="0.25">
      <c r="A598" s="57">
        <v>113366</v>
      </c>
      <c r="B598" s="53">
        <v>46135</v>
      </c>
      <c r="C598" s="58">
        <v>46135</v>
      </c>
      <c r="D598" s="59" t="s">
        <v>748</v>
      </c>
      <c r="E598" s="50" t="s">
        <v>313</v>
      </c>
      <c r="F598" s="57">
        <v>36</v>
      </c>
      <c r="G598" s="60">
        <v>156</v>
      </c>
      <c r="H598" s="61" t="s">
        <v>739</v>
      </c>
      <c r="I598" s="50" t="s">
        <v>740</v>
      </c>
      <c r="J598" s="50" t="s">
        <v>741</v>
      </c>
      <c r="K598" s="62">
        <v>5403</v>
      </c>
      <c r="L598" s="57">
        <v>207</v>
      </c>
      <c r="M598" s="50" t="s">
        <v>26</v>
      </c>
      <c r="N598" s="50" t="s">
        <v>317</v>
      </c>
      <c r="O598" s="64">
        <v>594.12</v>
      </c>
      <c r="P598" s="65">
        <v>12</v>
      </c>
      <c r="Q598" s="64">
        <v>71.290000000000006</v>
      </c>
      <c r="R598" s="63">
        <v>0</v>
      </c>
      <c r="S598" s="64">
        <v>41.59</v>
      </c>
    </row>
    <row r="599" spans="1:19" ht="11.1" customHeight="1" x14ac:dyDescent="0.25">
      <c r="N599" s="50" t="s">
        <v>318</v>
      </c>
      <c r="O599" s="64">
        <v>802.07</v>
      </c>
      <c r="P599" s="65">
        <v>20</v>
      </c>
      <c r="Q599" s="64">
        <v>41.59</v>
      </c>
      <c r="R599" s="63">
        <v>0</v>
      </c>
      <c r="S599" s="64">
        <v>0</v>
      </c>
    </row>
    <row r="600" spans="1:19" ht="11.85" customHeight="1" x14ac:dyDescent="0.25">
      <c r="A600" s="66" t="s">
        <v>320</v>
      </c>
      <c r="B600" s="66"/>
      <c r="C600" s="66"/>
      <c r="D600" s="66"/>
      <c r="E600" s="66"/>
      <c r="F600" s="66"/>
      <c r="G600" s="66"/>
      <c r="H600" s="66"/>
    </row>
    <row r="601" spans="1:19" ht="11.1" customHeight="1" x14ac:dyDescent="0.25">
      <c r="N601" s="50" t="s">
        <v>317</v>
      </c>
      <c r="O601" s="64">
        <v>19709.88</v>
      </c>
      <c r="Q601" s="64">
        <v>2365.1799999999998</v>
      </c>
      <c r="R601" s="63">
        <v>0</v>
      </c>
      <c r="S601" s="64">
        <v>868.73</v>
      </c>
    </row>
    <row r="602" spans="1:19" ht="11.1" customHeight="1" x14ac:dyDescent="0.25">
      <c r="N602" s="50" t="s">
        <v>318</v>
      </c>
      <c r="O602" s="64">
        <v>11338.42</v>
      </c>
      <c r="Q602" s="64">
        <v>587.92999999999995</v>
      </c>
      <c r="R602" s="63">
        <v>0</v>
      </c>
      <c r="S602" s="64">
        <v>0</v>
      </c>
    </row>
    <row r="603" spans="1:19" ht="11.1" customHeight="1" x14ac:dyDescent="0.25">
      <c r="A603" s="57">
        <v>113245</v>
      </c>
      <c r="B603" s="53">
        <v>46132</v>
      </c>
      <c r="C603" s="58">
        <v>46132</v>
      </c>
      <c r="D603" s="59" t="s">
        <v>749</v>
      </c>
      <c r="E603" s="50" t="s">
        <v>313</v>
      </c>
      <c r="F603" s="57">
        <v>36</v>
      </c>
      <c r="G603" s="60">
        <v>237</v>
      </c>
      <c r="H603" s="61" t="s">
        <v>750</v>
      </c>
      <c r="I603" s="50" t="s">
        <v>751</v>
      </c>
      <c r="J603" s="50" t="s">
        <v>752</v>
      </c>
      <c r="K603" s="62">
        <v>5403</v>
      </c>
      <c r="L603" s="57">
        <v>207</v>
      </c>
      <c r="M603" s="50" t="s">
        <v>26</v>
      </c>
      <c r="N603" s="50" t="s">
        <v>317</v>
      </c>
      <c r="O603" s="64">
        <v>3199.38</v>
      </c>
      <c r="P603" s="65">
        <v>12</v>
      </c>
      <c r="Q603" s="64">
        <v>383.92</v>
      </c>
      <c r="R603" s="63">
        <v>0</v>
      </c>
      <c r="S603" s="64">
        <v>223.95</v>
      </c>
    </row>
    <row r="604" spans="1:19" ht="11.1" customHeight="1" x14ac:dyDescent="0.25">
      <c r="N604" s="50" t="s">
        <v>318</v>
      </c>
      <c r="O604" s="64">
        <v>4319.16</v>
      </c>
      <c r="P604" s="65">
        <v>20</v>
      </c>
      <c r="Q604" s="64">
        <v>223.95</v>
      </c>
      <c r="R604" s="63">
        <v>0</v>
      </c>
      <c r="S604" s="64">
        <v>0</v>
      </c>
    </row>
    <row r="605" spans="1:19" ht="11.85" customHeight="1" x14ac:dyDescent="0.25">
      <c r="A605" s="66" t="s">
        <v>320</v>
      </c>
      <c r="B605" s="66"/>
      <c r="C605" s="66"/>
      <c r="D605" s="66"/>
      <c r="E605" s="66"/>
      <c r="F605" s="66"/>
      <c r="G605" s="66"/>
      <c r="H605" s="66"/>
    </row>
    <row r="606" spans="1:19" ht="11.1" customHeight="1" x14ac:dyDescent="0.25">
      <c r="N606" s="50" t="s">
        <v>317</v>
      </c>
      <c r="O606" s="64">
        <v>3199.38</v>
      </c>
      <c r="Q606" s="64">
        <v>383.92</v>
      </c>
      <c r="R606" s="63">
        <v>0</v>
      </c>
      <c r="S606" s="64">
        <v>223.95</v>
      </c>
    </row>
    <row r="607" spans="1:19" ht="11.1" customHeight="1" x14ac:dyDescent="0.25">
      <c r="N607" s="50" t="s">
        <v>318</v>
      </c>
      <c r="O607" s="64">
        <v>4319.16</v>
      </c>
      <c r="Q607" s="64">
        <v>223.95</v>
      </c>
      <c r="R607" s="63">
        <v>0</v>
      </c>
      <c r="S607" s="64">
        <v>0</v>
      </c>
    </row>
    <row r="608" spans="1:19" ht="11.1" customHeight="1" x14ac:dyDescent="0.25">
      <c r="A608" s="57">
        <v>112799</v>
      </c>
      <c r="B608" s="53">
        <v>46120</v>
      </c>
      <c r="C608" s="58">
        <v>46120</v>
      </c>
      <c r="D608" s="59" t="s">
        <v>753</v>
      </c>
      <c r="E608" s="50" t="s">
        <v>313</v>
      </c>
      <c r="F608" s="57">
        <v>36</v>
      </c>
      <c r="G608" s="60">
        <v>486</v>
      </c>
      <c r="H608" s="61" t="s">
        <v>754</v>
      </c>
      <c r="I608" s="50" t="s">
        <v>755</v>
      </c>
      <c r="J608" s="50" t="s">
        <v>756</v>
      </c>
      <c r="K608" s="62">
        <v>5102</v>
      </c>
      <c r="L608" s="57">
        <v>205</v>
      </c>
      <c r="M608" s="50" t="s">
        <v>26</v>
      </c>
      <c r="N608" s="50" t="s">
        <v>317</v>
      </c>
      <c r="O608" s="64">
        <v>502.67</v>
      </c>
      <c r="P608" s="65">
        <v>12</v>
      </c>
      <c r="Q608" s="64">
        <v>60.31</v>
      </c>
      <c r="R608" s="63">
        <v>0</v>
      </c>
      <c r="S608" s="64">
        <v>0</v>
      </c>
    </row>
    <row r="609" spans="1:19" ht="11.85" customHeight="1" x14ac:dyDescent="0.25">
      <c r="A609" s="66" t="s">
        <v>320</v>
      </c>
      <c r="B609" s="66"/>
      <c r="C609" s="66"/>
      <c r="D609" s="66"/>
      <c r="E609" s="66"/>
      <c r="F609" s="66"/>
      <c r="G609" s="66"/>
      <c r="H609" s="66"/>
    </row>
    <row r="610" spans="1:19" ht="11.1" customHeight="1" x14ac:dyDescent="0.25">
      <c r="N610" s="50" t="s">
        <v>317</v>
      </c>
      <c r="O610" s="64">
        <v>502.67</v>
      </c>
      <c r="Q610" s="64">
        <v>60.31</v>
      </c>
      <c r="R610" s="63">
        <v>0</v>
      </c>
      <c r="S610" s="64">
        <v>0</v>
      </c>
    </row>
    <row r="611" spans="1:19" ht="11.1" customHeight="1" x14ac:dyDescent="0.25">
      <c r="A611" s="57">
        <v>113149</v>
      </c>
      <c r="B611" s="53">
        <v>46128</v>
      </c>
      <c r="C611" s="58">
        <v>46128</v>
      </c>
      <c r="D611" s="59" t="s">
        <v>757</v>
      </c>
      <c r="E611" s="50" t="s">
        <v>313</v>
      </c>
      <c r="F611" s="57">
        <v>36</v>
      </c>
      <c r="G611" s="60">
        <v>92</v>
      </c>
      <c r="H611" s="61" t="s">
        <v>758</v>
      </c>
      <c r="I611" s="50" t="s">
        <v>759</v>
      </c>
      <c r="J611" s="50" t="s">
        <v>760</v>
      </c>
      <c r="K611" s="62">
        <v>6403</v>
      </c>
      <c r="L611" s="57">
        <v>207</v>
      </c>
      <c r="M611" s="50" t="s">
        <v>34</v>
      </c>
      <c r="N611" s="50" t="s">
        <v>317</v>
      </c>
      <c r="O611" s="64">
        <v>326.04000000000002</v>
      </c>
      <c r="P611" s="65">
        <v>12</v>
      </c>
      <c r="Q611" s="64">
        <v>39.130000000000003</v>
      </c>
      <c r="R611" s="63">
        <v>0</v>
      </c>
      <c r="S611" s="64">
        <v>49.54</v>
      </c>
    </row>
    <row r="612" spans="1:19" ht="11.1" customHeight="1" x14ac:dyDescent="0.25">
      <c r="N612" s="50" t="s">
        <v>318</v>
      </c>
      <c r="O612" s="64">
        <v>466.7</v>
      </c>
      <c r="P612" s="65">
        <v>19</v>
      </c>
      <c r="Q612" s="64">
        <v>49.54</v>
      </c>
      <c r="R612" s="63">
        <v>0</v>
      </c>
      <c r="S612" s="64">
        <v>0</v>
      </c>
    </row>
    <row r="613" spans="1:19" ht="11.1" customHeight="1" x14ac:dyDescent="0.25">
      <c r="A613" s="57">
        <v>113150</v>
      </c>
      <c r="B613" s="53">
        <v>46128</v>
      </c>
      <c r="C613" s="58">
        <v>46128</v>
      </c>
      <c r="D613" s="59" t="s">
        <v>757</v>
      </c>
      <c r="E613" s="50" t="s">
        <v>313</v>
      </c>
      <c r="F613" s="57">
        <v>36</v>
      </c>
      <c r="G613" s="60">
        <v>92</v>
      </c>
      <c r="H613" s="61" t="s">
        <v>758</v>
      </c>
      <c r="I613" s="50" t="s">
        <v>759</v>
      </c>
      <c r="J613" s="50" t="s">
        <v>760</v>
      </c>
      <c r="K613" s="62">
        <v>6102</v>
      </c>
      <c r="L613" s="57">
        <v>238</v>
      </c>
      <c r="M613" s="50" t="s">
        <v>34</v>
      </c>
      <c r="N613" s="50" t="s">
        <v>317</v>
      </c>
      <c r="O613" s="64">
        <v>1781.51</v>
      </c>
      <c r="P613" s="65">
        <v>12</v>
      </c>
      <c r="Q613" s="64">
        <v>213.79</v>
      </c>
      <c r="R613" s="63">
        <v>0</v>
      </c>
      <c r="S613" s="64">
        <v>0</v>
      </c>
    </row>
    <row r="614" spans="1:19" ht="11.85" customHeight="1" x14ac:dyDescent="0.25">
      <c r="A614" s="66" t="s">
        <v>320</v>
      </c>
      <c r="B614" s="66"/>
      <c r="C614" s="66"/>
      <c r="D614" s="66"/>
      <c r="E614" s="66"/>
      <c r="F614" s="66"/>
      <c r="G614" s="66"/>
      <c r="H614" s="66"/>
    </row>
    <row r="615" spans="1:19" ht="11.1" customHeight="1" x14ac:dyDescent="0.25">
      <c r="N615" s="50" t="s">
        <v>317</v>
      </c>
      <c r="O615" s="64">
        <v>2107.5500000000002</v>
      </c>
      <c r="Q615" s="64">
        <v>252.92</v>
      </c>
      <c r="R615" s="63">
        <v>0</v>
      </c>
      <c r="S615" s="64">
        <v>49.54</v>
      </c>
    </row>
    <row r="616" spans="1:19" ht="11.1" customHeight="1" x14ac:dyDescent="0.25">
      <c r="N616" s="50" t="s">
        <v>318</v>
      </c>
      <c r="O616" s="64">
        <v>466.7</v>
      </c>
      <c r="Q616" s="64">
        <v>49.54</v>
      </c>
      <c r="R616" s="63">
        <v>0</v>
      </c>
      <c r="S616" s="64">
        <v>0</v>
      </c>
    </row>
    <row r="617" spans="1:19" ht="11.1" customHeight="1" x14ac:dyDescent="0.25">
      <c r="A617" s="57">
        <v>113605</v>
      </c>
      <c r="B617" s="53">
        <v>46141</v>
      </c>
      <c r="C617" s="58">
        <v>46141</v>
      </c>
      <c r="D617" s="59" t="s">
        <v>761</v>
      </c>
      <c r="E617" s="50" t="s">
        <v>313</v>
      </c>
      <c r="F617" s="57">
        <v>36</v>
      </c>
      <c r="G617" s="60">
        <v>900</v>
      </c>
      <c r="H617" s="61" t="s">
        <v>762</v>
      </c>
      <c r="I617" s="50" t="s">
        <v>763</v>
      </c>
      <c r="J617" s="50" t="s">
        <v>764</v>
      </c>
      <c r="K617" s="62">
        <v>5403</v>
      </c>
      <c r="L617" s="57">
        <v>207</v>
      </c>
      <c r="M617" s="50" t="s">
        <v>26</v>
      </c>
      <c r="N617" s="50" t="s">
        <v>317</v>
      </c>
      <c r="O617" s="64">
        <v>771.92</v>
      </c>
      <c r="P617" s="65">
        <v>12</v>
      </c>
      <c r="Q617" s="64">
        <v>92.63</v>
      </c>
      <c r="R617" s="63">
        <v>0</v>
      </c>
      <c r="S617" s="64">
        <v>54.03</v>
      </c>
    </row>
    <row r="618" spans="1:19" ht="11.1" customHeight="1" x14ac:dyDescent="0.25">
      <c r="N618" s="50" t="s">
        <v>318</v>
      </c>
      <c r="O618" s="64">
        <v>1042.0899999999999</v>
      </c>
      <c r="P618" s="65">
        <v>20</v>
      </c>
      <c r="Q618" s="64">
        <v>54.03</v>
      </c>
      <c r="R618" s="63">
        <v>0</v>
      </c>
      <c r="S618" s="64">
        <v>0</v>
      </c>
    </row>
    <row r="619" spans="1:19" ht="11.1" customHeight="1" x14ac:dyDescent="0.25">
      <c r="A619" s="57">
        <v>113609</v>
      </c>
      <c r="B619" s="53">
        <v>46142</v>
      </c>
      <c r="C619" s="58">
        <v>46142</v>
      </c>
      <c r="D619" s="59" t="s">
        <v>765</v>
      </c>
      <c r="E619" s="50" t="s">
        <v>313</v>
      </c>
      <c r="F619" s="57">
        <v>36</v>
      </c>
      <c r="G619" s="60">
        <v>900</v>
      </c>
      <c r="H619" s="61" t="s">
        <v>762</v>
      </c>
      <c r="I619" s="50" t="s">
        <v>763</v>
      </c>
      <c r="J619" s="50" t="s">
        <v>764</v>
      </c>
      <c r="K619" s="62">
        <v>5403</v>
      </c>
      <c r="L619" s="57">
        <v>207</v>
      </c>
      <c r="M619" s="50" t="s">
        <v>26</v>
      </c>
      <c r="N619" s="50" t="s">
        <v>317</v>
      </c>
      <c r="O619" s="64">
        <v>485.22</v>
      </c>
      <c r="P619" s="65">
        <v>12</v>
      </c>
      <c r="Q619" s="64">
        <v>58.23</v>
      </c>
      <c r="R619" s="63">
        <v>0</v>
      </c>
      <c r="S619" s="64">
        <v>33.97</v>
      </c>
    </row>
    <row r="620" spans="1:19" ht="11.1" customHeight="1" x14ac:dyDescent="0.25">
      <c r="N620" s="50" t="s">
        <v>318</v>
      </c>
      <c r="O620" s="64">
        <v>655.04999999999995</v>
      </c>
      <c r="P620" s="65">
        <v>20</v>
      </c>
      <c r="Q620" s="64">
        <v>33.97</v>
      </c>
      <c r="R620" s="63">
        <v>0</v>
      </c>
      <c r="S620" s="64">
        <v>0</v>
      </c>
    </row>
    <row r="621" spans="1:19" ht="11.85" customHeight="1" x14ac:dyDescent="0.25">
      <c r="A621" s="66" t="s">
        <v>320</v>
      </c>
      <c r="B621" s="66"/>
      <c r="C621" s="66"/>
      <c r="D621" s="66"/>
      <c r="E621" s="66"/>
      <c r="F621" s="66"/>
      <c r="G621" s="66"/>
      <c r="H621" s="66"/>
    </row>
    <row r="622" spans="1:19" ht="11.1" customHeight="1" x14ac:dyDescent="0.25">
      <c r="N622" s="50" t="s">
        <v>317</v>
      </c>
      <c r="O622" s="64">
        <v>1257.1400000000001</v>
      </c>
      <c r="Q622" s="64">
        <v>150.86000000000001</v>
      </c>
      <c r="R622" s="63">
        <v>0</v>
      </c>
      <c r="S622" s="64">
        <v>88</v>
      </c>
    </row>
    <row r="623" spans="1:19" ht="11.1" customHeight="1" x14ac:dyDescent="0.25">
      <c r="N623" s="50" t="s">
        <v>318</v>
      </c>
      <c r="O623" s="64">
        <v>1697.14</v>
      </c>
      <c r="Q623" s="64">
        <v>88</v>
      </c>
      <c r="R623" s="63">
        <v>0</v>
      </c>
      <c r="S623" s="64">
        <v>0</v>
      </c>
    </row>
    <row r="624" spans="1:19" ht="11.1" customHeight="1" x14ac:dyDescent="0.25">
      <c r="A624" s="57">
        <v>112454</v>
      </c>
      <c r="B624" s="53">
        <v>46113</v>
      </c>
      <c r="C624" s="58">
        <v>46113</v>
      </c>
      <c r="D624" s="59" t="s">
        <v>766</v>
      </c>
      <c r="E624" s="50" t="s">
        <v>313</v>
      </c>
      <c r="F624" s="57">
        <v>36</v>
      </c>
      <c r="G624" s="60">
        <v>3</v>
      </c>
      <c r="H624" s="61" t="s">
        <v>767</v>
      </c>
      <c r="I624" s="50" t="s">
        <v>768</v>
      </c>
      <c r="J624" s="50" t="s">
        <v>769</v>
      </c>
      <c r="K624" s="62">
        <v>5102</v>
      </c>
      <c r="L624" s="57">
        <v>205</v>
      </c>
      <c r="M624" s="50" t="s">
        <v>26</v>
      </c>
      <c r="N624" s="50" t="s">
        <v>317</v>
      </c>
      <c r="O624" s="64">
        <v>76.5</v>
      </c>
      <c r="P624" s="65">
        <v>12</v>
      </c>
      <c r="Q624" s="64">
        <v>9.18</v>
      </c>
      <c r="R624" s="63">
        <v>0</v>
      </c>
      <c r="S624" s="64">
        <v>0</v>
      </c>
    </row>
    <row r="625" spans="1:19" ht="11.1" customHeight="1" x14ac:dyDescent="0.25">
      <c r="A625" s="57">
        <v>112455</v>
      </c>
      <c r="B625" s="53">
        <v>46113</v>
      </c>
      <c r="C625" s="58">
        <v>46113</v>
      </c>
      <c r="D625" s="59" t="s">
        <v>770</v>
      </c>
      <c r="E625" s="50" t="s">
        <v>313</v>
      </c>
      <c r="F625" s="57">
        <v>36</v>
      </c>
      <c r="G625" s="60">
        <v>3</v>
      </c>
      <c r="H625" s="61" t="s">
        <v>767</v>
      </c>
      <c r="I625" s="50" t="s">
        <v>768</v>
      </c>
      <c r="J625" s="50" t="s">
        <v>769</v>
      </c>
      <c r="K625" s="62">
        <v>5403</v>
      </c>
      <c r="L625" s="57">
        <v>207</v>
      </c>
      <c r="M625" s="50" t="s">
        <v>26</v>
      </c>
      <c r="N625" s="50" t="s">
        <v>317</v>
      </c>
      <c r="O625" s="64">
        <v>345.36</v>
      </c>
      <c r="P625" s="65">
        <v>12</v>
      </c>
      <c r="Q625" s="64">
        <v>41.44</v>
      </c>
      <c r="R625" s="63">
        <v>0</v>
      </c>
      <c r="S625" s="64">
        <v>24.18</v>
      </c>
    </row>
    <row r="626" spans="1:19" ht="11.1" customHeight="1" x14ac:dyDescent="0.25">
      <c r="N626" s="50" t="s">
        <v>318</v>
      </c>
      <c r="O626" s="64">
        <v>466.24</v>
      </c>
      <c r="P626" s="65">
        <v>20</v>
      </c>
      <c r="Q626" s="64">
        <v>24.18</v>
      </c>
      <c r="R626" s="63">
        <v>0</v>
      </c>
      <c r="S626" s="64">
        <v>0</v>
      </c>
    </row>
    <row r="627" spans="1:19" ht="11.1" customHeight="1" x14ac:dyDescent="0.25">
      <c r="A627" s="57">
        <v>112476</v>
      </c>
      <c r="B627" s="53">
        <v>46113</v>
      </c>
      <c r="C627" s="58">
        <v>46113</v>
      </c>
      <c r="D627" s="59" t="s">
        <v>771</v>
      </c>
      <c r="E627" s="50" t="s">
        <v>313</v>
      </c>
      <c r="F627" s="57">
        <v>36</v>
      </c>
      <c r="G627" s="60">
        <v>3</v>
      </c>
      <c r="H627" s="61" t="s">
        <v>767</v>
      </c>
      <c r="I627" s="50" t="s">
        <v>768</v>
      </c>
      <c r="J627" s="50" t="s">
        <v>769</v>
      </c>
      <c r="K627" s="62">
        <v>5102</v>
      </c>
      <c r="L627" s="57">
        <v>205</v>
      </c>
      <c r="M627" s="50" t="s">
        <v>26</v>
      </c>
      <c r="N627" s="50" t="s">
        <v>317</v>
      </c>
      <c r="O627" s="64">
        <v>393.92</v>
      </c>
      <c r="P627" s="65">
        <v>12</v>
      </c>
      <c r="Q627" s="64">
        <v>47.27</v>
      </c>
      <c r="R627" s="63">
        <v>0</v>
      </c>
      <c r="S627" s="64">
        <v>0</v>
      </c>
    </row>
    <row r="628" spans="1:19" ht="11.1" customHeight="1" x14ac:dyDescent="0.25">
      <c r="A628" s="57">
        <v>112477</v>
      </c>
      <c r="B628" s="53">
        <v>46113</v>
      </c>
      <c r="C628" s="58">
        <v>46113</v>
      </c>
      <c r="D628" s="59" t="s">
        <v>771</v>
      </c>
      <c r="E628" s="50" t="s">
        <v>313</v>
      </c>
      <c r="F628" s="57">
        <v>36</v>
      </c>
      <c r="G628" s="60">
        <v>3</v>
      </c>
      <c r="H628" s="61" t="s">
        <v>767</v>
      </c>
      <c r="I628" s="50" t="s">
        <v>768</v>
      </c>
      <c r="J628" s="50" t="s">
        <v>769</v>
      </c>
      <c r="K628" s="62">
        <v>5403</v>
      </c>
      <c r="L628" s="57">
        <v>207</v>
      </c>
      <c r="M628" s="50" t="s">
        <v>26</v>
      </c>
      <c r="N628" s="50" t="s">
        <v>317</v>
      </c>
      <c r="O628" s="64">
        <v>164.64</v>
      </c>
      <c r="P628" s="65">
        <v>12</v>
      </c>
      <c r="Q628" s="64">
        <v>19.760000000000002</v>
      </c>
      <c r="R628" s="63">
        <v>0</v>
      </c>
      <c r="S628" s="64">
        <v>11.52</v>
      </c>
    </row>
    <row r="629" spans="1:19" ht="11.1" customHeight="1" x14ac:dyDescent="0.25">
      <c r="N629" s="50" t="s">
        <v>318</v>
      </c>
      <c r="O629" s="64">
        <v>222.26</v>
      </c>
      <c r="P629" s="65">
        <v>20</v>
      </c>
      <c r="Q629" s="64">
        <v>11.52</v>
      </c>
      <c r="R629" s="63">
        <v>0</v>
      </c>
      <c r="S629" s="64">
        <v>0</v>
      </c>
    </row>
    <row r="630" spans="1:19" ht="11.1" customHeight="1" x14ac:dyDescent="0.25">
      <c r="A630" s="57">
        <v>112492</v>
      </c>
      <c r="B630" s="53">
        <v>46113</v>
      </c>
      <c r="C630" s="58">
        <v>46113</v>
      </c>
      <c r="D630" s="59" t="s">
        <v>772</v>
      </c>
      <c r="E630" s="50" t="s">
        <v>313</v>
      </c>
      <c r="F630" s="57">
        <v>36</v>
      </c>
      <c r="G630" s="60">
        <v>3</v>
      </c>
      <c r="H630" s="61" t="s">
        <v>767</v>
      </c>
      <c r="I630" s="50" t="s">
        <v>768</v>
      </c>
      <c r="J630" s="50" t="s">
        <v>769</v>
      </c>
      <c r="K630" s="62">
        <v>5102</v>
      </c>
      <c r="L630" s="57">
        <v>205</v>
      </c>
      <c r="M630" s="50" t="s">
        <v>26</v>
      </c>
      <c r="N630" s="50" t="s">
        <v>317</v>
      </c>
      <c r="O630" s="64">
        <v>11.97</v>
      </c>
      <c r="P630" s="65">
        <v>12</v>
      </c>
      <c r="Q630" s="64">
        <v>1.44</v>
      </c>
      <c r="R630" s="63">
        <v>0</v>
      </c>
      <c r="S630" s="64">
        <v>0</v>
      </c>
    </row>
    <row r="631" spans="1:19" ht="11.1" customHeight="1" x14ac:dyDescent="0.25">
      <c r="A631" s="57">
        <v>112493</v>
      </c>
      <c r="B631" s="53">
        <v>46113</v>
      </c>
      <c r="C631" s="58">
        <v>46113</v>
      </c>
      <c r="D631" s="59" t="s">
        <v>773</v>
      </c>
      <c r="E631" s="50" t="s">
        <v>313</v>
      </c>
      <c r="F631" s="57">
        <v>36</v>
      </c>
      <c r="G631" s="60">
        <v>3</v>
      </c>
      <c r="H631" s="61" t="s">
        <v>767</v>
      </c>
      <c r="I631" s="50" t="s">
        <v>768</v>
      </c>
      <c r="J631" s="50" t="s">
        <v>769</v>
      </c>
      <c r="K631" s="62">
        <v>5102</v>
      </c>
      <c r="L631" s="57">
        <v>205</v>
      </c>
      <c r="M631" s="50" t="s">
        <v>26</v>
      </c>
      <c r="N631" s="50" t="s">
        <v>317</v>
      </c>
      <c r="O631" s="64">
        <v>74.14</v>
      </c>
      <c r="P631" s="65">
        <v>12</v>
      </c>
      <c r="Q631" s="64">
        <v>8.9</v>
      </c>
      <c r="R631" s="63">
        <v>0</v>
      </c>
      <c r="S631" s="64">
        <v>0</v>
      </c>
    </row>
    <row r="632" spans="1:19" ht="11.1" customHeight="1" x14ac:dyDescent="0.25">
      <c r="A632" s="57">
        <v>112512</v>
      </c>
      <c r="B632" s="53">
        <v>46114</v>
      </c>
      <c r="C632" s="58">
        <v>46114</v>
      </c>
      <c r="D632" s="59" t="s">
        <v>774</v>
      </c>
      <c r="E632" s="50" t="s">
        <v>313</v>
      </c>
      <c r="F632" s="57">
        <v>36</v>
      </c>
      <c r="G632" s="60">
        <v>3</v>
      </c>
      <c r="H632" s="61" t="s">
        <v>767</v>
      </c>
      <c r="I632" s="50" t="s">
        <v>768</v>
      </c>
      <c r="J632" s="50" t="s">
        <v>769</v>
      </c>
      <c r="K632" s="62">
        <v>5102</v>
      </c>
      <c r="L632" s="57">
        <v>205</v>
      </c>
      <c r="M632" s="50" t="s">
        <v>26</v>
      </c>
      <c r="N632" s="50" t="s">
        <v>317</v>
      </c>
      <c r="O632" s="64">
        <v>288.05</v>
      </c>
      <c r="P632" s="65">
        <v>12</v>
      </c>
      <c r="Q632" s="64">
        <v>34.57</v>
      </c>
      <c r="R632" s="63">
        <v>0</v>
      </c>
      <c r="S632" s="64">
        <v>0</v>
      </c>
    </row>
    <row r="633" spans="1:19" ht="11.1" customHeight="1" x14ac:dyDescent="0.25">
      <c r="A633" s="57">
        <v>112523</v>
      </c>
      <c r="B633" s="53">
        <v>46114</v>
      </c>
      <c r="C633" s="58">
        <v>46114</v>
      </c>
      <c r="D633" s="59" t="s">
        <v>775</v>
      </c>
      <c r="E633" s="50" t="s">
        <v>313</v>
      </c>
      <c r="F633" s="57">
        <v>36</v>
      </c>
      <c r="G633" s="60">
        <v>3</v>
      </c>
      <c r="H633" s="61" t="s">
        <v>767</v>
      </c>
      <c r="I633" s="50" t="s">
        <v>768</v>
      </c>
      <c r="J633" s="50" t="s">
        <v>769</v>
      </c>
      <c r="K633" s="62">
        <v>5102</v>
      </c>
      <c r="L633" s="57">
        <v>205</v>
      </c>
      <c r="M633" s="50" t="s">
        <v>26</v>
      </c>
      <c r="N633" s="50" t="s">
        <v>317</v>
      </c>
      <c r="O633" s="64">
        <v>1752.68</v>
      </c>
      <c r="P633" s="65">
        <v>12</v>
      </c>
      <c r="Q633" s="64">
        <v>210.32</v>
      </c>
      <c r="R633" s="63">
        <v>0</v>
      </c>
      <c r="S633" s="64">
        <v>0</v>
      </c>
    </row>
    <row r="634" spans="1:19" ht="11.1" customHeight="1" x14ac:dyDescent="0.25">
      <c r="A634" s="57">
        <v>112524</v>
      </c>
      <c r="B634" s="53">
        <v>46114</v>
      </c>
      <c r="C634" s="58">
        <v>46114</v>
      </c>
      <c r="D634" s="59" t="s">
        <v>775</v>
      </c>
      <c r="E634" s="50" t="s">
        <v>313</v>
      </c>
      <c r="F634" s="57">
        <v>36</v>
      </c>
      <c r="G634" s="60">
        <v>3</v>
      </c>
      <c r="H634" s="61" t="s">
        <v>767</v>
      </c>
      <c r="I634" s="50" t="s">
        <v>768</v>
      </c>
      <c r="J634" s="50" t="s">
        <v>769</v>
      </c>
      <c r="K634" s="62">
        <v>5403</v>
      </c>
      <c r="L634" s="57">
        <v>207</v>
      </c>
      <c r="M634" s="50" t="s">
        <v>26</v>
      </c>
      <c r="N634" s="50" t="s">
        <v>317</v>
      </c>
      <c r="O634" s="64">
        <v>585.30999999999995</v>
      </c>
      <c r="P634" s="65">
        <v>12</v>
      </c>
      <c r="Q634" s="64">
        <v>70.239999999999995</v>
      </c>
      <c r="R634" s="63">
        <v>0</v>
      </c>
      <c r="S634" s="64">
        <v>40.97</v>
      </c>
    </row>
    <row r="635" spans="1:19" ht="11.1" customHeight="1" x14ac:dyDescent="0.25">
      <c r="N635" s="50" t="s">
        <v>318</v>
      </c>
      <c r="O635" s="64">
        <v>790.17</v>
      </c>
      <c r="P635" s="65">
        <v>20</v>
      </c>
      <c r="Q635" s="64">
        <v>40.97</v>
      </c>
      <c r="R635" s="63">
        <v>0</v>
      </c>
      <c r="S635" s="64">
        <v>0</v>
      </c>
    </row>
    <row r="636" spans="1:19" ht="11.1" customHeight="1" x14ac:dyDescent="0.25">
      <c r="A636" s="57">
        <v>112525</v>
      </c>
      <c r="B636" s="53">
        <v>46114</v>
      </c>
      <c r="C636" s="58">
        <v>46114</v>
      </c>
      <c r="D636" s="59" t="s">
        <v>776</v>
      </c>
      <c r="E636" s="50" t="s">
        <v>313</v>
      </c>
      <c r="F636" s="57">
        <v>36</v>
      </c>
      <c r="G636" s="60">
        <v>3</v>
      </c>
      <c r="H636" s="61" t="s">
        <v>767</v>
      </c>
      <c r="I636" s="50" t="s">
        <v>768</v>
      </c>
      <c r="J636" s="50" t="s">
        <v>769</v>
      </c>
      <c r="K636" s="62">
        <v>5102</v>
      </c>
      <c r="L636" s="57">
        <v>205</v>
      </c>
      <c r="M636" s="50" t="s">
        <v>26</v>
      </c>
      <c r="N636" s="50" t="s">
        <v>317</v>
      </c>
      <c r="O636" s="64">
        <v>292.05</v>
      </c>
      <c r="P636" s="65">
        <v>12</v>
      </c>
      <c r="Q636" s="64">
        <v>35.049999999999997</v>
      </c>
      <c r="R636" s="63">
        <v>0</v>
      </c>
      <c r="S636" s="64">
        <v>0</v>
      </c>
    </row>
    <row r="637" spans="1:19" ht="11.1" customHeight="1" x14ac:dyDescent="0.25">
      <c r="A637" s="57">
        <v>112526</v>
      </c>
      <c r="B637" s="53">
        <v>46114</v>
      </c>
      <c r="C637" s="58">
        <v>46114</v>
      </c>
      <c r="D637" s="59" t="s">
        <v>776</v>
      </c>
      <c r="E637" s="50" t="s">
        <v>313</v>
      </c>
      <c r="F637" s="57">
        <v>36</v>
      </c>
      <c r="G637" s="60">
        <v>3</v>
      </c>
      <c r="H637" s="61" t="s">
        <v>767</v>
      </c>
      <c r="I637" s="50" t="s">
        <v>768</v>
      </c>
      <c r="J637" s="50" t="s">
        <v>769</v>
      </c>
      <c r="K637" s="62">
        <v>5403</v>
      </c>
      <c r="L637" s="57">
        <v>207</v>
      </c>
      <c r="M637" s="50" t="s">
        <v>26</v>
      </c>
      <c r="N637" s="50" t="s">
        <v>317</v>
      </c>
      <c r="O637" s="64">
        <v>1483.06</v>
      </c>
      <c r="P637" s="65">
        <v>12</v>
      </c>
      <c r="Q637" s="64">
        <v>177.99</v>
      </c>
      <c r="R637" s="63">
        <v>0</v>
      </c>
      <c r="S637" s="64">
        <v>103.81</v>
      </c>
    </row>
    <row r="638" spans="1:19" ht="11.1" customHeight="1" x14ac:dyDescent="0.25">
      <c r="N638" s="50" t="s">
        <v>318</v>
      </c>
      <c r="O638" s="64">
        <v>2002.15</v>
      </c>
      <c r="P638" s="65">
        <v>20</v>
      </c>
      <c r="Q638" s="64">
        <v>103.81</v>
      </c>
      <c r="R638" s="63">
        <v>0</v>
      </c>
      <c r="S638" s="64">
        <v>0</v>
      </c>
    </row>
    <row r="639" spans="1:19" ht="11.1" customHeight="1" x14ac:dyDescent="0.25">
      <c r="A639" s="57">
        <v>112537</v>
      </c>
      <c r="B639" s="53">
        <v>46114</v>
      </c>
      <c r="C639" s="58">
        <v>46114</v>
      </c>
      <c r="D639" s="59" t="s">
        <v>777</v>
      </c>
      <c r="E639" s="50" t="s">
        <v>313</v>
      </c>
      <c r="F639" s="57">
        <v>36</v>
      </c>
      <c r="G639" s="60">
        <v>3</v>
      </c>
      <c r="H639" s="61" t="s">
        <v>767</v>
      </c>
      <c r="I639" s="50" t="s">
        <v>768</v>
      </c>
      <c r="J639" s="50" t="s">
        <v>769</v>
      </c>
      <c r="K639" s="62">
        <v>5102</v>
      </c>
      <c r="L639" s="57">
        <v>205</v>
      </c>
      <c r="M639" s="50" t="s">
        <v>26</v>
      </c>
      <c r="N639" s="50" t="s">
        <v>317</v>
      </c>
      <c r="O639" s="64">
        <v>171.56</v>
      </c>
      <c r="P639" s="65">
        <v>12</v>
      </c>
      <c r="Q639" s="64">
        <v>20.59</v>
      </c>
      <c r="R639" s="63">
        <v>0</v>
      </c>
      <c r="S639" s="64">
        <v>0</v>
      </c>
    </row>
    <row r="640" spans="1:19" ht="11.1" customHeight="1" x14ac:dyDescent="0.25">
      <c r="A640" s="57">
        <v>112538</v>
      </c>
      <c r="B640" s="53">
        <v>46114</v>
      </c>
      <c r="C640" s="58">
        <v>46114</v>
      </c>
      <c r="D640" s="59" t="s">
        <v>777</v>
      </c>
      <c r="E640" s="50" t="s">
        <v>313</v>
      </c>
      <c r="F640" s="57">
        <v>36</v>
      </c>
      <c r="G640" s="60">
        <v>3</v>
      </c>
      <c r="H640" s="61" t="s">
        <v>767</v>
      </c>
      <c r="I640" s="50" t="s">
        <v>768</v>
      </c>
      <c r="J640" s="50" t="s">
        <v>769</v>
      </c>
      <c r="K640" s="62">
        <v>5403</v>
      </c>
      <c r="L640" s="57">
        <v>207</v>
      </c>
      <c r="M640" s="50" t="s">
        <v>26</v>
      </c>
      <c r="N640" s="50" t="s">
        <v>317</v>
      </c>
      <c r="O640" s="64">
        <v>197.97</v>
      </c>
      <c r="P640" s="65">
        <v>12</v>
      </c>
      <c r="Q640" s="64">
        <v>23.76</v>
      </c>
      <c r="R640" s="63">
        <v>0</v>
      </c>
      <c r="S640" s="64">
        <v>13.86</v>
      </c>
    </row>
    <row r="641" spans="1:19" ht="11.1" customHeight="1" x14ac:dyDescent="0.25">
      <c r="N641" s="50" t="s">
        <v>318</v>
      </c>
      <c r="O641" s="64">
        <v>267.26</v>
      </c>
      <c r="P641" s="65">
        <v>20</v>
      </c>
      <c r="Q641" s="64">
        <v>13.86</v>
      </c>
      <c r="R641" s="63">
        <v>0</v>
      </c>
      <c r="S641" s="64">
        <v>0</v>
      </c>
    </row>
    <row r="642" spans="1:19" ht="11.1" customHeight="1" x14ac:dyDescent="0.25">
      <c r="A642" s="57">
        <v>112545</v>
      </c>
      <c r="B642" s="53">
        <v>46114</v>
      </c>
      <c r="C642" s="58">
        <v>46114</v>
      </c>
      <c r="D642" s="59" t="s">
        <v>778</v>
      </c>
      <c r="E642" s="50" t="s">
        <v>313</v>
      </c>
      <c r="F642" s="57">
        <v>36</v>
      </c>
      <c r="G642" s="60">
        <v>3</v>
      </c>
      <c r="H642" s="61" t="s">
        <v>767</v>
      </c>
      <c r="I642" s="50" t="s">
        <v>768</v>
      </c>
      <c r="J642" s="50" t="s">
        <v>769</v>
      </c>
      <c r="K642" s="62">
        <v>5102</v>
      </c>
      <c r="L642" s="57">
        <v>205</v>
      </c>
      <c r="M642" s="50" t="s">
        <v>26</v>
      </c>
      <c r="N642" s="50" t="s">
        <v>317</v>
      </c>
      <c r="O642" s="64">
        <v>20148.099999999999</v>
      </c>
      <c r="P642" s="65">
        <v>12</v>
      </c>
      <c r="Q642" s="64">
        <v>2417.85</v>
      </c>
      <c r="R642" s="63">
        <v>0</v>
      </c>
      <c r="S642" s="64">
        <v>0</v>
      </c>
    </row>
    <row r="643" spans="1:19" ht="11.1" customHeight="1" x14ac:dyDescent="0.25">
      <c r="A643" s="57">
        <v>112546</v>
      </c>
      <c r="B643" s="53">
        <v>46114</v>
      </c>
      <c r="C643" s="58">
        <v>46114</v>
      </c>
      <c r="D643" s="59" t="s">
        <v>778</v>
      </c>
      <c r="E643" s="50" t="s">
        <v>313</v>
      </c>
      <c r="F643" s="57">
        <v>36</v>
      </c>
      <c r="G643" s="60">
        <v>3</v>
      </c>
      <c r="H643" s="61" t="s">
        <v>767</v>
      </c>
      <c r="I643" s="50" t="s">
        <v>768</v>
      </c>
      <c r="J643" s="50" t="s">
        <v>769</v>
      </c>
      <c r="K643" s="62">
        <v>5405</v>
      </c>
      <c r="L643" s="57">
        <v>206</v>
      </c>
      <c r="M643" s="50" t="s">
        <v>26</v>
      </c>
      <c r="N643" s="50" t="s">
        <v>317</v>
      </c>
      <c r="O643" s="64">
        <v>0</v>
      </c>
      <c r="P643" s="65">
        <v>0</v>
      </c>
      <c r="Q643" s="64">
        <v>0</v>
      </c>
      <c r="R643" s="63">
        <v>0</v>
      </c>
      <c r="S643" s="64">
        <v>150.85</v>
      </c>
    </row>
    <row r="644" spans="1:19" ht="11.1" customHeight="1" x14ac:dyDescent="0.25">
      <c r="A644" s="57">
        <v>112547</v>
      </c>
      <c r="B644" s="53">
        <v>46114</v>
      </c>
      <c r="C644" s="58">
        <v>46114</v>
      </c>
      <c r="D644" s="59" t="s">
        <v>778</v>
      </c>
      <c r="E644" s="50" t="s">
        <v>313</v>
      </c>
      <c r="F644" s="57">
        <v>36</v>
      </c>
      <c r="G644" s="60">
        <v>3</v>
      </c>
      <c r="H644" s="61" t="s">
        <v>767</v>
      </c>
      <c r="I644" s="50" t="s">
        <v>768</v>
      </c>
      <c r="J644" s="50" t="s">
        <v>769</v>
      </c>
      <c r="K644" s="62">
        <v>5403</v>
      </c>
      <c r="L644" s="57">
        <v>207</v>
      </c>
      <c r="M644" s="50" t="s">
        <v>26</v>
      </c>
      <c r="N644" s="50" t="s">
        <v>317</v>
      </c>
      <c r="O644" s="64">
        <v>9678.83</v>
      </c>
      <c r="P644" s="65">
        <v>12</v>
      </c>
      <c r="Q644" s="64">
        <v>1161.47</v>
      </c>
      <c r="R644" s="63">
        <v>0</v>
      </c>
      <c r="S644" s="64">
        <v>677.49</v>
      </c>
    </row>
    <row r="645" spans="1:19" ht="11.1" customHeight="1" x14ac:dyDescent="0.25">
      <c r="N645" s="50" t="s">
        <v>318</v>
      </c>
      <c r="O645" s="64">
        <v>13066.44</v>
      </c>
      <c r="P645" s="65">
        <v>20</v>
      </c>
      <c r="Q645" s="64">
        <v>677.49</v>
      </c>
      <c r="R645" s="63">
        <v>0</v>
      </c>
      <c r="S645" s="64">
        <v>0</v>
      </c>
    </row>
    <row r="646" spans="1:19" ht="11.1" customHeight="1" x14ac:dyDescent="0.25">
      <c r="A646" s="57">
        <v>112552</v>
      </c>
      <c r="B646" s="53">
        <v>46118</v>
      </c>
      <c r="C646" s="58">
        <v>46118</v>
      </c>
      <c r="D646" s="59" t="s">
        <v>779</v>
      </c>
      <c r="E646" s="50" t="s">
        <v>313</v>
      </c>
      <c r="F646" s="57">
        <v>36</v>
      </c>
      <c r="G646" s="60">
        <v>3</v>
      </c>
      <c r="H646" s="61" t="s">
        <v>767</v>
      </c>
      <c r="I646" s="50" t="s">
        <v>768</v>
      </c>
      <c r="J646" s="50" t="s">
        <v>769</v>
      </c>
      <c r="K646" s="62">
        <v>5102</v>
      </c>
      <c r="L646" s="57">
        <v>205</v>
      </c>
      <c r="M646" s="50" t="s">
        <v>26</v>
      </c>
      <c r="N646" s="50" t="s">
        <v>317</v>
      </c>
      <c r="O646" s="64">
        <v>64.19</v>
      </c>
      <c r="P646" s="65">
        <v>12</v>
      </c>
      <c r="Q646" s="64">
        <v>7.7</v>
      </c>
      <c r="R646" s="63">
        <v>0</v>
      </c>
      <c r="S646" s="64">
        <v>0</v>
      </c>
    </row>
    <row r="647" spans="1:19" ht="11.1" customHeight="1" x14ac:dyDescent="0.25">
      <c r="A647" s="57">
        <v>112553</v>
      </c>
      <c r="B647" s="53">
        <v>46118</v>
      </c>
      <c r="C647" s="58">
        <v>46118</v>
      </c>
      <c r="D647" s="59" t="s">
        <v>779</v>
      </c>
      <c r="E647" s="50" t="s">
        <v>313</v>
      </c>
      <c r="F647" s="57">
        <v>36</v>
      </c>
      <c r="G647" s="60">
        <v>3</v>
      </c>
      <c r="H647" s="61" t="s">
        <v>767</v>
      </c>
      <c r="I647" s="50" t="s">
        <v>768</v>
      </c>
      <c r="J647" s="50" t="s">
        <v>769</v>
      </c>
      <c r="K647" s="62">
        <v>5403</v>
      </c>
      <c r="L647" s="57">
        <v>207</v>
      </c>
      <c r="M647" s="50" t="s">
        <v>26</v>
      </c>
      <c r="N647" s="50" t="s">
        <v>317</v>
      </c>
      <c r="O647" s="64">
        <v>153.16</v>
      </c>
      <c r="P647" s="65">
        <v>12</v>
      </c>
      <c r="Q647" s="64">
        <v>18.38</v>
      </c>
      <c r="R647" s="63">
        <v>0</v>
      </c>
      <c r="S647" s="64">
        <v>10.72</v>
      </c>
    </row>
    <row r="648" spans="1:19" ht="11.1" customHeight="1" x14ac:dyDescent="0.25">
      <c r="N648" s="50" t="s">
        <v>318</v>
      </c>
      <c r="O648" s="64">
        <v>206.77</v>
      </c>
      <c r="P648" s="65">
        <v>20</v>
      </c>
      <c r="Q648" s="64">
        <v>10.72</v>
      </c>
      <c r="R648" s="63">
        <v>0</v>
      </c>
      <c r="S648" s="64">
        <v>0</v>
      </c>
    </row>
    <row r="649" spans="1:19" ht="11.1" customHeight="1" x14ac:dyDescent="0.25">
      <c r="A649" s="57">
        <v>112554</v>
      </c>
      <c r="B649" s="53">
        <v>46118</v>
      </c>
      <c r="C649" s="58">
        <v>46118</v>
      </c>
      <c r="D649" s="59" t="s">
        <v>780</v>
      </c>
      <c r="E649" s="50" t="s">
        <v>313</v>
      </c>
      <c r="F649" s="57">
        <v>36</v>
      </c>
      <c r="G649" s="60">
        <v>3</v>
      </c>
      <c r="H649" s="61" t="s">
        <v>767</v>
      </c>
      <c r="I649" s="50" t="s">
        <v>768</v>
      </c>
      <c r="J649" s="50" t="s">
        <v>769</v>
      </c>
      <c r="K649" s="62">
        <v>5403</v>
      </c>
      <c r="L649" s="57">
        <v>207</v>
      </c>
      <c r="M649" s="50" t="s">
        <v>26</v>
      </c>
      <c r="N649" s="50" t="s">
        <v>317</v>
      </c>
      <c r="O649" s="64">
        <v>136.56</v>
      </c>
      <c r="P649" s="65">
        <v>12</v>
      </c>
      <c r="Q649" s="64">
        <v>16.39</v>
      </c>
      <c r="R649" s="63">
        <v>0</v>
      </c>
      <c r="S649" s="64">
        <v>9.56</v>
      </c>
    </row>
    <row r="650" spans="1:19" ht="11.1" customHeight="1" x14ac:dyDescent="0.25">
      <c r="N650" s="50" t="s">
        <v>318</v>
      </c>
      <c r="O650" s="64">
        <v>184.36</v>
      </c>
      <c r="P650" s="65">
        <v>20</v>
      </c>
      <c r="Q650" s="64">
        <v>9.56</v>
      </c>
      <c r="R650" s="63">
        <v>0</v>
      </c>
      <c r="S650" s="64">
        <v>0</v>
      </c>
    </row>
    <row r="651" spans="1:19" ht="11.1" customHeight="1" x14ac:dyDescent="0.25">
      <c r="A651" s="57">
        <v>112576</v>
      </c>
      <c r="B651" s="53">
        <v>46118</v>
      </c>
      <c r="C651" s="58">
        <v>46118</v>
      </c>
      <c r="D651" s="59" t="s">
        <v>781</v>
      </c>
      <c r="E651" s="50" t="s">
        <v>313</v>
      </c>
      <c r="F651" s="57">
        <v>36</v>
      </c>
      <c r="G651" s="60">
        <v>3</v>
      </c>
      <c r="H651" s="61" t="s">
        <v>767</v>
      </c>
      <c r="I651" s="50" t="s">
        <v>768</v>
      </c>
      <c r="J651" s="50" t="s">
        <v>769</v>
      </c>
      <c r="K651" s="62">
        <v>5102</v>
      </c>
      <c r="L651" s="57">
        <v>205</v>
      </c>
      <c r="M651" s="50" t="s">
        <v>26</v>
      </c>
      <c r="N651" s="50" t="s">
        <v>317</v>
      </c>
      <c r="O651" s="64">
        <v>117.6</v>
      </c>
      <c r="P651" s="65">
        <v>12</v>
      </c>
      <c r="Q651" s="64">
        <v>14.11</v>
      </c>
      <c r="R651" s="63">
        <v>0</v>
      </c>
      <c r="S651" s="64">
        <v>0</v>
      </c>
    </row>
    <row r="652" spans="1:19" ht="11.1" customHeight="1" x14ac:dyDescent="0.25">
      <c r="A652" s="57">
        <v>112582</v>
      </c>
      <c r="B652" s="53">
        <v>46118</v>
      </c>
      <c r="C652" s="58">
        <v>46118</v>
      </c>
      <c r="D652" s="59" t="s">
        <v>782</v>
      </c>
      <c r="E652" s="50" t="s">
        <v>313</v>
      </c>
      <c r="F652" s="57">
        <v>36</v>
      </c>
      <c r="G652" s="60">
        <v>3</v>
      </c>
      <c r="H652" s="61" t="s">
        <v>767</v>
      </c>
      <c r="I652" s="50" t="s">
        <v>768</v>
      </c>
      <c r="J652" s="50" t="s">
        <v>769</v>
      </c>
      <c r="K652" s="62">
        <v>5102</v>
      </c>
      <c r="L652" s="57">
        <v>205</v>
      </c>
      <c r="M652" s="50" t="s">
        <v>26</v>
      </c>
      <c r="N652" s="50" t="s">
        <v>317</v>
      </c>
      <c r="O652" s="64">
        <v>88.26</v>
      </c>
      <c r="P652" s="65">
        <v>12</v>
      </c>
      <c r="Q652" s="64">
        <v>10.59</v>
      </c>
      <c r="R652" s="63">
        <v>0</v>
      </c>
      <c r="S652" s="64">
        <v>0</v>
      </c>
    </row>
    <row r="653" spans="1:19" ht="11.1" customHeight="1" x14ac:dyDescent="0.25">
      <c r="A653" s="57">
        <v>112583</v>
      </c>
      <c r="B653" s="53">
        <v>46118</v>
      </c>
      <c r="C653" s="58">
        <v>46118</v>
      </c>
      <c r="D653" s="59" t="s">
        <v>782</v>
      </c>
      <c r="E653" s="50" t="s">
        <v>313</v>
      </c>
      <c r="F653" s="57">
        <v>36</v>
      </c>
      <c r="G653" s="60">
        <v>3</v>
      </c>
      <c r="H653" s="61" t="s">
        <v>767</v>
      </c>
      <c r="I653" s="50" t="s">
        <v>768</v>
      </c>
      <c r="J653" s="50" t="s">
        <v>769</v>
      </c>
      <c r="K653" s="62">
        <v>5403</v>
      </c>
      <c r="L653" s="57">
        <v>207</v>
      </c>
      <c r="M653" s="50" t="s">
        <v>26</v>
      </c>
      <c r="N653" s="50" t="s">
        <v>317</v>
      </c>
      <c r="O653" s="64">
        <v>72.180000000000007</v>
      </c>
      <c r="P653" s="65">
        <v>12</v>
      </c>
      <c r="Q653" s="64">
        <v>8.66</v>
      </c>
      <c r="R653" s="63">
        <v>0</v>
      </c>
      <c r="S653" s="64">
        <v>5.05</v>
      </c>
    </row>
    <row r="654" spans="1:19" ht="11.1" customHeight="1" x14ac:dyDescent="0.25">
      <c r="N654" s="50" t="s">
        <v>318</v>
      </c>
      <c r="O654" s="64">
        <v>97.44</v>
      </c>
      <c r="P654" s="65">
        <v>20</v>
      </c>
      <c r="Q654" s="64">
        <v>5.05</v>
      </c>
      <c r="R654" s="63">
        <v>0</v>
      </c>
      <c r="S654" s="64">
        <v>0</v>
      </c>
    </row>
    <row r="655" spans="1:19" ht="11.1" customHeight="1" x14ac:dyDescent="0.25">
      <c r="A655" s="57">
        <v>112589</v>
      </c>
      <c r="B655" s="53">
        <v>46118</v>
      </c>
      <c r="C655" s="58">
        <v>46118</v>
      </c>
      <c r="D655" s="59" t="s">
        <v>783</v>
      </c>
      <c r="E655" s="50" t="s">
        <v>313</v>
      </c>
      <c r="F655" s="57">
        <v>36</v>
      </c>
      <c r="G655" s="60">
        <v>3</v>
      </c>
      <c r="H655" s="61" t="s">
        <v>767</v>
      </c>
      <c r="I655" s="50" t="s">
        <v>768</v>
      </c>
      <c r="J655" s="50" t="s">
        <v>769</v>
      </c>
      <c r="K655" s="62">
        <v>5102</v>
      </c>
      <c r="L655" s="57">
        <v>205</v>
      </c>
      <c r="M655" s="50" t="s">
        <v>26</v>
      </c>
      <c r="N655" s="50" t="s">
        <v>317</v>
      </c>
      <c r="O655" s="64">
        <v>459.1</v>
      </c>
      <c r="P655" s="65">
        <v>12</v>
      </c>
      <c r="Q655" s="64">
        <v>55.09</v>
      </c>
      <c r="R655" s="63">
        <v>0</v>
      </c>
      <c r="S655" s="64">
        <v>0</v>
      </c>
    </row>
    <row r="656" spans="1:19" ht="11.1" customHeight="1" x14ac:dyDescent="0.25">
      <c r="A656" s="57">
        <v>112590</v>
      </c>
      <c r="B656" s="53">
        <v>46118</v>
      </c>
      <c r="C656" s="58">
        <v>46118</v>
      </c>
      <c r="D656" s="59" t="s">
        <v>783</v>
      </c>
      <c r="E656" s="50" t="s">
        <v>313</v>
      </c>
      <c r="F656" s="57">
        <v>36</v>
      </c>
      <c r="G656" s="60">
        <v>3</v>
      </c>
      <c r="H656" s="61" t="s">
        <v>767</v>
      </c>
      <c r="I656" s="50" t="s">
        <v>768</v>
      </c>
      <c r="J656" s="50" t="s">
        <v>769</v>
      </c>
      <c r="K656" s="62">
        <v>5405</v>
      </c>
      <c r="L656" s="57">
        <v>206</v>
      </c>
      <c r="M656" s="50" t="s">
        <v>26</v>
      </c>
      <c r="N656" s="50" t="s">
        <v>317</v>
      </c>
      <c r="O656" s="64">
        <v>0</v>
      </c>
      <c r="P656" s="65">
        <v>0</v>
      </c>
      <c r="Q656" s="64">
        <v>0</v>
      </c>
      <c r="R656" s="63">
        <v>0</v>
      </c>
      <c r="S656" s="64">
        <v>141.47999999999999</v>
      </c>
    </row>
    <row r="657" spans="1:19" ht="11.1" customHeight="1" x14ac:dyDescent="0.25">
      <c r="A657" s="57">
        <v>112591</v>
      </c>
      <c r="B657" s="53">
        <v>46118</v>
      </c>
      <c r="C657" s="58">
        <v>46118</v>
      </c>
      <c r="D657" s="59" t="s">
        <v>783</v>
      </c>
      <c r="E657" s="50" t="s">
        <v>313</v>
      </c>
      <c r="F657" s="57">
        <v>36</v>
      </c>
      <c r="G657" s="60">
        <v>3</v>
      </c>
      <c r="H657" s="61" t="s">
        <v>767</v>
      </c>
      <c r="I657" s="50" t="s">
        <v>768</v>
      </c>
      <c r="J657" s="50" t="s">
        <v>769</v>
      </c>
      <c r="K657" s="62">
        <v>5403</v>
      </c>
      <c r="L657" s="57">
        <v>207</v>
      </c>
      <c r="M657" s="50" t="s">
        <v>26</v>
      </c>
      <c r="N657" s="50" t="s">
        <v>317</v>
      </c>
      <c r="O657" s="64">
        <v>584</v>
      </c>
      <c r="P657" s="65">
        <v>12</v>
      </c>
      <c r="Q657" s="64">
        <v>70.08</v>
      </c>
      <c r="R657" s="63">
        <v>0</v>
      </c>
      <c r="S657" s="64">
        <v>40.880000000000003</v>
      </c>
    </row>
    <row r="658" spans="1:19" ht="11.1" customHeight="1" x14ac:dyDescent="0.25">
      <c r="N658" s="50" t="s">
        <v>318</v>
      </c>
      <c r="O658" s="64">
        <v>788.41</v>
      </c>
      <c r="P658" s="65">
        <v>20</v>
      </c>
      <c r="Q658" s="64">
        <v>40.880000000000003</v>
      </c>
      <c r="R658" s="63">
        <v>0</v>
      </c>
      <c r="S658" s="64">
        <v>0</v>
      </c>
    </row>
    <row r="659" spans="1:19" ht="11.1" customHeight="1" x14ac:dyDescent="0.25">
      <c r="A659" s="57">
        <v>112659</v>
      </c>
      <c r="B659" s="53">
        <v>46119</v>
      </c>
      <c r="C659" s="58">
        <v>46119</v>
      </c>
      <c r="D659" s="59" t="s">
        <v>784</v>
      </c>
      <c r="E659" s="50" t="s">
        <v>313</v>
      </c>
      <c r="F659" s="57">
        <v>36</v>
      </c>
      <c r="G659" s="60">
        <v>3</v>
      </c>
      <c r="H659" s="61" t="s">
        <v>767</v>
      </c>
      <c r="I659" s="50" t="s">
        <v>768</v>
      </c>
      <c r="J659" s="50" t="s">
        <v>769</v>
      </c>
      <c r="K659" s="62">
        <v>5102</v>
      </c>
      <c r="L659" s="57">
        <v>205</v>
      </c>
      <c r="M659" s="50" t="s">
        <v>26</v>
      </c>
      <c r="N659" s="50" t="s">
        <v>317</v>
      </c>
      <c r="O659" s="64">
        <v>197</v>
      </c>
      <c r="P659" s="65">
        <v>12</v>
      </c>
      <c r="Q659" s="64">
        <v>23.64</v>
      </c>
      <c r="R659" s="63">
        <v>0</v>
      </c>
      <c r="S659" s="64">
        <v>0</v>
      </c>
    </row>
    <row r="660" spans="1:19" ht="11.1" customHeight="1" x14ac:dyDescent="0.25">
      <c r="A660" s="57">
        <v>112671</v>
      </c>
      <c r="B660" s="53">
        <v>46119</v>
      </c>
      <c r="C660" s="58">
        <v>46119</v>
      </c>
      <c r="D660" s="59" t="s">
        <v>785</v>
      </c>
      <c r="E660" s="50" t="s">
        <v>313</v>
      </c>
      <c r="F660" s="57">
        <v>36</v>
      </c>
      <c r="G660" s="60">
        <v>3</v>
      </c>
      <c r="H660" s="61" t="s">
        <v>767</v>
      </c>
      <c r="I660" s="50" t="s">
        <v>768</v>
      </c>
      <c r="J660" s="50" t="s">
        <v>769</v>
      </c>
      <c r="K660" s="62">
        <v>5102</v>
      </c>
      <c r="L660" s="57">
        <v>205</v>
      </c>
      <c r="M660" s="50" t="s">
        <v>26</v>
      </c>
      <c r="N660" s="50" t="s">
        <v>317</v>
      </c>
      <c r="O660" s="64">
        <v>222.12</v>
      </c>
      <c r="P660" s="65">
        <v>12</v>
      </c>
      <c r="Q660" s="64">
        <v>26.66</v>
      </c>
      <c r="R660" s="63">
        <v>0</v>
      </c>
      <c r="S660" s="64">
        <v>0</v>
      </c>
    </row>
    <row r="661" spans="1:19" ht="11.1" customHeight="1" x14ac:dyDescent="0.25">
      <c r="A661" s="57">
        <v>112694</v>
      </c>
      <c r="B661" s="53">
        <v>46119</v>
      </c>
      <c r="C661" s="58">
        <v>46119</v>
      </c>
      <c r="D661" s="59" t="s">
        <v>786</v>
      </c>
      <c r="E661" s="50" t="s">
        <v>313</v>
      </c>
      <c r="F661" s="57">
        <v>36</v>
      </c>
      <c r="G661" s="60">
        <v>3</v>
      </c>
      <c r="H661" s="61" t="s">
        <v>767</v>
      </c>
      <c r="I661" s="50" t="s">
        <v>768</v>
      </c>
      <c r="J661" s="50" t="s">
        <v>769</v>
      </c>
      <c r="K661" s="62">
        <v>5403</v>
      </c>
      <c r="L661" s="57">
        <v>207</v>
      </c>
      <c r="M661" s="50" t="s">
        <v>26</v>
      </c>
      <c r="N661" s="50" t="s">
        <v>317</v>
      </c>
      <c r="O661" s="64">
        <v>431.16</v>
      </c>
      <c r="P661" s="65">
        <v>12</v>
      </c>
      <c r="Q661" s="64">
        <v>51.74</v>
      </c>
      <c r="R661" s="63">
        <v>0</v>
      </c>
      <c r="S661" s="64">
        <v>30.18</v>
      </c>
    </row>
    <row r="662" spans="1:19" ht="11.1" customHeight="1" x14ac:dyDescent="0.25">
      <c r="N662" s="50" t="s">
        <v>318</v>
      </c>
      <c r="O662" s="64">
        <v>582.05999999999995</v>
      </c>
      <c r="P662" s="65">
        <v>20</v>
      </c>
      <c r="Q662" s="64">
        <v>30.18</v>
      </c>
      <c r="R662" s="63">
        <v>0</v>
      </c>
      <c r="S662" s="64">
        <v>0</v>
      </c>
    </row>
    <row r="663" spans="1:19" ht="11.1" customHeight="1" x14ac:dyDescent="0.25">
      <c r="A663" s="57">
        <v>112695</v>
      </c>
      <c r="B663" s="53">
        <v>46119</v>
      </c>
      <c r="C663" s="58">
        <v>46119</v>
      </c>
      <c r="D663" s="59" t="s">
        <v>787</v>
      </c>
      <c r="E663" s="50" t="s">
        <v>313</v>
      </c>
      <c r="F663" s="57">
        <v>36</v>
      </c>
      <c r="G663" s="60">
        <v>3</v>
      </c>
      <c r="H663" s="61" t="s">
        <v>767</v>
      </c>
      <c r="I663" s="50" t="s">
        <v>768</v>
      </c>
      <c r="J663" s="50" t="s">
        <v>769</v>
      </c>
      <c r="K663" s="62">
        <v>5102</v>
      </c>
      <c r="L663" s="57">
        <v>205</v>
      </c>
      <c r="M663" s="50" t="s">
        <v>26</v>
      </c>
      <c r="N663" s="50" t="s">
        <v>317</v>
      </c>
      <c r="O663" s="64">
        <v>855.9</v>
      </c>
      <c r="P663" s="65">
        <v>12</v>
      </c>
      <c r="Q663" s="64">
        <v>102.7</v>
      </c>
      <c r="R663" s="63">
        <v>0</v>
      </c>
      <c r="S663" s="64">
        <v>0</v>
      </c>
    </row>
    <row r="664" spans="1:19" ht="11.1" customHeight="1" x14ac:dyDescent="0.25">
      <c r="A664" s="57">
        <v>112696</v>
      </c>
      <c r="B664" s="53">
        <v>46119</v>
      </c>
      <c r="C664" s="58">
        <v>46119</v>
      </c>
      <c r="D664" s="59" t="s">
        <v>787</v>
      </c>
      <c r="E664" s="50" t="s">
        <v>313</v>
      </c>
      <c r="F664" s="57">
        <v>36</v>
      </c>
      <c r="G664" s="60">
        <v>3</v>
      </c>
      <c r="H664" s="61" t="s">
        <v>767</v>
      </c>
      <c r="I664" s="50" t="s">
        <v>768</v>
      </c>
      <c r="J664" s="50" t="s">
        <v>769</v>
      </c>
      <c r="K664" s="62">
        <v>5403</v>
      </c>
      <c r="L664" s="57">
        <v>207</v>
      </c>
      <c r="M664" s="50" t="s">
        <v>26</v>
      </c>
      <c r="N664" s="50" t="s">
        <v>317</v>
      </c>
      <c r="O664" s="64">
        <v>159.1</v>
      </c>
      <c r="P664" s="65">
        <v>12</v>
      </c>
      <c r="Q664" s="64">
        <v>19.09</v>
      </c>
      <c r="R664" s="63">
        <v>0</v>
      </c>
      <c r="S664" s="64">
        <v>11.14</v>
      </c>
    </row>
    <row r="665" spans="1:19" ht="11.1" customHeight="1" x14ac:dyDescent="0.25">
      <c r="N665" s="50" t="s">
        <v>318</v>
      </c>
      <c r="O665" s="64">
        <v>214.78</v>
      </c>
      <c r="P665" s="65">
        <v>20</v>
      </c>
      <c r="Q665" s="64">
        <v>11.14</v>
      </c>
      <c r="R665" s="63">
        <v>0</v>
      </c>
      <c r="S665" s="64">
        <v>0</v>
      </c>
    </row>
    <row r="666" spans="1:19" ht="11.1" customHeight="1" x14ac:dyDescent="0.25">
      <c r="A666" s="57">
        <v>112698</v>
      </c>
      <c r="B666" s="53">
        <v>46119</v>
      </c>
      <c r="C666" s="58">
        <v>46119</v>
      </c>
      <c r="D666" s="59" t="s">
        <v>788</v>
      </c>
      <c r="E666" s="50" t="s">
        <v>313</v>
      </c>
      <c r="F666" s="57">
        <v>36</v>
      </c>
      <c r="G666" s="60">
        <v>3</v>
      </c>
      <c r="H666" s="61" t="s">
        <v>767</v>
      </c>
      <c r="I666" s="50" t="s">
        <v>768</v>
      </c>
      <c r="J666" s="50" t="s">
        <v>769</v>
      </c>
      <c r="K666" s="62">
        <v>5403</v>
      </c>
      <c r="L666" s="57">
        <v>207</v>
      </c>
      <c r="M666" s="50" t="s">
        <v>26</v>
      </c>
      <c r="N666" s="50" t="s">
        <v>317</v>
      </c>
      <c r="O666" s="64">
        <v>299.04000000000002</v>
      </c>
      <c r="P666" s="65">
        <v>12</v>
      </c>
      <c r="Q666" s="64">
        <v>35.880000000000003</v>
      </c>
      <c r="R666" s="63">
        <v>0</v>
      </c>
      <c r="S666" s="64">
        <v>20.93</v>
      </c>
    </row>
    <row r="667" spans="1:19" ht="11.1" customHeight="1" x14ac:dyDescent="0.25">
      <c r="N667" s="50" t="s">
        <v>318</v>
      </c>
      <c r="O667" s="64">
        <v>403.7</v>
      </c>
      <c r="P667" s="65">
        <v>20</v>
      </c>
      <c r="Q667" s="64">
        <v>20.93</v>
      </c>
      <c r="R667" s="63">
        <v>0</v>
      </c>
      <c r="S667" s="64">
        <v>0</v>
      </c>
    </row>
    <row r="668" spans="1:19" ht="11.1" customHeight="1" x14ac:dyDescent="0.25">
      <c r="A668" s="57">
        <v>112739</v>
      </c>
      <c r="B668" s="53">
        <v>46120</v>
      </c>
      <c r="C668" s="58">
        <v>46120</v>
      </c>
      <c r="D668" s="59" t="s">
        <v>789</v>
      </c>
      <c r="E668" s="50" t="s">
        <v>313</v>
      </c>
      <c r="F668" s="57">
        <v>36</v>
      </c>
      <c r="G668" s="60">
        <v>3</v>
      </c>
      <c r="H668" s="61" t="s">
        <v>767</v>
      </c>
      <c r="I668" s="50" t="s">
        <v>768</v>
      </c>
      <c r="J668" s="50" t="s">
        <v>769</v>
      </c>
      <c r="K668" s="62">
        <v>5102</v>
      </c>
      <c r="L668" s="57">
        <v>205</v>
      </c>
      <c r="M668" s="50" t="s">
        <v>26</v>
      </c>
      <c r="N668" s="50" t="s">
        <v>317</v>
      </c>
      <c r="O668" s="64">
        <v>201.19</v>
      </c>
      <c r="P668" s="65">
        <v>12</v>
      </c>
      <c r="Q668" s="64">
        <v>24.14</v>
      </c>
      <c r="R668" s="63">
        <v>0</v>
      </c>
      <c r="S668" s="64">
        <v>0</v>
      </c>
    </row>
    <row r="669" spans="1:19" ht="11.1" customHeight="1" x14ac:dyDescent="0.25">
      <c r="A669" s="57">
        <v>112740</v>
      </c>
      <c r="B669" s="53">
        <v>46120</v>
      </c>
      <c r="C669" s="58">
        <v>46120</v>
      </c>
      <c r="D669" s="59" t="s">
        <v>789</v>
      </c>
      <c r="E669" s="50" t="s">
        <v>313</v>
      </c>
      <c r="F669" s="57">
        <v>36</v>
      </c>
      <c r="G669" s="60">
        <v>3</v>
      </c>
      <c r="H669" s="61" t="s">
        <v>767</v>
      </c>
      <c r="I669" s="50" t="s">
        <v>768</v>
      </c>
      <c r="J669" s="50" t="s">
        <v>769</v>
      </c>
      <c r="K669" s="62">
        <v>5403</v>
      </c>
      <c r="L669" s="57">
        <v>207</v>
      </c>
      <c r="M669" s="50" t="s">
        <v>26</v>
      </c>
      <c r="N669" s="50" t="s">
        <v>317</v>
      </c>
      <c r="O669" s="64">
        <v>415.75</v>
      </c>
      <c r="P669" s="65">
        <v>12</v>
      </c>
      <c r="Q669" s="64">
        <v>49.89</v>
      </c>
      <c r="R669" s="63">
        <v>0</v>
      </c>
      <c r="S669" s="64">
        <v>29.11</v>
      </c>
    </row>
    <row r="670" spans="1:19" ht="11.1" customHeight="1" x14ac:dyDescent="0.25">
      <c r="N670" s="50" t="s">
        <v>318</v>
      </c>
      <c r="O670" s="64">
        <v>561.26</v>
      </c>
      <c r="P670" s="65">
        <v>20</v>
      </c>
      <c r="Q670" s="64">
        <v>29.11</v>
      </c>
      <c r="R670" s="63">
        <v>0</v>
      </c>
      <c r="S670" s="64">
        <v>0</v>
      </c>
    </row>
    <row r="671" spans="1:19" ht="11.1" customHeight="1" x14ac:dyDescent="0.25">
      <c r="A671" s="57">
        <v>112759</v>
      </c>
      <c r="B671" s="53">
        <v>46120</v>
      </c>
      <c r="C671" s="58">
        <v>46120</v>
      </c>
      <c r="D671" s="59" t="s">
        <v>790</v>
      </c>
      <c r="E671" s="50" t="s">
        <v>313</v>
      </c>
      <c r="F671" s="57">
        <v>36</v>
      </c>
      <c r="G671" s="60">
        <v>3</v>
      </c>
      <c r="H671" s="61" t="s">
        <v>767</v>
      </c>
      <c r="I671" s="50" t="s">
        <v>768</v>
      </c>
      <c r="J671" s="50" t="s">
        <v>769</v>
      </c>
      <c r="K671" s="62">
        <v>5102</v>
      </c>
      <c r="L671" s="57">
        <v>205</v>
      </c>
      <c r="M671" s="50" t="s">
        <v>26</v>
      </c>
      <c r="N671" s="50" t="s">
        <v>317</v>
      </c>
      <c r="O671" s="64">
        <v>111.5</v>
      </c>
      <c r="P671" s="65">
        <v>12</v>
      </c>
      <c r="Q671" s="64">
        <v>13.38</v>
      </c>
      <c r="R671" s="63">
        <v>0</v>
      </c>
      <c r="S671" s="64">
        <v>0</v>
      </c>
    </row>
    <row r="672" spans="1:19" ht="11.1" customHeight="1" x14ac:dyDescent="0.25">
      <c r="A672" s="57">
        <v>112760</v>
      </c>
      <c r="B672" s="53">
        <v>46120</v>
      </c>
      <c r="C672" s="58">
        <v>46120</v>
      </c>
      <c r="D672" s="59" t="s">
        <v>790</v>
      </c>
      <c r="E672" s="50" t="s">
        <v>313</v>
      </c>
      <c r="F672" s="57">
        <v>36</v>
      </c>
      <c r="G672" s="60">
        <v>3</v>
      </c>
      <c r="H672" s="61" t="s">
        <v>767</v>
      </c>
      <c r="I672" s="50" t="s">
        <v>768</v>
      </c>
      <c r="J672" s="50" t="s">
        <v>769</v>
      </c>
      <c r="K672" s="62">
        <v>5403</v>
      </c>
      <c r="L672" s="57">
        <v>207</v>
      </c>
      <c r="M672" s="50" t="s">
        <v>26</v>
      </c>
      <c r="N672" s="50" t="s">
        <v>317</v>
      </c>
      <c r="O672" s="64">
        <v>52.84</v>
      </c>
      <c r="P672" s="65">
        <v>12</v>
      </c>
      <c r="Q672" s="64">
        <v>6.34</v>
      </c>
      <c r="R672" s="63">
        <v>0</v>
      </c>
      <c r="S672" s="64">
        <v>3.7</v>
      </c>
    </row>
    <row r="673" spans="1:19" ht="11.1" customHeight="1" x14ac:dyDescent="0.25">
      <c r="N673" s="50" t="s">
        <v>318</v>
      </c>
      <c r="O673" s="64">
        <v>71.33</v>
      </c>
      <c r="P673" s="65">
        <v>20</v>
      </c>
      <c r="Q673" s="64">
        <v>3.7</v>
      </c>
      <c r="R673" s="63">
        <v>0</v>
      </c>
      <c r="S673" s="64">
        <v>0</v>
      </c>
    </row>
    <row r="674" spans="1:19" ht="11.1" customHeight="1" x14ac:dyDescent="0.25">
      <c r="A674" s="57">
        <v>112820</v>
      </c>
      <c r="B674" s="53">
        <v>46121</v>
      </c>
      <c r="C674" s="58">
        <v>46121</v>
      </c>
      <c r="D674" s="59" t="s">
        <v>791</v>
      </c>
      <c r="E674" s="50" t="s">
        <v>313</v>
      </c>
      <c r="F674" s="57">
        <v>36</v>
      </c>
      <c r="G674" s="60">
        <v>3</v>
      </c>
      <c r="H674" s="61" t="s">
        <v>767</v>
      </c>
      <c r="I674" s="50" t="s">
        <v>768</v>
      </c>
      <c r="J674" s="50" t="s">
        <v>769</v>
      </c>
      <c r="K674" s="62">
        <v>5403</v>
      </c>
      <c r="L674" s="57">
        <v>207</v>
      </c>
      <c r="M674" s="50" t="s">
        <v>26</v>
      </c>
      <c r="N674" s="50" t="s">
        <v>317</v>
      </c>
      <c r="O674" s="64">
        <v>33.6</v>
      </c>
      <c r="P674" s="65">
        <v>12</v>
      </c>
      <c r="Q674" s="64">
        <v>4.03</v>
      </c>
      <c r="R674" s="63">
        <v>0</v>
      </c>
      <c r="S674" s="64">
        <v>2.35</v>
      </c>
    </row>
    <row r="675" spans="1:19" ht="11.1" customHeight="1" x14ac:dyDescent="0.25">
      <c r="N675" s="50" t="s">
        <v>318</v>
      </c>
      <c r="O675" s="64">
        <v>45.36</v>
      </c>
      <c r="P675" s="65">
        <v>20</v>
      </c>
      <c r="Q675" s="64">
        <v>2.35</v>
      </c>
      <c r="R675" s="63">
        <v>0</v>
      </c>
      <c r="S675" s="64">
        <v>0</v>
      </c>
    </row>
    <row r="676" spans="1:19" ht="11.1" customHeight="1" x14ac:dyDescent="0.25">
      <c r="A676" s="57">
        <v>112828</v>
      </c>
      <c r="B676" s="53">
        <v>46121</v>
      </c>
      <c r="C676" s="58">
        <v>46121</v>
      </c>
      <c r="D676" s="59" t="s">
        <v>792</v>
      </c>
      <c r="E676" s="50" t="s">
        <v>313</v>
      </c>
      <c r="F676" s="57">
        <v>36</v>
      </c>
      <c r="G676" s="60">
        <v>3</v>
      </c>
      <c r="H676" s="61" t="s">
        <v>767</v>
      </c>
      <c r="I676" s="50" t="s">
        <v>768</v>
      </c>
      <c r="J676" s="50" t="s">
        <v>769</v>
      </c>
      <c r="K676" s="62">
        <v>5403</v>
      </c>
      <c r="L676" s="57">
        <v>207</v>
      </c>
      <c r="M676" s="50" t="s">
        <v>26</v>
      </c>
      <c r="N676" s="50" t="s">
        <v>317</v>
      </c>
      <c r="O676" s="64">
        <v>133.82</v>
      </c>
      <c r="P676" s="65">
        <v>12</v>
      </c>
      <c r="Q676" s="64">
        <v>16.059999999999999</v>
      </c>
      <c r="R676" s="63">
        <v>0</v>
      </c>
      <c r="S676" s="64">
        <v>9.3699999999999992</v>
      </c>
    </row>
    <row r="677" spans="1:19" ht="11.1" customHeight="1" x14ac:dyDescent="0.25">
      <c r="N677" s="50" t="s">
        <v>318</v>
      </c>
      <c r="O677" s="64">
        <v>180.66</v>
      </c>
      <c r="P677" s="65">
        <v>20</v>
      </c>
      <c r="Q677" s="64">
        <v>9.3699999999999992</v>
      </c>
      <c r="R677" s="63">
        <v>0</v>
      </c>
      <c r="S677" s="64">
        <v>0</v>
      </c>
    </row>
    <row r="678" spans="1:19" ht="11.1" customHeight="1" x14ac:dyDescent="0.25">
      <c r="A678" s="57">
        <v>112837</v>
      </c>
      <c r="B678" s="53">
        <v>46121</v>
      </c>
      <c r="C678" s="58">
        <v>46121</v>
      </c>
      <c r="D678" s="59" t="s">
        <v>793</v>
      </c>
      <c r="E678" s="50" t="s">
        <v>313</v>
      </c>
      <c r="F678" s="57">
        <v>36</v>
      </c>
      <c r="G678" s="60">
        <v>3</v>
      </c>
      <c r="H678" s="61" t="s">
        <v>767</v>
      </c>
      <c r="I678" s="50" t="s">
        <v>768</v>
      </c>
      <c r="J678" s="50" t="s">
        <v>769</v>
      </c>
      <c r="K678" s="62">
        <v>5102</v>
      </c>
      <c r="L678" s="57">
        <v>205</v>
      </c>
      <c r="M678" s="50" t="s">
        <v>26</v>
      </c>
      <c r="N678" s="50" t="s">
        <v>317</v>
      </c>
      <c r="O678" s="64">
        <v>310.42</v>
      </c>
      <c r="P678" s="65">
        <v>12</v>
      </c>
      <c r="Q678" s="64">
        <v>37.24</v>
      </c>
      <c r="R678" s="63">
        <v>0</v>
      </c>
      <c r="S678" s="64">
        <v>0</v>
      </c>
    </row>
    <row r="679" spans="1:19" ht="11.1" customHeight="1" x14ac:dyDescent="0.25">
      <c r="A679" s="57">
        <v>112915</v>
      </c>
      <c r="B679" s="53">
        <v>46122</v>
      </c>
      <c r="C679" s="58">
        <v>46122</v>
      </c>
      <c r="D679" s="59" t="s">
        <v>794</v>
      </c>
      <c r="E679" s="50" t="s">
        <v>313</v>
      </c>
      <c r="F679" s="57">
        <v>36</v>
      </c>
      <c r="G679" s="60">
        <v>3</v>
      </c>
      <c r="H679" s="61" t="s">
        <v>767</v>
      </c>
      <c r="I679" s="50" t="s">
        <v>768</v>
      </c>
      <c r="J679" s="50" t="s">
        <v>769</v>
      </c>
      <c r="K679" s="62">
        <v>5102</v>
      </c>
      <c r="L679" s="57">
        <v>205</v>
      </c>
      <c r="M679" s="50" t="s">
        <v>26</v>
      </c>
      <c r="N679" s="50" t="s">
        <v>317</v>
      </c>
      <c r="O679" s="64">
        <v>11586.95</v>
      </c>
      <c r="P679" s="65">
        <v>12</v>
      </c>
      <c r="Q679" s="64">
        <v>1390.47</v>
      </c>
      <c r="R679" s="63">
        <v>0</v>
      </c>
      <c r="S679" s="64">
        <v>0</v>
      </c>
    </row>
    <row r="680" spans="1:19" ht="11.1" customHeight="1" x14ac:dyDescent="0.25">
      <c r="A680" s="57">
        <v>112916</v>
      </c>
      <c r="B680" s="53">
        <v>46122</v>
      </c>
      <c r="C680" s="58">
        <v>46122</v>
      </c>
      <c r="D680" s="59" t="s">
        <v>794</v>
      </c>
      <c r="E680" s="50" t="s">
        <v>313</v>
      </c>
      <c r="F680" s="57">
        <v>36</v>
      </c>
      <c r="G680" s="60">
        <v>3</v>
      </c>
      <c r="H680" s="61" t="s">
        <v>767</v>
      </c>
      <c r="I680" s="50" t="s">
        <v>768</v>
      </c>
      <c r="J680" s="50" t="s">
        <v>769</v>
      </c>
      <c r="K680" s="62">
        <v>5405</v>
      </c>
      <c r="L680" s="57">
        <v>206</v>
      </c>
      <c r="M680" s="50" t="s">
        <v>26</v>
      </c>
      <c r="N680" s="50" t="s">
        <v>317</v>
      </c>
      <c r="O680" s="64">
        <v>0</v>
      </c>
      <c r="P680" s="65">
        <v>0</v>
      </c>
      <c r="Q680" s="64">
        <v>0</v>
      </c>
      <c r="R680" s="63">
        <v>0</v>
      </c>
      <c r="S680" s="64">
        <v>263.58</v>
      </c>
    </row>
    <row r="681" spans="1:19" ht="11.1" customHeight="1" x14ac:dyDescent="0.25">
      <c r="A681" s="57">
        <v>112917</v>
      </c>
      <c r="B681" s="53">
        <v>46122</v>
      </c>
      <c r="C681" s="58">
        <v>46122</v>
      </c>
      <c r="D681" s="59" t="s">
        <v>794</v>
      </c>
      <c r="E681" s="50" t="s">
        <v>313</v>
      </c>
      <c r="F681" s="57">
        <v>36</v>
      </c>
      <c r="G681" s="60">
        <v>3</v>
      </c>
      <c r="H681" s="61" t="s">
        <v>767</v>
      </c>
      <c r="I681" s="50" t="s">
        <v>768</v>
      </c>
      <c r="J681" s="50" t="s">
        <v>769</v>
      </c>
      <c r="K681" s="62">
        <v>5403</v>
      </c>
      <c r="L681" s="57">
        <v>207</v>
      </c>
      <c r="M681" s="50" t="s">
        <v>26</v>
      </c>
      <c r="N681" s="50" t="s">
        <v>317</v>
      </c>
      <c r="O681" s="64">
        <v>12764.4</v>
      </c>
      <c r="P681" s="65">
        <v>12</v>
      </c>
      <c r="Q681" s="64">
        <v>1531.74</v>
      </c>
      <c r="R681" s="63">
        <v>0</v>
      </c>
      <c r="S681" s="64">
        <v>893.53</v>
      </c>
    </row>
    <row r="682" spans="1:19" ht="11.1" customHeight="1" x14ac:dyDescent="0.25">
      <c r="N682" s="50" t="s">
        <v>318</v>
      </c>
      <c r="O682" s="64">
        <v>17232.009999999998</v>
      </c>
      <c r="P682" s="65">
        <v>20</v>
      </c>
      <c r="Q682" s="64">
        <v>893.53</v>
      </c>
      <c r="R682" s="63">
        <v>0</v>
      </c>
      <c r="S682" s="64">
        <v>0</v>
      </c>
    </row>
    <row r="683" spans="1:19" ht="11.1" customHeight="1" x14ac:dyDescent="0.25">
      <c r="A683" s="57">
        <v>112934</v>
      </c>
      <c r="B683" s="53">
        <v>46125</v>
      </c>
      <c r="C683" s="58">
        <v>46125</v>
      </c>
      <c r="D683" s="59" t="s">
        <v>795</v>
      </c>
      <c r="E683" s="50" t="s">
        <v>313</v>
      </c>
      <c r="F683" s="57">
        <v>36</v>
      </c>
      <c r="G683" s="60">
        <v>3</v>
      </c>
      <c r="H683" s="61" t="s">
        <v>767</v>
      </c>
      <c r="I683" s="50" t="s">
        <v>768</v>
      </c>
      <c r="J683" s="50" t="s">
        <v>769</v>
      </c>
      <c r="K683" s="62">
        <v>5403</v>
      </c>
      <c r="L683" s="57">
        <v>207</v>
      </c>
      <c r="M683" s="50" t="s">
        <v>26</v>
      </c>
      <c r="N683" s="50" t="s">
        <v>317</v>
      </c>
      <c r="O683" s="64">
        <v>437.89</v>
      </c>
      <c r="P683" s="65">
        <v>12</v>
      </c>
      <c r="Q683" s="64">
        <v>52.55</v>
      </c>
      <c r="R683" s="63">
        <v>0</v>
      </c>
      <c r="S683" s="64">
        <v>30.65</v>
      </c>
    </row>
    <row r="684" spans="1:19" ht="11.1" customHeight="1" x14ac:dyDescent="0.25">
      <c r="N684" s="50" t="s">
        <v>318</v>
      </c>
      <c r="O684" s="64">
        <v>591.16</v>
      </c>
      <c r="P684" s="65">
        <v>20</v>
      </c>
      <c r="Q684" s="64">
        <v>30.65</v>
      </c>
      <c r="R684" s="63">
        <v>0</v>
      </c>
      <c r="S684" s="64">
        <v>0</v>
      </c>
    </row>
    <row r="685" spans="1:19" ht="11.1" customHeight="1" x14ac:dyDescent="0.25">
      <c r="A685" s="57">
        <v>112935</v>
      </c>
      <c r="B685" s="53">
        <v>46125</v>
      </c>
      <c r="C685" s="58">
        <v>46125</v>
      </c>
      <c r="D685" s="59" t="s">
        <v>796</v>
      </c>
      <c r="E685" s="50" t="s">
        <v>313</v>
      </c>
      <c r="F685" s="57">
        <v>36</v>
      </c>
      <c r="G685" s="60">
        <v>3</v>
      </c>
      <c r="H685" s="61" t="s">
        <v>767</v>
      </c>
      <c r="I685" s="50" t="s">
        <v>768</v>
      </c>
      <c r="J685" s="50" t="s">
        <v>769</v>
      </c>
      <c r="K685" s="62">
        <v>5403</v>
      </c>
      <c r="L685" s="57">
        <v>207</v>
      </c>
      <c r="M685" s="50" t="s">
        <v>26</v>
      </c>
      <c r="N685" s="50" t="s">
        <v>317</v>
      </c>
      <c r="O685" s="64">
        <v>839.28</v>
      </c>
      <c r="P685" s="65">
        <v>12</v>
      </c>
      <c r="Q685" s="64">
        <v>100.71</v>
      </c>
      <c r="R685" s="63">
        <v>0</v>
      </c>
      <c r="S685" s="64">
        <v>58.75</v>
      </c>
    </row>
    <row r="686" spans="1:19" ht="11.1" customHeight="1" x14ac:dyDescent="0.25">
      <c r="N686" s="50" t="s">
        <v>318</v>
      </c>
      <c r="O686" s="64">
        <v>1133.03</v>
      </c>
      <c r="P686" s="65">
        <v>20</v>
      </c>
      <c r="Q686" s="64">
        <v>58.75</v>
      </c>
      <c r="R686" s="63">
        <v>0</v>
      </c>
      <c r="S686" s="64">
        <v>0</v>
      </c>
    </row>
    <row r="687" spans="1:19" ht="11.1" customHeight="1" x14ac:dyDescent="0.25">
      <c r="A687" s="57">
        <v>112955</v>
      </c>
      <c r="B687" s="53">
        <v>46125</v>
      </c>
      <c r="C687" s="58">
        <v>46125</v>
      </c>
      <c r="D687" s="59" t="s">
        <v>797</v>
      </c>
      <c r="E687" s="50" t="s">
        <v>313</v>
      </c>
      <c r="F687" s="57">
        <v>36</v>
      </c>
      <c r="G687" s="60">
        <v>3</v>
      </c>
      <c r="H687" s="61" t="s">
        <v>767</v>
      </c>
      <c r="I687" s="50" t="s">
        <v>768</v>
      </c>
      <c r="J687" s="50" t="s">
        <v>769</v>
      </c>
      <c r="K687" s="62">
        <v>5102</v>
      </c>
      <c r="L687" s="57">
        <v>205</v>
      </c>
      <c r="M687" s="50" t="s">
        <v>26</v>
      </c>
      <c r="N687" s="50" t="s">
        <v>317</v>
      </c>
      <c r="O687" s="64">
        <v>154.38999999999999</v>
      </c>
      <c r="P687" s="65">
        <v>12</v>
      </c>
      <c r="Q687" s="64">
        <v>18.510000000000002</v>
      </c>
      <c r="R687" s="63">
        <v>0</v>
      </c>
      <c r="S687" s="64">
        <v>0</v>
      </c>
    </row>
    <row r="688" spans="1:19" ht="11.1" customHeight="1" x14ac:dyDescent="0.25">
      <c r="A688" s="57">
        <v>112956</v>
      </c>
      <c r="B688" s="53">
        <v>46125</v>
      </c>
      <c r="C688" s="58">
        <v>46125</v>
      </c>
      <c r="D688" s="59" t="s">
        <v>797</v>
      </c>
      <c r="E688" s="50" t="s">
        <v>313</v>
      </c>
      <c r="F688" s="57">
        <v>36</v>
      </c>
      <c r="G688" s="60">
        <v>3</v>
      </c>
      <c r="H688" s="61" t="s">
        <v>767</v>
      </c>
      <c r="I688" s="50" t="s">
        <v>768</v>
      </c>
      <c r="J688" s="50" t="s">
        <v>769</v>
      </c>
      <c r="K688" s="62">
        <v>5403</v>
      </c>
      <c r="L688" s="57">
        <v>207</v>
      </c>
      <c r="M688" s="50" t="s">
        <v>26</v>
      </c>
      <c r="N688" s="50" t="s">
        <v>317</v>
      </c>
      <c r="O688" s="64">
        <v>356.8</v>
      </c>
      <c r="P688" s="65">
        <v>12</v>
      </c>
      <c r="Q688" s="64">
        <v>42.82</v>
      </c>
      <c r="R688" s="63">
        <v>0</v>
      </c>
      <c r="S688" s="64">
        <v>24.98</v>
      </c>
    </row>
    <row r="689" spans="1:19" ht="11.1" customHeight="1" x14ac:dyDescent="0.25">
      <c r="N689" s="50" t="s">
        <v>318</v>
      </c>
      <c r="O689" s="64">
        <v>481.69</v>
      </c>
      <c r="P689" s="65">
        <v>20</v>
      </c>
      <c r="Q689" s="64">
        <v>24.98</v>
      </c>
      <c r="R689" s="63">
        <v>0</v>
      </c>
      <c r="S689" s="64">
        <v>0</v>
      </c>
    </row>
    <row r="690" spans="1:19" ht="11.1" customHeight="1" x14ac:dyDescent="0.25">
      <c r="A690" s="57">
        <v>112999</v>
      </c>
      <c r="B690" s="53">
        <v>46126</v>
      </c>
      <c r="C690" s="58">
        <v>46126</v>
      </c>
      <c r="D690" s="59" t="s">
        <v>798</v>
      </c>
      <c r="E690" s="50" t="s">
        <v>313</v>
      </c>
      <c r="F690" s="57">
        <v>36</v>
      </c>
      <c r="G690" s="60">
        <v>3</v>
      </c>
      <c r="H690" s="61" t="s">
        <v>767</v>
      </c>
      <c r="I690" s="50" t="s">
        <v>768</v>
      </c>
      <c r="J690" s="50" t="s">
        <v>769</v>
      </c>
      <c r="K690" s="62">
        <v>5403</v>
      </c>
      <c r="L690" s="57">
        <v>207</v>
      </c>
      <c r="M690" s="50" t="s">
        <v>26</v>
      </c>
      <c r="N690" s="50" t="s">
        <v>317</v>
      </c>
      <c r="O690" s="64">
        <v>303.8</v>
      </c>
      <c r="P690" s="65">
        <v>12</v>
      </c>
      <c r="Q690" s="64">
        <v>36.46</v>
      </c>
      <c r="R690" s="63">
        <v>0</v>
      </c>
      <c r="S690" s="64">
        <v>21.27</v>
      </c>
    </row>
    <row r="691" spans="1:19" ht="11.1" customHeight="1" x14ac:dyDescent="0.25">
      <c r="N691" s="50" t="s">
        <v>318</v>
      </c>
      <c r="O691" s="64">
        <v>410.13</v>
      </c>
      <c r="P691" s="65">
        <v>20</v>
      </c>
      <c r="Q691" s="64">
        <v>21.27</v>
      </c>
      <c r="R691" s="63">
        <v>0</v>
      </c>
      <c r="S691" s="64">
        <v>0</v>
      </c>
    </row>
    <row r="692" spans="1:19" ht="11.1" customHeight="1" x14ac:dyDescent="0.25">
      <c r="A692" s="57">
        <v>113015</v>
      </c>
      <c r="B692" s="53">
        <v>46126</v>
      </c>
      <c r="C692" s="58">
        <v>46126</v>
      </c>
      <c r="D692" s="59" t="s">
        <v>799</v>
      </c>
      <c r="E692" s="50" t="s">
        <v>313</v>
      </c>
      <c r="F692" s="57">
        <v>36</v>
      </c>
      <c r="G692" s="60">
        <v>3</v>
      </c>
      <c r="H692" s="61" t="s">
        <v>767</v>
      </c>
      <c r="I692" s="50" t="s">
        <v>768</v>
      </c>
      <c r="J692" s="50" t="s">
        <v>769</v>
      </c>
      <c r="K692" s="62">
        <v>5102</v>
      </c>
      <c r="L692" s="57">
        <v>205</v>
      </c>
      <c r="M692" s="50" t="s">
        <v>26</v>
      </c>
      <c r="N692" s="50" t="s">
        <v>317</v>
      </c>
      <c r="O692" s="64">
        <v>198.79</v>
      </c>
      <c r="P692" s="65">
        <v>12</v>
      </c>
      <c r="Q692" s="64">
        <v>23.85</v>
      </c>
      <c r="R692" s="63">
        <v>0</v>
      </c>
      <c r="S692" s="64">
        <v>0</v>
      </c>
    </row>
    <row r="693" spans="1:19" ht="11.1" customHeight="1" x14ac:dyDescent="0.25">
      <c r="A693" s="57">
        <v>113016</v>
      </c>
      <c r="B693" s="53">
        <v>46126</v>
      </c>
      <c r="C693" s="58">
        <v>46126</v>
      </c>
      <c r="D693" s="59" t="s">
        <v>799</v>
      </c>
      <c r="E693" s="50" t="s">
        <v>313</v>
      </c>
      <c r="F693" s="57">
        <v>36</v>
      </c>
      <c r="G693" s="60">
        <v>3</v>
      </c>
      <c r="H693" s="61" t="s">
        <v>767</v>
      </c>
      <c r="I693" s="50" t="s">
        <v>768</v>
      </c>
      <c r="J693" s="50" t="s">
        <v>769</v>
      </c>
      <c r="K693" s="62">
        <v>5403</v>
      </c>
      <c r="L693" s="57">
        <v>207</v>
      </c>
      <c r="M693" s="50" t="s">
        <v>26</v>
      </c>
      <c r="N693" s="50" t="s">
        <v>317</v>
      </c>
      <c r="O693" s="64">
        <v>817.74</v>
      </c>
      <c r="P693" s="65">
        <v>12</v>
      </c>
      <c r="Q693" s="64">
        <v>98.13</v>
      </c>
      <c r="R693" s="63">
        <v>0</v>
      </c>
      <c r="S693" s="64">
        <v>57.24</v>
      </c>
    </row>
    <row r="694" spans="1:19" ht="11.1" customHeight="1" x14ac:dyDescent="0.25">
      <c r="N694" s="50" t="s">
        <v>318</v>
      </c>
      <c r="O694" s="64">
        <v>1103.95</v>
      </c>
      <c r="P694" s="65">
        <v>20</v>
      </c>
      <c r="Q694" s="64">
        <v>57.24</v>
      </c>
      <c r="R694" s="63">
        <v>0</v>
      </c>
      <c r="S694" s="64">
        <v>0</v>
      </c>
    </row>
    <row r="695" spans="1:19" ht="11.1" customHeight="1" x14ac:dyDescent="0.25">
      <c r="A695" s="57">
        <v>113050</v>
      </c>
      <c r="B695" s="53">
        <v>46126</v>
      </c>
      <c r="C695" s="58">
        <v>46126</v>
      </c>
      <c r="D695" s="59" t="s">
        <v>800</v>
      </c>
      <c r="E695" s="50" t="s">
        <v>313</v>
      </c>
      <c r="F695" s="57">
        <v>36</v>
      </c>
      <c r="G695" s="60">
        <v>3</v>
      </c>
      <c r="H695" s="61" t="s">
        <v>767</v>
      </c>
      <c r="I695" s="50" t="s">
        <v>768</v>
      </c>
      <c r="J695" s="50" t="s">
        <v>769</v>
      </c>
      <c r="K695" s="62">
        <v>5403</v>
      </c>
      <c r="L695" s="57">
        <v>207</v>
      </c>
      <c r="M695" s="50" t="s">
        <v>26</v>
      </c>
      <c r="N695" s="50" t="s">
        <v>317</v>
      </c>
      <c r="O695" s="64">
        <v>2698.8</v>
      </c>
      <c r="P695" s="65">
        <v>12</v>
      </c>
      <c r="Q695" s="64">
        <v>323.87</v>
      </c>
      <c r="R695" s="63">
        <v>0</v>
      </c>
      <c r="S695" s="64">
        <v>188.91</v>
      </c>
    </row>
    <row r="696" spans="1:19" ht="11.1" customHeight="1" x14ac:dyDescent="0.25">
      <c r="N696" s="50" t="s">
        <v>318</v>
      </c>
      <c r="O696" s="64">
        <v>3643.38</v>
      </c>
      <c r="P696" s="65">
        <v>20</v>
      </c>
      <c r="Q696" s="64">
        <v>188.91</v>
      </c>
      <c r="R696" s="63">
        <v>0</v>
      </c>
      <c r="S696" s="64">
        <v>0</v>
      </c>
    </row>
    <row r="697" spans="1:19" ht="11.1" customHeight="1" x14ac:dyDescent="0.25">
      <c r="A697" s="57">
        <v>113058</v>
      </c>
      <c r="B697" s="53">
        <v>46126</v>
      </c>
      <c r="C697" s="58">
        <v>46126</v>
      </c>
      <c r="D697" s="59" t="s">
        <v>801</v>
      </c>
      <c r="E697" s="50" t="s">
        <v>313</v>
      </c>
      <c r="F697" s="57">
        <v>36</v>
      </c>
      <c r="G697" s="60">
        <v>3</v>
      </c>
      <c r="H697" s="61" t="s">
        <v>767</v>
      </c>
      <c r="I697" s="50" t="s">
        <v>768</v>
      </c>
      <c r="J697" s="50" t="s">
        <v>769</v>
      </c>
      <c r="K697" s="62">
        <v>5102</v>
      </c>
      <c r="L697" s="57">
        <v>205</v>
      </c>
      <c r="M697" s="50" t="s">
        <v>26</v>
      </c>
      <c r="N697" s="50" t="s">
        <v>317</v>
      </c>
      <c r="O697" s="64">
        <v>153.88</v>
      </c>
      <c r="P697" s="65">
        <v>12</v>
      </c>
      <c r="Q697" s="64">
        <v>18.47</v>
      </c>
      <c r="R697" s="63">
        <v>0</v>
      </c>
      <c r="S697" s="64">
        <v>0</v>
      </c>
    </row>
    <row r="698" spans="1:19" ht="11.1" customHeight="1" x14ac:dyDescent="0.25">
      <c r="A698" s="57">
        <v>113077</v>
      </c>
      <c r="B698" s="53">
        <v>46127</v>
      </c>
      <c r="C698" s="58">
        <v>46127</v>
      </c>
      <c r="D698" s="59" t="s">
        <v>802</v>
      </c>
      <c r="E698" s="50" t="s">
        <v>313</v>
      </c>
      <c r="F698" s="57">
        <v>36</v>
      </c>
      <c r="G698" s="60">
        <v>3</v>
      </c>
      <c r="H698" s="61" t="s">
        <v>767</v>
      </c>
      <c r="I698" s="50" t="s">
        <v>768</v>
      </c>
      <c r="J698" s="50" t="s">
        <v>769</v>
      </c>
      <c r="K698" s="62">
        <v>5102</v>
      </c>
      <c r="L698" s="57">
        <v>205</v>
      </c>
      <c r="M698" s="50" t="s">
        <v>26</v>
      </c>
      <c r="N698" s="50" t="s">
        <v>317</v>
      </c>
      <c r="O698" s="64">
        <v>566.42999999999995</v>
      </c>
      <c r="P698" s="65">
        <v>12</v>
      </c>
      <c r="Q698" s="64">
        <v>67.97</v>
      </c>
      <c r="R698" s="63">
        <v>0</v>
      </c>
      <c r="S698" s="64">
        <v>0</v>
      </c>
    </row>
    <row r="699" spans="1:19" ht="11.1" customHeight="1" x14ac:dyDescent="0.25">
      <c r="A699" s="57">
        <v>113078</v>
      </c>
      <c r="B699" s="53">
        <v>46127</v>
      </c>
      <c r="C699" s="58">
        <v>46127</v>
      </c>
      <c r="D699" s="59" t="s">
        <v>802</v>
      </c>
      <c r="E699" s="50" t="s">
        <v>313</v>
      </c>
      <c r="F699" s="57">
        <v>36</v>
      </c>
      <c r="G699" s="60">
        <v>3</v>
      </c>
      <c r="H699" s="61" t="s">
        <v>767</v>
      </c>
      <c r="I699" s="50" t="s">
        <v>768</v>
      </c>
      <c r="J699" s="50" t="s">
        <v>769</v>
      </c>
      <c r="K699" s="62">
        <v>5403</v>
      </c>
      <c r="L699" s="57">
        <v>207</v>
      </c>
      <c r="M699" s="50" t="s">
        <v>26</v>
      </c>
      <c r="N699" s="50" t="s">
        <v>317</v>
      </c>
      <c r="O699" s="64">
        <v>2386.8000000000002</v>
      </c>
      <c r="P699" s="65">
        <v>12</v>
      </c>
      <c r="Q699" s="64">
        <v>286.42</v>
      </c>
      <c r="R699" s="63">
        <v>0</v>
      </c>
      <c r="S699" s="64">
        <v>167.08</v>
      </c>
    </row>
    <row r="700" spans="1:19" ht="11.1" customHeight="1" x14ac:dyDescent="0.25">
      <c r="N700" s="50" t="s">
        <v>318</v>
      </c>
      <c r="O700" s="64">
        <v>3222.18</v>
      </c>
      <c r="P700" s="65">
        <v>20</v>
      </c>
      <c r="Q700" s="64">
        <v>167.08</v>
      </c>
      <c r="R700" s="63">
        <v>0</v>
      </c>
      <c r="S700" s="64">
        <v>0</v>
      </c>
    </row>
    <row r="701" spans="1:19" ht="11.1" customHeight="1" x14ac:dyDescent="0.25">
      <c r="A701" s="57">
        <v>113120</v>
      </c>
      <c r="B701" s="53">
        <v>46128</v>
      </c>
      <c r="C701" s="58">
        <v>46128</v>
      </c>
      <c r="D701" s="59" t="s">
        <v>803</v>
      </c>
      <c r="E701" s="50" t="s">
        <v>313</v>
      </c>
      <c r="F701" s="57">
        <v>36</v>
      </c>
      <c r="G701" s="60">
        <v>3</v>
      </c>
      <c r="H701" s="61" t="s">
        <v>767</v>
      </c>
      <c r="I701" s="50" t="s">
        <v>768</v>
      </c>
      <c r="J701" s="50" t="s">
        <v>769</v>
      </c>
      <c r="K701" s="62">
        <v>5102</v>
      </c>
      <c r="L701" s="57">
        <v>205</v>
      </c>
      <c r="M701" s="50" t="s">
        <v>26</v>
      </c>
      <c r="N701" s="50" t="s">
        <v>317</v>
      </c>
      <c r="O701" s="64">
        <v>105.94</v>
      </c>
      <c r="P701" s="65">
        <v>12</v>
      </c>
      <c r="Q701" s="64">
        <v>12.71</v>
      </c>
      <c r="R701" s="63">
        <v>0</v>
      </c>
      <c r="S701" s="64">
        <v>0</v>
      </c>
    </row>
    <row r="702" spans="1:19" ht="11.1" customHeight="1" x14ac:dyDescent="0.25">
      <c r="A702" s="57">
        <v>113132</v>
      </c>
      <c r="B702" s="53">
        <v>46128</v>
      </c>
      <c r="C702" s="58">
        <v>46128</v>
      </c>
      <c r="D702" s="59" t="s">
        <v>804</v>
      </c>
      <c r="E702" s="50" t="s">
        <v>313</v>
      </c>
      <c r="F702" s="57">
        <v>36</v>
      </c>
      <c r="G702" s="60">
        <v>3</v>
      </c>
      <c r="H702" s="61" t="s">
        <v>767</v>
      </c>
      <c r="I702" s="50" t="s">
        <v>768</v>
      </c>
      <c r="J702" s="50" t="s">
        <v>769</v>
      </c>
      <c r="K702" s="62">
        <v>5102</v>
      </c>
      <c r="L702" s="57">
        <v>205</v>
      </c>
      <c r="M702" s="50" t="s">
        <v>26</v>
      </c>
      <c r="N702" s="50" t="s">
        <v>317</v>
      </c>
      <c r="O702" s="64">
        <v>723.76</v>
      </c>
      <c r="P702" s="65">
        <v>12</v>
      </c>
      <c r="Q702" s="64">
        <v>86.86</v>
      </c>
      <c r="R702" s="63">
        <v>0</v>
      </c>
      <c r="S702" s="64">
        <v>0</v>
      </c>
    </row>
    <row r="703" spans="1:19" ht="11.1" customHeight="1" x14ac:dyDescent="0.25">
      <c r="A703" s="57">
        <v>113133</v>
      </c>
      <c r="B703" s="53">
        <v>46128</v>
      </c>
      <c r="C703" s="58">
        <v>46128</v>
      </c>
      <c r="D703" s="59" t="s">
        <v>804</v>
      </c>
      <c r="E703" s="50" t="s">
        <v>313</v>
      </c>
      <c r="F703" s="57">
        <v>36</v>
      </c>
      <c r="G703" s="60">
        <v>3</v>
      </c>
      <c r="H703" s="61" t="s">
        <v>767</v>
      </c>
      <c r="I703" s="50" t="s">
        <v>768</v>
      </c>
      <c r="J703" s="50" t="s">
        <v>769</v>
      </c>
      <c r="K703" s="62">
        <v>5403</v>
      </c>
      <c r="L703" s="57">
        <v>207</v>
      </c>
      <c r="M703" s="50" t="s">
        <v>26</v>
      </c>
      <c r="N703" s="50" t="s">
        <v>317</v>
      </c>
      <c r="O703" s="64">
        <v>197.97</v>
      </c>
      <c r="P703" s="65">
        <v>12</v>
      </c>
      <c r="Q703" s="64">
        <v>23.76</v>
      </c>
      <c r="R703" s="63">
        <v>0</v>
      </c>
      <c r="S703" s="64">
        <v>13.86</v>
      </c>
    </row>
    <row r="704" spans="1:19" ht="11.1" customHeight="1" x14ac:dyDescent="0.25">
      <c r="N704" s="50" t="s">
        <v>318</v>
      </c>
      <c r="O704" s="64">
        <v>267.26</v>
      </c>
      <c r="P704" s="65">
        <v>20</v>
      </c>
      <c r="Q704" s="64">
        <v>13.86</v>
      </c>
      <c r="R704" s="63">
        <v>0</v>
      </c>
      <c r="S704" s="64">
        <v>0</v>
      </c>
    </row>
    <row r="705" spans="1:19" ht="11.1" customHeight="1" x14ac:dyDescent="0.25">
      <c r="A705" s="57">
        <v>113135</v>
      </c>
      <c r="B705" s="53">
        <v>46128</v>
      </c>
      <c r="C705" s="58">
        <v>46128</v>
      </c>
      <c r="D705" s="59" t="s">
        <v>805</v>
      </c>
      <c r="E705" s="50" t="s">
        <v>313</v>
      </c>
      <c r="F705" s="57">
        <v>36</v>
      </c>
      <c r="G705" s="60">
        <v>3</v>
      </c>
      <c r="H705" s="61" t="s">
        <v>767</v>
      </c>
      <c r="I705" s="50" t="s">
        <v>768</v>
      </c>
      <c r="J705" s="50" t="s">
        <v>769</v>
      </c>
      <c r="K705" s="62">
        <v>5403</v>
      </c>
      <c r="L705" s="57">
        <v>207</v>
      </c>
      <c r="M705" s="50" t="s">
        <v>26</v>
      </c>
      <c r="N705" s="50" t="s">
        <v>317</v>
      </c>
      <c r="O705" s="64">
        <v>202.97</v>
      </c>
      <c r="P705" s="65">
        <v>12</v>
      </c>
      <c r="Q705" s="64">
        <v>24.35</v>
      </c>
      <c r="R705" s="63">
        <v>0</v>
      </c>
      <c r="S705" s="64">
        <v>14.2</v>
      </c>
    </row>
    <row r="706" spans="1:19" ht="11.1" customHeight="1" x14ac:dyDescent="0.25">
      <c r="N706" s="50" t="s">
        <v>318</v>
      </c>
      <c r="O706" s="64">
        <v>274.01</v>
      </c>
      <c r="P706" s="65">
        <v>20</v>
      </c>
      <c r="Q706" s="64">
        <v>14.2</v>
      </c>
      <c r="R706" s="63">
        <v>0</v>
      </c>
      <c r="S706" s="64">
        <v>0</v>
      </c>
    </row>
    <row r="707" spans="1:19" ht="11.1" customHeight="1" x14ac:dyDescent="0.25">
      <c r="A707" s="57">
        <v>113189</v>
      </c>
      <c r="B707" s="53">
        <v>46129</v>
      </c>
      <c r="C707" s="58">
        <v>46129</v>
      </c>
      <c r="D707" s="59" t="s">
        <v>806</v>
      </c>
      <c r="E707" s="50" t="s">
        <v>313</v>
      </c>
      <c r="F707" s="57">
        <v>36</v>
      </c>
      <c r="G707" s="60">
        <v>3</v>
      </c>
      <c r="H707" s="61" t="s">
        <v>767</v>
      </c>
      <c r="I707" s="50" t="s">
        <v>768</v>
      </c>
      <c r="J707" s="50" t="s">
        <v>769</v>
      </c>
      <c r="K707" s="62">
        <v>5102</v>
      </c>
      <c r="L707" s="57">
        <v>205</v>
      </c>
      <c r="M707" s="50" t="s">
        <v>26</v>
      </c>
      <c r="N707" s="50" t="s">
        <v>317</v>
      </c>
      <c r="O707" s="64">
        <v>13103.61</v>
      </c>
      <c r="P707" s="65">
        <v>12</v>
      </c>
      <c r="Q707" s="64">
        <v>1572.4</v>
      </c>
      <c r="R707" s="63">
        <v>0</v>
      </c>
      <c r="S707" s="64">
        <v>0</v>
      </c>
    </row>
    <row r="708" spans="1:19" ht="11.1" customHeight="1" x14ac:dyDescent="0.25">
      <c r="A708" s="57">
        <v>113190</v>
      </c>
      <c r="B708" s="53">
        <v>46129</v>
      </c>
      <c r="C708" s="58">
        <v>46129</v>
      </c>
      <c r="D708" s="59" t="s">
        <v>806</v>
      </c>
      <c r="E708" s="50" t="s">
        <v>313</v>
      </c>
      <c r="F708" s="57">
        <v>36</v>
      </c>
      <c r="G708" s="60">
        <v>3</v>
      </c>
      <c r="H708" s="61" t="s">
        <v>767</v>
      </c>
      <c r="I708" s="50" t="s">
        <v>768</v>
      </c>
      <c r="J708" s="50" t="s">
        <v>769</v>
      </c>
      <c r="K708" s="62">
        <v>5403</v>
      </c>
      <c r="L708" s="57">
        <v>207</v>
      </c>
      <c r="M708" s="50" t="s">
        <v>26</v>
      </c>
      <c r="N708" s="50" t="s">
        <v>317</v>
      </c>
      <c r="O708" s="64">
        <v>15127.86</v>
      </c>
      <c r="P708" s="65">
        <v>12</v>
      </c>
      <c r="Q708" s="64">
        <v>1815.35</v>
      </c>
      <c r="R708" s="63">
        <v>0</v>
      </c>
      <c r="S708" s="64">
        <v>1058.96</v>
      </c>
    </row>
    <row r="709" spans="1:19" ht="11.1" customHeight="1" x14ac:dyDescent="0.25">
      <c r="N709" s="50" t="s">
        <v>318</v>
      </c>
      <c r="O709" s="64">
        <v>20422.650000000001</v>
      </c>
      <c r="P709" s="65">
        <v>20</v>
      </c>
      <c r="Q709" s="64">
        <v>1058.96</v>
      </c>
      <c r="R709" s="63">
        <v>0</v>
      </c>
      <c r="S709" s="64">
        <v>0</v>
      </c>
    </row>
    <row r="710" spans="1:19" ht="11.1" customHeight="1" x14ac:dyDescent="0.25">
      <c r="A710" s="57">
        <v>113201</v>
      </c>
      <c r="B710" s="53">
        <v>46129</v>
      </c>
      <c r="C710" s="58">
        <v>46129</v>
      </c>
      <c r="D710" s="59" t="s">
        <v>807</v>
      </c>
      <c r="E710" s="50" t="s">
        <v>313</v>
      </c>
      <c r="F710" s="57">
        <v>36</v>
      </c>
      <c r="G710" s="60">
        <v>3</v>
      </c>
      <c r="H710" s="61" t="s">
        <v>767</v>
      </c>
      <c r="I710" s="50" t="s">
        <v>768</v>
      </c>
      <c r="J710" s="50" t="s">
        <v>769</v>
      </c>
      <c r="K710" s="62">
        <v>5102</v>
      </c>
      <c r="L710" s="57">
        <v>205</v>
      </c>
      <c r="M710" s="50" t="s">
        <v>26</v>
      </c>
      <c r="N710" s="50" t="s">
        <v>317</v>
      </c>
      <c r="O710" s="64">
        <v>576.6</v>
      </c>
      <c r="P710" s="65">
        <v>12</v>
      </c>
      <c r="Q710" s="64">
        <v>69.180000000000007</v>
      </c>
      <c r="R710" s="63">
        <v>0</v>
      </c>
      <c r="S710" s="64">
        <v>0</v>
      </c>
    </row>
    <row r="711" spans="1:19" ht="11.1" customHeight="1" x14ac:dyDescent="0.25">
      <c r="A711" s="57">
        <v>113204</v>
      </c>
      <c r="B711" s="53">
        <v>46129</v>
      </c>
      <c r="C711" s="58">
        <v>46129</v>
      </c>
      <c r="D711" s="59" t="s">
        <v>808</v>
      </c>
      <c r="E711" s="50" t="s">
        <v>313</v>
      </c>
      <c r="F711" s="57">
        <v>36</v>
      </c>
      <c r="G711" s="60">
        <v>3</v>
      </c>
      <c r="H711" s="61" t="s">
        <v>767</v>
      </c>
      <c r="I711" s="50" t="s">
        <v>768</v>
      </c>
      <c r="J711" s="50" t="s">
        <v>769</v>
      </c>
      <c r="K711" s="62">
        <v>5403</v>
      </c>
      <c r="L711" s="57">
        <v>207</v>
      </c>
      <c r="M711" s="50" t="s">
        <v>26</v>
      </c>
      <c r="N711" s="50" t="s">
        <v>317</v>
      </c>
      <c r="O711" s="64">
        <v>26.29</v>
      </c>
      <c r="P711" s="65">
        <v>12</v>
      </c>
      <c r="Q711" s="64">
        <v>3.15</v>
      </c>
      <c r="R711" s="63">
        <v>0</v>
      </c>
      <c r="S711" s="64">
        <v>1.84</v>
      </c>
    </row>
    <row r="712" spans="1:19" ht="11.1" customHeight="1" x14ac:dyDescent="0.25">
      <c r="N712" s="50" t="s">
        <v>318</v>
      </c>
      <c r="O712" s="64">
        <v>35.49</v>
      </c>
      <c r="P712" s="65">
        <v>20</v>
      </c>
      <c r="Q712" s="64">
        <v>1.84</v>
      </c>
      <c r="R712" s="63">
        <v>0</v>
      </c>
      <c r="S712" s="64">
        <v>0</v>
      </c>
    </row>
    <row r="713" spans="1:19" ht="11.1" customHeight="1" x14ac:dyDescent="0.25">
      <c r="A713" s="57">
        <v>113212</v>
      </c>
      <c r="B713" s="53">
        <v>46132</v>
      </c>
      <c r="C713" s="58">
        <v>46132</v>
      </c>
      <c r="D713" s="59" t="s">
        <v>809</v>
      </c>
      <c r="E713" s="50" t="s">
        <v>313</v>
      </c>
      <c r="F713" s="57">
        <v>36</v>
      </c>
      <c r="G713" s="60">
        <v>3</v>
      </c>
      <c r="H713" s="61" t="s">
        <v>767</v>
      </c>
      <c r="I713" s="50" t="s">
        <v>768</v>
      </c>
      <c r="J713" s="50" t="s">
        <v>769</v>
      </c>
      <c r="K713" s="62">
        <v>5102</v>
      </c>
      <c r="L713" s="57">
        <v>205</v>
      </c>
      <c r="M713" s="50" t="s">
        <v>26</v>
      </c>
      <c r="N713" s="50" t="s">
        <v>317</v>
      </c>
      <c r="O713" s="64">
        <v>79.38</v>
      </c>
      <c r="P713" s="65">
        <v>12</v>
      </c>
      <c r="Q713" s="64">
        <v>9.5299999999999994</v>
      </c>
      <c r="R713" s="63">
        <v>0</v>
      </c>
      <c r="S713" s="64">
        <v>0</v>
      </c>
    </row>
    <row r="714" spans="1:19" ht="11.1" customHeight="1" x14ac:dyDescent="0.25">
      <c r="A714" s="57">
        <v>113213</v>
      </c>
      <c r="B714" s="53">
        <v>46132</v>
      </c>
      <c r="C714" s="58">
        <v>46132</v>
      </c>
      <c r="D714" s="59" t="s">
        <v>809</v>
      </c>
      <c r="E714" s="50" t="s">
        <v>313</v>
      </c>
      <c r="F714" s="57">
        <v>36</v>
      </c>
      <c r="G714" s="60">
        <v>3</v>
      </c>
      <c r="H714" s="61" t="s">
        <v>767</v>
      </c>
      <c r="I714" s="50" t="s">
        <v>768</v>
      </c>
      <c r="J714" s="50" t="s">
        <v>769</v>
      </c>
      <c r="K714" s="62">
        <v>5403</v>
      </c>
      <c r="L714" s="57">
        <v>207</v>
      </c>
      <c r="M714" s="50" t="s">
        <v>26</v>
      </c>
      <c r="N714" s="50" t="s">
        <v>317</v>
      </c>
      <c r="O714" s="64">
        <v>202.92</v>
      </c>
      <c r="P714" s="65">
        <v>12</v>
      </c>
      <c r="Q714" s="64">
        <v>24.35</v>
      </c>
      <c r="R714" s="63">
        <v>0</v>
      </c>
      <c r="S714" s="64">
        <v>14.21</v>
      </c>
    </row>
    <row r="715" spans="1:19" ht="11.1" customHeight="1" x14ac:dyDescent="0.25">
      <c r="N715" s="50" t="s">
        <v>318</v>
      </c>
      <c r="O715" s="64">
        <v>273.94</v>
      </c>
      <c r="P715" s="65">
        <v>20</v>
      </c>
      <c r="Q715" s="64">
        <v>14.21</v>
      </c>
      <c r="R715" s="63">
        <v>0</v>
      </c>
      <c r="S715" s="64">
        <v>0</v>
      </c>
    </row>
    <row r="716" spans="1:19" ht="11.1" customHeight="1" x14ac:dyDescent="0.25">
      <c r="A716" s="57">
        <v>113222</v>
      </c>
      <c r="B716" s="53">
        <v>46132</v>
      </c>
      <c r="C716" s="58">
        <v>46132</v>
      </c>
      <c r="D716" s="59" t="s">
        <v>810</v>
      </c>
      <c r="E716" s="50" t="s">
        <v>313</v>
      </c>
      <c r="F716" s="57">
        <v>36</v>
      </c>
      <c r="G716" s="60">
        <v>3</v>
      </c>
      <c r="H716" s="61" t="s">
        <v>767</v>
      </c>
      <c r="I716" s="50" t="s">
        <v>768</v>
      </c>
      <c r="J716" s="50" t="s">
        <v>769</v>
      </c>
      <c r="K716" s="62">
        <v>5102</v>
      </c>
      <c r="L716" s="57">
        <v>205</v>
      </c>
      <c r="M716" s="50" t="s">
        <v>26</v>
      </c>
      <c r="N716" s="50" t="s">
        <v>317</v>
      </c>
      <c r="O716" s="64">
        <v>962.13</v>
      </c>
      <c r="P716" s="65">
        <v>12</v>
      </c>
      <c r="Q716" s="64">
        <v>115.46</v>
      </c>
      <c r="R716" s="63">
        <v>0</v>
      </c>
      <c r="S716" s="64">
        <v>0</v>
      </c>
    </row>
    <row r="717" spans="1:19" ht="11.1" customHeight="1" x14ac:dyDescent="0.25">
      <c r="A717" s="57">
        <v>113223</v>
      </c>
      <c r="B717" s="53">
        <v>46132</v>
      </c>
      <c r="C717" s="58">
        <v>46132</v>
      </c>
      <c r="D717" s="59" t="s">
        <v>810</v>
      </c>
      <c r="E717" s="50" t="s">
        <v>313</v>
      </c>
      <c r="F717" s="57">
        <v>36</v>
      </c>
      <c r="G717" s="60">
        <v>3</v>
      </c>
      <c r="H717" s="61" t="s">
        <v>767</v>
      </c>
      <c r="I717" s="50" t="s">
        <v>768</v>
      </c>
      <c r="J717" s="50" t="s">
        <v>769</v>
      </c>
      <c r="K717" s="62">
        <v>5403</v>
      </c>
      <c r="L717" s="57">
        <v>207</v>
      </c>
      <c r="M717" s="50" t="s">
        <v>26</v>
      </c>
      <c r="N717" s="50" t="s">
        <v>317</v>
      </c>
      <c r="O717" s="64">
        <v>72.69</v>
      </c>
      <c r="P717" s="65">
        <v>12</v>
      </c>
      <c r="Q717" s="64">
        <v>8.7200000000000006</v>
      </c>
      <c r="R717" s="63">
        <v>0</v>
      </c>
      <c r="S717" s="64">
        <v>5.09</v>
      </c>
    </row>
    <row r="718" spans="1:19" ht="11.1" customHeight="1" x14ac:dyDescent="0.25">
      <c r="N718" s="50" t="s">
        <v>318</v>
      </c>
      <c r="O718" s="64">
        <v>98.13</v>
      </c>
      <c r="P718" s="65">
        <v>20</v>
      </c>
      <c r="Q718" s="64">
        <v>5.09</v>
      </c>
      <c r="R718" s="63">
        <v>0</v>
      </c>
      <c r="S718" s="64">
        <v>0</v>
      </c>
    </row>
    <row r="719" spans="1:19" ht="11.1" customHeight="1" x14ac:dyDescent="0.25">
      <c r="A719" s="57">
        <v>113225</v>
      </c>
      <c r="B719" s="53">
        <v>46132</v>
      </c>
      <c r="C719" s="58">
        <v>46132</v>
      </c>
      <c r="D719" s="59" t="s">
        <v>811</v>
      </c>
      <c r="E719" s="50" t="s">
        <v>313</v>
      </c>
      <c r="F719" s="57">
        <v>36</v>
      </c>
      <c r="G719" s="60">
        <v>3</v>
      </c>
      <c r="H719" s="61" t="s">
        <v>767</v>
      </c>
      <c r="I719" s="50" t="s">
        <v>768</v>
      </c>
      <c r="J719" s="50" t="s">
        <v>769</v>
      </c>
      <c r="K719" s="62">
        <v>5102</v>
      </c>
      <c r="L719" s="57">
        <v>205</v>
      </c>
      <c r="M719" s="50" t="s">
        <v>26</v>
      </c>
      <c r="N719" s="50" t="s">
        <v>317</v>
      </c>
      <c r="O719" s="64">
        <v>1823.52</v>
      </c>
      <c r="P719" s="65">
        <v>12</v>
      </c>
      <c r="Q719" s="64">
        <v>218.82</v>
      </c>
      <c r="R719" s="63">
        <v>0</v>
      </c>
      <c r="S719" s="64">
        <v>0</v>
      </c>
    </row>
    <row r="720" spans="1:19" ht="11.1" customHeight="1" x14ac:dyDescent="0.25">
      <c r="A720" s="57">
        <v>113232</v>
      </c>
      <c r="B720" s="53">
        <v>46132</v>
      </c>
      <c r="C720" s="58">
        <v>46132</v>
      </c>
      <c r="D720" s="59" t="s">
        <v>812</v>
      </c>
      <c r="E720" s="50" t="s">
        <v>313</v>
      </c>
      <c r="F720" s="57">
        <v>36</v>
      </c>
      <c r="G720" s="60">
        <v>3</v>
      </c>
      <c r="H720" s="61" t="s">
        <v>767</v>
      </c>
      <c r="I720" s="50" t="s">
        <v>768</v>
      </c>
      <c r="J720" s="50" t="s">
        <v>769</v>
      </c>
      <c r="K720" s="62">
        <v>5403</v>
      </c>
      <c r="L720" s="57">
        <v>207</v>
      </c>
      <c r="M720" s="50" t="s">
        <v>26</v>
      </c>
      <c r="N720" s="50" t="s">
        <v>317</v>
      </c>
      <c r="O720" s="64">
        <v>143.16</v>
      </c>
      <c r="P720" s="65">
        <v>12</v>
      </c>
      <c r="Q720" s="64">
        <v>17.18</v>
      </c>
      <c r="R720" s="63">
        <v>0</v>
      </c>
      <c r="S720" s="64">
        <v>10.02</v>
      </c>
    </row>
    <row r="721" spans="1:19" ht="11.1" customHeight="1" x14ac:dyDescent="0.25">
      <c r="N721" s="50" t="s">
        <v>318</v>
      </c>
      <c r="O721" s="64">
        <v>193.27</v>
      </c>
      <c r="P721" s="65">
        <v>20</v>
      </c>
      <c r="Q721" s="64">
        <v>10.02</v>
      </c>
      <c r="R721" s="63">
        <v>0</v>
      </c>
      <c r="S721" s="64">
        <v>0</v>
      </c>
    </row>
    <row r="722" spans="1:19" ht="11.1" customHeight="1" x14ac:dyDescent="0.25">
      <c r="A722" s="57">
        <v>113273</v>
      </c>
      <c r="B722" s="53">
        <v>46134</v>
      </c>
      <c r="C722" s="58">
        <v>46134</v>
      </c>
      <c r="D722" s="59" t="s">
        <v>813</v>
      </c>
      <c r="E722" s="50" t="s">
        <v>313</v>
      </c>
      <c r="F722" s="57">
        <v>36</v>
      </c>
      <c r="G722" s="60">
        <v>3</v>
      </c>
      <c r="H722" s="61" t="s">
        <v>767</v>
      </c>
      <c r="I722" s="50" t="s">
        <v>768</v>
      </c>
      <c r="J722" s="50" t="s">
        <v>769</v>
      </c>
      <c r="K722" s="62">
        <v>5102</v>
      </c>
      <c r="L722" s="57">
        <v>205</v>
      </c>
      <c r="M722" s="50" t="s">
        <v>26</v>
      </c>
      <c r="N722" s="50" t="s">
        <v>317</v>
      </c>
      <c r="O722" s="64">
        <v>514.69000000000005</v>
      </c>
      <c r="P722" s="65">
        <v>12</v>
      </c>
      <c r="Q722" s="64">
        <v>61.76</v>
      </c>
      <c r="R722" s="63">
        <v>0</v>
      </c>
      <c r="S722" s="64">
        <v>0</v>
      </c>
    </row>
    <row r="723" spans="1:19" ht="11.1" customHeight="1" x14ac:dyDescent="0.25">
      <c r="A723" s="57">
        <v>113274</v>
      </c>
      <c r="B723" s="53">
        <v>46134</v>
      </c>
      <c r="C723" s="58">
        <v>46134</v>
      </c>
      <c r="D723" s="59" t="s">
        <v>814</v>
      </c>
      <c r="E723" s="50" t="s">
        <v>313</v>
      </c>
      <c r="F723" s="57">
        <v>36</v>
      </c>
      <c r="G723" s="60">
        <v>3</v>
      </c>
      <c r="H723" s="61" t="s">
        <v>767</v>
      </c>
      <c r="I723" s="50" t="s">
        <v>768</v>
      </c>
      <c r="J723" s="50" t="s">
        <v>769</v>
      </c>
      <c r="K723" s="62">
        <v>5403</v>
      </c>
      <c r="L723" s="57">
        <v>207</v>
      </c>
      <c r="M723" s="50" t="s">
        <v>26</v>
      </c>
      <c r="N723" s="50" t="s">
        <v>317</v>
      </c>
      <c r="O723" s="64">
        <v>2875.47</v>
      </c>
      <c r="P723" s="65">
        <v>12</v>
      </c>
      <c r="Q723" s="64">
        <v>345.07</v>
      </c>
      <c r="R723" s="63">
        <v>0</v>
      </c>
      <c r="S723" s="64">
        <v>201.29</v>
      </c>
    </row>
    <row r="724" spans="1:19" ht="11.1" customHeight="1" x14ac:dyDescent="0.25">
      <c r="N724" s="50" t="s">
        <v>318</v>
      </c>
      <c r="O724" s="64">
        <v>3881.89</v>
      </c>
      <c r="P724" s="65">
        <v>20</v>
      </c>
      <c r="Q724" s="64">
        <v>201.29</v>
      </c>
      <c r="R724" s="63">
        <v>0</v>
      </c>
      <c r="S724" s="64">
        <v>0</v>
      </c>
    </row>
    <row r="725" spans="1:19" ht="11.1" customHeight="1" x14ac:dyDescent="0.25">
      <c r="A725" s="57">
        <v>113288</v>
      </c>
      <c r="B725" s="53">
        <v>46134</v>
      </c>
      <c r="C725" s="58">
        <v>46134</v>
      </c>
      <c r="D725" s="59" t="s">
        <v>815</v>
      </c>
      <c r="E725" s="50" t="s">
        <v>313</v>
      </c>
      <c r="F725" s="57">
        <v>36</v>
      </c>
      <c r="G725" s="60">
        <v>3</v>
      </c>
      <c r="H725" s="61" t="s">
        <v>767</v>
      </c>
      <c r="I725" s="50" t="s">
        <v>768</v>
      </c>
      <c r="J725" s="50" t="s">
        <v>769</v>
      </c>
      <c r="K725" s="62">
        <v>5102</v>
      </c>
      <c r="L725" s="57">
        <v>205</v>
      </c>
      <c r="M725" s="50" t="s">
        <v>26</v>
      </c>
      <c r="N725" s="50" t="s">
        <v>317</v>
      </c>
      <c r="O725" s="64">
        <v>343.56</v>
      </c>
      <c r="P725" s="65">
        <v>12</v>
      </c>
      <c r="Q725" s="64">
        <v>41.22</v>
      </c>
      <c r="R725" s="63">
        <v>0</v>
      </c>
      <c r="S725" s="64">
        <v>0</v>
      </c>
    </row>
    <row r="726" spans="1:19" ht="11.1" customHeight="1" x14ac:dyDescent="0.25">
      <c r="A726" s="57">
        <v>113289</v>
      </c>
      <c r="B726" s="53">
        <v>46134</v>
      </c>
      <c r="C726" s="58">
        <v>46134</v>
      </c>
      <c r="D726" s="59" t="s">
        <v>815</v>
      </c>
      <c r="E726" s="50" t="s">
        <v>313</v>
      </c>
      <c r="F726" s="57">
        <v>36</v>
      </c>
      <c r="G726" s="60">
        <v>3</v>
      </c>
      <c r="H726" s="61" t="s">
        <v>767</v>
      </c>
      <c r="I726" s="50" t="s">
        <v>768</v>
      </c>
      <c r="J726" s="50" t="s">
        <v>769</v>
      </c>
      <c r="K726" s="62">
        <v>5403</v>
      </c>
      <c r="L726" s="57">
        <v>207</v>
      </c>
      <c r="M726" s="50" t="s">
        <v>26</v>
      </c>
      <c r="N726" s="50" t="s">
        <v>317</v>
      </c>
      <c r="O726" s="64">
        <v>417.76</v>
      </c>
      <c r="P726" s="65">
        <v>12</v>
      </c>
      <c r="Q726" s="64">
        <v>50.13</v>
      </c>
      <c r="R726" s="63">
        <v>0</v>
      </c>
      <c r="S726" s="64">
        <v>29.25</v>
      </c>
    </row>
    <row r="727" spans="1:19" ht="11.1" customHeight="1" x14ac:dyDescent="0.25">
      <c r="N727" s="50" t="s">
        <v>318</v>
      </c>
      <c r="O727" s="64">
        <v>563.98</v>
      </c>
      <c r="P727" s="65">
        <v>20</v>
      </c>
      <c r="Q727" s="64">
        <v>29.25</v>
      </c>
      <c r="R727" s="63">
        <v>0</v>
      </c>
      <c r="S727" s="64">
        <v>0</v>
      </c>
    </row>
    <row r="728" spans="1:19" ht="11.1" customHeight="1" x14ac:dyDescent="0.25">
      <c r="A728" s="57">
        <v>113294</v>
      </c>
      <c r="B728" s="53">
        <v>46134</v>
      </c>
      <c r="C728" s="58">
        <v>46134</v>
      </c>
      <c r="D728" s="59" t="s">
        <v>816</v>
      </c>
      <c r="E728" s="50" t="s">
        <v>313</v>
      </c>
      <c r="F728" s="57">
        <v>36</v>
      </c>
      <c r="G728" s="60">
        <v>3</v>
      </c>
      <c r="H728" s="61" t="s">
        <v>767</v>
      </c>
      <c r="I728" s="50" t="s">
        <v>768</v>
      </c>
      <c r="J728" s="50" t="s">
        <v>769</v>
      </c>
      <c r="K728" s="62">
        <v>5403</v>
      </c>
      <c r="L728" s="57">
        <v>207</v>
      </c>
      <c r="M728" s="50" t="s">
        <v>26</v>
      </c>
      <c r="N728" s="50" t="s">
        <v>317</v>
      </c>
      <c r="O728" s="64">
        <v>28.42</v>
      </c>
      <c r="P728" s="65">
        <v>12</v>
      </c>
      <c r="Q728" s="64">
        <v>3.41</v>
      </c>
      <c r="R728" s="63">
        <v>0</v>
      </c>
      <c r="S728" s="64">
        <v>1.99</v>
      </c>
    </row>
    <row r="729" spans="1:19" ht="11.1" customHeight="1" x14ac:dyDescent="0.25">
      <c r="N729" s="50" t="s">
        <v>318</v>
      </c>
      <c r="O729" s="64">
        <v>38.369999999999997</v>
      </c>
      <c r="P729" s="65">
        <v>20</v>
      </c>
      <c r="Q729" s="64">
        <v>1.99</v>
      </c>
      <c r="R729" s="63">
        <v>0</v>
      </c>
      <c r="S729" s="64">
        <v>0</v>
      </c>
    </row>
    <row r="730" spans="1:19" ht="11.1" customHeight="1" x14ac:dyDescent="0.25">
      <c r="A730" s="57">
        <v>113307</v>
      </c>
      <c r="B730" s="53">
        <v>46134</v>
      </c>
      <c r="C730" s="58">
        <v>46134</v>
      </c>
      <c r="D730" s="59" t="s">
        <v>817</v>
      </c>
      <c r="E730" s="50" t="s">
        <v>313</v>
      </c>
      <c r="F730" s="57">
        <v>36</v>
      </c>
      <c r="G730" s="60">
        <v>3</v>
      </c>
      <c r="H730" s="61" t="s">
        <v>767</v>
      </c>
      <c r="I730" s="50" t="s">
        <v>768</v>
      </c>
      <c r="J730" s="50" t="s">
        <v>769</v>
      </c>
      <c r="K730" s="62">
        <v>5403</v>
      </c>
      <c r="L730" s="57">
        <v>207</v>
      </c>
      <c r="M730" s="50" t="s">
        <v>26</v>
      </c>
      <c r="N730" s="50" t="s">
        <v>317</v>
      </c>
      <c r="O730" s="64">
        <v>297.10000000000002</v>
      </c>
      <c r="P730" s="65">
        <v>12</v>
      </c>
      <c r="Q730" s="64">
        <v>35.65</v>
      </c>
      <c r="R730" s="63">
        <v>0</v>
      </c>
      <c r="S730" s="64">
        <v>20.79</v>
      </c>
    </row>
    <row r="731" spans="1:19" ht="11.1" customHeight="1" x14ac:dyDescent="0.25">
      <c r="N731" s="50" t="s">
        <v>318</v>
      </c>
      <c r="O731" s="64">
        <v>401.08</v>
      </c>
      <c r="P731" s="65">
        <v>20</v>
      </c>
      <c r="Q731" s="64">
        <v>20.79</v>
      </c>
      <c r="R731" s="63">
        <v>0</v>
      </c>
      <c r="S731" s="64">
        <v>0</v>
      </c>
    </row>
    <row r="732" spans="1:19" ht="11.1" customHeight="1" x14ac:dyDescent="0.25">
      <c r="A732" s="57">
        <v>113322</v>
      </c>
      <c r="B732" s="53">
        <v>46135</v>
      </c>
      <c r="C732" s="58">
        <v>46135</v>
      </c>
      <c r="D732" s="59" t="s">
        <v>818</v>
      </c>
      <c r="E732" s="50" t="s">
        <v>313</v>
      </c>
      <c r="F732" s="57">
        <v>36</v>
      </c>
      <c r="G732" s="60">
        <v>3</v>
      </c>
      <c r="H732" s="61" t="s">
        <v>767</v>
      </c>
      <c r="I732" s="50" t="s">
        <v>768</v>
      </c>
      <c r="J732" s="50" t="s">
        <v>769</v>
      </c>
      <c r="K732" s="62">
        <v>5102</v>
      </c>
      <c r="L732" s="57">
        <v>205</v>
      </c>
      <c r="M732" s="50" t="s">
        <v>26</v>
      </c>
      <c r="N732" s="50" t="s">
        <v>317</v>
      </c>
      <c r="O732" s="64">
        <v>104</v>
      </c>
      <c r="P732" s="65">
        <v>12</v>
      </c>
      <c r="Q732" s="64">
        <v>12.48</v>
      </c>
      <c r="R732" s="63">
        <v>0</v>
      </c>
      <c r="S732" s="64">
        <v>0</v>
      </c>
    </row>
    <row r="733" spans="1:19" ht="11.1" customHeight="1" x14ac:dyDescent="0.25">
      <c r="A733" s="57">
        <v>113332</v>
      </c>
      <c r="B733" s="53">
        <v>46135</v>
      </c>
      <c r="C733" s="58">
        <v>46135</v>
      </c>
      <c r="D733" s="59" t="s">
        <v>819</v>
      </c>
      <c r="E733" s="50" t="s">
        <v>313</v>
      </c>
      <c r="F733" s="57">
        <v>36</v>
      </c>
      <c r="G733" s="60">
        <v>3</v>
      </c>
      <c r="H733" s="61" t="s">
        <v>767</v>
      </c>
      <c r="I733" s="50" t="s">
        <v>768</v>
      </c>
      <c r="J733" s="50" t="s">
        <v>769</v>
      </c>
      <c r="K733" s="62">
        <v>5102</v>
      </c>
      <c r="L733" s="57">
        <v>205</v>
      </c>
      <c r="M733" s="50" t="s">
        <v>26</v>
      </c>
      <c r="N733" s="50" t="s">
        <v>317</v>
      </c>
      <c r="O733" s="64">
        <v>1005.68</v>
      </c>
      <c r="P733" s="65">
        <v>12</v>
      </c>
      <c r="Q733" s="64">
        <v>120.68</v>
      </c>
      <c r="R733" s="63">
        <v>0</v>
      </c>
      <c r="S733" s="64">
        <v>0</v>
      </c>
    </row>
    <row r="734" spans="1:19" ht="11.1" customHeight="1" x14ac:dyDescent="0.25">
      <c r="A734" s="57">
        <v>113333</v>
      </c>
      <c r="B734" s="53">
        <v>46135</v>
      </c>
      <c r="C734" s="58">
        <v>46135</v>
      </c>
      <c r="D734" s="59" t="s">
        <v>819</v>
      </c>
      <c r="E734" s="50" t="s">
        <v>313</v>
      </c>
      <c r="F734" s="57">
        <v>36</v>
      </c>
      <c r="G734" s="60">
        <v>3</v>
      </c>
      <c r="H734" s="61" t="s">
        <v>767</v>
      </c>
      <c r="I734" s="50" t="s">
        <v>768</v>
      </c>
      <c r="J734" s="50" t="s">
        <v>769</v>
      </c>
      <c r="K734" s="62">
        <v>5403</v>
      </c>
      <c r="L734" s="57">
        <v>207</v>
      </c>
      <c r="M734" s="50" t="s">
        <v>26</v>
      </c>
      <c r="N734" s="50" t="s">
        <v>317</v>
      </c>
      <c r="O734" s="64">
        <v>248.04</v>
      </c>
      <c r="P734" s="65">
        <v>12</v>
      </c>
      <c r="Q734" s="64">
        <v>29.76</v>
      </c>
      <c r="R734" s="63">
        <v>0</v>
      </c>
      <c r="S734" s="64">
        <v>17.36</v>
      </c>
    </row>
    <row r="735" spans="1:19" ht="11.1" customHeight="1" x14ac:dyDescent="0.25">
      <c r="N735" s="50" t="s">
        <v>318</v>
      </c>
      <c r="O735" s="64">
        <v>334.85</v>
      </c>
      <c r="P735" s="65">
        <v>20</v>
      </c>
      <c r="Q735" s="64">
        <v>17.36</v>
      </c>
      <c r="R735" s="63">
        <v>0</v>
      </c>
      <c r="S735" s="64">
        <v>0</v>
      </c>
    </row>
    <row r="736" spans="1:19" ht="11.1" customHeight="1" x14ac:dyDescent="0.25">
      <c r="A736" s="57">
        <v>113348</v>
      </c>
      <c r="B736" s="53">
        <v>46135</v>
      </c>
      <c r="C736" s="58">
        <v>46135</v>
      </c>
      <c r="D736" s="59" t="s">
        <v>820</v>
      </c>
      <c r="E736" s="50" t="s">
        <v>313</v>
      </c>
      <c r="F736" s="57">
        <v>36</v>
      </c>
      <c r="G736" s="60">
        <v>3</v>
      </c>
      <c r="H736" s="61" t="s">
        <v>767</v>
      </c>
      <c r="I736" s="50" t="s">
        <v>768</v>
      </c>
      <c r="J736" s="50" t="s">
        <v>769</v>
      </c>
      <c r="K736" s="62">
        <v>5102</v>
      </c>
      <c r="L736" s="57">
        <v>205</v>
      </c>
      <c r="M736" s="50" t="s">
        <v>26</v>
      </c>
      <c r="N736" s="50" t="s">
        <v>317</v>
      </c>
      <c r="O736" s="64">
        <v>502.4</v>
      </c>
      <c r="P736" s="65">
        <v>12</v>
      </c>
      <c r="Q736" s="64">
        <v>60.29</v>
      </c>
      <c r="R736" s="63">
        <v>0</v>
      </c>
      <c r="S736" s="64">
        <v>0</v>
      </c>
    </row>
    <row r="737" spans="1:19" ht="11.1" customHeight="1" x14ac:dyDescent="0.25">
      <c r="A737" s="57">
        <v>113371</v>
      </c>
      <c r="B737" s="53">
        <v>46135</v>
      </c>
      <c r="C737" s="58">
        <v>46135</v>
      </c>
      <c r="D737" s="59" t="s">
        <v>821</v>
      </c>
      <c r="E737" s="50" t="s">
        <v>313</v>
      </c>
      <c r="F737" s="57">
        <v>36</v>
      </c>
      <c r="G737" s="60">
        <v>3</v>
      </c>
      <c r="H737" s="61" t="s">
        <v>767</v>
      </c>
      <c r="I737" s="50" t="s">
        <v>768</v>
      </c>
      <c r="J737" s="50" t="s">
        <v>769</v>
      </c>
      <c r="K737" s="62">
        <v>5102</v>
      </c>
      <c r="L737" s="57">
        <v>205</v>
      </c>
      <c r="M737" s="50" t="s">
        <v>26</v>
      </c>
      <c r="N737" s="50" t="s">
        <v>317</v>
      </c>
      <c r="O737" s="64">
        <v>722.3</v>
      </c>
      <c r="P737" s="65">
        <v>12</v>
      </c>
      <c r="Q737" s="64">
        <v>86.67</v>
      </c>
      <c r="R737" s="63">
        <v>0</v>
      </c>
      <c r="S737" s="64">
        <v>0</v>
      </c>
    </row>
    <row r="738" spans="1:19" ht="11.1" customHeight="1" x14ac:dyDescent="0.25">
      <c r="A738" s="57">
        <v>113396</v>
      </c>
      <c r="B738" s="53">
        <v>46136</v>
      </c>
      <c r="C738" s="58">
        <v>46136</v>
      </c>
      <c r="D738" s="59" t="s">
        <v>822</v>
      </c>
      <c r="E738" s="50" t="s">
        <v>313</v>
      </c>
      <c r="F738" s="57">
        <v>36</v>
      </c>
      <c r="G738" s="60">
        <v>3</v>
      </c>
      <c r="H738" s="61" t="s">
        <v>767</v>
      </c>
      <c r="I738" s="50" t="s">
        <v>768</v>
      </c>
      <c r="J738" s="50" t="s">
        <v>769</v>
      </c>
      <c r="K738" s="62">
        <v>5102</v>
      </c>
      <c r="L738" s="57">
        <v>205</v>
      </c>
      <c r="M738" s="50" t="s">
        <v>26</v>
      </c>
      <c r="N738" s="50" t="s">
        <v>317</v>
      </c>
      <c r="O738" s="64">
        <v>2616.1999999999998</v>
      </c>
      <c r="P738" s="65">
        <v>12</v>
      </c>
      <c r="Q738" s="64">
        <v>313.94</v>
      </c>
      <c r="R738" s="63">
        <v>0</v>
      </c>
      <c r="S738" s="64">
        <v>0</v>
      </c>
    </row>
    <row r="739" spans="1:19" ht="11.1" customHeight="1" x14ac:dyDescent="0.25">
      <c r="A739" s="57">
        <v>113400</v>
      </c>
      <c r="B739" s="53">
        <v>46136</v>
      </c>
      <c r="C739" s="58">
        <v>46136</v>
      </c>
      <c r="D739" s="59" t="s">
        <v>823</v>
      </c>
      <c r="E739" s="50" t="s">
        <v>313</v>
      </c>
      <c r="F739" s="57">
        <v>36</v>
      </c>
      <c r="G739" s="60">
        <v>3</v>
      </c>
      <c r="H739" s="61" t="s">
        <v>767</v>
      </c>
      <c r="I739" s="50" t="s">
        <v>768</v>
      </c>
      <c r="J739" s="50" t="s">
        <v>769</v>
      </c>
      <c r="K739" s="62">
        <v>5102</v>
      </c>
      <c r="L739" s="57">
        <v>205</v>
      </c>
      <c r="M739" s="50" t="s">
        <v>26</v>
      </c>
      <c r="N739" s="50" t="s">
        <v>317</v>
      </c>
      <c r="O739" s="64">
        <v>280.48</v>
      </c>
      <c r="P739" s="65">
        <v>12</v>
      </c>
      <c r="Q739" s="64">
        <v>33.659999999999997</v>
      </c>
      <c r="R739" s="63">
        <v>0</v>
      </c>
      <c r="S739" s="64">
        <v>0</v>
      </c>
    </row>
    <row r="740" spans="1:19" ht="11.1" customHeight="1" x14ac:dyDescent="0.25">
      <c r="A740" s="57">
        <v>113401</v>
      </c>
      <c r="B740" s="53">
        <v>46136</v>
      </c>
      <c r="C740" s="58">
        <v>46136</v>
      </c>
      <c r="D740" s="59" t="s">
        <v>823</v>
      </c>
      <c r="E740" s="50" t="s">
        <v>313</v>
      </c>
      <c r="F740" s="57">
        <v>36</v>
      </c>
      <c r="G740" s="60">
        <v>3</v>
      </c>
      <c r="H740" s="61" t="s">
        <v>767</v>
      </c>
      <c r="I740" s="50" t="s">
        <v>768</v>
      </c>
      <c r="J740" s="50" t="s">
        <v>769</v>
      </c>
      <c r="K740" s="62">
        <v>5403</v>
      </c>
      <c r="L740" s="57">
        <v>207</v>
      </c>
      <c r="M740" s="50" t="s">
        <v>26</v>
      </c>
      <c r="N740" s="50" t="s">
        <v>317</v>
      </c>
      <c r="O740" s="64">
        <v>143.16</v>
      </c>
      <c r="P740" s="65">
        <v>12</v>
      </c>
      <c r="Q740" s="64">
        <v>17.18</v>
      </c>
      <c r="R740" s="63">
        <v>0</v>
      </c>
      <c r="S740" s="64">
        <v>10.02</v>
      </c>
    </row>
    <row r="741" spans="1:19" ht="11.1" customHeight="1" x14ac:dyDescent="0.25">
      <c r="N741" s="50" t="s">
        <v>318</v>
      </c>
      <c r="O741" s="64">
        <v>193.27</v>
      </c>
      <c r="P741" s="65">
        <v>20</v>
      </c>
      <c r="Q741" s="64">
        <v>10.02</v>
      </c>
      <c r="R741" s="63">
        <v>0</v>
      </c>
      <c r="S741" s="64">
        <v>0</v>
      </c>
    </row>
    <row r="742" spans="1:19" ht="11.1" customHeight="1" x14ac:dyDescent="0.25">
      <c r="A742" s="57">
        <v>113402</v>
      </c>
      <c r="B742" s="53">
        <v>46136</v>
      </c>
      <c r="C742" s="58">
        <v>46136</v>
      </c>
      <c r="D742" s="59" t="s">
        <v>824</v>
      </c>
      <c r="E742" s="50" t="s">
        <v>313</v>
      </c>
      <c r="F742" s="57">
        <v>36</v>
      </c>
      <c r="G742" s="60">
        <v>3</v>
      </c>
      <c r="H742" s="61" t="s">
        <v>767</v>
      </c>
      <c r="I742" s="50" t="s">
        <v>768</v>
      </c>
      <c r="J742" s="50" t="s">
        <v>769</v>
      </c>
      <c r="K742" s="62">
        <v>5102</v>
      </c>
      <c r="L742" s="57">
        <v>205</v>
      </c>
      <c r="M742" s="50" t="s">
        <v>26</v>
      </c>
      <c r="N742" s="50" t="s">
        <v>317</v>
      </c>
      <c r="O742" s="64">
        <v>785.64</v>
      </c>
      <c r="P742" s="65">
        <v>12</v>
      </c>
      <c r="Q742" s="64">
        <v>94.27</v>
      </c>
      <c r="R742" s="63">
        <v>0</v>
      </c>
      <c r="S742" s="64">
        <v>0</v>
      </c>
    </row>
    <row r="743" spans="1:19" ht="11.1" customHeight="1" x14ac:dyDescent="0.25">
      <c r="A743" s="57">
        <v>113403</v>
      </c>
      <c r="B743" s="53">
        <v>46136</v>
      </c>
      <c r="C743" s="58">
        <v>46136</v>
      </c>
      <c r="D743" s="59" t="s">
        <v>824</v>
      </c>
      <c r="E743" s="50" t="s">
        <v>313</v>
      </c>
      <c r="F743" s="57">
        <v>36</v>
      </c>
      <c r="G743" s="60">
        <v>3</v>
      </c>
      <c r="H743" s="61" t="s">
        <v>767</v>
      </c>
      <c r="I743" s="50" t="s">
        <v>768</v>
      </c>
      <c r="J743" s="50" t="s">
        <v>769</v>
      </c>
      <c r="K743" s="62">
        <v>5403</v>
      </c>
      <c r="L743" s="57">
        <v>207</v>
      </c>
      <c r="M743" s="50" t="s">
        <v>26</v>
      </c>
      <c r="N743" s="50" t="s">
        <v>317</v>
      </c>
      <c r="O743" s="64">
        <v>493.49</v>
      </c>
      <c r="P743" s="65">
        <v>12</v>
      </c>
      <c r="Q743" s="64">
        <v>59.22</v>
      </c>
      <c r="R743" s="63">
        <v>0</v>
      </c>
      <c r="S743" s="64">
        <v>34.549999999999997</v>
      </c>
    </row>
    <row r="744" spans="1:19" ht="11.1" customHeight="1" x14ac:dyDescent="0.25">
      <c r="N744" s="50" t="s">
        <v>318</v>
      </c>
      <c r="O744" s="64">
        <v>666.21</v>
      </c>
      <c r="P744" s="65">
        <v>20</v>
      </c>
      <c r="Q744" s="64">
        <v>34.549999999999997</v>
      </c>
      <c r="R744" s="63">
        <v>0</v>
      </c>
      <c r="S744" s="64">
        <v>0</v>
      </c>
    </row>
    <row r="745" spans="1:19" ht="11.1" customHeight="1" x14ac:dyDescent="0.25">
      <c r="A745" s="57">
        <v>113407</v>
      </c>
      <c r="B745" s="53">
        <v>46136</v>
      </c>
      <c r="C745" s="58">
        <v>46136</v>
      </c>
      <c r="D745" s="59" t="s">
        <v>825</v>
      </c>
      <c r="E745" s="50" t="s">
        <v>313</v>
      </c>
      <c r="F745" s="57">
        <v>36</v>
      </c>
      <c r="G745" s="60">
        <v>3</v>
      </c>
      <c r="H745" s="61" t="s">
        <v>767</v>
      </c>
      <c r="I745" s="50" t="s">
        <v>768</v>
      </c>
      <c r="J745" s="50" t="s">
        <v>769</v>
      </c>
      <c r="K745" s="62">
        <v>5102</v>
      </c>
      <c r="L745" s="57">
        <v>205</v>
      </c>
      <c r="M745" s="50" t="s">
        <v>26</v>
      </c>
      <c r="N745" s="50" t="s">
        <v>317</v>
      </c>
      <c r="O745" s="64">
        <v>685.1</v>
      </c>
      <c r="P745" s="65">
        <v>12</v>
      </c>
      <c r="Q745" s="64">
        <v>82.21</v>
      </c>
      <c r="R745" s="63">
        <v>0</v>
      </c>
      <c r="S745" s="64">
        <v>0</v>
      </c>
    </row>
    <row r="746" spans="1:19" ht="11.1" customHeight="1" x14ac:dyDescent="0.25">
      <c r="A746" s="57">
        <v>113429</v>
      </c>
      <c r="B746" s="53">
        <v>46136</v>
      </c>
      <c r="C746" s="58">
        <v>46136</v>
      </c>
      <c r="D746" s="59" t="s">
        <v>826</v>
      </c>
      <c r="E746" s="50" t="s">
        <v>313</v>
      </c>
      <c r="F746" s="57">
        <v>36</v>
      </c>
      <c r="G746" s="60">
        <v>3</v>
      </c>
      <c r="H746" s="61" t="s">
        <v>767</v>
      </c>
      <c r="I746" s="50" t="s">
        <v>768</v>
      </c>
      <c r="J746" s="50" t="s">
        <v>769</v>
      </c>
      <c r="K746" s="62">
        <v>5102</v>
      </c>
      <c r="L746" s="57">
        <v>205</v>
      </c>
      <c r="M746" s="50" t="s">
        <v>26</v>
      </c>
      <c r="N746" s="50" t="s">
        <v>317</v>
      </c>
      <c r="O746" s="64">
        <v>15216.5</v>
      </c>
      <c r="P746" s="65">
        <v>12</v>
      </c>
      <c r="Q746" s="64">
        <v>1825.99</v>
      </c>
      <c r="R746" s="63">
        <v>0</v>
      </c>
      <c r="S746" s="64">
        <v>0</v>
      </c>
    </row>
    <row r="747" spans="1:19" ht="11.1" customHeight="1" x14ac:dyDescent="0.25">
      <c r="A747" s="57">
        <v>113430</v>
      </c>
      <c r="B747" s="53">
        <v>46136</v>
      </c>
      <c r="C747" s="58">
        <v>46136</v>
      </c>
      <c r="D747" s="59" t="s">
        <v>826</v>
      </c>
      <c r="E747" s="50" t="s">
        <v>313</v>
      </c>
      <c r="F747" s="57">
        <v>36</v>
      </c>
      <c r="G747" s="60">
        <v>3</v>
      </c>
      <c r="H747" s="61" t="s">
        <v>767</v>
      </c>
      <c r="I747" s="50" t="s">
        <v>768</v>
      </c>
      <c r="J747" s="50" t="s">
        <v>769</v>
      </c>
      <c r="K747" s="62">
        <v>5403</v>
      </c>
      <c r="L747" s="57">
        <v>207</v>
      </c>
      <c r="M747" s="50" t="s">
        <v>26</v>
      </c>
      <c r="N747" s="50" t="s">
        <v>317</v>
      </c>
      <c r="O747" s="64">
        <v>9915.18</v>
      </c>
      <c r="P747" s="65">
        <v>12</v>
      </c>
      <c r="Q747" s="64">
        <v>1189.81</v>
      </c>
      <c r="R747" s="63">
        <v>0</v>
      </c>
      <c r="S747" s="64">
        <v>694.07</v>
      </c>
    </row>
    <row r="748" spans="1:19" ht="11.1" customHeight="1" x14ac:dyDescent="0.25">
      <c r="N748" s="50" t="s">
        <v>318</v>
      </c>
      <c r="O748" s="64">
        <v>13385.49</v>
      </c>
      <c r="P748" s="65">
        <v>20</v>
      </c>
      <c r="Q748" s="64">
        <v>694.07</v>
      </c>
      <c r="R748" s="63">
        <v>0</v>
      </c>
      <c r="S748" s="64">
        <v>0</v>
      </c>
    </row>
    <row r="749" spans="1:19" ht="11.1" customHeight="1" x14ac:dyDescent="0.25">
      <c r="A749" s="57">
        <v>113431</v>
      </c>
      <c r="B749" s="53">
        <v>46136</v>
      </c>
      <c r="C749" s="58">
        <v>46136</v>
      </c>
      <c r="D749" s="59" t="s">
        <v>827</v>
      </c>
      <c r="E749" s="50" t="s">
        <v>313</v>
      </c>
      <c r="F749" s="57">
        <v>36</v>
      </c>
      <c r="G749" s="60">
        <v>3</v>
      </c>
      <c r="H749" s="61" t="s">
        <v>767</v>
      </c>
      <c r="I749" s="50" t="s">
        <v>768</v>
      </c>
      <c r="J749" s="50" t="s">
        <v>769</v>
      </c>
      <c r="K749" s="62">
        <v>5102</v>
      </c>
      <c r="L749" s="57">
        <v>205</v>
      </c>
      <c r="M749" s="50" t="s">
        <v>26</v>
      </c>
      <c r="N749" s="50" t="s">
        <v>317</v>
      </c>
      <c r="O749" s="64">
        <v>118.08</v>
      </c>
      <c r="P749" s="65">
        <v>12</v>
      </c>
      <c r="Q749" s="64">
        <v>14.17</v>
      </c>
      <c r="R749" s="63">
        <v>0</v>
      </c>
      <c r="S749" s="64">
        <v>0</v>
      </c>
    </row>
    <row r="750" spans="1:19" ht="11.1" customHeight="1" x14ac:dyDescent="0.25">
      <c r="A750" s="57">
        <v>113432</v>
      </c>
      <c r="B750" s="53">
        <v>46136</v>
      </c>
      <c r="C750" s="58">
        <v>46136</v>
      </c>
      <c r="D750" s="59" t="s">
        <v>827</v>
      </c>
      <c r="E750" s="50" t="s">
        <v>313</v>
      </c>
      <c r="F750" s="57">
        <v>36</v>
      </c>
      <c r="G750" s="60">
        <v>3</v>
      </c>
      <c r="H750" s="61" t="s">
        <v>767</v>
      </c>
      <c r="I750" s="50" t="s">
        <v>768</v>
      </c>
      <c r="J750" s="50" t="s">
        <v>769</v>
      </c>
      <c r="K750" s="62">
        <v>5403</v>
      </c>
      <c r="L750" s="57">
        <v>207</v>
      </c>
      <c r="M750" s="50" t="s">
        <v>26</v>
      </c>
      <c r="N750" s="50" t="s">
        <v>317</v>
      </c>
      <c r="O750" s="64">
        <v>80.36</v>
      </c>
      <c r="P750" s="65">
        <v>12</v>
      </c>
      <c r="Q750" s="64">
        <v>9.64</v>
      </c>
      <c r="R750" s="63">
        <v>0</v>
      </c>
      <c r="S750" s="64">
        <v>5.63</v>
      </c>
    </row>
    <row r="751" spans="1:19" ht="11.1" customHeight="1" x14ac:dyDescent="0.25">
      <c r="N751" s="50" t="s">
        <v>318</v>
      </c>
      <c r="O751" s="64">
        <v>108.49</v>
      </c>
      <c r="P751" s="65">
        <v>20</v>
      </c>
      <c r="Q751" s="64">
        <v>5.63</v>
      </c>
      <c r="R751" s="63">
        <v>0</v>
      </c>
      <c r="S751" s="64">
        <v>0</v>
      </c>
    </row>
    <row r="752" spans="1:19" ht="11.1" customHeight="1" x14ac:dyDescent="0.25">
      <c r="A752" s="57">
        <v>113436</v>
      </c>
      <c r="B752" s="53">
        <v>46139</v>
      </c>
      <c r="C752" s="58">
        <v>46139</v>
      </c>
      <c r="D752" s="59" t="s">
        <v>828</v>
      </c>
      <c r="E752" s="50" t="s">
        <v>313</v>
      </c>
      <c r="F752" s="57">
        <v>36</v>
      </c>
      <c r="G752" s="60">
        <v>3</v>
      </c>
      <c r="H752" s="61" t="s">
        <v>767</v>
      </c>
      <c r="I752" s="50" t="s">
        <v>768</v>
      </c>
      <c r="J752" s="50" t="s">
        <v>769</v>
      </c>
      <c r="K752" s="62">
        <v>5102</v>
      </c>
      <c r="L752" s="57">
        <v>205</v>
      </c>
      <c r="M752" s="50" t="s">
        <v>26</v>
      </c>
      <c r="N752" s="50" t="s">
        <v>317</v>
      </c>
      <c r="O752" s="64">
        <v>1061.5</v>
      </c>
      <c r="P752" s="65">
        <v>12</v>
      </c>
      <c r="Q752" s="64">
        <v>127.38</v>
      </c>
      <c r="R752" s="63">
        <v>0</v>
      </c>
      <c r="S752" s="64">
        <v>0</v>
      </c>
    </row>
    <row r="753" spans="1:19" ht="11.1" customHeight="1" x14ac:dyDescent="0.25">
      <c r="A753" s="57">
        <v>113437</v>
      </c>
      <c r="B753" s="53">
        <v>46139</v>
      </c>
      <c r="C753" s="58">
        <v>46139</v>
      </c>
      <c r="D753" s="59" t="s">
        <v>828</v>
      </c>
      <c r="E753" s="50" t="s">
        <v>313</v>
      </c>
      <c r="F753" s="57">
        <v>36</v>
      </c>
      <c r="G753" s="60">
        <v>3</v>
      </c>
      <c r="H753" s="61" t="s">
        <v>767</v>
      </c>
      <c r="I753" s="50" t="s">
        <v>768</v>
      </c>
      <c r="J753" s="50" t="s">
        <v>769</v>
      </c>
      <c r="K753" s="62">
        <v>5403</v>
      </c>
      <c r="L753" s="57">
        <v>207</v>
      </c>
      <c r="M753" s="50" t="s">
        <v>26</v>
      </c>
      <c r="N753" s="50" t="s">
        <v>317</v>
      </c>
      <c r="O753" s="64">
        <v>1011.97</v>
      </c>
      <c r="P753" s="65">
        <v>12</v>
      </c>
      <c r="Q753" s="64">
        <v>121.43</v>
      </c>
      <c r="R753" s="63">
        <v>0</v>
      </c>
      <c r="S753" s="64">
        <v>70.84</v>
      </c>
    </row>
    <row r="754" spans="1:19" ht="11.1" customHeight="1" x14ac:dyDescent="0.25">
      <c r="N754" s="50" t="s">
        <v>318</v>
      </c>
      <c r="O754" s="64">
        <v>1366.16</v>
      </c>
      <c r="P754" s="65">
        <v>20</v>
      </c>
      <c r="Q754" s="64">
        <v>70.84</v>
      </c>
      <c r="R754" s="63">
        <v>0</v>
      </c>
      <c r="S754" s="64">
        <v>0</v>
      </c>
    </row>
    <row r="755" spans="1:19" ht="11.1" customHeight="1" x14ac:dyDescent="0.25">
      <c r="A755" s="57">
        <v>113457</v>
      </c>
      <c r="B755" s="53">
        <v>46139</v>
      </c>
      <c r="C755" s="58">
        <v>46139</v>
      </c>
      <c r="D755" s="59" t="s">
        <v>829</v>
      </c>
      <c r="E755" s="50" t="s">
        <v>313</v>
      </c>
      <c r="F755" s="57">
        <v>36</v>
      </c>
      <c r="G755" s="60">
        <v>3</v>
      </c>
      <c r="H755" s="61" t="s">
        <v>767</v>
      </c>
      <c r="I755" s="50" t="s">
        <v>768</v>
      </c>
      <c r="J755" s="50" t="s">
        <v>769</v>
      </c>
      <c r="K755" s="62">
        <v>5102</v>
      </c>
      <c r="L755" s="57">
        <v>205</v>
      </c>
      <c r="M755" s="50" t="s">
        <v>26</v>
      </c>
      <c r="N755" s="50" t="s">
        <v>317</v>
      </c>
      <c r="O755" s="64">
        <v>200.39</v>
      </c>
      <c r="P755" s="65">
        <v>12</v>
      </c>
      <c r="Q755" s="64">
        <v>24.04</v>
      </c>
      <c r="R755" s="63">
        <v>0</v>
      </c>
      <c r="S755" s="64">
        <v>0</v>
      </c>
    </row>
    <row r="756" spans="1:19" ht="11.1" customHeight="1" x14ac:dyDescent="0.25">
      <c r="A756" s="57">
        <v>113458</v>
      </c>
      <c r="B756" s="53">
        <v>46139</v>
      </c>
      <c r="C756" s="58">
        <v>46139</v>
      </c>
      <c r="D756" s="59" t="s">
        <v>829</v>
      </c>
      <c r="E756" s="50" t="s">
        <v>313</v>
      </c>
      <c r="F756" s="57">
        <v>36</v>
      </c>
      <c r="G756" s="60">
        <v>3</v>
      </c>
      <c r="H756" s="61" t="s">
        <v>767</v>
      </c>
      <c r="I756" s="50" t="s">
        <v>768</v>
      </c>
      <c r="J756" s="50" t="s">
        <v>769</v>
      </c>
      <c r="K756" s="62">
        <v>5403</v>
      </c>
      <c r="L756" s="57">
        <v>207</v>
      </c>
      <c r="M756" s="50" t="s">
        <v>26</v>
      </c>
      <c r="N756" s="50" t="s">
        <v>317</v>
      </c>
      <c r="O756" s="64">
        <v>10.44</v>
      </c>
      <c r="P756" s="65">
        <v>12</v>
      </c>
      <c r="Q756" s="64">
        <v>1.25</v>
      </c>
      <c r="R756" s="63">
        <v>0</v>
      </c>
      <c r="S756" s="64">
        <v>0.73</v>
      </c>
    </row>
    <row r="757" spans="1:19" ht="11.1" customHeight="1" x14ac:dyDescent="0.25">
      <c r="N757" s="50" t="s">
        <v>318</v>
      </c>
      <c r="O757" s="64">
        <v>14.09</v>
      </c>
      <c r="P757" s="65">
        <v>20</v>
      </c>
      <c r="Q757" s="64">
        <v>0.73</v>
      </c>
      <c r="R757" s="63">
        <v>0</v>
      </c>
      <c r="S757" s="64">
        <v>0</v>
      </c>
    </row>
    <row r="758" spans="1:19" ht="11.1" customHeight="1" x14ac:dyDescent="0.25">
      <c r="A758" s="57">
        <v>113459</v>
      </c>
      <c r="B758" s="53">
        <v>46139</v>
      </c>
      <c r="C758" s="58">
        <v>46139</v>
      </c>
      <c r="D758" s="59" t="s">
        <v>830</v>
      </c>
      <c r="E758" s="50" t="s">
        <v>313</v>
      </c>
      <c r="F758" s="57">
        <v>36</v>
      </c>
      <c r="G758" s="60">
        <v>3</v>
      </c>
      <c r="H758" s="61" t="s">
        <v>767</v>
      </c>
      <c r="I758" s="50" t="s">
        <v>768</v>
      </c>
      <c r="J758" s="50" t="s">
        <v>769</v>
      </c>
      <c r="K758" s="62">
        <v>5102</v>
      </c>
      <c r="L758" s="57">
        <v>205</v>
      </c>
      <c r="M758" s="50" t="s">
        <v>26</v>
      </c>
      <c r="N758" s="50" t="s">
        <v>317</v>
      </c>
      <c r="O758" s="64">
        <v>313.23</v>
      </c>
      <c r="P758" s="65">
        <v>12</v>
      </c>
      <c r="Q758" s="64">
        <v>37.590000000000003</v>
      </c>
      <c r="R758" s="63">
        <v>0</v>
      </c>
      <c r="S758" s="64">
        <v>0</v>
      </c>
    </row>
    <row r="759" spans="1:19" ht="11.1" customHeight="1" x14ac:dyDescent="0.25">
      <c r="A759" s="57">
        <v>113460</v>
      </c>
      <c r="B759" s="53">
        <v>46139</v>
      </c>
      <c r="C759" s="58">
        <v>46139</v>
      </c>
      <c r="D759" s="59" t="s">
        <v>830</v>
      </c>
      <c r="E759" s="50" t="s">
        <v>313</v>
      </c>
      <c r="F759" s="57">
        <v>36</v>
      </c>
      <c r="G759" s="60">
        <v>3</v>
      </c>
      <c r="H759" s="61" t="s">
        <v>767</v>
      </c>
      <c r="I759" s="50" t="s">
        <v>768</v>
      </c>
      <c r="J759" s="50" t="s">
        <v>769</v>
      </c>
      <c r="K759" s="62">
        <v>5403</v>
      </c>
      <c r="L759" s="57">
        <v>207</v>
      </c>
      <c r="M759" s="50" t="s">
        <v>26</v>
      </c>
      <c r="N759" s="50" t="s">
        <v>317</v>
      </c>
      <c r="O759" s="64">
        <v>791.88</v>
      </c>
      <c r="P759" s="65">
        <v>12</v>
      </c>
      <c r="Q759" s="64">
        <v>95.03</v>
      </c>
      <c r="R759" s="63">
        <v>0</v>
      </c>
      <c r="S759" s="64">
        <v>55.43</v>
      </c>
    </row>
    <row r="760" spans="1:19" ht="11.1" customHeight="1" x14ac:dyDescent="0.25">
      <c r="N760" s="50" t="s">
        <v>318</v>
      </c>
      <c r="O760" s="64">
        <v>1069.04</v>
      </c>
      <c r="P760" s="65">
        <v>20</v>
      </c>
      <c r="Q760" s="64">
        <v>55.43</v>
      </c>
      <c r="R760" s="63">
        <v>0</v>
      </c>
      <c r="S760" s="64">
        <v>0</v>
      </c>
    </row>
    <row r="761" spans="1:19" ht="11.1" customHeight="1" x14ac:dyDescent="0.25">
      <c r="A761" s="57">
        <v>113462</v>
      </c>
      <c r="B761" s="53">
        <v>46139</v>
      </c>
      <c r="C761" s="58">
        <v>46139</v>
      </c>
      <c r="D761" s="59" t="s">
        <v>831</v>
      </c>
      <c r="E761" s="50" t="s">
        <v>313</v>
      </c>
      <c r="F761" s="57">
        <v>36</v>
      </c>
      <c r="G761" s="60">
        <v>3</v>
      </c>
      <c r="H761" s="61" t="s">
        <v>767</v>
      </c>
      <c r="I761" s="50" t="s">
        <v>768</v>
      </c>
      <c r="J761" s="50" t="s">
        <v>769</v>
      </c>
      <c r="K761" s="62">
        <v>5102</v>
      </c>
      <c r="L761" s="57">
        <v>205</v>
      </c>
      <c r="M761" s="50" t="s">
        <v>26</v>
      </c>
      <c r="N761" s="50" t="s">
        <v>317</v>
      </c>
      <c r="O761" s="64">
        <v>259.48</v>
      </c>
      <c r="P761" s="65">
        <v>12</v>
      </c>
      <c r="Q761" s="64">
        <v>31.14</v>
      </c>
      <c r="R761" s="63">
        <v>0</v>
      </c>
      <c r="S761" s="64">
        <v>0</v>
      </c>
    </row>
    <row r="762" spans="1:19" ht="11.1" customHeight="1" x14ac:dyDescent="0.25">
      <c r="A762" s="57">
        <v>113471</v>
      </c>
      <c r="B762" s="53">
        <v>46139</v>
      </c>
      <c r="C762" s="58">
        <v>46139</v>
      </c>
      <c r="D762" s="59" t="s">
        <v>832</v>
      </c>
      <c r="E762" s="50" t="s">
        <v>313</v>
      </c>
      <c r="F762" s="57">
        <v>36</v>
      </c>
      <c r="G762" s="60">
        <v>3</v>
      </c>
      <c r="H762" s="61" t="s">
        <v>767</v>
      </c>
      <c r="I762" s="50" t="s">
        <v>768</v>
      </c>
      <c r="J762" s="50" t="s">
        <v>769</v>
      </c>
      <c r="K762" s="62">
        <v>5102</v>
      </c>
      <c r="L762" s="57">
        <v>205</v>
      </c>
      <c r="M762" s="50" t="s">
        <v>26</v>
      </c>
      <c r="N762" s="50" t="s">
        <v>317</v>
      </c>
      <c r="O762" s="64">
        <v>59.6</v>
      </c>
      <c r="P762" s="65">
        <v>12</v>
      </c>
      <c r="Q762" s="64">
        <v>7.15</v>
      </c>
      <c r="R762" s="63">
        <v>0</v>
      </c>
      <c r="S762" s="64">
        <v>0</v>
      </c>
    </row>
    <row r="763" spans="1:19" ht="11.1" customHeight="1" x14ac:dyDescent="0.25">
      <c r="A763" s="57">
        <v>113473</v>
      </c>
      <c r="B763" s="53">
        <v>46139</v>
      </c>
      <c r="C763" s="58">
        <v>46139</v>
      </c>
      <c r="D763" s="59" t="s">
        <v>833</v>
      </c>
      <c r="E763" s="50" t="s">
        <v>313</v>
      </c>
      <c r="F763" s="57">
        <v>36</v>
      </c>
      <c r="G763" s="60">
        <v>3</v>
      </c>
      <c r="H763" s="61" t="s">
        <v>767</v>
      </c>
      <c r="I763" s="50" t="s">
        <v>768</v>
      </c>
      <c r="J763" s="50" t="s">
        <v>769</v>
      </c>
      <c r="K763" s="62">
        <v>5403</v>
      </c>
      <c r="L763" s="57">
        <v>207</v>
      </c>
      <c r="M763" s="50" t="s">
        <v>26</v>
      </c>
      <c r="N763" s="50" t="s">
        <v>317</v>
      </c>
      <c r="O763" s="64">
        <v>2036.12</v>
      </c>
      <c r="P763" s="65">
        <v>12</v>
      </c>
      <c r="Q763" s="64">
        <v>244.34</v>
      </c>
      <c r="R763" s="63">
        <v>0</v>
      </c>
      <c r="S763" s="64">
        <v>142.53</v>
      </c>
    </row>
    <row r="764" spans="1:19" ht="11.1" customHeight="1" x14ac:dyDescent="0.25">
      <c r="N764" s="50" t="s">
        <v>318</v>
      </c>
      <c r="O764" s="64">
        <v>2748.76</v>
      </c>
      <c r="P764" s="65">
        <v>20</v>
      </c>
      <c r="Q764" s="64">
        <v>142.53</v>
      </c>
      <c r="R764" s="63">
        <v>0</v>
      </c>
      <c r="S764" s="64">
        <v>0</v>
      </c>
    </row>
    <row r="765" spans="1:19" ht="11.1" customHeight="1" x14ac:dyDescent="0.25">
      <c r="A765" s="57">
        <v>113474</v>
      </c>
      <c r="B765" s="53">
        <v>46139</v>
      </c>
      <c r="C765" s="58">
        <v>46139</v>
      </c>
      <c r="D765" s="59" t="s">
        <v>834</v>
      </c>
      <c r="E765" s="50" t="s">
        <v>313</v>
      </c>
      <c r="F765" s="57">
        <v>36</v>
      </c>
      <c r="G765" s="60">
        <v>3</v>
      </c>
      <c r="H765" s="61" t="s">
        <v>767</v>
      </c>
      <c r="I765" s="50" t="s">
        <v>768</v>
      </c>
      <c r="J765" s="50" t="s">
        <v>769</v>
      </c>
      <c r="K765" s="62">
        <v>5403</v>
      </c>
      <c r="L765" s="57">
        <v>207</v>
      </c>
      <c r="M765" s="50" t="s">
        <v>26</v>
      </c>
      <c r="N765" s="50" t="s">
        <v>317</v>
      </c>
      <c r="O765" s="64">
        <v>152.52000000000001</v>
      </c>
      <c r="P765" s="65">
        <v>12</v>
      </c>
      <c r="Q765" s="64">
        <v>18.3</v>
      </c>
      <c r="R765" s="63">
        <v>0</v>
      </c>
      <c r="S765" s="64">
        <v>10.68</v>
      </c>
    </row>
    <row r="766" spans="1:19" ht="11.1" customHeight="1" x14ac:dyDescent="0.25">
      <c r="N766" s="50" t="s">
        <v>318</v>
      </c>
      <c r="O766" s="64">
        <v>205.9</v>
      </c>
      <c r="P766" s="65">
        <v>20</v>
      </c>
      <c r="Q766" s="64">
        <v>10.68</v>
      </c>
      <c r="R766" s="63">
        <v>0</v>
      </c>
      <c r="S766" s="64">
        <v>0</v>
      </c>
    </row>
    <row r="767" spans="1:19" ht="11.1" customHeight="1" x14ac:dyDescent="0.25">
      <c r="A767" s="57">
        <v>113518</v>
      </c>
      <c r="B767" s="53">
        <v>46140</v>
      </c>
      <c r="C767" s="58">
        <v>46140</v>
      </c>
      <c r="D767" s="59" t="s">
        <v>835</v>
      </c>
      <c r="E767" s="50" t="s">
        <v>313</v>
      </c>
      <c r="F767" s="57">
        <v>36</v>
      </c>
      <c r="G767" s="60">
        <v>3</v>
      </c>
      <c r="H767" s="61" t="s">
        <v>767</v>
      </c>
      <c r="I767" s="50" t="s">
        <v>768</v>
      </c>
      <c r="J767" s="50" t="s">
        <v>769</v>
      </c>
      <c r="K767" s="62">
        <v>5102</v>
      </c>
      <c r="L767" s="57">
        <v>205</v>
      </c>
      <c r="M767" s="50" t="s">
        <v>26</v>
      </c>
      <c r="N767" s="50" t="s">
        <v>317</v>
      </c>
      <c r="O767" s="64">
        <v>939.72</v>
      </c>
      <c r="P767" s="65">
        <v>12</v>
      </c>
      <c r="Q767" s="64">
        <v>112.77</v>
      </c>
      <c r="R767" s="63">
        <v>0</v>
      </c>
      <c r="S767" s="64">
        <v>0</v>
      </c>
    </row>
    <row r="768" spans="1:19" ht="11.1" customHeight="1" x14ac:dyDescent="0.25">
      <c r="A768" s="57">
        <v>113519</v>
      </c>
      <c r="B768" s="53">
        <v>46140</v>
      </c>
      <c r="C768" s="58">
        <v>46140</v>
      </c>
      <c r="D768" s="59" t="s">
        <v>835</v>
      </c>
      <c r="E768" s="50" t="s">
        <v>313</v>
      </c>
      <c r="F768" s="57">
        <v>36</v>
      </c>
      <c r="G768" s="60">
        <v>3</v>
      </c>
      <c r="H768" s="61" t="s">
        <v>767</v>
      </c>
      <c r="I768" s="50" t="s">
        <v>768</v>
      </c>
      <c r="J768" s="50" t="s">
        <v>769</v>
      </c>
      <c r="K768" s="62">
        <v>5403</v>
      </c>
      <c r="L768" s="57">
        <v>207</v>
      </c>
      <c r="M768" s="50" t="s">
        <v>26</v>
      </c>
      <c r="N768" s="50" t="s">
        <v>317</v>
      </c>
      <c r="O768" s="64">
        <v>1098.51</v>
      </c>
      <c r="P768" s="65">
        <v>12</v>
      </c>
      <c r="Q768" s="64">
        <v>131.81</v>
      </c>
      <c r="R768" s="63">
        <v>0</v>
      </c>
      <c r="S768" s="64">
        <v>76.88</v>
      </c>
    </row>
    <row r="769" spans="1:19" ht="11.1" customHeight="1" x14ac:dyDescent="0.25">
      <c r="N769" s="50" t="s">
        <v>318</v>
      </c>
      <c r="O769" s="64">
        <v>1482.98</v>
      </c>
      <c r="P769" s="65">
        <v>20</v>
      </c>
      <c r="Q769" s="64">
        <v>76.88</v>
      </c>
      <c r="R769" s="63">
        <v>0</v>
      </c>
      <c r="S769" s="64">
        <v>0</v>
      </c>
    </row>
    <row r="770" spans="1:19" ht="11.1" customHeight="1" x14ac:dyDescent="0.25">
      <c r="A770" s="57">
        <v>113541</v>
      </c>
      <c r="B770" s="53">
        <v>46140</v>
      </c>
      <c r="C770" s="58">
        <v>46140</v>
      </c>
      <c r="D770" s="59" t="s">
        <v>836</v>
      </c>
      <c r="E770" s="50" t="s">
        <v>313</v>
      </c>
      <c r="F770" s="57">
        <v>36</v>
      </c>
      <c r="G770" s="60">
        <v>3</v>
      </c>
      <c r="H770" s="61" t="s">
        <v>767</v>
      </c>
      <c r="I770" s="50" t="s">
        <v>768</v>
      </c>
      <c r="J770" s="50" t="s">
        <v>769</v>
      </c>
      <c r="K770" s="62">
        <v>5102</v>
      </c>
      <c r="L770" s="57">
        <v>205</v>
      </c>
      <c r="M770" s="50" t="s">
        <v>26</v>
      </c>
      <c r="N770" s="50" t="s">
        <v>317</v>
      </c>
      <c r="O770" s="64">
        <v>495.4</v>
      </c>
      <c r="P770" s="65">
        <v>12</v>
      </c>
      <c r="Q770" s="64">
        <v>59.45</v>
      </c>
      <c r="R770" s="63">
        <v>0</v>
      </c>
      <c r="S770" s="64">
        <v>0</v>
      </c>
    </row>
    <row r="771" spans="1:19" ht="11.1" customHeight="1" x14ac:dyDescent="0.25">
      <c r="A771" s="57">
        <v>113562</v>
      </c>
      <c r="B771" s="53">
        <v>46140</v>
      </c>
      <c r="C771" s="58">
        <v>46140</v>
      </c>
      <c r="D771" s="59" t="s">
        <v>837</v>
      </c>
      <c r="E771" s="50" t="s">
        <v>313</v>
      </c>
      <c r="F771" s="57">
        <v>36</v>
      </c>
      <c r="G771" s="60">
        <v>3</v>
      </c>
      <c r="H771" s="61" t="s">
        <v>767</v>
      </c>
      <c r="I771" s="50" t="s">
        <v>768</v>
      </c>
      <c r="J771" s="50" t="s">
        <v>769</v>
      </c>
      <c r="K771" s="62">
        <v>5102</v>
      </c>
      <c r="L771" s="57">
        <v>205</v>
      </c>
      <c r="M771" s="50" t="s">
        <v>26</v>
      </c>
      <c r="N771" s="50" t="s">
        <v>317</v>
      </c>
      <c r="O771" s="64">
        <v>59.23</v>
      </c>
      <c r="P771" s="65">
        <v>12</v>
      </c>
      <c r="Q771" s="64">
        <v>7.11</v>
      </c>
      <c r="R771" s="63">
        <v>0</v>
      </c>
      <c r="S771" s="64">
        <v>0</v>
      </c>
    </row>
    <row r="772" spans="1:19" ht="11.1" customHeight="1" x14ac:dyDescent="0.25">
      <c r="A772" s="57">
        <v>113563</v>
      </c>
      <c r="B772" s="53">
        <v>46140</v>
      </c>
      <c r="C772" s="58">
        <v>46140</v>
      </c>
      <c r="D772" s="59" t="s">
        <v>837</v>
      </c>
      <c r="E772" s="50" t="s">
        <v>313</v>
      </c>
      <c r="F772" s="57">
        <v>36</v>
      </c>
      <c r="G772" s="60">
        <v>3</v>
      </c>
      <c r="H772" s="61" t="s">
        <v>767</v>
      </c>
      <c r="I772" s="50" t="s">
        <v>768</v>
      </c>
      <c r="J772" s="50" t="s">
        <v>769</v>
      </c>
      <c r="K772" s="62">
        <v>5403</v>
      </c>
      <c r="L772" s="57">
        <v>207</v>
      </c>
      <c r="M772" s="50" t="s">
        <v>26</v>
      </c>
      <c r="N772" s="50" t="s">
        <v>317</v>
      </c>
      <c r="O772" s="64">
        <v>1056.42</v>
      </c>
      <c r="P772" s="65">
        <v>12</v>
      </c>
      <c r="Q772" s="64">
        <v>126.77</v>
      </c>
      <c r="R772" s="63">
        <v>0</v>
      </c>
      <c r="S772" s="64">
        <v>73.95</v>
      </c>
    </row>
    <row r="773" spans="1:19" ht="11.1" customHeight="1" x14ac:dyDescent="0.25">
      <c r="N773" s="50" t="s">
        <v>318</v>
      </c>
      <c r="O773" s="64">
        <v>1426.17</v>
      </c>
      <c r="P773" s="65">
        <v>20</v>
      </c>
      <c r="Q773" s="64">
        <v>73.95</v>
      </c>
      <c r="R773" s="63">
        <v>0</v>
      </c>
      <c r="S773" s="64">
        <v>0</v>
      </c>
    </row>
    <row r="774" spans="1:19" ht="11.1" customHeight="1" x14ac:dyDescent="0.25">
      <c r="A774" s="57">
        <v>113579</v>
      </c>
      <c r="B774" s="53">
        <v>46141</v>
      </c>
      <c r="C774" s="58">
        <v>46141</v>
      </c>
      <c r="D774" s="59" t="s">
        <v>838</v>
      </c>
      <c r="E774" s="50" t="s">
        <v>313</v>
      </c>
      <c r="F774" s="57">
        <v>36</v>
      </c>
      <c r="G774" s="60">
        <v>3</v>
      </c>
      <c r="H774" s="61" t="s">
        <v>767</v>
      </c>
      <c r="I774" s="50" t="s">
        <v>768</v>
      </c>
      <c r="J774" s="50" t="s">
        <v>769</v>
      </c>
      <c r="K774" s="62">
        <v>5102</v>
      </c>
      <c r="L774" s="57">
        <v>205</v>
      </c>
      <c r="M774" s="50" t="s">
        <v>26</v>
      </c>
      <c r="N774" s="50" t="s">
        <v>317</v>
      </c>
      <c r="O774" s="64">
        <v>4418.91</v>
      </c>
      <c r="P774" s="65">
        <v>12</v>
      </c>
      <c r="Q774" s="64">
        <v>530.28</v>
      </c>
      <c r="R774" s="63">
        <v>0</v>
      </c>
      <c r="S774" s="64">
        <v>0</v>
      </c>
    </row>
    <row r="775" spans="1:19" ht="11.1" customHeight="1" x14ac:dyDescent="0.25">
      <c r="A775" s="57">
        <v>113581</v>
      </c>
      <c r="B775" s="53">
        <v>46141</v>
      </c>
      <c r="C775" s="58">
        <v>46141</v>
      </c>
      <c r="D775" s="59" t="s">
        <v>839</v>
      </c>
      <c r="E775" s="50" t="s">
        <v>313</v>
      </c>
      <c r="F775" s="57">
        <v>36</v>
      </c>
      <c r="G775" s="60">
        <v>3</v>
      </c>
      <c r="H775" s="61" t="s">
        <v>767</v>
      </c>
      <c r="I775" s="50" t="s">
        <v>768</v>
      </c>
      <c r="J775" s="50" t="s">
        <v>769</v>
      </c>
      <c r="K775" s="62">
        <v>5102</v>
      </c>
      <c r="L775" s="57">
        <v>205</v>
      </c>
      <c r="M775" s="50" t="s">
        <v>26</v>
      </c>
      <c r="N775" s="50" t="s">
        <v>317</v>
      </c>
      <c r="O775" s="64">
        <v>120.5</v>
      </c>
      <c r="P775" s="65">
        <v>12</v>
      </c>
      <c r="Q775" s="64">
        <v>14.46</v>
      </c>
      <c r="R775" s="63">
        <v>0</v>
      </c>
      <c r="S775" s="64">
        <v>0</v>
      </c>
    </row>
    <row r="776" spans="1:19" ht="11.1" customHeight="1" x14ac:dyDescent="0.25">
      <c r="A776" s="57">
        <v>113582</v>
      </c>
      <c r="B776" s="53">
        <v>46141</v>
      </c>
      <c r="C776" s="58">
        <v>46141</v>
      </c>
      <c r="D776" s="59" t="s">
        <v>839</v>
      </c>
      <c r="E776" s="50" t="s">
        <v>313</v>
      </c>
      <c r="F776" s="57">
        <v>36</v>
      </c>
      <c r="G776" s="60">
        <v>3</v>
      </c>
      <c r="H776" s="61" t="s">
        <v>767</v>
      </c>
      <c r="I776" s="50" t="s">
        <v>768</v>
      </c>
      <c r="J776" s="50" t="s">
        <v>769</v>
      </c>
      <c r="K776" s="62">
        <v>5403</v>
      </c>
      <c r="L776" s="57">
        <v>207</v>
      </c>
      <c r="M776" s="50" t="s">
        <v>26</v>
      </c>
      <c r="N776" s="50" t="s">
        <v>317</v>
      </c>
      <c r="O776" s="64">
        <v>53.81</v>
      </c>
      <c r="P776" s="65">
        <v>12</v>
      </c>
      <c r="Q776" s="64">
        <v>6.46</v>
      </c>
      <c r="R776" s="63">
        <v>0</v>
      </c>
      <c r="S776" s="64">
        <v>3.77</v>
      </c>
    </row>
    <row r="777" spans="1:19" ht="11.1" customHeight="1" x14ac:dyDescent="0.25">
      <c r="N777" s="50" t="s">
        <v>318</v>
      </c>
      <c r="O777" s="64">
        <v>72.64</v>
      </c>
      <c r="P777" s="65">
        <v>20</v>
      </c>
      <c r="Q777" s="64">
        <v>3.77</v>
      </c>
      <c r="R777" s="63">
        <v>0</v>
      </c>
      <c r="S777" s="64">
        <v>0</v>
      </c>
    </row>
    <row r="778" spans="1:19" ht="11.1" customHeight="1" x14ac:dyDescent="0.25">
      <c r="A778" s="57">
        <v>113583</v>
      </c>
      <c r="B778" s="53">
        <v>46141</v>
      </c>
      <c r="C778" s="58">
        <v>46141</v>
      </c>
      <c r="D778" s="59" t="s">
        <v>840</v>
      </c>
      <c r="E778" s="50" t="s">
        <v>313</v>
      </c>
      <c r="F778" s="57">
        <v>36</v>
      </c>
      <c r="G778" s="60">
        <v>3</v>
      </c>
      <c r="H778" s="61" t="s">
        <v>767</v>
      </c>
      <c r="I778" s="50" t="s">
        <v>768</v>
      </c>
      <c r="J778" s="50" t="s">
        <v>769</v>
      </c>
      <c r="K778" s="62">
        <v>5403</v>
      </c>
      <c r="L778" s="57">
        <v>207</v>
      </c>
      <c r="M778" s="50" t="s">
        <v>26</v>
      </c>
      <c r="N778" s="50" t="s">
        <v>317</v>
      </c>
      <c r="O778" s="64">
        <v>252.66</v>
      </c>
      <c r="P778" s="65">
        <v>12</v>
      </c>
      <c r="Q778" s="64">
        <v>30.32</v>
      </c>
      <c r="R778" s="63">
        <v>0</v>
      </c>
      <c r="S778" s="64">
        <v>17.690000000000001</v>
      </c>
    </row>
    <row r="779" spans="1:19" ht="11.1" customHeight="1" x14ac:dyDescent="0.25">
      <c r="N779" s="50" t="s">
        <v>318</v>
      </c>
      <c r="O779" s="64">
        <v>341.09</v>
      </c>
      <c r="P779" s="65">
        <v>20</v>
      </c>
      <c r="Q779" s="64">
        <v>17.690000000000001</v>
      </c>
      <c r="R779" s="63">
        <v>0</v>
      </c>
      <c r="S779" s="64">
        <v>0</v>
      </c>
    </row>
    <row r="780" spans="1:19" ht="11.1" customHeight="1" x14ac:dyDescent="0.25">
      <c r="A780" s="57">
        <v>113588</v>
      </c>
      <c r="B780" s="53">
        <v>46141</v>
      </c>
      <c r="C780" s="58">
        <v>46141</v>
      </c>
      <c r="D780" s="59" t="s">
        <v>841</v>
      </c>
      <c r="E780" s="50" t="s">
        <v>313</v>
      </c>
      <c r="F780" s="57">
        <v>36</v>
      </c>
      <c r="G780" s="60">
        <v>3</v>
      </c>
      <c r="H780" s="61" t="s">
        <v>767</v>
      </c>
      <c r="I780" s="50" t="s">
        <v>768</v>
      </c>
      <c r="J780" s="50" t="s">
        <v>769</v>
      </c>
      <c r="K780" s="62">
        <v>5403</v>
      </c>
      <c r="L780" s="57">
        <v>207</v>
      </c>
      <c r="M780" s="50" t="s">
        <v>26</v>
      </c>
      <c r="N780" s="50" t="s">
        <v>317</v>
      </c>
      <c r="O780" s="64">
        <v>468.53</v>
      </c>
      <c r="P780" s="65">
        <v>12</v>
      </c>
      <c r="Q780" s="64">
        <v>56.23</v>
      </c>
      <c r="R780" s="63">
        <v>0</v>
      </c>
      <c r="S780" s="64">
        <v>32.799999999999997</v>
      </c>
    </row>
    <row r="781" spans="1:19" ht="11.1" customHeight="1" x14ac:dyDescent="0.25">
      <c r="N781" s="50" t="s">
        <v>318</v>
      </c>
      <c r="O781" s="64">
        <v>632.51</v>
      </c>
      <c r="P781" s="65">
        <v>20</v>
      </c>
      <c r="Q781" s="64">
        <v>32.799999999999997</v>
      </c>
      <c r="R781" s="63">
        <v>0</v>
      </c>
      <c r="S781" s="64">
        <v>0</v>
      </c>
    </row>
    <row r="782" spans="1:19" ht="11.1" customHeight="1" x14ac:dyDescent="0.25">
      <c r="A782" s="57">
        <v>113619</v>
      </c>
      <c r="B782" s="53">
        <v>46142</v>
      </c>
      <c r="C782" s="58">
        <v>46142</v>
      </c>
      <c r="D782" s="59" t="s">
        <v>842</v>
      </c>
      <c r="E782" s="50" t="s">
        <v>313</v>
      </c>
      <c r="F782" s="57">
        <v>36</v>
      </c>
      <c r="G782" s="60">
        <v>3</v>
      </c>
      <c r="H782" s="61" t="s">
        <v>767</v>
      </c>
      <c r="I782" s="50" t="s">
        <v>768</v>
      </c>
      <c r="J782" s="50" t="s">
        <v>769</v>
      </c>
      <c r="K782" s="62">
        <v>5102</v>
      </c>
      <c r="L782" s="57">
        <v>205</v>
      </c>
      <c r="M782" s="50" t="s">
        <v>26</v>
      </c>
      <c r="N782" s="50" t="s">
        <v>317</v>
      </c>
      <c r="O782" s="64">
        <v>201.24</v>
      </c>
      <c r="P782" s="65">
        <v>12</v>
      </c>
      <c r="Q782" s="64">
        <v>24.15</v>
      </c>
      <c r="R782" s="63">
        <v>0</v>
      </c>
      <c r="S782" s="64">
        <v>0</v>
      </c>
    </row>
    <row r="783" spans="1:19" ht="11.1" customHeight="1" x14ac:dyDescent="0.25">
      <c r="A783" s="57">
        <v>113625</v>
      </c>
      <c r="B783" s="53">
        <v>46142</v>
      </c>
      <c r="C783" s="58">
        <v>46142</v>
      </c>
      <c r="D783" s="59" t="s">
        <v>843</v>
      </c>
      <c r="E783" s="50" t="s">
        <v>313</v>
      </c>
      <c r="F783" s="57">
        <v>36</v>
      </c>
      <c r="G783" s="60">
        <v>3</v>
      </c>
      <c r="H783" s="61" t="s">
        <v>767</v>
      </c>
      <c r="I783" s="50" t="s">
        <v>768</v>
      </c>
      <c r="J783" s="50" t="s">
        <v>769</v>
      </c>
      <c r="K783" s="62">
        <v>5403</v>
      </c>
      <c r="L783" s="57">
        <v>207</v>
      </c>
      <c r="M783" s="50" t="s">
        <v>26</v>
      </c>
      <c r="N783" s="50" t="s">
        <v>317</v>
      </c>
      <c r="O783" s="64">
        <v>111.51</v>
      </c>
      <c r="P783" s="65">
        <v>12</v>
      </c>
      <c r="Q783" s="64">
        <v>13.38</v>
      </c>
      <c r="R783" s="63">
        <v>0</v>
      </c>
      <c r="S783" s="64">
        <v>7.81</v>
      </c>
    </row>
    <row r="784" spans="1:19" ht="11.1" customHeight="1" x14ac:dyDescent="0.25">
      <c r="N784" s="50" t="s">
        <v>318</v>
      </c>
      <c r="O784" s="64">
        <v>150.54</v>
      </c>
      <c r="P784" s="65">
        <v>20</v>
      </c>
      <c r="Q784" s="64">
        <v>7.81</v>
      </c>
      <c r="R784" s="63">
        <v>0</v>
      </c>
      <c r="S784" s="64">
        <v>0</v>
      </c>
    </row>
    <row r="785" spans="1:19" ht="11.1" customHeight="1" x14ac:dyDescent="0.25">
      <c r="A785" s="57">
        <v>113627</v>
      </c>
      <c r="B785" s="53">
        <v>46142</v>
      </c>
      <c r="C785" s="58">
        <v>46142</v>
      </c>
      <c r="D785" s="59" t="s">
        <v>844</v>
      </c>
      <c r="E785" s="50" t="s">
        <v>313</v>
      </c>
      <c r="F785" s="57">
        <v>36</v>
      </c>
      <c r="G785" s="60">
        <v>3</v>
      </c>
      <c r="H785" s="61" t="s">
        <v>767</v>
      </c>
      <c r="I785" s="50" t="s">
        <v>768</v>
      </c>
      <c r="J785" s="50" t="s">
        <v>769</v>
      </c>
      <c r="K785" s="62">
        <v>5102</v>
      </c>
      <c r="L785" s="57">
        <v>205</v>
      </c>
      <c r="M785" s="50" t="s">
        <v>26</v>
      </c>
      <c r="N785" s="50" t="s">
        <v>317</v>
      </c>
      <c r="O785" s="64">
        <v>167.96</v>
      </c>
      <c r="P785" s="65">
        <v>12</v>
      </c>
      <c r="Q785" s="64">
        <v>20.16</v>
      </c>
      <c r="R785" s="63">
        <v>0</v>
      </c>
      <c r="S785" s="64">
        <v>0</v>
      </c>
    </row>
    <row r="786" spans="1:19" ht="11.1" customHeight="1" x14ac:dyDescent="0.25">
      <c r="A786" s="57">
        <v>113632</v>
      </c>
      <c r="B786" s="53">
        <v>46142</v>
      </c>
      <c r="C786" s="58">
        <v>46142</v>
      </c>
      <c r="D786" s="59" t="s">
        <v>845</v>
      </c>
      <c r="E786" s="50" t="s">
        <v>313</v>
      </c>
      <c r="F786" s="57">
        <v>36</v>
      </c>
      <c r="G786" s="60">
        <v>3</v>
      </c>
      <c r="H786" s="61" t="s">
        <v>767</v>
      </c>
      <c r="I786" s="50" t="s">
        <v>768</v>
      </c>
      <c r="J786" s="50" t="s">
        <v>769</v>
      </c>
      <c r="K786" s="62">
        <v>5102</v>
      </c>
      <c r="L786" s="57">
        <v>205</v>
      </c>
      <c r="M786" s="50" t="s">
        <v>26</v>
      </c>
      <c r="N786" s="50" t="s">
        <v>317</v>
      </c>
      <c r="O786" s="64">
        <v>59.56</v>
      </c>
      <c r="P786" s="65">
        <v>12</v>
      </c>
      <c r="Q786" s="64">
        <v>7.14</v>
      </c>
      <c r="R786" s="63">
        <v>0</v>
      </c>
      <c r="S786" s="64">
        <v>0</v>
      </c>
    </row>
    <row r="787" spans="1:19" ht="11.1" customHeight="1" x14ac:dyDescent="0.25">
      <c r="A787" s="57">
        <v>113633</v>
      </c>
      <c r="B787" s="53">
        <v>46142</v>
      </c>
      <c r="C787" s="58">
        <v>46142</v>
      </c>
      <c r="D787" s="59" t="s">
        <v>845</v>
      </c>
      <c r="E787" s="50" t="s">
        <v>313</v>
      </c>
      <c r="F787" s="57">
        <v>36</v>
      </c>
      <c r="G787" s="60">
        <v>3</v>
      </c>
      <c r="H787" s="61" t="s">
        <v>767</v>
      </c>
      <c r="I787" s="50" t="s">
        <v>768</v>
      </c>
      <c r="J787" s="50" t="s">
        <v>769</v>
      </c>
      <c r="K787" s="62">
        <v>5403</v>
      </c>
      <c r="L787" s="57">
        <v>207</v>
      </c>
      <c r="M787" s="50" t="s">
        <v>26</v>
      </c>
      <c r="N787" s="50" t="s">
        <v>317</v>
      </c>
      <c r="O787" s="64">
        <v>345.24</v>
      </c>
      <c r="P787" s="65">
        <v>12</v>
      </c>
      <c r="Q787" s="64">
        <v>41.43</v>
      </c>
      <c r="R787" s="63">
        <v>0</v>
      </c>
      <c r="S787" s="64">
        <v>24.16</v>
      </c>
    </row>
    <row r="788" spans="1:19" ht="11.1" customHeight="1" x14ac:dyDescent="0.25">
      <c r="N788" s="50" t="s">
        <v>318</v>
      </c>
      <c r="O788" s="64">
        <v>466.07</v>
      </c>
      <c r="P788" s="65">
        <v>20</v>
      </c>
      <c r="Q788" s="64">
        <v>24.16</v>
      </c>
      <c r="R788" s="63">
        <v>0</v>
      </c>
      <c r="S788" s="64">
        <v>0</v>
      </c>
    </row>
    <row r="789" spans="1:19" ht="11.1" customHeight="1" x14ac:dyDescent="0.25">
      <c r="A789" s="57">
        <v>113637</v>
      </c>
      <c r="B789" s="53">
        <v>46142</v>
      </c>
      <c r="C789" s="58">
        <v>46142</v>
      </c>
      <c r="D789" s="59" t="s">
        <v>846</v>
      </c>
      <c r="E789" s="50" t="s">
        <v>313</v>
      </c>
      <c r="F789" s="57">
        <v>36</v>
      </c>
      <c r="G789" s="60">
        <v>3</v>
      </c>
      <c r="H789" s="61" t="s">
        <v>767</v>
      </c>
      <c r="I789" s="50" t="s">
        <v>768</v>
      </c>
      <c r="J789" s="50" t="s">
        <v>769</v>
      </c>
      <c r="K789" s="62">
        <v>5102</v>
      </c>
      <c r="L789" s="57">
        <v>205</v>
      </c>
      <c r="M789" s="50" t="s">
        <v>26</v>
      </c>
      <c r="N789" s="50" t="s">
        <v>317</v>
      </c>
      <c r="O789" s="64">
        <v>246.38</v>
      </c>
      <c r="P789" s="65">
        <v>12</v>
      </c>
      <c r="Q789" s="64">
        <v>29.57</v>
      </c>
      <c r="R789" s="63">
        <v>0</v>
      </c>
      <c r="S789" s="64">
        <v>0</v>
      </c>
    </row>
    <row r="790" spans="1:19" ht="11.1" customHeight="1" x14ac:dyDescent="0.25">
      <c r="A790" s="57">
        <v>113642</v>
      </c>
      <c r="B790" s="53">
        <v>46142</v>
      </c>
      <c r="C790" s="58">
        <v>46142</v>
      </c>
      <c r="D790" s="59" t="s">
        <v>847</v>
      </c>
      <c r="E790" s="50" t="s">
        <v>313</v>
      </c>
      <c r="F790" s="57">
        <v>36</v>
      </c>
      <c r="G790" s="60">
        <v>3</v>
      </c>
      <c r="H790" s="61" t="s">
        <v>767</v>
      </c>
      <c r="I790" s="50" t="s">
        <v>768</v>
      </c>
      <c r="J790" s="50" t="s">
        <v>769</v>
      </c>
      <c r="K790" s="62">
        <v>5102</v>
      </c>
      <c r="L790" s="57">
        <v>205</v>
      </c>
      <c r="M790" s="50" t="s">
        <v>26</v>
      </c>
      <c r="N790" s="50" t="s">
        <v>317</v>
      </c>
      <c r="O790" s="64">
        <v>25</v>
      </c>
      <c r="P790" s="65">
        <v>12</v>
      </c>
      <c r="Q790" s="64">
        <v>3</v>
      </c>
      <c r="R790" s="63">
        <v>0</v>
      </c>
      <c r="S790" s="64">
        <v>0</v>
      </c>
    </row>
    <row r="791" spans="1:19" ht="11.1" customHeight="1" x14ac:dyDescent="0.25">
      <c r="A791" s="57">
        <v>113643</v>
      </c>
      <c r="B791" s="53">
        <v>46142</v>
      </c>
      <c r="C791" s="58">
        <v>46142</v>
      </c>
      <c r="D791" s="59" t="s">
        <v>848</v>
      </c>
      <c r="E791" s="50" t="s">
        <v>313</v>
      </c>
      <c r="F791" s="57">
        <v>36</v>
      </c>
      <c r="G791" s="60">
        <v>3</v>
      </c>
      <c r="H791" s="61" t="s">
        <v>767</v>
      </c>
      <c r="I791" s="50" t="s">
        <v>768</v>
      </c>
      <c r="J791" s="50" t="s">
        <v>769</v>
      </c>
      <c r="K791" s="62">
        <v>5102</v>
      </c>
      <c r="L791" s="57">
        <v>205</v>
      </c>
      <c r="M791" s="50" t="s">
        <v>26</v>
      </c>
      <c r="N791" s="50" t="s">
        <v>317</v>
      </c>
      <c r="O791" s="64">
        <v>1629.85</v>
      </c>
      <c r="P791" s="65">
        <v>12</v>
      </c>
      <c r="Q791" s="64">
        <v>195.58</v>
      </c>
      <c r="R791" s="63">
        <v>0</v>
      </c>
      <c r="S791" s="64">
        <v>0</v>
      </c>
    </row>
    <row r="792" spans="1:19" ht="11.1" customHeight="1" x14ac:dyDescent="0.25">
      <c r="A792" s="57">
        <v>113644</v>
      </c>
      <c r="B792" s="53">
        <v>46142</v>
      </c>
      <c r="C792" s="58">
        <v>46142</v>
      </c>
      <c r="D792" s="59" t="s">
        <v>848</v>
      </c>
      <c r="E792" s="50" t="s">
        <v>313</v>
      </c>
      <c r="F792" s="57">
        <v>36</v>
      </c>
      <c r="G792" s="60">
        <v>3</v>
      </c>
      <c r="H792" s="61" t="s">
        <v>767</v>
      </c>
      <c r="I792" s="50" t="s">
        <v>768</v>
      </c>
      <c r="J792" s="50" t="s">
        <v>769</v>
      </c>
      <c r="K792" s="62">
        <v>5403</v>
      </c>
      <c r="L792" s="57">
        <v>207</v>
      </c>
      <c r="M792" s="50" t="s">
        <v>26</v>
      </c>
      <c r="N792" s="50" t="s">
        <v>317</v>
      </c>
      <c r="O792" s="64">
        <v>4412.42</v>
      </c>
      <c r="P792" s="65">
        <v>12</v>
      </c>
      <c r="Q792" s="64">
        <v>529.5</v>
      </c>
      <c r="R792" s="63">
        <v>0</v>
      </c>
      <c r="S792" s="64">
        <v>308.88</v>
      </c>
    </row>
    <row r="793" spans="1:19" ht="11.1" customHeight="1" x14ac:dyDescent="0.25">
      <c r="N793" s="50" t="s">
        <v>318</v>
      </c>
      <c r="O793" s="64">
        <v>5956.78</v>
      </c>
      <c r="P793" s="65">
        <v>20</v>
      </c>
      <c r="Q793" s="64">
        <v>308.88</v>
      </c>
      <c r="R793" s="63">
        <v>0</v>
      </c>
      <c r="S793" s="64">
        <v>0</v>
      </c>
    </row>
    <row r="794" spans="1:19" ht="11.1" customHeight="1" x14ac:dyDescent="0.25">
      <c r="A794" s="57">
        <v>113656</v>
      </c>
      <c r="B794" s="53">
        <v>46142</v>
      </c>
      <c r="C794" s="58">
        <v>46142</v>
      </c>
      <c r="D794" s="59" t="s">
        <v>849</v>
      </c>
      <c r="E794" s="50" t="s">
        <v>313</v>
      </c>
      <c r="F794" s="57">
        <v>36</v>
      </c>
      <c r="G794" s="60">
        <v>3</v>
      </c>
      <c r="H794" s="61" t="s">
        <v>767</v>
      </c>
      <c r="I794" s="50" t="s">
        <v>768</v>
      </c>
      <c r="J794" s="50" t="s">
        <v>769</v>
      </c>
      <c r="K794" s="62">
        <v>5102</v>
      </c>
      <c r="L794" s="57">
        <v>205</v>
      </c>
      <c r="M794" s="50" t="s">
        <v>26</v>
      </c>
      <c r="N794" s="50" t="s">
        <v>317</v>
      </c>
      <c r="O794" s="64">
        <v>5032.8500000000004</v>
      </c>
      <c r="P794" s="65">
        <v>12</v>
      </c>
      <c r="Q794" s="64">
        <v>603.96</v>
      </c>
      <c r="R794" s="63">
        <v>0</v>
      </c>
      <c r="S794" s="64">
        <v>0</v>
      </c>
    </row>
    <row r="795" spans="1:19" ht="11.1" customHeight="1" x14ac:dyDescent="0.25">
      <c r="A795" s="57">
        <v>113657</v>
      </c>
      <c r="B795" s="53">
        <v>46142</v>
      </c>
      <c r="C795" s="58">
        <v>46142</v>
      </c>
      <c r="D795" s="59" t="s">
        <v>849</v>
      </c>
      <c r="E795" s="50" t="s">
        <v>313</v>
      </c>
      <c r="F795" s="57">
        <v>36</v>
      </c>
      <c r="G795" s="60">
        <v>3</v>
      </c>
      <c r="H795" s="61" t="s">
        <v>767</v>
      </c>
      <c r="I795" s="50" t="s">
        <v>768</v>
      </c>
      <c r="J795" s="50" t="s">
        <v>769</v>
      </c>
      <c r="K795" s="62">
        <v>5405</v>
      </c>
      <c r="L795" s="57">
        <v>206</v>
      </c>
      <c r="M795" s="50" t="s">
        <v>26</v>
      </c>
      <c r="N795" s="50" t="s">
        <v>317</v>
      </c>
      <c r="O795" s="64">
        <v>0</v>
      </c>
      <c r="P795" s="65">
        <v>0</v>
      </c>
      <c r="Q795" s="64">
        <v>0</v>
      </c>
      <c r="R795" s="63">
        <v>0</v>
      </c>
      <c r="S795" s="64">
        <v>194.46</v>
      </c>
    </row>
    <row r="796" spans="1:19" ht="11.1" customHeight="1" x14ac:dyDescent="0.25">
      <c r="A796" s="57">
        <v>113658</v>
      </c>
      <c r="B796" s="53">
        <v>46142</v>
      </c>
      <c r="C796" s="58">
        <v>46142</v>
      </c>
      <c r="D796" s="59" t="s">
        <v>849</v>
      </c>
      <c r="E796" s="50" t="s">
        <v>313</v>
      </c>
      <c r="F796" s="57">
        <v>36</v>
      </c>
      <c r="G796" s="60">
        <v>3</v>
      </c>
      <c r="H796" s="61" t="s">
        <v>767</v>
      </c>
      <c r="I796" s="50" t="s">
        <v>768</v>
      </c>
      <c r="J796" s="50" t="s">
        <v>769</v>
      </c>
      <c r="K796" s="62">
        <v>5403</v>
      </c>
      <c r="L796" s="57">
        <v>207</v>
      </c>
      <c r="M796" s="50" t="s">
        <v>26</v>
      </c>
      <c r="N796" s="50" t="s">
        <v>317</v>
      </c>
      <c r="O796" s="64">
        <v>14816.82</v>
      </c>
      <c r="P796" s="65">
        <v>12</v>
      </c>
      <c r="Q796" s="64">
        <v>1778.01</v>
      </c>
      <c r="R796" s="63">
        <v>0</v>
      </c>
      <c r="S796" s="64">
        <v>1037.17</v>
      </c>
    </row>
    <row r="797" spans="1:19" ht="11.1" customHeight="1" x14ac:dyDescent="0.25">
      <c r="N797" s="50" t="s">
        <v>318</v>
      </c>
      <c r="O797" s="64">
        <v>20002.73</v>
      </c>
      <c r="P797" s="65">
        <v>20</v>
      </c>
      <c r="Q797" s="64">
        <v>1037.17</v>
      </c>
      <c r="R797" s="63">
        <v>0</v>
      </c>
      <c r="S797" s="64">
        <v>0</v>
      </c>
    </row>
    <row r="798" spans="1:19" ht="11.1" customHeight="1" x14ac:dyDescent="0.25">
      <c r="A798" s="57">
        <v>113659</v>
      </c>
      <c r="B798" s="53">
        <v>46142</v>
      </c>
      <c r="C798" s="58">
        <v>46142</v>
      </c>
      <c r="D798" s="59" t="s">
        <v>850</v>
      </c>
      <c r="E798" s="50" t="s">
        <v>313</v>
      </c>
      <c r="F798" s="57">
        <v>36</v>
      </c>
      <c r="G798" s="60">
        <v>3</v>
      </c>
      <c r="H798" s="61" t="s">
        <v>767</v>
      </c>
      <c r="I798" s="50" t="s">
        <v>768</v>
      </c>
      <c r="J798" s="50" t="s">
        <v>769</v>
      </c>
      <c r="K798" s="62">
        <v>5102</v>
      </c>
      <c r="L798" s="57">
        <v>205</v>
      </c>
      <c r="M798" s="50" t="s">
        <v>26</v>
      </c>
      <c r="N798" s="50" t="s">
        <v>317</v>
      </c>
      <c r="O798" s="64">
        <v>1830.9</v>
      </c>
      <c r="P798" s="65">
        <v>12</v>
      </c>
      <c r="Q798" s="64">
        <v>219.71</v>
      </c>
      <c r="R798" s="63">
        <v>0</v>
      </c>
      <c r="S798" s="64">
        <v>0</v>
      </c>
    </row>
    <row r="799" spans="1:19" ht="11.1" customHeight="1" x14ac:dyDescent="0.25">
      <c r="A799" s="57">
        <v>113660</v>
      </c>
      <c r="B799" s="53">
        <v>46142</v>
      </c>
      <c r="C799" s="58">
        <v>46142</v>
      </c>
      <c r="D799" s="59" t="s">
        <v>850</v>
      </c>
      <c r="E799" s="50" t="s">
        <v>313</v>
      </c>
      <c r="F799" s="57">
        <v>36</v>
      </c>
      <c r="G799" s="60">
        <v>3</v>
      </c>
      <c r="H799" s="61" t="s">
        <v>767</v>
      </c>
      <c r="I799" s="50" t="s">
        <v>768</v>
      </c>
      <c r="J799" s="50" t="s">
        <v>769</v>
      </c>
      <c r="K799" s="62">
        <v>5403</v>
      </c>
      <c r="L799" s="57">
        <v>207</v>
      </c>
      <c r="M799" s="50" t="s">
        <v>26</v>
      </c>
      <c r="N799" s="50" t="s">
        <v>317</v>
      </c>
      <c r="O799" s="64">
        <v>2018.74</v>
      </c>
      <c r="P799" s="65">
        <v>12</v>
      </c>
      <c r="Q799" s="64">
        <v>242.26</v>
      </c>
      <c r="R799" s="63">
        <v>0</v>
      </c>
      <c r="S799" s="64">
        <v>141.31</v>
      </c>
    </row>
    <row r="800" spans="1:19" ht="11.1" customHeight="1" x14ac:dyDescent="0.25">
      <c r="N800" s="50" t="s">
        <v>318</v>
      </c>
      <c r="O800" s="64">
        <v>2725.3</v>
      </c>
      <c r="P800" s="65">
        <v>20</v>
      </c>
      <c r="Q800" s="64">
        <v>141.31</v>
      </c>
      <c r="R800" s="63">
        <v>0</v>
      </c>
      <c r="S800" s="64">
        <v>0</v>
      </c>
    </row>
    <row r="801" spans="1:19" ht="11.1" customHeight="1" x14ac:dyDescent="0.25">
      <c r="A801" s="57">
        <v>113664</v>
      </c>
      <c r="B801" s="53">
        <v>46142</v>
      </c>
      <c r="C801" s="58">
        <v>46142</v>
      </c>
      <c r="D801" s="59" t="s">
        <v>851</v>
      </c>
      <c r="E801" s="50" t="s">
        <v>313</v>
      </c>
      <c r="F801" s="57">
        <v>36</v>
      </c>
      <c r="G801" s="60">
        <v>3</v>
      </c>
      <c r="H801" s="61" t="s">
        <v>767</v>
      </c>
      <c r="I801" s="50" t="s">
        <v>768</v>
      </c>
      <c r="J801" s="50" t="s">
        <v>769</v>
      </c>
      <c r="K801" s="62">
        <v>5102</v>
      </c>
      <c r="L801" s="57">
        <v>205</v>
      </c>
      <c r="M801" s="50" t="s">
        <v>26</v>
      </c>
      <c r="N801" s="50" t="s">
        <v>317</v>
      </c>
      <c r="O801" s="64">
        <v>133.52000000000001</v>
      </c>
      <c r="P801" s="65">
        <v>12</v>
      </c>
      <c r="Q801" s="64">
        <v>16.03</v>
      </c>
      <c r="R801" s="63">
        <v>0</v>
      </c>
      <c r="S801" s="64">
        <v>0</v>
      </c>
    </row>
    <row r="802" spans="1:19" ht="11.1" customHeight="1" x14ac:dyDescent="0.25">
      <c r="A802" s="57">
        <v>113665</v>
      </c>
      <c r="B802" s="53">
        <v>46142</v>
      </c>
      <c r="C802" s="58">
        <v>46142</v>
      </c>
      <c r="D802" s="59" t="s">
        <v>852</v>
      </c>
      <c r="E802" s="50" t="s">
        <v>313</v>
      </c>
      <c r="F802" s="57">
        <v>36</v>
      </c>
      <c r="G802" s="60">
        <v>3</v>
      </c>
      <c r="H802" s="61" t="s">
        <v>767</v>
      </c>
      <c r="I802" s="50" t="s">
        <v>768</v>
      </c>
      <c r="J802" s="50" t="s">
        <v>769</v>
      </c>
      <c r="K802" s="62">
        <v>5102</v>
      </c>
      <c r="L802" s="57">
        <v>205</v>
      </c>
      <c r="M802" s="50" t="s">
        <v>26</v>
      </c>
      <c r="N802" s="50" t="s">
        <v>317</v>
      </c>
      <c r="O802" s="64">
        <v>270.3</v>
      </c>
      <c r="P802" s="65">
        <v>12</v>
      </c>
      <c r="Q802" s="64">
        <v>32.44</v>
      </c>
      <c r="R802" s="63">
        <v>0</v>
      </c>
      <c r="S802" s="64">
        <v>0</v>
      </c>
    </row>
    <row r="803" spans="1:19" ht="11.1" customHeight="1" x14ac:dyDescent="0.25">
      <c r="A803" s="57">
        <v>113666</v>
      </c>
      <c r="B803" s="53">
        <v>46142</v>
      </c>
      <c r="C803" s="58">
        <v>46142</v>
      </c>
      <c r="D803" s="59" t="s">
        <v>852</v>
      </c>
      <c r="E803" s="50" t="s">
        <v>313</v>
      </c>
      <c r="F803" s="57">
        <v>36</v>
      </c>
      <c r="G803" s="60">
        <v>3</v>
      </c>
      <c r="H803" s="61" t="s">
        <v>767</v>
      </c>
      <c r="I803" s="50" t="s">
        <v>768</v>
      </c>
      <c r="J803" s="50" t="s">
        <v>769</v>
      </c>
      <c r="K803" s="62">
        <v>5403</v>
      </c>
      <c r="L803" s="57">
        <v>207</v>
      </c>
      <c r="M803" s="50" t="s">
        <v>26</v>
      </c>
      <c r="N803" s="50" t="s">
        <v>317</v>
      </c>
      <c r="O803" s="64">
        <v>227.96</v>
      </c>
      <c r="P803" s="65">
        <v>12</v>
      </c>
      <c r="Q803" s="64">
        <v>27.36</v>
      </c>
      <c r="R803" s="63">
        <v>0</v>
      </c>
      <c r="S803" s="64">
        <v>15.96</v>
      </c>
    </row>
    <row r="804" spans="1:19" ht="11.1" customHeight="1" x14ac:dyDescent="0.25">
      <c r="N804" s="50" t="s">
        <v>318</v>
      </c>
      <c r="O804" s="64">
        <v>307.75</v>
      </c>
      <c r="P804" s="65">
        <v>20</v>
      </c>
      <c r="Q804" s="64">
        <v>15.96</v>
      </c>
      <c r="R804" s="63">
        <v>0</v>
      </c>
      <c r="S804" s="64">
        <v>0</v>
      </c>
    </row>
    <row r="805" spans="1:19" ht="11.85" customHeight="1" x14ac:dyDescent="0.25">
      <c r="A805" s="66" t="s">
        <v>320</v>
      </c>
      <c r="B805" s="66"/>
      <c r="C805" s="66"/>
      <c r="D805" s="66"/>
      <c r="E805" s="66"/>
      <c r="F805" s="66"/>
      <c r="G805" s="66"/>
      <c r="H805" s="66"/>
    </row>
    <row r="806" spans="1:19" ht="11.1" customHeight="1" x14ac:dyDescent="0.25">
      <c r="N806" s="50" t="s">
        <v>317</v>
      </c>
      <c r="O806" s="64">
        <v>191162.06</v>
      </c>
      <c r="Q806" s="64">
        <v>22939.61</v>
      </c>
      <c r="R806" s="63">
        <v>0</v>
      </c>
      <c r="S806" s="64">
        <v>7391.32</v>
      </c>
    </row>
    <row r="807" spans="1:19" ht="11.1" customHeight="1" x14ac:dyDescent="0.25">
      <c r="N807" s="50" t="s">
        <v>318</v>
      </c>
      <c r="O807" s="64">
        <v>128075.07</v>
      </c>
      <c r="Q807" s="64">
        <v>6640.95</v>
      </c>
      <c r="R807" s="63">
        <v>0</v>
      </c>
      <c r="S807" s="64">
        <v>0</v>
      </c>
    </row>
    <row r="808" spans="1:19" ht="11.1" customHeight="1" x14ac:dyDescent="0.25">
      <c r="A808" s="57">
        <v>112453</v>
      </c>
      <c r="B808" s="53">
        <v>46113</v>
      </c>
      <c r="C808" s="58">
        <v>46113</v>
      </c>
      <c r="D808" s="59" t="s">
        <v>853</v>
      </c>
      <c r="E808" s="50" t="s">
        <v>313</v>
      </c>
      <c r="F808" s="57">
        <v>36</v>
      </c>
      <c r="G808" s="60">
        <v>351</v>
      </c>
      <c r="H808" s="61" t="s">
        <v>854</v>
      </c>
      <c r="I808" s="50" t="s">
        <v>855</v>
      </c>
      <c r="J808" s="50" t="s">
        <v>856</v>
      </c>
      <c r="K808" s="62">
        <v>5403</v>
      </c>
      <c r="L808" s="57">
        <v>207</v>
      </c>
      <c r="M808" s="50" t="s">
        <v>26</v>
      </c>
      <c r="N808" s="50" t="s">
        <v>317</v>
      </c>
      <c r="O808" s="64">
        <v>877.69</v>
      </c>
      <c r="P808" s="65">
        <v>12</v>
      </c>
      <c r="Q808" s="64">
        <v>105.33</v>
      </c>
      <c r="R808" s="63">
        <v>0</v>
      </c>
      <c r="S808" s="64">
        <v>61.44</v>
      </c>
    </row>
    <row r="809" spans="1:19" ht="11.1" customHeight="1" x14ac:dyDescent="0.25">
      <c r="N809" s="50" t="s">
        <v>318</v>
      </c>
      <c r="O809" s="64">
        <v>1184.8800000000001</v>
      </c>
      <c r="P809" s="65">
        <v>20</v>
      </c>
      <c r="Q809" s="64">
        <v>61.44</v>
      </c>
      <c r="R809" s="63">
        <v>0</v>
      </c>
      <c r="S809" s="64">
        <v>0</v>
      </c>
    </row>
    <row r="810" spans="1:19" ht="11.1" customHeight="1" x14ac:dyDescent="0.25">
      <c r="A810" s="57">
        <v>112464</v>
      </c>
      <c r="B810" s="53">
        <v>46113</v>
      </c>
      <c r="C810" s="58">
        <v>46113</v>
      </c>
      <c r="D810" s="59" t="s">
        <v>857</v>
      </c>
      <c r="E810" s="50" t="s">
        <v>313</v>
      </c>
      <c r="F810" s="57">
        <v>36</v>
      </c>
      <c r="G810" s="60">
        <v>351</v>
      </c>
      <c r="H810" s="61" t="s">
        <v>854</v>
      </c>
      <c r="I810" s="50" t="s">
        <v>855</v>
      </c>
      <c r="J810" s="50" t="s">
        <v>856</v>
      </c>
      <c r="K810" s="62">
        <v>5102</v>
      </c>
      <c r="L810" s="57">
        <v>205</v>
      </c>
      <c r="M810" s="50" t="s">
        <v>26</v>
      </c>
      <c r="N810" s="50" t="s">
        <v>317</v>
      </c>
      <c r="O810" s="64">
        <v>81.72</v>
      </c>
      <c r="P810" s="65">
        <v>12</v>
      </c>
      <c r="Q810" s="64">
        <v>9.81</v>
      </c>
      <c r="R810" s="63">
        <v>0</v>
      </c>
      <c r="S810" s="64">
        <v>0</v>
      </c>
    </row>
    <row r="811" spans="1:19" ht="11.1" customHeight="1" x14ac:dyDescent="0.25">
      <c r="A811" s="57">
        <v>112465</v>
      </c>
      <c r="B811" s="53">
        <v>46113</v>
      </c>
      <c r="C811" s="58">
        <v>46113</v>
      </c>
      <c r="D811" s="59" t="s">
        <v>857</v>
      </c>
      <c r="E811" s="50" t="s">
        <v>313</v>
      </c>
      <c r="F811" s="57">
        <v>36</v>
      </c>
      <c r="G811" s="60">
        <v>351</v>
      </c>
      <c r="H811" s="61" t="s">
        <v>854</v>
      </c>
      <c r="I811" s="50" t="s">
        <v>855</v>
      </c>
      <c r="J811" s="50" t="s">
        <v>856</v>
      </c>
      <c r="K811" s="62">
        <v>5403</v>
      </c>
      <c r="L811" s="57">
        <v>207</v>
      </c>
      <c r="M811" s="50" t="s">
        <v>26</v>
      </c>
      <c r="N811" s="50" t="s">
        <v>317</v>
      </c>
      <c r="O811" s="64">
        <v>384.48</v>
      </c>
      <c r="P811" s="65">
        <v>12</v>
      </c>
      <c r="Q811" s="64">
        <v>46.14</v>
      </c>
      <c r="R811" s="63">
        <v>0</v>
      </c>
      <c r="S811" s="64">
        <v>26.91</v>
      </c>
    </row>
    <row r="812" spans="1:19" ht="11.1" customHeight="1" x14ac:dyDescent="0.25">
      <c r="N812" s="50" t="s">
        <v>318</v>
      </c>
      <c r="O812" s="64">
        <v>519.04999999999995</v>
      </c>
      <c r="P812" s="65">
        <v>20</v>
      </c>
      <c r="Q812" s="64">
        <v>26.91</v>
      </c>
      <c r="R812" s="63">
        <v>0</v>
      </c>
      <c r="S812" s="64">
        <v>0</v>
      </c>
    </row>
    <row r="813" spans="1:19" ht="11.1" customHeight="1" x14ac:dyDescent="0.25">
      <c r="A813" s="57">
        <v>112509</v>
      </c>
      <c r="B813" s="53">
        <v>46114</v>
      </c>
      <c r="C813" s="58">
        <v>46114</v>
      </c>
      <c r="D813" s="59" t="s">
        <v>858</v>
      </c>
      <c r="E813" s="50" t="s">
        <v>313</v>
      </c>
      <c r="F813" s="57">
        <v>36</v>
      </c>
      <c r="G813" s="60">
        <v>351</v>
      </c>
      <c r="H813" s="61" t="s">
        <v>854</v>
      </c>
      <c r="I813" s="50" t="s">
        <v>855</v>
      </c>
      <c r="J813" s="50" t="s">
        <v>856</v>
      </c>
      <c r="K813" s="62">
        <v>5403</v>
      </c>
      <c r="L813" s="57">
        <v>207</v>
      </c>
      <c r="M813" s="50" t="s">
        <v>26</v>
      </c>
      <c r="N813" s="50" t="s">
        <v>317</v>
      </c>
      <c r="O813" s="64">
        <v>169.1</v>
      </c>
      <c r="P813" s="65">
        <v>12</v>
      </c>
      <c r="Q813" s="64">
        <v>20.29</v>
      </c>
      <c r="R813" s="63">
        <v>0</v>
      </c>
      <c r="S813" s="64">
        <v>11.84</v>
      </c>
    </row>
    <row r="814" spans="1:19" ht="11.1" customHeight="1" x14ac:dyDescent="0.25">
      <c r="N814" s="50" t="s">
        <v>318</v>
      </c>
      <c r="O814" s="64">
        <v>228.29</v>
      </c>
      <c r="P814" s="65">
        <v>20</v>
      </c>
      <c r="Q814" s="64">
        <v>11.84</v>
      </c>
      <c r="R814" s="63">
        <v>0</v>
      </c>
      <c r="S814" s="64">
        <v>0</v>
      </c>
    </row>
    <row r="815" spans="1:19" ht="11.1" customHeight="1" x14ac:dyDescent="0.25">
      <c r="A815" s="57">
        <v>112520</v>
      </c>
      <c r="B815" s="53">
        <v>46114</v>
      </c>
      <c r="C815" s="58">
        <v>46114</v>
      </c>
      <c r="D815" s="59" t="s">
        <v>859</v>
      </c>
      <c r="E815" s="50" t="s">
        <v>313</v>
      </c>
      <c r="F815" s="57">
        <v>36</v>
      </c>
      <c r="G815" s="60">
        <v>351</v>
      </c>
      <c r="H815" s="61" t="s">
        <v>854</v>
      </c>
      <c r="I815" s="50" t="s">
        <v>855</v>
      </c>
      <c r="J815" s="50" t="s">
        <v>856</v>
      </c>
      <c r="K815" s="62">
        <v>5102</v>
      </c>
      <c r="L815" s="57">
        <v>205</v>
      </c>
      <c r="M815" s="50" t="s">
        <v>26</v>
      </c>
      <c r="N815" s="50" t="s">
        <v>317</v>
      </c>
      <c r="O815" s="64">
        <v>1275.04</v>
      </c>
      <c r="P815" s="65">
        <v>12</v>
      </c>
      <c r="Q815" s="64">
        <v>153.01</v>
      </c>
      <c r="R815" s="63">
        <v>0</v>
      </c>
      <c r="S815" s="64">
        <v>0</v>
      </c>
    </row>
    <row r="816" spans="1:19" ht="11.1" customHeight="1" x14ac:dyDescent="0.25">
      <c r="A816" s="57">
        <v>112521</v>
      </c>
      <c r="B816" s="53">
        <v>46114</v>
      </c>
      <c r="C816" s="58">
        <v>46114</v>
      </c>
      <c r="D816" s="59" t="s">
        <v>859</v>
      </c>
      <c r="E816" s="50" t="s">
        <v>313</v>
      </c>
      <c r="F816" s="57">
        <v>36</v>
      </c>
      <c r="G816" s="60">
        <v>351</v>
      </c>
      <c r="H816" s="61" t="s">
        <v>854</v>
      </c>
      <c r="I816" s="50" t="s">
        <v>855</v>
      </c>
      <c r="J816" s="50" t="s">
        <v>856</v>
      </c>
      <c r="K816" s="62">
        <v>5403</v>
      </c>
      <c r="L816" s="57">
        <v>207</v>
      </c>
      <c r="M816" s="50" t="s">
        <v>26</v>
      </c>
      <c r="N816" s="50" t="s">
        <v>317</v>
      </c>
      <c r="O816" s="64">
        <v>201.78</v>
      </c>
      <c r="P816" s="65">
        <v>12</v>
      </c>
      <c r="Q816" s="64">
        <v>24.21</v>
      </c>
      <c r="R816" s="63">
        <v>0</v>
      </c>
      <c r="S816" s="64">
        <v>14.13</v>
      </c>
    </row>
    <row r="817" spans="1:19" ht="11.1" customHeight="1" x14ac:dyDescent="0.25">
      <c r="N817" s="50" t="s">
        <v>318</v>
      </c>
      <c r="O817" s="64">
        <v>272.39999999999998</v>
      </c>
      <c r="P817" s="65">
        <v>20</v>
      </c>
      <c r="Q817" s="64">
        <v>14.13</v>
      </c>
      <c r="R817" s="63">
        <v>0</v>
      </c>
      <c r="S817" s="64">
        <v>0</v>
      </c>
    </row>
    <row r="818" spans="1:19" ht="11.1" customHeight="1" x14ac:dyDescent="0.25">
      <c r="A818" s="57">
        <v>112527</v>
      </c>
      <c r="B818" s="53">
        <v>46114</v>
      </c>
      <c r="C818" s="58">
        <v>46114</v>
      </c>
      <c r="D818" s="59" t="s">
        <v>860</v>
      </c>
      <c r="E818" s="50" t="s">
        <v>313</v>
      </c>
      <c r="F818" s="57">
        <v>36</v>
      </c>
      <c r="G818" s="60">
        <v>351</v>
      </c>
      <c r="H818" s="61" t="s">
        <v>854</v>
      </c>
      <c r="I818" s="50" t="s">
        <v>855</v>
      </c>
      <c r="J818" s="50" t="s">
        <v>856</v>
      </c>
      <c r="K818" s="62">
        <v>5102</v>
      </c>
      <c r="L818" s="57">
        <v>205</v>
      </c>
      <c r="M818" s="50" t="s">
        <v>26</v>
      </c>
      <c r="N818" s="50" t="s">
        <v>317</v>
      </c>
      <c r="O818" s="64">
        <v>155.05000000000001</v>
      </c>
      <c r="P818" s="65">
        <v>12</v>
      </c>
      <c r="Q818" s="64">
        <v>18.61</v>
      </c>
      <c r="R818" s="63">
        <v>0</v>
      </c>
      <c r="S818" s="64">
        <v>0</v>
      </c>
    </row>
    <row r="819" spans="1:19" ht="11.1" customHeight="1" x14ac:dyDescent="0.25">
      <c r="A819" s="57">
        <v>112528</v>
      </c>
      <c r="B819" s="53">
        <v>46114</v>
      </c>
      <c r="C819" s="58">
        <v>46114</v>
      </c>
      <c r="D819" s="59" t="s">
        <v>860</v>
      </c>
      <c r="E819" s="50" t="s">
        <v>313</v>
      </c>
      <c r="F819" s="57">
        <v>36</v>
      </c>
      <c r="G819" s="60">
        <v>351</v>
      </c>
      <c r="H819" s="61" t="s">
        <v>854</v>
      </c>
      <c r="I819" s="50" t="s">
        <v>855</v>
      </c>
      <c r="J819" s="50" t="s">
        <v>856</v>
      </c>
      <c r="K819" s="62">
        <v>5403</v>
      </c>
      <c r="L819" s="57">
        <v>207</v>
      </c>
      <c r="M819" s="50" t="s">
        <v>26</v>
      </c>
      <c r="N819" s="50" t="s">
        <v>317</v>
      </c>
      <c r="O819" s="64">
        <v>332.29</v>
      </c>
      <c r="P819" s="65">
        <v>12</v>
      </c>
      <c r="Q819" s="64">
        <v>39.869999999999997</v>
      </c>
      <c r="R819" s="63">
        <v>0</v>
      </c>
      <c r="S819" s="64">
        <v>23.26</v>
      </c>
    </row>
    <row r="820" spans="1:19" ht="11.1" customHeight="1" x14ac:dyDescent="0.25">
      <c r="N820" s="50" t="s">
        <v>318</v>
      </c>
      <c r="O820" s="64">
        <v>448.59</v>
      </c>
      <c r="P820" s="65">
        <v>20</v>
      </c>
      <c r="Q820" s="64">
        <v>23.26</v>
      </c>
      <c r="R820" s="63">
        <v>0</v>
      </c>
      <c r="S820" s="64">
        <v>0</v>
      </c>
    </row>
    <row r="821" spans="1:19" ht="11.1" customHeight="1" x14ac:dyDescent="0.25">
      <c r="A821" s="57">
        <v>112550</v>
      </c>
      <c r="B821" s="53">
        <v>46118</v>
      </c>
      <c r="C821" s="58">
        <v>46118</v>
      </c>
      <c r="D821" s="59" t="s">
        <v>861</v>
      </c>
      <c r="E821" s="50" t="s">
        <v>313</v>
      </c>
      <c r="F821" s="57">
        <v>36</v>
      </c>
      <c r="G821" s="60">
        <v>351</v>
      </c>
      <c r="H821" s="61" t="s">
        <v>854</v>
      </c>
      <c r="I821" s="50" t="s">
        <v>855</v>
      </c>
      <c r="J821" s="50" t="s">
        <v>856</v>
      </c>
      <c r="K821" s="62">
        <v>5102</v>
      </c>
      <c r="L821" s="57">
        <v>205</v>
      </c>
      <c r="M821" s="50" t="s">
        <v>26</v>
      </c>
      <c r="N821" s="50" t="s">
        <v>317</v>
      </c>
      <c r="O821" s="64">
        <v>55.02</v>
      </c>
      <c r="P821" s="65">
        <v>12</v>
      </c>
      <c r="Q821" s="64">
        <v>6.6</v>
      </c>
      <c r="R821" s="63">
        <v>0</v>
      </c>
      <c r="S821" s="64">
        <v>0</v>
      </c>
    </row>
    <row r="822" spans="1:19" ht="11.1" customHeight="1" x14ac:dyDescent="0.25">
      <c r="A822" s="57">
        <v>112551</v>
      </c>
      <c r="B822" s="53">
        <v>46118</v>
      </c>
      <c r="C822" s="58">
        <v>46118</v>
      </c>
      <c r="D822" s="59" t="s">
        <v>861</v>
      </c>
      <c r="E822" s="50" t="s">
        <v>313</v>
      </c>
      <c r="F822" s="57">
        <v>36</v>
      </c>
      <c r="G822" s="60">
        <v>351</v>
      </c>
      <c r="H822" s="61" t="s">
        <v>854</v>
      </c>
      <c r="I822" s="50" t="s">
        <v>855</v>
      </c>
      <c r="J822" s="50" t="s">
        <v>856</v>
      </c>
      <c r="K822" s="62">
        <v>5403</v>
      </c>
      <c r="L822" s="57">
        <v>207</v>
      </c>
      <c r="M822" s="50" t="s">
        <v>26</v>
      </c>
      <c r="N822" s="50" t="s">
        <v>317</v>
      </c>
      <c r="O822" s="64">
        <v>131.28</v>
      </c>
      <c r="P822" s="65">
        <v>12</v>
      </c>
      <c r="Q822" s="64">
        <v>15.75</v>
      </c>
      <c r="R822" s="63">
        <v>0</v>
      </c>
      <c r="S822" s="64">
        <v>9.19</v>
      </c>
    </row>
    <row r="823" spans="1:19" ht="11.1" customHeight="1" x14ac:dyDescent="0.25">
      <c r="N823" s="50" t="s">
        <v>318</v>
      </c>
      <c r="O823" s="64">
        <v>177.23</v>
      </c>
      <c r="P823" s="65">
        <v>20</v>
      </c>
      <c r="Q823" s="64">
        <v>9.19</v>
      </c>
      <c r="R823" s="63">
        <v>0</v>
      </c>
      <c r="S823" s="64">
        <v>0</v>
      </c>
    </row>
    <row r="824" spans="1:19" ht="11.1" customHeight="1" x14ac:dyDescent="0.25">
      <c r="A824" s="57">
        <v>112598</v>
      </c>
      <c r="B824" s="53">
        <v>46118</v>
      </c>
      <c r="C824" s="58">
        <v>46118</v>
      </c>
      <c r="D824" s="59" t="s">
        <v>862</v>
      </c>
      <c r="E824" s="50" t="s">
        <v>313</v>
      </c>
      <c r="F824" s="57">
        <v>36</v>
      </c>
      <c r="G824" s="60">
        <v>351</v>
      </c>
      <c r="H824" s="61" t="s">
        <v>854</v>
      </c>
      <c r="I824" s="50" t="s">
        <v>855</v>
      </c>
      <c r="J824" s="50" t="s">
        <v>856</v>
      </c>
      <c r="K824" s="62">
        <v>5102</v>
      </c>
      <c r="L824" s="57">
        <v>205</v>
      </c>
      <c r="M824" s="50" t="s">
        <v>26</v>
      </c>
      <c r="N824" s="50" t="s">
        <v>317</v>
      </c>
      <c r="O824" s="64">
        <v>250.69</v>
      </c>
      <c r="P824" s="65">
        <v>12</v>
      </c>
      <c r="Q824" s="64">
        <v>30.08</v>
      </c>
      <c r="R824" s="63">
        <v>0</v>
      </c>
      <c r="S824" s="64">
        <v>0</v>
      </c>
    </row>
    <row r="825" spans="1:19" ht="11.1" customHeight="1" x14ac:dyDescent="0.25">
      <c r="A825" s="57">
        <v>112599</v>
      </c>
      <c r="B825" s="53">
        <v>46118</v>
      </c>
      <c r="C825" s="58">
        <v>46118</v>
      </c>
      <c r="D825" s="59" t="s">
        <v>862</v>
      </c>
      <c r="E825" s="50" t="s">
        <v>313</v>
      </c>
      <c r="F825" s="57">
        <v>36</v>
      </c>
      <c r="G825" s="60">
        <v>351</v>
      </c>
      <c r="H825" s="61" t="s">
        <v>854</v>
      </c>
      <c r="I825" s="50" t="s">
        <v>855</v>
      </c>
      <c r="J825" s="50" t="s">
        <v>856</v>
      </c>
      <c r="K825" s="62">
        <v>5403</v>
      </c>
      <c r="L825" s="57">
        <v>207</v>
      </c>
      <c r="M825" s="50" t="s">
        <v>26</v>
      </c>
      <c r="N825" s="50" t="s">
        <v>317</v>
      </c>
      <c r="O825" s="64">
        <v>323.31</v>
      </c>
      <c r="P825" s="65">
        <v>12</v>
      </c>
      <c r="Q825" s="64">
        <v>38.799999999999997</v>
      </c>
      <c r="R825" s="63">
        <v>0</v>
      </c>
      <c r="S825" s="64">
        <v>22.63</v>
      </c>
    </row>
    <row r="826" spans="1:19" ht="11.1" customHeight="1" x14ac:dyDescent="0.25">
      <c r="N826" s="50" t="s">
        <v>318</v>
      </c>
      <c r="O826" s="64">
        <v>436.47</v>
      </c>
      <c r="P826" s="65">
        <v>20</v>
      </c>
      <c r="Q826" s="64">
        <v>22.63</v>
      </c>
      <c r="R826" s="63">
        <v>0</v>
      </c>
      <c r="S826" s="64">
        <v>0</v>
      </c>
    </row>
    <row r="827" spans="1:19" ht="11.1" customHeight="1" x14ac:dyDescent="0.25">
      <c r="A827" s="57">
        <v>112606</v>
      </c>
      <c r="B827" s="53">
        <v>46118</v>
      </c>
      <c r="C827" s="58">
        <v>46118</v>
      </c>
      <c r="D827" s="59" t="s">
        <v>863</v>
      </c>
      <c r="E827" s="50" t="s">
        <v>313</v>
      </c>
      <c r="F827" s="57">
        <v>36</v>
      </c>
      <c r="G827" s="60">
        <v>351</v>
      </c>
      <c r="H827" s="61" t="s">
        <v>854</v>
      </c>
      <c r="I827" s="50" t="s">
        <v>855</v>
      </c>
      <c r="J827" s="50" t="s">
        <v>856</v>
      </c>
      <c r="K827" s="62">
        <v>5102</v>
      </c>
      <c r="L827" s="57">
        <v>205</v>
      </c>
      <c r="M827" s="50" t="s">
        <v>26</v>
      </c>
      <c r="N827" s="50" t="s">
        <v>317</v>
      </c>
      <c r="O827" s="64">
        <v>753.81</v>
      </c>
      <c r="P827" s="65">
        <v>12</v>
      </c>
      <c r="Q827" s="64">
        <v>90.45</v>
      </c>
      <c r="R827" s="63">
        <v>0</v>
      </c>
      <c r="S827" s="64">
        <v>0</v>
      </c>
    </row>
    <row r="828" spans="1:19" ht="11.1" customHeight="1" x14ac:dyDescent="0.25">
      <c r="A828" s="57">
        <v>112628</v>
      </c>
      <c r="B828" s="53">
        <v>46118</v>
      </c>
      <c r="C828" s="58">
        <v>46118</v>
      </c>
      <c r="D828" s="59" t="s">
        <v>864</v>
      </c>
      <c r="E828" s="50" t="s">
        <v>313</v>
      </c>
      <c r="F828" s="57">
        <v>36</v>
      </c>
      <c r="G828" s="60">
        <v>351</v>
      </c>
      <c r="H828" s="61" t="s">
        <v>854</v>
      </c>
      <c r="I828" s="50" t="s">
        <v>855</v>
      </c>
      <c r="J828" s="50" t="s">
        <v>856</v>
      </c>
      <c r="K828" s="62">
        <v>5102</v>
      </c>
      <c r="L828" s="57">
        <v>205</v>
      </c>
      <c r="M828" s="50" t="s">
        <v>26</v>
      </c>
      <c r="N828" s="50" t="s">
        <v>317</v>
      </c>
      <c r="O828" s="64">
        <v>11471</v>
      </c>
      <c r="P828" s="65">
        <v>12</v>
      </c>
      <c r="Q828" s="64">
        <v>1376.55</v>
      </c>
      <c r="R828" s="63">
        <v>0</v>
      </c>
      <c r="S828" s="64">
        <v>0</v>
      </c>
    </row>
    <row r="829" spans="1:19" ht="11.1" customHeight="1" x14ac:dyDescent="0.25">
      <c r="A829" s="57">
        <v>112629</v>
      </c>
      <c r="B829" s="53">
        <v>46118</v>
      </c>
      <c r="C829" s="58">
        <v>46118</v>
      </c>
      <c r="D829" s="59" t="s">
        <v>864</v>
      </c>
      <c r="E829" s="50" t="s">
        <v>313</v>
      </c>
      <c r="F829" s="57">
        <v>36</v>
      </c>
      <c r="G829" s="60">
        <v>351</v>
      </c>
      <c r="H829" s="61" t="s">
        <v>854</v>
      </c>
      <c r="I829" s="50" t="s">
        <v>855</v>
      </c>
      <c r="J829" s="50" t="s">
        <v>856</v>
      </c>
      <c r="K829" s="62">
        <v>5405</v>
      </c>
      <c r="L829" s="57">
        <v>206</v>
      </c>
      <c r="M829" s="50" t="s">
        <v>26</v>
      </c>
      <c r="N829" s="50" t="s">
        <v>317</v>
      </c>
      <c r="O829" s="64">
        <v>0</v>
      </c>
      <c r="P829" s="65">
        <v>0</v>
      </c>
      <c r="Q829" s="64">
        <v>0</v>
      </c>
      <c r="R829" s="63">
        <v>0</v>
      </c>
      <c r="S829" s="64">
        <v>93.1</v>
      </c>
    </row>
    <row r="830" spans="1:19" ht="11.1" customHeight="1" x14ac:dyDescent="0.25">
      <c r="A830" s="57">
        <v>112630</v>
      </c>
      <c r="B830" s="53">
        <v>46118</v>
      </c>
      <c r="C830" s="58">
        <v>46118</v>
      </c>
      <c r="D830" s="59" t="s">
        <v>864</v>
      </c>
      <c r="E830" s="50" t="s">
        <v>313</v>
      </c>
      <c r="F830" s="57">
        <v>36</v>
      </c>
      <c r="G830" s="60">
        <v>351</v>
      </c>
      <c r="H830" s="61" t="s">
        <v>854</v>
      </c>
      <c r="I830" s="50" t="s">
        <v>855</v>
      </c>
      <c r="J830" s="50" t="s">
        <v>856</v>
      </c>
      <c r="K830" s="62">
        <v>5403</v>
      </c>
      <c r="L830" s="57">
        <v>207</v>
      </c>
      <c r="M830" s="50" t="s">
        <v>26</v>
      </c>
      <c r="N830" s="50" t="s">
        <v>317</v>
      </c>
      <c r="O830" s="64">
        <v>9353.83</v>
      </c>
      <c r="P830" s="65">
        <v>12</v>
      </c>
      <c r="Q830" s="64">
        <v>1122.45</v>
      </c>
      <c r="R830" s="63">
        <v>0</v>
      </c>
      <c r="S830" s="64">
        <v>654.72</v>
      </c>
    </row>
    <row r="831" spans="1:19" ht="11.1" customHeight="1" x14ac:dyDescent="0.25">
      <c r="N831" s="50" t="s">
        <v>318</v>
      </c>
      <c r="O831" s="64">
        <v>12627.68</v>
      </c>
      <c r="P831" s="65">
        <v>20</v>
      </c>
      <c r="Q831" s="64">
        <v>654.72</v>
      </c>
      <c r="R831" s="63">
        <v>0</v>
      </c>
      <c r="S831" s="64">
        <v>0</v>
      </c>
    </row>
    <row r="832" spans="1:19" ht="11.1" customHeight="1" x14ac:dyDescent="0.25">
      <c r="A832" s="57">
        <v>112636</v>
      </c>
      <c r="B832" s="53">
        <v>46118</v>
      </c>
      <c r="C832" s="58">
        <v>46118</v>
      </c>
      <c r="D832" s="59" t="s">
        <v>865</v>
      </c>
      <c r="E832" s="50" t="s">
        <v>313</v>
      </c>
      <c r="F832" s="57">
        <v>36</v>
      </c>
      <c r="G832" s="60">
        <v>351</v>
      </c>
      <c r="H832" s="61" t="s">
        <v>854</v>
      </c>
      <c r="I832" s="50" t="s">
        <v>855</v>
      </c>
      <c r="J832" s="50" t="s">
        <v>856</v>
      </c>
      <c r="K832" s="62">
        <v>5102</v>
      </c>
      <c r="L832" s="57">
        <v>205</v>
      </c>
      <c r="M832" s="50" t="s">
        <v>26</v>
      </c>
      <c r="N832" s="50" t="s">
        <v>317</v>
      </c>
      <c r="O832" s="64">
        <v>144.01</v>
      </c>
      <c r="P832" s="65">
        <v>12</v>
      </c>
      <c r="Q832" s="64">
        <v>17.3</v>
      </c>
      <c r="R832" s="63">
        <v>0</v>
      </c>
      <c r="S832" s="64">
        <v>0</v>
      </c>
    </row>
    <row r="833" spans="1:19" ht="11.1" customHeight="1" x14ac:dyDescent="0.25">
      <c r="A833" s="57">
        <v>112637</v>
      </c>
      <c r="B833" s="53">
        <v>46118</v>
      </c>
      <c r="C833" s="58">
        <v>46118</v>
      </c>
      <c r="D833" s="59" t="s">
        <v>865</v>
      </c>
      <c r="E833" s="50" t="s">
        <v>313</v>
      </c>
      <c r="F833" s="57">
        <v>36</v>
      </c>
      <c r="G833" s="60">
        <v>351</v>
      </c>
      <c r="H833" s="61" t="s">
        <v>854</v>
      </c>
      <c r="I833" s="50" t="s">
        <v>855</v>
      </c>
      <c r="J833" s="50" t="s">
        <v>856</v>
      </c>
      <c r="K833" s="62">
        <v>5403</v>
      </c>
      <c r="L833" s="57">
        <v>207</v>
      </c>
      <c r="M833" s="50" t="s">
        <v>26</v>
      </c>
      <c r="N833" s="50" t="s">
        <v>317</v>
      </c>
      <c r="O833" s="64">
        <v>301.44</v>
      </c>
      <c r="P833" s="65">
        <v>12</v>
      </c>
      <c r="Q833" s="64">
        <v>36.17</v>
      </c>
      <c r="R833" s="63">
        <v>0</v>
      </c>
      <c r="S833" s="64">
        <v>21.1</v>
      </c>
    </row>
    <row r="834" spans="1:19" ht="11.1" customHeight="1" x14ac:dyDescent="0.25">
      <c r="N834" s="50" t="s">
        <v>318</v>
      </c>
      <c r="O834" s="64">
        <v>406.94</v>
      </c>
      <c r="P834" s="65">
        <v>20</v>
      </c>
      <c r="Q834" s="64">
        <v>21.1</v>
      </c>
      <c r="R834" s="63">
        <v>0</v>
      </c>
      <c r="S834" s="64">
        <v>0</v>
      </c>
    </row>
    <row r="835" spans="1:19" ht="11.1" customHeight="1" x14ac:dyDescent="0.25">
      <c r="A835" s="57">
        <v>112668</v>
      </c>
      <c r="B835" s="53">
        <v>46119</v>
      </c>
      <c r="C835" s="58">
        <v>46119</v>
      </c>
      <c r="D835" s="59" t="s">
        <v>866</v>
      </c>
      <c r="E835" s="50" t="s">
        <v>313</v>
      </c>
      <c r="F835" s="57">
        <v>36</v>
      </c>
      <c r="G835" s="60">
        <v>351</v>
      </c>
      <c r="H835" s="61" t="s">
        <v>854</v>
      </c>
      <c r="I835" s="50" t="s">
        <v>855</v>
      </c>
      <c r="J835" s="50" t="s">
        <v>856</v>
      </c>
      <c r="K835" s="62">
        <v>5102</v>
      </c>
      <c r="L835" s="57">
        <v>205</v>
      </c>
      <c r="M835" s="50" t="s">
        <v>26</v>
      </c>
      <c r="N835" s="50" t="s">
        <v>317</v>
      </c>
      <c r="O835" s="64">
        <v>74.040000000000006</v>
      </c>
      <c r="P835" s="65">
        <v>12</v>
      </c>
      <c r="Q835" s="64">
        <v>8.8800000000000008</v>
      </c>
      <c r="R835" s="63">
        <v>0</v>
      </c>
      <c r="S835" s="64">
        <v>0</v>
      </c>
    </row>
    <row r="836" spans="1:19" ht="11.1" customHeight="1" x14ac:dyDescent="0.25">
      <c r="A836" s="57">
        <v>112669</v>
      </c>
      <c r="B836" s="53">
        <v>46119</v>
      </c>
      <c r="C836" s="58">
        <v>46119</v>
      </c>
      <c r="D836" s="59" t="s">
        <v>866</v>
      </c>
      <c r="E836" s="50" t="s">
        <v>313</v>
      </c>
      <c r="F836" s="57">
        <v>36</v>
      </c>
      <c r="G836" s="60">
        <v>351</v>
      </c>
      <c r="H836" s="61" t="s">
        <v>854</v>
      </c>
      <c r="I836" s="50" t="s">
        <v>855</v>
      </c>
      <c r="J836" s="50" t="s">
        <v>856</v>
      </c>
      <c r="K836" s="62">
        <v>5403</v>
      </c>
      <c r="L836" s="57">
        <v>207</v>
      </c>
      <c r="M836" s="50" t="s">
        <v>26</v>
      </c>
      <c r="N836" s="50" t="s">
        <v>317</v>
      </c>
      <c r="O836" s="64">
        <v>151.13999999999999</v>
      </c>
      <c r="P836" s="65">
        <v>12</v>
      </c>
      <c r="Q836" s="64">
        <v>18.14</v>
      </c>
      <c r="R836" s="63">
        <v>0</v>
      </c>
      <c r="S836" s="64">
        <v>10.58</v>
      </c>
    </row>
    <row r="837" spans="1:19" ht="11.1" customHeight="1" x14ac:dyDescent="0.25">
      <c r="N837" s="50" t="s">
        <v>318</v>
      </c>
      <c r="O837" s="64">
        <v>204.04</v>
      </c>
      <c r="P837" s="65">
        <v>20</v>
      </c>
      <c r="Q837" s="64">
        <v>10.58</v>
      </c>
      <c r="R837" s="63">
        <v>0</v>
      </c>
      <c r="S837" s="64">
        <v>0</v>
      </c>
    </row>
    <row r="838" spans="1:19" ht="11.1" customHeight="1" x14ac:dyDescent="0.25">
      <c r="A838" s="57">
        <v>112670</v>
      </c>
      <c r="B838" s="53">
        <v>46119</v>
      </c>
      <c r="C838" s="58">
        <v>46119</v>
      </c>
      <c r="D838" s="59" t="s">
        <v>867</v>
      </c>
      <c r="E838" s="50" t="s">
        <v>313</v>
      </c>
      <c r="F838" s="57">
        <v>36</v>
      </c>
      <c r="G838" s="60">
        <v>351</v>
      </c>
      <c r="H838" s="61" t="s">
        <v>854</v>
      </c>
      <c r="I838" s="50" t="s">
        <v>855</v>
      </c>
      <c r="J838" s="50" t="s">
        <v>856</v>
      </c>
      <c r="K838" s="62">
        <v>5102</v>
      </c>
      <c r="L838" s="57">
        <v>205</v>
      </c>
      <c r="M838" s="50" t="s">
        <v>26</v>
      </c>
      <c r="N838" s="50" t="s">
        <v>317</v>
      </c>
      <c r="O838" s="64">
        <v>1306</v>
      </c>
      <c r="P838" s="65">
        <v>12</v>
      </c>
      <c r="Q838" s="64">
        <v>156.72</v>
      </c>
      <c r="R838" s="63">
        <v>0</v>
      </c>
      <c r="S838" s="64">
        <v>0</v>
      </c>
    </row>
    <row r="839" spans="1:19" ht="11.1" customHeight="1" x14ac:dyDescent="0.25">
      <c r="A839" s="57">
        <v>112699</v>
      </c>
      <c r="B839" s="53">
        <v>46119</v>
      </c>
      <c r="C839" s="58">
        <v>46119</v>
      </c>
      <c r="D839" s="59" t="s">
        <v>868</v>
      </c>
      <c r="E839" s="50" t="s">
        <v>313</v>
      </c>
      <c r="F839" s="57">
        <v>36</v>
      </c>
      <c r="G839" s="60">
        <v>351</v>
      </c>
      <c r="H839" s="61" t="s">
        <v>854</v>
      </c>
      <c r="I839" s="50" t="s">
        <v>855</v>
      </c>
      <c r="J839" s="50" t="s">
        <v>856</v>
      </c>
      <c r="K839" s="62">
        <v>5102</v>
      </c>
      <c r="L839" s="57">
        <v>205</v>
      </c>
      <c r="M839" s="50" t="s">
        <v>26</v>
      </c>
      <c r="N839" s="50" t="s">
        <v>317</v>
      </c>
      <c r="O839" s="64">
        <v>53.06</v>
      </c>
      <c r="P839" s="65">
        <v>12</v>
      </c>
      <c r="Q839" s="64">
        <v>6.37</v>
      </c>
      <c r="R839" s="63">
        <v>0</v>
      </c>
      <c r="S839" s="64">
        <v>0</v>
      </c>
    </row>
    <row r="840" spans="1:19" ht="11.1" customHeight="1" x14ac:dyDescent="0.25">
      <c r="A840" s="57">
        <v>112741</v>
      </c>
      <c r="B840" s="53">
        <v>46120</v>
      </c>
      <c r="C840" s="58">
        <v>46120</v>
      </c>
      <c r="D840" s="59" t="s">
        <v>869</v>
      </c>
      <c r="E840" s="50" t="s">
        <v>313</v>
      </c>
      <c r="F840" s="57">
        <v>36</v>
      </c>
      <c r="G840" s="60">
        <v>351</v>
      </c>
      <c r="H840" s="61" t="s">
        <v>854</v>
      </c>
      <c r="I840" s="50" t="s">
        <v>855</v>
      </c>
      <c r="J840" s="50" t="s">
        <v>856</v>
      </c>
      <c r="K840" s="62">
        <v>5102</v>
      </c>
      <c r="L840" s="57">
        <v>205</v>
      </c>
      <c r="M840" s="50" t="s">
        <v>26</v>
      </c>
      <c r="N840" s="50" t="s">
        <v>317</v>
      </c>
      <c r="O840" s="64">
        <v>99.44</v>
      </c>
      <c r="P840" s="65">
        <v>12</v>
      </c>
      <c r="Q840" s="64">
        <v>11.93</v>
      </c>
      <c r="R840" s="63">
        <v>0</v>
      </c>
      <c r="S840" s="64">
        <v>0</v>
      </c>
    </row>
    <row r="841" spans="1:19" ht="11.1" customHeight="1" x14ac:dyDescent="0.25">
      <c r="A841" s="57">
        <v>112742</v>
      </c>
      <c r="B841" s="53">
        <v>46120</v>
      </c>
      <c r="C841" s="58">
        <v>46120</v>
      </c>
      <c r="D841" s="59" t="s">
        <v>869</v>
      </c>
      <c r="E841" s="50" t="s">
        <v>313</v>
      </c>
      <c r="F841" s="57">
        <v>36</v>
      </c>
      <c r="G841" s="60">
        <v>351</v>
      </c>
      <c r="H841" s="61" t="s">
        <v>854</v>
      </c>
      <c r="I841" s="50" t="s">
        <v>855</v>
      </c>
      <c r="J841" s="50" t="s">
        <v>856</v>
      </c>
      <c r="K841" s="62">
        <v>5403</v>
      </c>
      <c r="L841" s="57">
        <v>207</v>
      </c>
      <c r="M841" s="50" t="s">
        <v>26</v>
      </c>
      <c r="N841" s="50" t="s">
        <v>317</v>
      </c>
      <c r="O841" s="64">
        <v>483.3</v>
      </c>
      <c r="P841" s="65">
        <v>12</v>
      </c>
      <c r="Q841" s="64">
        <v>57.99</v>
      </c>
      <c r="R841" s="63">
        <v>0</v>
      </c>
      <c r="S841" s="64">
        <v>33.83</v>
      </c>
    </row>
    <row r="842" spans="1:19" ht="11.1" customHeight="1" x14ac:dyDescent="0.25">
      <c r="N842" s="50" t="s">
        <v>318</v>
      </c>
      <c r="O842" s="64">
        <v>652.45000000000005</v>
      </c>
      <c r="P842" s="65">
        <v>20</v>
      </c>
      <c r="Q842" s="64">
        <v>33.83</v>
      </c>
      <c r="R842" s="63">
        <v>0</v>
      </c>
      <c r="S842" s="64">
        <v>0</v>
      </c>
    </row>
    <row r="843" spans="1:19" ht="11.1" customHeight="1" x14ac:dyDescent="0.25">
      <c r="A843" s="57">
        <v>112764</v>
      </c>
      <c r="B843" s="53">
        <v>46120</v>
      </c>
      <c r="C843" s="58">
        <v>46120</v>
      </c>
      <c r="D843" s="59" t="s">
        <v>870</v>
      </c>
      <c r="E843" s="50" t="s">
        <v>313</v>
      </c>
      <c r="F843" s="57">
        <v>36</v>
      </c>
      <c r="G843" s="60">
        <v>351</v>
      </c>
      <c r="H843" s="61" t="s">
        <v>854</v>
      </c>
      <c r="I843" s="50" t="s">
        <v>855</v>
      </c>
      <c r="J843" s="50" t="s">
        <v>856</v>
      </c>
      <c r="K843" s="62">
        <v>5102</v>
      </c>
      <c r="L843" s="57">
        <v>205</v>
      </c>
      <c r="M843" s="50" t="s">
        <v>26</v>
      </c>
      <c r="N843" s="50" t="s">
        <v>317</v>
      </c>
      <c r="O843" s="64">
        <v>281.82</v>
      </c>
      <c r="P843" s="65">
        <v>12</v>
      </c>
      <c r="Q843" s="64">
        <v>33.82</v>
      </c>
      <c r="R843" s="63">
        <v>0</v>
      </c>
      <c r="S843" s="64">
        <v>0</v>
      </c>
    </row>
    <row r="844" spans="1:19" ht="11.1" customHeight="1" x14ac:dyDescent="0.25">
      <c r="A844" s="57">
        <v>112814</v>
      </c>
      <c r="B844" s="53">
        <v>46121</v>
      </c>
      <c r="C844" s="58">
        <v>46121</v>
      </c>
      <c r="D844" s="59" t="s">
        <v>871</v>
      </c>
      <c r="E844" s="50" t="s">
        <v>313</v>
      </c>
      <c r="F844" s="57">
        <v>36</v>
      </c>
      <c r="G844" s="60">
        <v>351</v>
      </c>
      <c r="H844" s="61" t="s">
        <v>854</v>
      </c>
      <c r="I844" s="50" t="s">
        <v>855</v>
      </c>
      <c r="J844" s="50" t="s">
        <v>856</v>
      </c>
      <c r="K844" s="62">
        <v>5403</v>
      </c>
      <c r="L844" s="57">
        <v>207</v>
      </c>
      <c r="M844" s="50" t="s">
        <v>26</v>
      </c>
      <c r="N844" s="50" t="s">
        <v>317</v>
      </c>
      <c r="O844" s="64">
        <v>163</v>
      </c>
      <c r="P844" s="65">
        <v>12</v>
      </c>
      <c r="Q844" s="64">
        <v>19.559999999999999</v>
      </c>
      <c r="R844" s="63">
        <v>0</v>
      </c>
      <c r="S844" s="64">
        <v>11.41</v>
      </c>
    </row>
    <row r="845" spans="1:19" ht="11.1" customHeight="1" x14ac:dyDescent="0.25">
      <c r="N845" s="50" t="s">
        <v>318</v>
      </c>
      <c r="O845" s="64">
        <v>220.05</v>
      </c>
      <c r="P845" s="65">
        <v>20</v>
      </c>
      <c r="Q845" s="64">
        <v>11.41</v>
      </c>
      <c r="R845" s="63">
        <v>0</v>
      </c>
      <c r="S845" s="64">
        <v>0</v>
      </c>
    </row>
    <row r="846" spans="1:19" ht="11.1" customHeight="1" x14ac:dyDescent="0.25">
      <c r="A846" s="57">
        <v>112815</v>
      </c>
      <c r="B846" s="53">
        <v>46121</v>
      </c>
      <c r="C846" s="58">
        <v>46121</v>
      </c>
      <c r="D846" s="59" t="s">
        <v>872</v>
      </c>
      <c r="E846" s="50" t="s">
        <v>313</v>
      </c>
      <c r="F846" s="57">
        <v>36</v>
      </c>
      <c r="G846" s="60">
        <v>351</v>
      </c>
      <c r="H846" s="61" t="s">
        <v>854</v>
      </c>
      <c r="I846" s="50" t="s">
        <v>855</v>
      </c>
      <c r="J846" s="50" t="s">
        <v>856</v>
      </c>
      <c r="K846" s="62">
        <v>5102</v>
      </c>
      <c r="L846" s="57">
        <v>205</v>
      </c>
      <c r="M846" s="50" t="s">
        <v>26</v>
      </c>
      <c r="N846" s="50" t="s">
        <v>317</v>
      </c>
      <c r="O846" s="64">
        <v>209.7</v>
      </c>
      <c r="P846" s="65">
        <v>12</v>
      </c>
      <c r="Q846" s="64">
        <v>25.16</v>
      </c>
      <c r="R846" s="63">
        <v>0</v>
      </c>
      <c r="S846" s="64">
        <v>0</v>
      </c>
    </row>
    <row r="847" spans="1:19" ht="11.1" customHeight="1" x14ac:dyDescent="0.25">
      <c r="A847" s="57">
        <v>112816</v>
      </c>
      <c r="B847" s="53">
        <v>46121</v>
      </c>
      <c r="C847" s="58">
        <v>46121</v>
      </c>
      <c r="D847" s="59" t="s">
        <v>872</v>
      </c>
      <c r="E847" s="50" t="s">
        <v>313</v>
      </c>
      <c r="F847" s="57">
        <v>36</v>
      </c>
      <c r="G847" s="60">
        <v>351</v>
      </c>
      <c r="H847" s="61" t="s">
        <v>854</v>
      </c>
      <c r="I847" s="50" t="s">
        <v>855</v>
      </c>
      <c r="J847" s="50" t="s">
        <v>856</v>
      </c>
      <c r="K847" s="62">
        <v>5403</v>
      </c>
      <c r="L847" s="57">
        <v>207</v>
      </c>
      <c r="M847" s="50" t="s">
        <v>26</v>
      </c>
      <c r="N847" s="50" t="s">
        <v>317</v>
      </c>
      <c r="O847" s="64">
        <v>81.41</v>
      </c>
      <c r="P847" s="65">
        <v>12</v>
      </c>
      <c r="Q847" s="64">
        <v>9.77</v>
      </c>
      <c r="R847" s="63">
        <v>0</v>
      </c>
      <c r="S847" s="64">
        <v>5.7</v>
      </c>
    </row>
    <row r="848" spans="1:19" ht="11.1" customHeight="1" x14ac:dyDescent="0.25">
      <c r="N848" s="50" t="s">
        <v>318</v>
      </c>
      <c r="O848" s="64">
        <v>109.9</v>
      </c>
      <c r="P848" s="65">
        <v>20</v>
      </c>
      <c r="Q848" s="64">
        <v>5.7</v>
      </c>
      <c r="R848" s="63">
        <v>0</v>
      </c>
      <c r="S848" s="64">
        <v>0</v>
      </c>
    </row>
    <row r="849" spans="1:19" ht="11.1" customHeight="1" x14ac:dyDescent="0.25">
      <c r="A849" s="57">
        <v>112831</v>
      </c>
      <c r="B849" s="53">
        <v>46121</v>
      </c>
      <c r="C849" s="58">
        <v>46121</v>
      </c>
      <c r="D849" s="59" t="s">
        <v>873</v>
      </c>
      <c r="E849" s="50" t="s">
        <v>313</v>
      </c>
      <c r="F849" s="57">
        <v>36</v>
      </c>
      <c r="G849" s="60">
        <v>351</v>
      </c>
      <c r="H849" s="61" t="s">
        <v>854</v>
      </c>
      <c r="I849" s="50" t="s">
        <v>855</v>
      </c>
      <c r="J849" s="50" t="s">
        <v>856</v>
      </c>
      <c r="K849" s="62">
        <v>5102</v>
      </c>
      <c r="L849" s="57">
        <v>205</v>
      </c>
      <c r="M849" s="50" t="s">
        <v>26</v>
      </c>
      <c r="N849" s="50" t="s">
        <v>317</v>
      </c>
      <c r="O849" s="64">
        <v>79.41</v>
      </c>
      <c r="P849" s="65">
        <v>12</v>
      </c>
      <c r="Q849" s="64">
        <v>9.5299999999999994</v>
      </c>
      <c r="R849" s="63">
        <v>0</v>
      </c>
      <c r="S849" s="64">
        <v>0</v>
      </c>
    </row>
    <row r="850" spans="1:19" ht="11.1" customHeight="1" x14ac:dyDescent="0.25">
      <c r="A850" s="57">
        <v>112832</v>
      </c>
      <c r="B850" s="53">
        <v>46121</v>
      </c>
      <c r="C850" s="58">
        <v>46121</v>
      </c>
      <c r="D850" s="59" t="s">
        <v>873</v>
      </c>
      <c r="E850" s="50" t="s">
        <v>313</v>
      </c>
      <c r="F850" s="57">
        <v>36</v>
      </c>
      <c r="G850" s="60">
        <v>351</v>
      </c>
      <c r="H850" s="61" t="s">
        <v>854</v>
      </c>
      <c r="I850" s="50" t="s">
        <v>855</v>
      </c>
      <c r="J850" s="50" t="s">
        <v>856</v>
      </c>
      <c r="K850" s="62">
        <v>5405</v>
      </c>
      <c r="L850" s="57">
        <v>206</v>
      </c>
      <c r="M850" s="50" t="s">
        <v>26</v>
      </c>
      <c r="N850" s="50" t="s">
        <v>317</v>
      </c>
      <c r="O850" s="64">
        <v>0</v>
      </c>
      <c r="P850" s="65">
        <v>0</v>
      </c>
      <c r="Q850" s="64">
        <v>0</v>
      </c>
      <c r="R850" s="63">
        <v>0</v>
      </c>
      <c r="S850" s="64">
        <v>81.64</v>
      </c>
    </row>
    <row r="851" spans="1:19" ht="11.1" customHeight="1" x14ac:dyDescent="0.25">
      <c r="A851" s="57">
        <v>112833</v>
      </c>
      <c r="B851" s="53">
        <v>46121</v>
      </c>
      <c r="C851" s="58">
        <v>46121</v>
      </c>
      <c r="D851" s="59" t="s">
        <v>873</v>
      </c>
      <c r="E851" s="50" t="s">
        <v>313</v>
      </c>
      <c r="F851" s="57">
        <v>36</v>
      </c>
      <c r="G851" s="60">
        <v>351</v>
      </c>
      <c r="H851" s="61" t="s">
        <v>854</v>
      </c>
      <c r="I851" s="50" t="s">
        <v>855</v>
      </c>
      <c r="J851" s="50" t="s">
        <v>856</v>
      </c>
      <c r="K851" s="62">
        <v>5403</v>
      </c>
      <c r="L851" s="57">
        <v>207</v>
      </c>
      <c r="M851" s="50" t="s">
        <v>26</v>
      </c>
      <c r="N851" s="50" t="s">
        <v>317</v>
      </c>
      <c r="O851" s="64">
        <v>498.76</v>
      </c>
      <c r="P851" s="65">
        <v>12</v>
      </c>
      <c r="Q851" s="64">
        <v>59.85</v>
      </c>
      <c r="R851" s="63">
        <v>0</v>
      </c>
      <c r="S851" s="64">
        <v>34.909999999999997</v>
      </c>
    </row>
    <row r="852" spans="1:19" ht="11.1" customHeight="1" x14ac:dyDescent="0.25">
      <c r="N852" s="50" t="s">
        <v>318</v>
      </c>
      <c r="O852" s="64">
        <v>673.32</v>
      </c>
      <c r="P852" s="65">
        <v>20</v>
      </c>
      <c r="Q852" s="64">
        <v>34.909999999999997</v>
      </c>
      <c r="R852" s="63">
        <v>0</v>
      </c>
      <c r="S852" s="64">
        <v>0</v>
      </c>
    </row>
    <row r="853" spans="1:19" ht="11.1" customHeight="1" x14ac:dyDescent="0.25">
      <c r="A853" s="57">
        <v>112838</v>
      </c>
      <c r="B853" s="53">
        <v>46121</v>
      </c>
      <c r="C853" s="58">
        <v>46121</v>
      </c>
      <c r="D853" s="59" t="s">
        <v>874</v>
      </c>
      <c r="E853" s="50" t="s">
        <v>313</v>
      </c>
      <c r="F853" s="57">
        <v>36</v>
      </c>
      <c r="G853" s="60">
        <v>351</v>
      </c>
      <c r="H853" s="61" t="s">
        <v>854</v>
      </c>
      <c r="I853" s="50" t="s">
        <v>855</v>
      </c>
      <c r="J853" s="50" t="s">
        <v>856</v>
      </c>
      <c r="K853" s="62">
        <v>5403</v>
      </c>
      <c r="L853" s="57">
        <v>207</v>
      </c>
      <c r="M853" s="50" t="s">
        <v>26</v>
      </c>
      <c r="N853" s="50" t="s">
        <v>317</v>
      </c>
      <c r="O853" s="64">
        <v>207.08</v>
      </c>
      <c r="P853" s="65">
        <v>12</v>
      </c>
      <c r="Q853" s="64">
        <v>24.85</v>
      </c>
      <c r="R853" s="63">
        <v>0</v>
      </c>
      <c r="S853" s="64">
        <v>14.49</v>
      </c>
    </row>
    <row r="854" spans="1:19" ht="11.1" customHeight="1" x14ac:dyDescent="0.25">
      <c r="N854" s="50" t="s">
        <v>318</v>
      </c>
      <c r="O854" s="64">
        <v>279.56</v>
      </c>
      <c r="P854" s="65">
        <v>20</v>
      </c>
      <c r="Q854" s="64">
        <v>14.49</v>
      </c>
      <c r="R854" s="63">
        <v>0</v>
      </c>
      <c r="S854" s="64">
        <v>0</v>
      </c>
    </row>
    <row r="855" spans="1:19" ht="11.1" customHeight="1" x14ac:dyDescent="0.25">
      <c r="A855" s="57">
        <v>112882</v>
      </c>
      <c r="B855" s="53">
        <v>46122</v>
      </c>
      <c r="C855" s="58">
        <v>46122</v>
      </c>
      <c r="D855" s="59" t="s">
        <v>875</v>
      </c>
      <c r="E855" s="50" t="s">
        <v>313</v>
      </c>
      <c r="F855" s="57">
        <v>36</v>
      </c>
      <c r="G855" s="60">
        <v>351</v>
      </c>
      <c r="H855" s="61" t="s">
        <v>854</v>
      </c>
      <c r="I855" s="50" t="s">
        <v>855</v>
      </c>
      <c r="J855" s="50" t="s">
        <v>856</v>
      </c>
      <c r="K855" s="62">
        <v>5102</v>
      </c>
      <c r="L855" s="57">
        <v>205</v>
      </c>
      <c r="M855" s="50" t="s">
        <v>26</v>
      </c>
      <c r="N855" s="50" t="s">
        <v>317</v>
      </c>
      <c r="O855" s="64">
        <v>37.020000000000003</v>
      </c>
      <c r="P855" s="65">
        <v>12</v>
      </c>
      <c r="Q855" s="64">
        <v>4.4400000000000004</v>
      </c>
      <c r="R855" s="63">
        <v>0</v>
      </c>
      <c r="S855" s="64">
        <v>0</v>
      </c>
    </row>
    <row r="856" spans="1:19" ht="11.1" customHeight="1" x14ac:dyDescent="0.25">
      <c r="A856" s="57">
        <v>112902</v>
      </c>
      <c r="B856" s="53">
        <v>46122</v>
      </c>
      <c r="C856" s="58">
        <v>46122</v>
      </c>
      <c r="D856" s="59" t="s">
        <v>876</v>
      </c>
      <c r="E856" s="50" t="s">
        <v>313</v>
      </c>
      <c r="F856" s="57">
        <v>36</v>
      </c>
      <c r="G856" s="60">
        <v>351</v>
      </c>
      <c r="H856" s="61" t="s">
        <v>854</v>
      </c>
      <c r="I856" s="50" t="s">
        <v>855</v>
      </c>
      <c r="J856" s="50" t="s">
        <v>856</v>
      </c>
      <c r="K856" s="62">
        <v>5403</v>
      </c>
      <c r="L856" s="57">
        <v>207</v>
      </c>
      <c r="M856" s="50" t="s">
        <v>26</v>
      </c>
      <c r="N856" s="50" t="s">
        <v>317</v>
      </c>
      <c r="O856" s="64">
        <v>80</v>
      </c>
      <c r="P856" s="65">
        <v>12</v>
      </c>
      <c r="Q856" s="64">
        <v>9.6</v>
      </c>
      <c r="R856" s="63">
        <v>0</v>
      </c>
      <c r="S856" s="64">
        <v>5.6</v>
      </c>
    </row>
    <row r="857" spans="1:19" ht="11.1" customHeight="1" x14ac:dyDescent="0.25">
      <c r="N857" s="50" t="s">
        <v>318</v>
      </c>
      <c r="O857" s="64">
        <v>108</v>
      </c>
      <c r="P857" s="65">
        <v>20</v>
      </c>
      <c r="Q857" s="64">
        <v>5.6</v>
      </c>
      <c r="R857" s="63">
        <v>0</v>
      </c>
      <c r="S857" s="64">
        <v>0</v>
      </c>
    </row>
    <row r="858" spans="1:19" ht="11.1" customHeight="1" x14ac:dyDescent="0.25">
      <c r="A858" s="57">
        <v>112953</v>
      </c>
      <c r="B858" s="53">
        <v>46125</v>
      </c>
      <c r="C858" s="58">
        <v>46125</v>
      </c>
      <c r="D858" s="59" t="s">
        <v>877</v>
      </c>
      <c r="E858" s="50" t="s">
        <v>313</v>
      </c>
      <c r="F858" s="57">
        <v>36</v>
      </c>
      <c r="G858" s="60">
        <v>351</v>
      </c>
      <c r="H858" s="61" t="s">
        <v>854</v>
      </c>
      <c r="I858" s="50" t="s">
        <v>855</v>
      </c>
      <c r="J858" s="50" t="s">
        <v>856</v>
      </c>
      <c r="K858" s="62">
        <v>5102</v>
      </c>
      <c r="L858" s="57">
        <v>205</v>
      </c>
      <c r="M858" s="50" t="s">
        <v>26</v>
      </c>
      <c r="N858" s="50" t="s">
        <v>317</v>
      </c>
      <c r="O858" s="64">
        <v>142.5</v>
      </c>
      <c r="P858" s="65">
        <v>12</v>
      </c>
      <c r="Q858" s="64">
        <v>17.100000000000001</v>
      </c>
      <c r="R858" s="63">
        <v>0</v>
      </c>
      <c r="S858" s="64">
        <v>0</v>
      </c>
    </row>
    <row r="859" spans="1:19" ht="11.1" customHeight="1" x14ac:dyDescent="0.25">
      <c r="A859" s="57">
        <v>112954</v>
      </c>
      <c r="B859" s="53">
        <v>46125</v>
      </c>
      <c r="C859" s="58">
        <v>46125</v>
      </c>
      <c r="D859" s="59" t="s">
        <v>878</v>
      </c>
      <c r="E859" s="50" t="s">
        <v>313</v>
      </c>
      <c r="F859" s="57">
        <v>36</v>
      </c>
      <c r="G859" s="60">
        <v>351</v>
      </c>
      <c r="H859" s="61" t="s">
        <v>854</v>
      </c>
      <c r="I859" s="50" t="s">
        <v>855</v>
      </c>
      <c r="J859" s="50" t="s">
        <v>856</v>
      </c>
      <c r="K859" s="62">
        <v>5102</v>
      </c>
      <c r="L859" s="57">
        <v>205</v>
      </c>
      <c r="M859" s="50" t="s">
        <v>26</v>
      </c>
      <c r="N859" s="50" t="s">
        <v>317</v>
      </c>
      <c r="O859" s="64">
        <v>368.5</v>
      </c>
      <c r="P859" s="65">
        <v>12</v>
      </c>
      <c r="Q859" s="64">
        <v>44.22</v>
      </c>
      <c r="R859" s="63">
        <v>0</v>
      </c>
      <c r="S859" s="64">
        <v>0</v>
      </c>
    </row>
    <row r="860" spans="1:19" ht="11.1" customHeight="1" x14ac:dyDescent="0.25">
      <c r="A860" s="57">
        <v>112967</v>
      </c>
      <c r="B860" s="53">
        <v>46125</v>
      </c>
      <c r="C860" s="58">
        <v>46125</v>
      </c>
      <c r="D860" s="59" t="s">
        <v>879</v>
      </c>
      <c r="E860" s="50" t="s">
        <v>313</v>
      </c>
      <c r="F860" s="57">
        <v>36</v>
      </c>
      <c r="G860" s="60">
        <v>351</v>
      </c>
      <c r="H860" s="61" t="s">
        <v>854</v>
      </c>
      <c r="I860" s="50" t="s">
        <v>855</v>
      </c>
      <c r="J860" s="50" t="s">
        <v>856</v>
      </c>
      <c r="K860" s="62">
        <v>5102</v>
      </c>
      <c r="L860" s="57">
        <v>205</v>
      </c>
      <c r="M860" s="50" t="s">
        <v>26</v>
      </c>
      <c r="N860" s="50" t="s">
        <v>317</v>
      </c>
      <c r="O860" s="64">
        <v>282.5</v>
      </c>
      <c r="P860" s="65">
        <v>12</v>
      </c>
      <c r="Q860" s="64">
        <v>33.9</v>
      </c>
      <c r="R860" s="63">
        <v>0</v>
      </c>
      <c r="S860" s="64">
        <v>0</v>
      </c>
    </row>
    <row r="861" spans="1:19" ht="11.1" customHeight="1" x14ac:dyDescent="0.25">
      <c r="A861" s="57">
        <v>112968</v>
      </c>
      <c r="B861" s="53">
        <v>46125</v>
      </c>
      <c r="C861" s="58">
        <v>46125</v>
      </c>
      <c r="D861" s="59" t="s">
        <v>879</v>
      </c>
      <c r="E861" s="50" t="s">
        <v>313</v>
      </c>
      <c r="F861" s="57">
        <v>36</v>
      </c>
      <c r="G861" s="60">
        <v>351</v>
      </c>
      <c r="H861" s="61" t="s">
        <v>854</v>
      </c>
      <c r="I861" s="50" t="s">
        <v>855</v>
      </c>
      <c r="J861" s="50" t="s">
        <v>856</v>
      </c>
      <c r="K861" s="62">
        <v>5403</v>
      </c>
      <c r="L861" s="57">
        <v>207</v>
      </c>
      <c r="M861" s="50" t="s">
        <v>26</v>
      </c>
      <c r="N861" s="50" t="s">
        <v>317</v>
      </c>
      <c r="O861" s="64">
        <v>576.88</v>
      </c>
      <c r="P861" s="65">
        <v>12</v>
      </c>
      <c r="Q861" s="64">
        <v>69.23</v>
      </c>
      <c r="R861" s="63">
        <v>0</v>
      </c>
      <c r="S861" s="64">
        <v>40.380000000000003</v>
      </c>
    </row>
    <row r="862" spans="1:19" ht="11.1" customHeight="1" x14ac:dyDescent="0.25">
      <c r="N862" s="50" t="s">
        <v>318</v>
      </c>
      <c r="O862" s="64">
        <v>778.79</v>
      </c>
      <c r="P862" s="65">
        <v>20</v>
      </c>
      <c r="Q862" s="64">
        <v>40.380000000000003</v>
      </c>
      <c r="R862" s="63">
        <v>0</v>
      </c>
      <c r="S862" s="64">
        <v>0</v>
      </c>
    </row>
    <row r="863" spans="1:19" ht="11.1" customHeight="1" x14ac:dyDescent="0.25">
      <c r="A863" s="57">
        <v>112980</v>
      </c>
      <c r="B863" s="53">
        <v>46125</v>
      </c>
      <c r="C863" s="58">
        <v>46125</v>
      </c>
      <c r="D863" s="59" t="s">
        <v>880</v>
      </c>
      <c r="E863" s="50" t="s">
        <v>313</v>
      </c>
      <c r="F863" s="57">
        <v>36</v>
      </c>
      <c r="G863" s="60">
        <v>351</v>
      </c>
      <c r="H863" s="61" t="s">
        <v>854</v>
      </c>
      <c r="I863" s="50" t="s">
        <v>855</v>
      </c>
      <c r="J863" s="50" t="s">
        <v>856</v>
      </c>
      <c r="K863" s="62">
        <v>5102</v>
      </c>
      <c r="L863" s="57">
        <v>205</v>
      </c>
      <c r="M863" s="50" t="s">
        <v>26</v>
      </c>
      <c r="N863" s="50" t="s">
        <v>317</v>
      </c>
      <c r="O863" s="64">
        <v>7831.14</v>
      </c>
      <c r="P863" s="65">
        <v>12</v>
      </c>
      <c r="Q863" s="64">
        <v>939.72</v>
      </c>
      <c r="R863" s="63">
        <v>0</v>
      </c>
      <c r="S863" s="64">
        <v>0</v>
      </c>
    </row>
    <row r="864" spans="1:19" ht="11.1" customHeight="1" x14ac:dyDescent="0.25">
      <c r="A864" s="57">
        <v>112981</v>
      </c>
      <c r="B864" s="53">
        <v>46125</v>
      </c>
      <c r="C864" s="58">
        <v>46125</v>
      </c>
      <c r="D864" s="59" t="s">
        <v>880</v>
      </c>
      <c r="E864" s="50" t="s">
        <v>313</v>
      </c>
      <c r="F864" s="57">
        <v>36</v>
      </c>
      <c r="G864" s="60">
        <v>351</v>
      </c>
      <c r="H864" s="61" t="s">
        <v>854</v>
      </c>
      <c r="I864" s="50" t="s">
        <v>855</v>
      </c>
      <c r="J864" s="50" t="s">
        <v>856</v>
      </c>
      <c r="K864" s="62">
        <v>5405</v>
      </c>
      <c r="L864" s="57">
        <v>206</v>
      </c>
      <c r="M864" s="50" t="s">
        <v>26</v>
      </c>
      <c r="N864" s="50" t="s">
        <v>317</v>
      </c>
      <c r="O864" s="64">
        <v>0</v>
      </c>
      <c r="P864" s="65">
        <v>0</v>
      </c>
      <c r="Q864" s="64">
        <v>0</v>
      </c>
      <c r="R864" s="63">
        <v>0</v>
      </c>
      <c r="S864" s="64">
        <v>61.22</v>
      </c>
    </row>
    <row r="865" spans="1:19" ht="11.1" customHeight="1" x14ac:dyDescent="0.25">
      <c r="A865" s="57">
        <v>112982</v>
      </c>
      <c r="B865" s="53">
        <v>46125</v>
      </c>
      <c r="C865" s="58">
        <v>46125</v>
      </c>
      <c r="D865" s="59" t="s">
        <v>880</v>
      </c>
      <c r="E865" s="50" t="s">
        <v>313</v>
      </c>
      <c r="F865" s="57">
        <v>36</v>
      </c>
      <c r="G865" s="60">
        <v>351</v>
      </c>
      <c r="H865" s="61" t="s">
        <v>854</v>
      </c>
      <c r="I865" s="50" t="s">
        <v>855</v>
      </c>
      <c r="J865" s="50" t="s">
        <v>856</v>
      </c>
      <c r="K865" s="62">
        <v>5403</v>
      </c>
      <c r="L865" s="57">
        <v>207</v>
      </c>
      <c r="M865" s="50" t="s">
        <v>26</v>
      </c>
      <c r="N865" s="50" t="s">
        <v>317</v>
      </c>
      <c r="O865" s="64">
        <v>13219.58</v>
      </c>
      <c r="P865" s="65">
        <v>12</v>
      </c>
      <c r="Q865" s="64">
        <v>1586.33</v>
      </c>
      <c r="R865" s="63">
        <v>0</v>
      </c>
      <c r="S865" s="64">
        <v>925.35</v>
      </c>
    </row>
    <row r="866" spans="1:19" ht="11.1" customHeight="1" x14ac:dyDescent="0.25">
      <c r="N866" s="50" t="s">
        <v>318</v>
      </c>
      <c r="O866" s="64">
        <v>17846.47</v>
      </c>
      <c r="P866" s="65">
        <v>20</v>
      </c>
      <c r="Q866" s="64">
        <v>925.35</v>
      </c>
      <c r="R866" s="63">
        <v>0</v>
      </c>
      <c r="S866" s="64">
        <v>0</v>
      </c>
    </row>
    <row r="867" spans="1:19" ht="11.1" customHeight="1" x14ac:dyDescent="0.25">
      <c r="A867" s="57">
        <v>113001</v>
      </c>
      <c r="B867" s="53">
        <v>46126</v>
      </c>
      <c r="C867" s="58">
        <v>46126</v>
      </c>
      <c r="D867" s="59" t="s">
        <v>881</v>
      </c>
      <c r="E867" s="50" t="s">
        <v>313</v>
      </c>
      <c r="F867" s="57">
        <v>36</v>
      </c>
      <c r="G867" s="60">
        <v>351</v>
      </c>
      <c r="H867" s="61" t="s">
        <v>854</v>
      </c>
      <c r="I867" s="50" t="s">
        <v>855</v>
      </c>
      <c r="J867" s="50" t="s">
        <v>856</v>
      </c>
      <c r="K867" s="62">
        <v>5403</v>
      </c>
      <c r="L867" s="57">
        <v>207</v>
      </c>
      <c r="M867" s="50" t="s">
        <v>26</v>
      </c>
      <c r="N867" s="50" t="s">
        <v>317</v>
      </c>
      <c r="O867" s="64">
        <v>736.58</v>
      </c>
      <c r="P867" s="65">
        <v>12</v>
      </c>
      <c r="Q867" s="64">
        <v>88.39</v>
      </c>
      <c r="R867" s="63">
        <v>0</v>
      </c>
      <c r="S867" s="64">
        <v>51.56</v>
      </c>
    </row>
    <row r="868" spans="1:19" ht="11.1" customHeight="1" x14ac:dyDescent="0.25">
      <c r="N868" s="50" t="s">
        <v>318</v>
      </c>
      <c r="O868" s="64">
        <v>994.39</v>
      </c>
      <c r="P868" s="65">
        <v>20</v>
      </c>
      <c r="Q868" s="64">
        <v>51.56</v>
      </c>
      <c r="R868" s="63">
        <v>0</v>
      </c>
      <c r="S868" s="64">
        <v>0</v>
      </c>
    </row>
    <row r="869" spans="1:19" ht="11.1" customHeight="1" x14ac:dyDescent="0.25">
      <c r="A869" s="57">
        <v>113003</v>
      </c>
      <c r="B869" s="53">
        <v>46126</v>
      </c>
      <c r="C869" s="58">
        <v>46126</v>
      </c>
      <c r="D869" s="59" t="s">
        <v>882</v>
      </c>
      <c r="E869" s="50" t="s">
        <v>313</v>
      </c>
      <c r="F869" s="57">
        <v>36</v>
      </c>
      <c r="G869" s="60">
        <v>351</v>
      </c>
      <c r="H869" s="61" t="s">
        <v>854</v>
      </c>
      <c r="I869" s="50" t="s">
        <v>855</v>
      </c>
      <c r="J869" s="50" t="s">
        <v>856</v>
      </c>
      <c r="K869" s="62">
        <v>5102</v>
      </c>
      <c r="L869" s="57">
        <v>205</v>
      </c>
      <c r="M869" s="50" t="s">
        <v>26</v>
      </c>
      <c r="N869" s="50" t="s">
        <v>317</v>
      </c>
      <c r="O869" s="64">
        <v>55.84</v>
      </c>
      <c r="P869" s="65">
        <v>12</v>
      </c>
      <c r="Q869" s="64">
        <v>6.7</v>
      </c>
      <c r="R869" s="63">
        <v>0</v>
      </c>
      <c r="S869" s="64">
        <v>0</v>
      </c>
    </row>
    <row r="870" spans="1:19" ht="11.1" customHeight="1" x14ac:dyDescent="0.25">
      <c r="A870" s="57">
        <v>113004</v>
      </c>
      <c r="B870" s="53">
        <v>46126</v>
      </c>
      <c r="C870" s="58">
        <v>46126</v>
      </c>
      <c r="D870" s="59" t="s">
        <v>882</v>
      </c>
      <c r="E870" s="50" t="s">
        <v>313</v>
      </c>
      <c r="F870" s="57">
        <v>36</v>
      </c>
      <c r="G870" s="60">
        <v>351</v>
      </c>
      <c r="H870" s="61" t="s">
        <v>854</v>
      </c>
      <c r="I870" s="50" t="s">
        <v>855</v>
      </c>
      <c r="J870" s="50" t="s">
        <v>856</v>
      </c>
      <c r="K870" s="62">
        <v>5403</v>
      </c>
      <c r="L870" s="57">
        <v>207</v>
      </c>
      <c r="M870" s="50" t="s">
        <v>26</v>
      </c>
      <c r="N870" s="50" t="s">
        <v>317</v>
      </c>
      <c r="O870" s="64">
        <v>540.70000000000005</v>
      </c>
      <c r="P870" s="65">
        <v>12</v>
      </c>
      <c r="Q870" s="64">
        <v>64.88</v>
      </c>
      <c r="R870" s="63">
        <v>0</v>
      </c>
      <c r="S870" s="64">
        <v>37.840000000000003</v>
      </c>
    </row>
    <row r="871" spans="1:19" ht="11.1" customHeight="1" x14ac:dyDescent="0.25">
      <c r="N871" s="50" t="s">
        <v>318</v>
      </c>
      <c r="O871" s="64">
        <v>729.94</v>
      </c>
      <c r="P871" s="65">
        <v>20</v>
      </c>
      <c r="Q871" s="64">
        <v>37.840000000000003</v>
      </c>
      <c r="R871" s="63">
        <v>0</v>
      </c>
      <c r="S871" s="64">
        <v>0</v>
      </c>
    </row>
    <row r="872" spans="1:19" ht="11.1" customHeight="1" x14ac:dyDescent="0.25">
      <c r="A872" s="57">
        <v>113020</v>
      </c>
      <c r="B872" s="53">
        <v>46126</v>
      </c>
      <c r="C872" s="58">
        <v>46126</v>
      </c>
      <c r="D872" s="59" t="s">
        <v>883</v>
      </c>
      <c r="E872" s="50" t="s">
        <v>313</v>
      </c>
      <c r="F872" s="57">
        <v>36</v>
      </c>
      <c r="G872" s="60">
        <v>351</v>
      </c>
      <c r="H872" s="61" t="s">
        <v>854</v>
      </c>
      <c r="I872" s="50" t="s">
        <v>855</v>
      </c>
      <c r="J872" s="50" t="s">
        <v>856</v>
      </c>
      <c r="K872" s="62">
        <v>5102</v>
      </c>
      <c r="L872" s="57">
        <v>205</v>
      </c>
      <c r="M872" s="50" t="s">
        <v>26</v>
      </c>
      <c r="N872" s="50" t="s">
        <v>317</v>
      </c>
      <c r="O872" s="64">
        <v>73.36</v>
      </c>
      <c r="P872" s="65">
        <v>12</v>
      </c>
      <c r="Q872" s="64">
        <v>8.8000000000000007</v>
      </c>
      <c r="R872" s="63">
        <v>0</v>
      </c>
      <c r="S872" s="64">
        <v>0</v>
      </c>
    </row>
    <row r="873" spans="1:19" ht="11.1" customHeight="1" x14ac:dyDescent="0.25">
      <c r="A873" s="57">
        <v>113021</v>
      </c>
      <c r="B873" s="53">
        <v>46126</v>
      </c>
      <c r="C873" s="58">
        <v>46126</v>
      </c>
      <c r="D873" s="59" t="s">
        <v>883</v>
      </c>
      <c r="E873" s="50" t="s">
        <v>313</v>
      </c>
      <c r="F873" s="57">
        <v>36</v>
      </c>
      <c r="G873" s="60">
        <v>351</v>
      </c>
      <c r="H873" s="61" t="s">
        <v>854</v>
      </c>
      <c r="I873" s="50" t="s">
        <v>855</v>
      </c>
      <c r="J873" s="50" t="s">
        <v>856</v>
      </c>
      <c r="K873" s="62">
        <v>5403</v>
      </c>
      <c r="L873" s="57">
        <v>207</v>
      </c>
      <c r="M873" s="50" t="s">
        <v>26</v>
      </c>
      <c r="N873" s="50" t="s">
        <v>317</v>
      </c>
      <c r="O873" s="64">
        <v>175.04</v>
      </c>
      <c r="P873" s="65">
        <v>12</v>
      </c>
      <c r="Q873" s="64">
        <v>21</v>
      </c>
      <c r="R873" s="63">
        <v>0</v>
      </c>
      <c r="S873" s="64">
        <v>12.25</v>
      </c>
    </row>
    <row r="874" spans="1:19" ht="11.1" customHeight="1" x14ac:dyDescent="0.25">
      <c r="N874" s="50" t="s">
        <v>318</v>
      </c>
      <c r="O874" s="64">
        <v>236.3</v>
      </c>
      <c r="P874" s="65">
        <v>20</v>
      </c>
      <c r="Q874" s="64">
        <v>12.25</v>
      </c>
      <c r="R874" s="63">
        <v>0</v>
      </c>
      <c r="S874" s="64">
        <v>0</v>
      </c>
    </row>
    <row r="875" spans="1:19" ht="11.1" customHeight="1" x14ac:dyDescent="0.25">
      <c r="A875" s="57">
        <v>113049</v>
      </c>
      <c r="B875" s="53">
        <v>46126</v>
      </c>
      <c r="C875" s="58">
        <v>46126</v>
      </c>
      <c r="D875" s="59" t="s">
        <v>884</v>
      </c>
      <c r="E875" s="50" t="s">
        <v>313</v>
      </c>
      <c r="F875" s="57">
        <v>36</v>
      </c>
      <c r="G875" s="60">
        <v>351</v>
      </c>
      <c r="H875" s="61" t="s">
        <v>854</v>
      </c>
      <c r="I875" s="50" t="s">
        <v>855</v>
      </c>
      <c r="J875" s="50" t="s">
        <v>856</v>
      </c>
      <c r="K875" s="62">
        <v>5403</v>
      </c>
      <c r="L875" s="57">
        <v>207</v>
      </c>
      <c r="M875" s="50" t="s">
        <v>26</v>
      </c>
      <c r="N875" s="50" t="s">
        <v>317</v>
      </c>
      <c r="O875" s="64">
        <v>444.54</v>
      </c>
      <c r="P875" s="65">
        <v>12</v>
      </c>
      <c r="Q875" s="64">
        <v>53.34</v>
      </c>
      <c r="R875" s="63">
        <v>0</v>
      </c>
      <c r="S875" s="64">
        <v>31.12</v>
      </c>
    </row>
    <row r="876" spans="1:19" ht="11.1" customHeight="1" x14ac:dyDescent="0.25">
      <c r="N876" s="50" t="s">
        <v>318</v>
      </c>
      <c r="O876" s="64">
        <v>600.13</v>
      </c>
      <c r="P876" s="65">
        <v>20</v>
      </c>
      <c r="Q876" s="64">
        <v>31.12</v>
      </c>
      <c r="R876" s="63">
        <v>0</v>
      </c>
      <c r="S876" s="64">
        <v>0</v>
      </c>
    </row>
    <row r="877" spans="1:19" ht="11.1" customHeight="1" x14ac:dyDescent="0.25">
      <c r="A877" s="57">
        <v>113071</v>
      </c>
      <c r="B877" s="53">
        <v>46127</v>
      </c>
      <c r="C877" s="58">
        <v>46127</v>
      </c>
      <c r="D877" s="59" t="s">
        <v>885</v>
      </c>
      <c r="E877" s="50" t="s">
        <v>313</v>
      </c>
      <c r="F877" s="57">
        <v>36</v>
      </c>
      <c r="G877" s="60">
        <v>351</v>
      </c>
      <c r="H877" s="61" t="s">
        <v>854</v>
      </c>
      <c r="I877" s="50" t="s">
        <v>855</v>
      </c>
      <c r="J877" s="50" t="s">
        <v>856</v>
      </c>
      <c r="K877" s="62">
        <v>5102</v>
      </c>
      <c r="L877" s="57">
        <v>205</v>
      </c>
      <c r="M877" s="50" t="s">
        <v>26</v>
      </c>
      <c r="N877" s="50" t="s">
        <v>317</v>
      </c>
      <c r="O877" s="64">
        <v>90.6</v>
      </c>
      <c r="P877" s="65">
        <v>12</v>
      </c>
      <c r="Q877" s="64">
        <v>10.87</v>
      </c>
      <c r="R877" s="63">
        <v>0</v>
      </c>
      <c r="S877" s="64">
        <v>0</v>
      </c>
    </row>
    <row r="878" spans="1:19" ht="11.1" customHeight="1" x14ac:dyDescent="0.25">
      <c r="A878" s="57">
        <v>113072</v>
      </c>
      <c r="B878" s="53">
        <v>46127</v>
      </c>
      <c r="C878" s="58">
        <v>46127</v>
      </c>
      <c r="D878" s="59" t="s">
        <v>885</v>
      </c>
      <c r="E878" s="50" t="s">
        <v>313</v>
      </c>
      <c r="F878" s="57">
        <v>36</v>
      </c>
      <c r="G878" s="60">
        <v>351</v>
      </c>
      <c r="H878" s="61" t="s">
        <v>854</v>
      </c>
      <c r="I878" s="50" t="s">
        <v>855</v>
      </c>
      <c r="J878" s="50" t="s">
        <v>856</v>
      </c>
      <c r="K878" s="62">
        <v>5403</v>
      </c>
      <c r="L878" s="57">
        <v>207</v>
      </c>
      <c r="M878" s="50" t="s">
        <v>26</v>
      </c>
      <c r="N878" s="50" t="s">
        <v>317</v>
      </c>
      <c r="O878" s="64">
        <v>225.94</v>
      </c>
      <c r="P878" s="65">
        <v>12</v>
      </c>
      <c r="Q878" s="64">
        <v>27.11</v>
      </c>
      <c r="R878" s="63">
        <v>0</v>
      </c>
      <c r="S878" s="64">
        <v>15.81</v>
      </c>
    </row>
    <row r="879" spans="1:19" ht="11.1" customHeight="1" x14ac:dyDescent="0.25">
      <c r="N879" s="50" t="s">
        <v>318</v>
      </c>
      <c r="O879" s="64">
        <v>305.02</v>
      </c>
      <c r="P879" s="65">
        <v>20</v>
      </c>
      <c r="Q879" s="64">
        <v>15.81</v>
      </c>
      <c r="R879" s="63">
        <v>0</v>
      </c>
      <c r="S879" s="64">
        <v>0</v>
      </c>
    </row>
    <row r="880" spans="1:19" ht="11.1" customHeight="1" x14ac:dyDescent="0.25">
      <c r="A880" s="57">
        <v>113082</v>
      </c>
      <c r="B880" s="53">
        <v>46127</v>
      </c>
      <c r="C880" s="58">
        <v>46127</v>
      </c>
      <c r="D880" s="59" t="s">
        <v>886</v>
      </c>
      <c r="E880" s="50" t="s">
        <v>313</v>
      </c>
      <c r="F880" s="57">
        <v>36</v>
      </c>
      <c r="G880" s="60">
        <v>351</v>
      </c>
      <c r="H880" s="61" t="s">
        <v>854</v>
      </c>
      <c r="I880" s="50" t="s">
        <v>855</v>
      </c>
      <c r="J880" s="50" t="s">
        <v>856</v>
      </c>
      <c r="K880" s="62">
        <v>5102</v>
      </c>
      <c r="L880" s="57">
        <v>205</v>
      </c>
      <c r="M880" s="50" t="s">
        <v>26</v>
      </c>
      <c r="N880" s="50" t="s">
        <v>317</v>
      </c>
      <c r="O880" s="64">
        <v>294.48</v>
      </c>
      <c r="P880" s="65">
        <v>12</v>
      </c>
      <c r="Q880" s="64">
        <v>35.340000000000003</v>
      </c>
      <c r="R880" s="63">
        <v>0</v>
      </c>
      <c r="S880" s="64">
        <v>0</v>
      </c>
    </row>
    <row r="881" spans="1:19" ht="11.1" customHeight="1" x14ac:dyDescent="0.25">
      <c r="A881" s="57">
        <v>113083</v>
      </c>
      <c r="B881" s="53">
        <v>46127</v>
      </c>
      <c r="C881" s="58">
        <v>46127</v>
      </c>
      <c r="D881" s="59" t="s">
        <v>887</v>
      </c>
      <c r="E881" s="50" t="s">
        <v>313</v>
      </c>
      <c r="F881" s="57">
        <v>36</v>
      </c>
      <c r="G881" s="60">
        <v>351</v>
      </c>
      <c r="H881" s="61" t="s">
        <v>854</v>
      </c>
      <c r="I881" s="50" t="s">
        <v>855</v>
      </c>
      <c r="J881" s="50" t="s">
        <v>856</v>
      </c>
      <c r="K881" s="62">
        <v>5403</v>
      </c>
      <c r="L881" s="57">
        <v>207</v>
      </c>
      <c r="M881" s="50" t="s">
        <v>26</v>
      </c>
      <c r="N881" s="50" t="s">
        <v>317</v>
      </c>
      <c r="O881" s="64">
        <v>551.88</v>
      </c>
      <c r="P881" s="65">
        <v>12</v>
      </c>
      <c r="Q881" s="64">
        <v>66.23</v>
      </c>
      <c r="R881" s="63">
        <v>0</v>
      </c>
      <c r="S881" s="64">
        <v>38.630000000000003</v>
      </c>
    </row>
    <row r="882" spans="1:19" ht="11.1" customHeight="1" x14ac:dyDescent="0.25">
      <c r="N882" s="50" t="s">
        <v>318</v>
      </c>
      <c r="O882" s="64">
        <v>745.04</v>
      </c>
      <c r="P882" s="65">
        <v>20</v>
      </c>
      <c r="Q882" s="64">
        <v>38.630000000000003</v>
      </c>
      <c r="R882" s="63">
        <v>0</v>
      </c>
      <c r="S882" s="64">
        <v>0</v>
      </c>
    </row>
    <row r="883" spans="1:19" ht="11.1" customHeight="1" x14ac:dyDescent="0.25">
      <c r="A883" s="57">
        <v>113107</v>
      </c>
      <c r="B883" s="53">
        <v>46127</v>
      </c>
      <c r="C883" s="58">
        <v>46127</v>
      </c>
      <c r="D883" s="59" t="s">
        <v>888</v>
      </c>
      <c r="E883" s="50" t="s">
        <v>313</v>
      </c>
      <c r="F883" s="57">
        <v>36</v>
      </c>
      <c r="G883" s="60">
        <v>351</v>
      </c>
      <c r="H883" s="61" t="s">
        <v>854</v>
      </c>
      <c r="I883" s="50" t="s">
        <v>855</v>
      </c>
      <c r="J883" s="50" t="s">
        <v>856</v>
      </c>
      <c r="K883" s="62">
        <v>5102</v>
      </c>
      <c r="L883" s="57">
        <v>205</v>
      </c>
      <c r="M883" s="50" t="s">
        <v>26</v>
      </c>
      <c r="N883" s="50" t="s">
        <v>317</v>
      </c>
      <c r="O883" s="64">
        <v>316.32</v>
      </c>
      <c r="P883" s="65">
        <v>12</v>
      </c>
      <c r="Q883" s="64">
        <v>37.96</v>
      </c>
      <c r="R883" s="63">
        <v>0</v>
      </c>
      <c r="S883" s="64">
        <v>0</v>
      </c>
    </row>
    <row r="884" spans="1:19" ht="11.1" customHeight="1" x14ac:dyDescent="0.25">
      <c r="A884" s="57">
        <v>113128</v>
      </c>
      <c r="B884" s="53">
        <v>46128</v>
      </c>
      <c r="C884" s="58">
        <v>46128</v>
      </c>
      <c r="D884" s="59" t="s">
        <v>889</v>
      </c>
      <c r="E884" s="50" t="s">
        <v>313</v>
      </c>
      <c r="F884" s="57">
        <v>36</v>
      </c>
      <c r="G884" s="60">
        <v>351</v>
      </c>
      <c r="H884" s="61" t="s">
        <v>854</v>
      </c>
      <c r="I884" s="50" t="s">
        <v>855</v>
      </c>
      <c r="J884" s="50" t="s">
        <v>856</v>
      </c>
      <c r="K884" s="62">
        <v>5102</v>
      </c>
      <c r="L884" s="57">
        <v>205</v>
      </c>
      <c r="M884" s="50" t="s">
        <v>26</v>
      </c>
      <c r="N884" s="50" t="s">
        <v>317</v>
      </c>
      <c r="O884" s="64">
        <v>1679.75</v>
      </c>
      <c r="P884" s="65">
        <v>12</v>
      </c>
      <c r="Q884" s="64">
        <v>201.57</v>
      </c>
      <c r="R884" s="63">
        <v>0</v>
      </c>
      <c r="S884" s="64">
        <v>0</v>
      </c>
    </row>
    <row r="885" spans="1:19" ht="11.1" customHeight="1" x14ac:dyDescent="0.25">
      <c r="A885" s="57">
        <v>113129</v>
      </c>
      <c r="B885" s="53">
        <v>46128</v>
      </c>
      <c r="C885" s="58">
        <v>46128</v>
      </c>
      <c r="D885" s="59" t="s">
        <v>889</v>
      </c>
      <c r="E885" s="50" t="s">
        <v>313</v>
      </c>
      <c r="F885" s="57">
        <v>36</v>
      </c>
      <c r="G885" s="60">
        <v>351</v>
      </c>
      <c r="H885" s="61" t="s">
        <v>854</v>
      </c>
      <c r="I885" s="50" t="s">
        <v>855</v>
      </c>
      <c r="J885" s="50" t="s">
        <v>856</v>
      </c>
      <c r="K885" s="62">
        <v>5403</v>
      </c>
      <c r="L885" s="57">
        <v>207</v>
      </c>
      <c r="M885" s="50" t="s">
        <v>26</v>
      </c>
      <c r="N885" s="50" t="s">
        <v>317</v>
      </c>
      <c r="O885" s="64">
        <v>55.44</v>
      </c>
      <c r="P885" s="65">
        <v>12</v>
      </c>
      <c r="Q885" s="64">
        <v>6.65</v>
      </c>
      <c r="R885" s="63">
        <v>0</v>
      </c>
      <c r="S885" s="64">
        <v>3.88</v>
      </c>
    </row>
    <row r="886" spans="1:19" ht="11.1" customHeight="1" x14ac:dyDescent="0.25">
      <c r="N886" s="50" t="s">
        <v>318</v>
      </c>
      <c r="O886" s="64">
        <v>74.84</v>
      </c>
      <c r="P886" s="65">
        <v>20</v>
      </c>
      <c r="Q886" s="64">
        <v>3.88</v>
      </c>
      <c r="R886" s="63">
        <v>0</v>
      </c>
      <c r="S886" s="64">
        <v>0</v>
      </c>
    </row>
    <row r="887" spans="1:19" ht="11.1" customHeight="1" x14ac:dyDescent="0.25">
      <c r="A887" s="57">
        <v>113163</v>
      </c>
      <c r="B887" s="53">
        <v>46129</v>
      </c>
      <c r="C887" s="58">
        <v>46129</v>
      </c>
      <c r="D887" s="59" t="s">
        <v>890</v>
      </c>
      <c r="E887" s="50" t="s">
        <v>313</v>
      </c>
      <c r="F887" s="57">
        <v>36</v>
      </c>
      <c r="G887" s="60">
        <v>351</v>
      </c>
      <c r="H887" s="61" t="s">
        <v>854</v>
      </c>
      <c r="I887" s="50" t="s">
        <v>855</v>
      </c>
      <c r="J887" s="50" t="s">
        <v>856</v>
      </c>
      <c r="K887" s="62">
        <v>5403</v>
      </c>
      <c r="L887" s="57">
        <v>207</v>
      </c>
      <c r="M887" s="50" t="s">
        <v>26</v>
      </c>
      <c r="N887" s="50" t="s">
        <v>317</v>
      </c>
      <c r="O887" s="64">
        <v>119.92</v>
      </c>
      <c r="P887" s="65">
        <v>12</v>
      </c>
      <c r="Q887" s="64">
        <v>14.39</v>
      </c>
      <c r="R887" s="63">
        <v>0</v>
      </c>
      <c r="S887" s="64">
        <v>6.84</v>
      </c>
    </row>
    <row r="888" spans="1:19" ht="11.1" customHeight="1" x14ac:dyDescent="0.25">
      <c r="N888" s="50" t="s">
        <v>318</v>
      </c>
      <c r="O888" s="64">
        <v>154.09</v>
      </c>
      <c r="P888" s="65">
        <v>20</v>
      </c>
      <c r="Q888" s="64">
        <v>6.84</v>
      </c>
      <c r="R888" s="63">
        <v>0</v>
      </c>
      <c r="S888" s="64">
        <v>0</v>
      </c>
    </row>
    <row r="889" spans="1:19" ht="11.1" customHeight="1" x14ac:dyDescent="0.25">
      <c r="A889" s="57">
        <v>113178</v>
      </c>
      <c r="B889" s="53">
        <v>46129</v>
      </c>
      <c r="C889" s="58">
        <v>46129</v>
      </c>
      <c r="D889" s="59" t="s">
        <v>891</v>
      </c>
      <c r="E889" s="50" t="s">
        <v>313</v>
      </c>
      <c r="F889" s="57">
        <v>36</v>
      </c>
      <c r="G889" s="60">
        <v>351</v>
      </c>
      <c r="H889" s="61" t="s">
        <v>854</v>
      </c>
      <c r="I889" s="50" t="s">
        <v>855</v>
      </c>
      <c r="J889" s="50" t="s">
        <v>856</v>
      </c>
      <c r="K889" s="62">
        <v>5102</v>
      </c>
      <c r="L889" s="57">
        <v>205</v>
      </c>
      <c r="M889" s="50" t="s">
        <v>26</v>
      </c>
      <c r="N889" s="50" t="s">
        <v>317</v>
      </c>
      <c r="O889" s="64">
        <v>424</v>
      </c>
      <c r="P889" s="65">
        <v>12</v>
      </c>
      <c r="Q889" s="64">
        <v>50.88</v>
      </c>
      <c r="R889" s="63">
        <v>0</v>
      </c>
      <c r="S889" s="64">
        <v>0</v>
      </c>
    </row>
    <row r="890" spans="1:19" ht="11.1" customHeight="1" x14ac:dyDescent="0.25">
      <c r="A890" s="57">
        <v>113191</v>
      </c>
      <c r="B890" s="53">
        <v>46129</v>
      </c>
      <c r="C890" s="58">
        <v>46129</v>
      </c>
      <c r="D890" s="59" t="s">
        <v>892</v>
      </c>
      <c r="E890" s="50" t="s">
        <v>313</v>
      </c>
      <c r="F890" s="57">
        <v>36</v>
      </c>
      <c r="G890" s="60">
        <v>351</v>
      </c>
      <c r="H890" s="61" t="s">
        <v>854</v>
      </c>
      <c r="I890" s="50" t="s">
        <v>855</v>
      </c>
      <c r="J890" s="50" t="s">
        <v>856</v>
      </c>
      <c r="K890" s="62">
        <v>5102</v>
      </c>
      <c r="L890" s="57">
        <v>205</v>
      </c>
      <c r="M890" s="50" t="s">
        <v>26</v>
      </c>
      <c r="N890" s="50" t="s">
        <v>317</v>
      </c>
      <c r="O890" s="64">
        <v>158.68</v>
      </c>
      <c r="P890" s="65">
        <v>12</v>
      </c>
      <c r="Q890" s="64">
        <v>19.04</v>
      </c>
      <c r="R890" s="63">
        <v>0</v>
      </c>
      <c r="S890" s="64">
        <v>0</v>
      </c>
    </row>
    <row r="891" spans="1:19" ht="11.1" customHeight="1" x14ac:dyDescent="0.25">
      <c r="A891" s="57">
        <v>113207</v>
      </c>
      <c r="B891" s="53">
        <v>46129</v>
      </c>
      <c r="C891" s="58">
        <v>46129</v>
      </c>
      <c r="D891" s="59" t="s">
        <v>893</v>
      </c>
      <c r="E891" s="50" t="s">
        <v>313</v>
      </c>
      <c r="F891" s="57">
        <v>36</v>
      </c>
      <c r="G891" s="60">
        <v>351</v>
      </c>
      <c r="H891" s="61" t="s">
        <v>854</v>
      </c>
      <c r="I891" s="50" t="s">
        <v>855</v>
      </c>
      <c r="J891" s="50" t="s">
        <v>856</v>
      </c>
      <c r="K891" s="62">
        <v>5102</v>
      </c>
      <c r="L891" s="57">
        <v>205</v>
      </c>
      <c r="M891" s="50" t="s">
        <v>26</v>
      </c>
      <c r="N891" s="50" t="s">
        <v>317</v>
      </c>
      <c r="O891" s="64">
        <v>112.62</v>
      </c>
      <c r="P891" s="65">
        <v>12</v>
      </c>
      <c r="Q891" s="64">
        <v>13.51</v>
      </c>
      <c r="R891" s="63">
        <v>0</v>
      </c>
      <c r="S891" s="64">
        <v>0</v>
      </c>
    </row>
    <row r="892" spans="1:19" ht="11.1" customHeight="1" x14ac:dyDescent="0.25">
      <c r="A892" s="57">
        <v>113224</v>
      </c>
      <c r="B892" s="53">
        <v>46132</v>
      </c>
      <c r="C892" s="58">
        <v>46132</v>
      </c>
      <c r="D892" s="59" t="s">
        <v>894</v>
      </c>
      <c r="E892" s="50" t="s">
        <v>313</v>
      </c>
      <c r="F892" s="57">
        <v>36</v>
      </c>
      <c r="G892" s="60">
        <v>351</v>
      </c>
      <c r="H892" s="61" t="s">
        <v>854</v>
      </c>
      <c r="I892" s="50" t="s">
        <v>855</v>
      </c>
      <c r="J892" s="50" t="s">
        <v>856</v>
      </c>
      <c r="K892" s="62">
        <v>5102</v>
      </c>
      <c r="L892" s="57">
        <v>205</v>
      </c>
      <c r="M892" s="50" t="s">
        <v>26</v>
      </c>
      <c r="N892" s="50" t="s">
        <v>317</v>
      </c>
      <c r="O892" s="64">
        <v>168.57</v>
      </c>
      <c r="P892" s="65">
        <v>12</v>
      </c>
      <c r="Q892" s="64">
        <v>20.23</v>
      </c>
      <c r="R892" s="63">
        <v>0</v>
      </c>
      <c r="S892" s="64">
        <v>0</v>
      </c>
    </row>
    <row r="893" spans="1:19" ht="11.1" customHeight="1" x14ac:dyDescent="0.25">
      <c r="A893" s="57">
        <v>113228</v>
      </c>
      <c r="B893" s="53">
        <v>46132</v>
      </c>
      <c r="C893" s="58">
        <v>46132</v>
      </c>
      <c r="D893" s="59" t="s">
        <v>895</v>
      </c>
      <c r="E893" s="50" t="s">
        <v>313</v>
      </c>
      <c r="F893" s="57">
        <v>36</v>
      </c>
      <c r="G893" s="60">
        <v>351</v>
      </c>
      <c r="H893" s="61" t="s">
        <v>854</v>
      </c>
      <c r="I893" s="50" t="s">
        <v>855</v>
      </c>
      <c r="J893" s="50" t="s">
        <v>856</v>
      </c>
      <c r="K893" s="62">
        <v>5403</v>
      </c>
      <c r="L893" s="57">
        <v>207</v>
      </c>
      <c r="M893" s="50" t="s">
        <v>26</v>
      </c>
      <c r="N893" s="50" t="s">
        <v>317</v>
      </c>
      <c r="O893" s="64">
        <v>87.2</v>
      </c>
      <c r="P893" s="65">
        <v>12</v>
      </c>
      <c r="Q893" s="64">
        <v>10.46</v>
      </c>
      <c r="R893" s="63">
        <v>0</v>
      </c>
      <c r="S893" s="64">
        <v>6.1</v>
      </c>
    </row>
    <row r="894" spans="1:19" ht="11.1" customHeight="1" x14ac:dyDescent="0.25">
      <c r="N894" s="50" t="s">
        <v>318</v>
      </c>
      <c r="O894" s="64">
        <v>117.72</v>
      </c>
      <c r="P894" s="65">
        <v>20</v>
      </c>
      <c r="Q894" s="64">
        <v>6.1</v>
      </c>
      <c r="R894" s="63">
        <v>0</v>
      </c>
      <c r="S894" s="64">
        <v>0</v>
      </c>
    </row>
    <row r="895" spans="1:19" ht="11.1" customHeight="1" x14ac:dyDescent="0.25">
      <c r="A895" s="57">
        <v>113241</v>
      </c>
      <c r="B895" s="53">
        <v>46132</v>
      </c>
      <c r="C895" s="58">
        <v>46132</v>
      </c>
      <c r="D895" s="59" t="s">
        <v>896</v>
      </c>
      <c r="E895" s="50" t="s">
        <v>313</v>
      </c>
      <c r="F895" s="57">
        <v>36</v>
      </c>
      <c r="G895" s="60">
        <v>351</v>
      </c>
      <c r="H895" s="61" t="s">
        <v>854</v>
      </c>
      <c r="I895" s="50" t="s">
        <v>855</v>
      </c>
      <c r="J895" s="50" t="s">
        <v>856</v>
      </c>
      <c r="K895" s="62">
        <v>5102</v>
      </c>
      <c r="L895" s="57">
        <v>205</v>
      </c>
      <c r="M895" s="50" t="s">
        <v>26</v>
      </c>
      <c r="N895" s="50" t="s">
        <v>317</v>
      </c>
      <c r="O895" s="64">
        <v>275</v>
      </c>
      <c r="P895" s="65">
        <v>12</v>
      </c>
      <c r="Q895" s="64">
        <v>33</v>
      </c>
      <c r="R895" s="63">
        <v>0</v>
      </c>
      <c r="S895" s="64">
        <v>0</v>
      </c>
    </row>
    <row r="896" spans="1:19" ht="11.1" customHeight="1" x14ac:dyDescent="0.25">
      <c r="A896" s="57">
        <v>113247</v>
      </c>
      <c r="B896" s="53">
        <v>46132</v>
      </c>
      <c r="C896" s="58">
        <v>46132</v>
      </c>
      <c r="D896" s="59" t="s">
        <v>897</v>
      </c>
      <c r="E896" s="50" t="s">
        <v>313</v>
      </c>
      <c r="F896" s="57">
        <v>36</v>
      </c>
      <c r="G896" s="60">
        <v>351</v>
      </c>
      <c r="H896" s="61" t="s">
        <v>854</v>
      </c>
      <c r="I896" s="50" t="s">
        <v>855</v>
      </c>
      <c r="J896" s="50" t="s">
        <v>856</v>
      </c>
      <c r="K896" s="62">
        <v>5102</v>
      </c>
      <c r="L896" s="57">
        <v>205</v>
      </c>
      <c r="M896" s="50" t="s">
        <v>26</v>
      </c>
      <c r="N896" s="50" t="s">
        <v>317</v>
      </c>
      <c r="O896" s="64">
        <v>14014.07</v>
      </c>
      <c r="P896" s="65">
        <v>12</v>
      </c>
      <c r="Q896" s="64">
        <v>1681.73</v>
      </c>
      <c r="R896" s="63">
        <v>0</v>
      </c>
      <c r="S896" s="64">
        <v>0</v>
      </c>
    </row>
    <row r="897" spans="1:19" ht="11.1" customHeight="1" x14ac:dyDescent="0.25">
      <c r="A897" s="57">
        <v>113248</v>
      </c>
      <c r="B897" s="53">
        <v>46132</v>
      </c>
      <c r="C897" s="58">
        <v>46132</v>
      </c>
      <c r="D897" s="59" t="s">
        <v>897</v>
      </c>
      <c r="E897" s="50" t="s">
        <v>313</v>
      </c>
      <c r="F897" s="57">
        <v>36</v>
      </c>
      <c r="G897" s="60">
        <v>351</v>
      </c>
      <c r="H897" s="61" t="s">
        <v>854</v>
      </c>
      <c r="I897" s="50" t="s">
        <v>855</v>
      </c>
      <c r="J897" s="50" t="s">
        <v>856</v>
      </c>
      <c r="K897" s="62">
        <v>5405</v>
      </c>
      <c r="L897" s="57">
        <v>206</v>
      </c>
      <c r="M897" s="50" t="s">
        <v>26</v>
      </c>
      <c r="N897" s="50" t="s">
        <v>317</v>
      </c>
      <c r="O897" s="64">
        <v>0</v>
      </c>
      <c r="P897" s="65">
        <v>0</v>
      </c>
      <c r="Q897" s="64">
        <v>0</v>
      </c>
      <c r="R897" s="63">
        <v>0</v>
      </c>
      <c r="S897" s="64">
        <v>93.1</v>
      </c>
    </row>
    <row r="898" spans="1:19" ht="11.1" customHeight="1" x14ac:dyDescent="0.25">
      <c r="A898" s="57">
        <v>113249</v>
      </c>
      <c r="B898" s="53">
        <v>46132</v>
      </c>
      <c r="C898" s="58">
        <v>46132</v>
      </c>
      <c r="D898" s="59" t="s">
        <v>897</v>
      </c>
      <c r="E898" s="50" t="s">
        <v>313</v>
      </c>
      <c r="F898" s="57">
        <v>36</v>
      </c>
      <c r="G898" s="60">
        <v>351</v>
      </c>
      <c r="H898" s="61" t="s">
        <v>854</v>
      </c>
      <c r="I898" s="50" t="s">
        <v>855</v>
      </c>
      <c r="J898" s="50" t="s">
        <v>856</v>
      </c>
      <c r="K898" s="62">
        <v>5403</v>
      </c>
      <c r="L898" s="57">
        <v>207</v>
      </c>
      <c r="M898" s="50" t="s">
        <v>26</v>
      </c>
      <c r="N898" s="50" t="s">
        <v>317</v>
      </c>
      <c r="O898" s="64">
        <v>11369.46</v>
      </c>
      <c r="P898" s="65">
        <v>12</v>
      </c>
      <c r="Q898" s="64">
        <v>1364.35</v>
      </c>
      <c r="R898" s="63">
        <v>0</v>
      </c>
      <c r="S898" s="64">
        <v>795.89</v>
      </c>
    </row>
    <row r="899" spans="1:19" ht="11.1" customHeight="1" x14ac:dyDescent="0.25">
      <c r="N899" s="50" t="s">
        <v>318</v>
      </c>
      <c r="O899" s="64">
        <v>15348.79</v>
      </c>
      <c r="P899" s="65">
        <v>20</v>
      </c>
      <c r="Q899" s="64">
        <v>795.89</v>
      </c>
      <c r="R899" s="63">
        <v>0</v>
      </c>
      <c r="S899" s="64">
        <v>0</v>
      </c>
    </row>
    <row r="900" spans="1:19" ht="11.1" customHeight="1" x14ac:dyDescent="0.25">
      <c r="A900" s="57">
        <v>113277</v>
      </c>
      <c r="B900" s="53">
        <v>46134</v>
      </c>
      <c r="C900" s="58">
        <v>46134</v>
      </c>
      <c r="D900" s="59" t="s">
        <v>898</v>
      </c>
      <c r="E900" s="50" t="s">
        <v>313</v>
      </c>
      <c r="F900" s="57">
        <v>36</v>
      </c>
      <c r="G900" s="60">
        <v>351</v>
      </c>
      <c r="H900" s="61" t="s">
        <v>854</v>
      </c>
      <c r="I900" s="50" t="s">
        <v>855</v>
      </c>
      <c r="J900" s="50" t="s">
        <v>856</v>
      </c>
      <c r="K900" s="62">
        <v>5102</v>
      </c>
      <c r="L900" s="57">
        <v>205</v>
      </c>
      <c r="M900" s="50" t="s">
        <v>26</v>
      </c>
      <c r="N900" s="50" t="s">
        <v>317</v>
      </c>
      <c r="O900" s="64">
        <v>24.87</v>
      </c>
      <c r="P900" s="65">
        <v>12</v>
      </c>
      <c r="Q900" s="64">
        <v>2.98</v>
      </c>
      <c r="R900" s="63">
        <v>0</v>
      </c>
      <c r="S900" s="64">
        <v>0</v>
      </c>
    </row>
    <row r="901" spans="1:19" ht="11.1" customHeight="1" x14ac:dyDescent="0.25">
      <c r="A901" s="57">
        <v>113278</v>
      </c>
      <c r="B901" s="53">
        <v>46134</v>
      </c>
      <c r="C901" s="58">
        <v>46134</v>
      </c>
      <c r="D901" s="59" t="s">
        <v>898</v>
      </c>
      <c r="E901" s="50" t="s">
        <v>313</v>
      </c>
      <c r="F901" s="57">
        <v>36</v>
      </c>
      <c r="G901" s="60">
        <v>351</v>
      </c>
      <c r="H901" s="61" t="s">
        <v>854</v>
      </c>
      <c r="I901" s="50" t="s">
        <v>855</v>
      </c>
      <c r="J901" s="50" t="s">
        <v>856</v>
      </c>
      <c r="K901" s="62">
        <v>5403</v>
      </c>
      <c r="L901" s="57">
        <v>207</v>
      </c>
      <c r="M901" s="50" t="s">
        <v>26</v>
      </c>
      <c r="N901" s="50" t="s">
        <v>317</v>
      </c>
      <c r="O901" s="64">
        <v>704.34</v>
      </c>
      <c r="P901" s="65">
        <v>12</v>
      </c>
      <c r="Q901" s="64">
        <v>84.52</v>
      </c>
      <c r="R901" s="63">
        <v>0</v>
      </c>
      <c r="S901" s="64">
        <v>49.31</v>
      </c>
    </row>
    <row r="902" spans="1:19" ht="11.1" customHeight="1" x14ac:dyDescent="0.25">
      <c r="N902" s="50" t="s">
        <v>318</v>
      </c>
      <c r="O902" s="64">
        <v>950.86</v>
      </c>
      <c r="P902" s="65">
        <v>20</v>
      </c>
      <c r="Q902" s="64">
        <v>49.31</v>
      </c>
      <c r="R902" s="63">
        <v>0</v>
      </c>
      <c r="S902" s="64">
        <v>0</v>
      </c>
    </row>
    <row r="903" spans="1:19" ht="11.1" customHeight="1" x14ac:dyDescent="0.25">
      <c r="A903" s="57">
        <v>113320</v>
      </c>
      <c r="B903" s="53">
        <v>46135</v>
      </c>
      <c r="C903" s="58">
        <v>46135</v>
      </c>
      <c r="D903" s="59" t="s">
        <v>899</v>
      </c>
      <c r="E903" s="50" t="s">
        <v>313</v>
      </c>
      <c r="F903" s="57">
        <v>36</v>
      </c>
      <c r="G903" s="60">
        <v>351</v>
      </c>
      <c r="H903" s="61" t="s">
        <v>854</v>
      </c>
      <c r="I903" s="50" t="s">
        <v>855</v>
      </c>
      <c r="J903" s="50" t="s">
        <v>856</v>
      </c>
      <c r="K903" s="62">
        <v>5102</v>
      </c>
      <c r="L903" s="57">
        <v>205</v>
      </c>
      <c r="M903" s="50" t="s">
        <v>26</v>
      </c>
      <c r="N903" s="50" t="s">
        <v>317</v>
      </c>
      <c r="O903" s="64">
        <v>215.25</v>
      </c>
      <c r="P903" s="65">
        <v>12</v>
      </c>
      <c r="Q903" s="64">
        <v>25.83</v>
      </c>
      <c r="R903" s="63">
        <v>0</v>
      </c>
      <c r="S903" s="64">
        <v>0</v>
      </c>
    </row>
    <row r="904" spans="1:19" ht="11.1" customHeight="1" x14ac:dyDescent="0.25">
      <c r="A904" s="57">
        <v>113321</v>
      </c>
      <c r="B904" s="53">
        <v>46135</v>
      </c>
      <c r="C904" s="58">
        <v>46135</v>
      </c>
      <c r="D904" s="59" t="s">
        <v>899</v>
      </c>
      <c r="E904" s="50" t="s">
        <v>313</v>
      </c>
      <c r="F904" s="57">
        <v>36</v>
      </c>
      <c r="G904" s="60">
        <v>351</v>
      </c>
      <c r="H904" s="61" t="s">
        <v>854</v>
      </c>
      <c r="I904" s="50" t="s">
        <v>855</v>
      </c>
      <c r="J904" s="50" t="s">
        <v>856</v>
      </c>
      <c r="K904" s="62">
        <v>5403</v>
      </c>
      <c r="L904" s="57">
        <v>207</v>
      </c>
      <c r="M904" s="50" t="s">
        <v>26</v>
      </c>
      <c r="N904" s="50" t="s">
        <v>317</v>
      </c>
      <c r="O904" s="64">
        <v>106.44</v>
      </c>
      <c r="P904" s="65">
        <v>12</v>
      </c>
      <c r="Q904" s="64">
        <v>12.77</v>
      </c>
      <c r="R904" s="63">
        <v>0</v>
      </c>
      <c r="S904" s="64">
        <v>7.45</v>
      </c>
    </row>
    <row r="905" spans="1:19" ht="11.1" customHeight="1" x14ac:dyDescent="0.25">
      <c r="N905" s="50" t="s">
        <v>318</v>
      </c>
      <c r="O905" s="64">
        <v>143.69</v>
      </c>
      <c r="P905" s="65">
        <v>20</v>
      </c>
      <c r="Q905" s="64">
        <v>7.45</v>
      </c>
      <c r="R905" s="63">
        <v>0</v>
      </c>
      <c r="S905" s="64">
        <v>0</v>
      </c>
    </row>
    <row r="906" spans="1:19" ht="11.1" customHeight="1" x14ac:dyDescent="0.25">
      <c r="A906" s="57">
        <v>113325</v>
      </c>
      <c r="B906" s="53">
        <v>46135</v>
      </c>
      <c r="C906" s="58">
        <v>46135</v>
      </c>
      <c r="D906" s="59" t="s">
        <v>900</v>
      </c>
      <c r="E906" s="50" t="s">
        <v>313</v>
      </c>
      <c r="F906" s="57">
        <v>36</v>
      </c>
      <c r="G906" s="60">
        <v>351</v>
      </c>
      <c r="H906" s="61" t="s">
        <v>854</v>
      </c>
      <c r="I906" s="50" t="s">
        <v>855</v>
      </c>
      <c r="J906" s="50" t="s">
        <v>856</v>
      </c>
      <c r="K906" s="62">
        <v>5102</v>
      </c>
      <c r="L906" s="57">
        <v>205</v>
      </c>
      <c r="M906" s="50" t="s">
        <v>26</v>
      </c>
      <c r="N906" s="50" t="s">
        <v>317</v>
      </c>
      <c r="O906" s="64">
        <v>176.4</v>
      </c>
      <c r="P906" s="65">
        <v>12</v>
      </c>
      <c r="Q906" s="64">
        <v>21.17</v>
      </c>
      <c r="R906" s="63">
        <v>0</v>
      </c>
      <c r="S906" s="64">
        <v>0</v>
      </c>
    </row>
    <row r="907" spans="1:19" ht="11.1" customHeight="1" x14ac:dyDescent="0.25">
      <c r="A907" s="57">
        <v>113326</v>
      </c>
      <c r="B907" s="53">
        <v>46135</v>
      </c>
      <c r="C907" s="58">
        <v>46135</v>
      </c>
      <c r="D907" s="59" t="s">
        <v>900</v>
      </c>
      <c r="E907" s="50" t="s">
        <v>313</v>
      </c>
      <c r="F907" s="57">
        <v>36</v>
      </c>
      <c r="G907" s="60">
        <v>351</v>
      </c>
      <c r="H907" s="61" t="s">
        <v>854</v>
      </c>
      <c r="I907" s="50" t="s">
        <v>855</v>
      </c>
      <c r="J907" s="50" t="s">
        <v>856</v>
      </c>
      <c r="K907" s="62">
        <v>5403</v>
      </c>
      <c r="L907" s="57">
        <v>207</v>
      </c>
      <c r="M907" s="50" t="s">
        <v>26</v>
      </c>
      <c r="N907" s="50" t="s">
        <v>317</v>
      </c>
      <c r="O907" s="64">
        <v>403.2</v>
      </c>
      <c r="P907" s="65">
        <v>12</v>
      </c>
      <c r="Q907" s="64">
        <v>48.38</v>
      </c>
      <c r="R907" s="63">
        <v>0</v>
      </c>
      <c r="S907" s="64">
        <v>28.22</v>
      </c>
    </row>
    <row r="908" spans="1:19" ht="11.1" customHeight="1" x14ac:dyDescent="0.25">
      <c r="N908" s="50" t="s">
        <v>318</v>
      </c>
      <c r="O908" s="64">
        <v>544.32000000000005</v>
      </c>
      <c r="P908" s="65">
        <v>20</v>
      </c>
      <c r="Q908" s="64">
        <v>28.22</v>
      </c>
      <c r="R908" s="63">
        <v>0</v>
      </c>
      <c r="S908" s="64">
        <v>0</v>
      </c>
    </row>
    <row r="909" spans="1:19" ht="11.1" customHeight="1" x14ac:dyDescent="0.25">
      <c r="A909" s="57">
        <v>113328</v>
      </c>
      <c r="B909" s="53">
        <v>46135</v>
      </c>
      <c r="C909" s="58">
        <v>46135</v>
      </c>
      <c r="D909" s="59" t="s">
        <v>901</v>
      </c>
      <c r="E909" s="50" t="s">
        <v>313</v>
      </c>
      <c r="F909" s="57">
        <v>36</v>
      </c>
      <c r="G909" s="60">
        <v>351</v>
      </c>
      <c r="H909" s="61" t="s">
        <v>854</v>
      </c>
      <c r="I909" s="50" t="s">
        <v>855</v>
      </c>
      <c r="J909" s="50" t="s">
        <v>856</v>
      </c>
      <c r="K909" s="62">
        <v>5403</v>
      </c>
      <c r="L909" s="57">
        <v>207</v>
      </c>
      <c r="M909" s="50" t="s">
        <v>26</v>
      </c>
      <c r="N909" s="50" t="s">
        <v>317</v>
      </c>
      <c r="O909" s="64">
        <v>735.84</v>
      </c>
      <c r="P909" s="65">
        <v>12</v>
      </c>
      <c r="Q909" s="64">
        <v>88.3</v>
      </c>
      <c r="R909" s="63">
        <v>0</v>
      </c>
      <c r="S909" s="64">
        <v>51.51</v>
      </c>
    </row>
    <row r="910" spans="1:19" ht="11.1" customHeight="1" x14ac:dyDescent="0.25">
      <c r="N910" s="50" t="s">
        <v>318</v>
      </c>
      <c r="O910" s="64">
        <v>993.38</v>
      </c>
      <c r="P910" s="65">
        <v>20</v>
      </c>
      <c r="Q910" s="64">
        <v>51.51</v>
      </c>
      <c r="R910" s="63">
        <v>0</v>
      </c>
      <c r="S910" s="64">
        <v>0</v>
      </c>
    </row>
    <row r="911" spans="1:19" ht="11.1" customHeight="1" x14ac:dyDescent="0.25">
      <c r="A911" s="57">
        <v>113347</v>
      </c>
      <c r="B911" s="53">
        <v>46135</v>
      </c>
      <c r="C911" s="58">
        <v>46135</v>
      </c>
      <c r="D911" s="59" t="s">
        <v>902</v>
      </c>
      <c r="E911" s="50" t="s">
        <v>313</v>
      </c>
      <c r="F911" s="57">
        <v>36</v>
      </c>
      <c r="G911" s="60">
        <v>351</v>
      </c>
      <c r="H911" s="61" t="s">
        <v>854</v>
      </c>
      <c r="I911" s="50" t="s">
        <v>855</v>
      </c>
      <c r="J911" s="50" t="s">
        <v>856</v>
      </c>
      <c r="K911" s="62">
        <v>5102</v>
      </c>
      <c r="L911" s="57">
        <v>205</v>
      </c>
      <c r="M911" s="50" t="s">
        <v>26</v>
      </c>
      <c r="N911" s="50" t="s">
        <v>317</v>
      </c>
      <c r="O911" s="64">
        <v>28.56</v>
      </c>
      <c r="P911" s="65">
        <v>12</v>
      </c>
      <c r="Q911" s="64">
        <v>3.43</v>
      </c>
      <c r="R911" s="63">
        <v>0</v>
      </c>
      <c r="S911" s="64">
        <v>0</v>
      </c>
    </row>
    <row r="912" spans="1:19" ht="11.1" customHeight="1" x14ac:dyDescent="0.25">
      <c r="A912" s="57">
        <v>113413</v>
      </c>
      <c r="B912" s="53">
        <v>46136</v>
      </c>
      <c r="C912" s="58">
        <v>46136</v>
      </c>
      <c r="D912" s="59" t="s">
        <v>903</v>
      </c>
      <c r="E912" s="50" t="s">
        <v>313</v>
      </c>
      <c r="F912" s="57">
        <v>36</v>
      </c>
      <c r="G912" s="60">
        <v>351</v>
      </c>
      <c r="H912" s="61" t="s">
        <v>854</v>
      </c>
      <c r="I912" s="50" t="s">
        <v>855</v>
      </c>
      <c r="J912" s="50" t="s">
        <v>856</v>
      </c>
      <c r="K912" s="62">
        <v>5102</v>
      </c>
      <c r="L912" s="57">
        <v>205</v>
      </c>
      <c r="M912" s="50" t="s">
        <v>26</v>
      </c>
      <c r="N912" s="50" t="s">
        <v>317</v>
      </c>
      <c r="O912" s="64">
        <v>361.04</v>
      </c>
      <c r="P912" s="65">
        <v>12</v>
      </c>
      <c r="Q912" s="64">
        <v>43.32</v>
      </c>
      <c r="R912" s="63">
        <v>0</v>
      </c>
      <c r="S912" s="64">
        <v>0</v>
      </c>
    </row>
    <row r="913" spans="1:19" ht="11.1" customHeight="1" x14ac:dyDescent="0.25">
      <c r="A913" s="57">
        <v>113443</v>
      </c>
      <c r="B913" s="53">
        <v>46139</v>
      </c>
      <c r="C913" s="58">
        <v>46139</v>
      </c>
      <c r="D913" s="59" t="s">
        <v>904</v>
      </c>
      <c r="E913" s="50" t="s">
        <v>313</v>
      </c>
      <c r="F913" s="57">
        <v>36</v>
      </c>
      <c r="G913" s="60">
        <v>351</v>
      </c>
      <c r="H913" s="61" t="s">
        <v>854</v>
      </c>
      <c r="I913" s="50" t="s">
        <v>855</v>
      </c>
      <c r="J913" s="50" t="s">
        <v>856</v>
      </c>
      <c r="K913" s="62">
        <v>5102</v>
      </c>
      <c r="L913" s="57">
        <v>205</v>
      </c>
      <c r="M913" s="50" t="s">
        <v>26</v>
      </c>
      <c r="N913" s="50" t="s">
        <v>317</v>
      </c>
      <c r="O913" s="64">
        <v>147.04</v>
      </c>
      <c r="P913" s="65">
        <v>12</v>
      </c>
      <c r="Q913" s="64">
        <v>17.64</v>
      </c>
      <c r="R913" s="63">
        <v>0</v>
      </c>
      <c r="S913" s="64">
        <v>0</v>
      </c>
    </row>
    <row r="914" spans="1:19" ht="11.1" customHeight="1" x14ac:dyDescent="0.25">
      <c r="A914" s="57">
        <v>113453</v>
      </c>
      <c r="B914" s="53">
        <v>46139</v>
      </c>
      <c r="C914" s="58">
        <v>46139</v>
      </c>
      <c r="D914" s="59" t="s">
        <v>905</v>
      </c>
      <c r="E914" s="50" t="s">
        <v>313</v>
      </c>
      <c r="F914" s="57">
        <v>36</v>
      </c>
      <c r="G914" s="60">
        <v>351</v>
      </c>
      <c r="H914" s="61" t="s">
        <v>854</v>
      </c>
      <c r="I914" s="50" t="s">
        <v>855</v>
      </c>
      <c r="J914" s="50" t="s">
        <v>856</v>
      </c>
      <c r="K914" s="62">
        <v>5102</v>
      </c>
      <c r="L914" s="57">
        <v>205</v>
      </c>
      <c r="M914" s="50" t="s">
        <v>26</v>
      </c>
      <c r="N914" s="50" t="s">
        <v>317</v>
      </c>
      <c r="O914" s="64">
        <v>497.42</v>
      </c>
      <c r="P914" s="65">
        <v>12</v>
      </c>
      <c r="Q914" s="64">
        <v>59.69</v>
      </c>
      <c r="R914" s="63">
        <v>0</v>
      </c>
      <c r="S914" s="64">
        <v>0</v>
      </c>
    </row>
    <row r="915" spans="1:19" ht="11.1" customHeight="1" x14ac:dyDescent="0.25">
      <c r="A915" s="57">
        <v>113486</v>
      </c>
      <c r="B915" s="53">
        <v>46139</v>
      </c>
      <c r="C915" s="58">
        <v>46139</v>
      </c>
      <c r="D915" s="59" t="s">
        <v>906</v>
      </c>
      <c r="E915" s="50" t="s">
        <v>313</v>
      </c>
      <c r="F915" s="57">
        <v>36</v>
      </c>
      <c r="G915" s="60">
        <v>351</v>
      </c>
      <c r="H915" s="61" t="s">
        <v>854</v>
      </c>
      <c r="I915" s="50" t="s">
        <v>855</v>
      </c>
      <c r="J915" s="50" t="s">
        <v>856</v>
      </c>
      <c r="K915" s="62">
        <v>5102</v>
      </c>
      <c r="L915" s="57">
        <v>205</v>
      </c>
      <c r="M915" s="50" t="s">
        <v>26</v>
      </c>
      <c r="N915" s="50" t="s">
        <v>317</v>
      </c>
      <c r="O915" s="64">
        <v>11771.5</v>
      </c>
      <c r="P915" s="65">
        <v>12</v>
      </c>
      <c r="Q915" s="64">
        <v>1412.59</v>
      </c>
      <c r="R915" s="63">
        <v>0</v>
      </c>
      <c r="S915" s="64">
        <v>0</v>
      </c>
    </row>
    <row r="916" spans="1:19" ht="11.1" customHeight="1" x14ac:dyDescent="0.25">
      <c r="A916" s="57">
        <v>113487</v>
      </c>
      <c r="B916" s="53">
        <v>46139</v>
      </c>
      <c r="C916" s="58">
        <v>46139</v>
      </c>
      <c r="D916" s="59" t="s">
        <v>906</v>
      </c>
      <c r="E916" s="50" t="s">
        <v>313</v>
      </c>
      <c r="F916" s="57">
        <v>36</v>
      </c>
      <c r="G916" s="60">
        <v>351</v>
      </c>
      <c r="H916" s="61" t="s">
        <v>854</v>
      </c>
      <c r="I916" s="50" t="s">
        <v>855</v>
      </c>
      <c r="J916" s="50" t="s">
        <v>856</v>
      </c>
      <c r="K916" s="62">
        <v>5403</v>
      </c>
      <c r="L916" s="57">
        <v>207</v>
      </c>
      <c r="M916" s="50" t="s">
        <v>26</v>
      </c>
      <c r="N916" s="50" t="s">
        <v>317</v>
      </c>
      <c r="O916" s="64">
        <v>9830.3700000000008</v>
      </c>
      <c r="P916" s="65">
        <v>12</v>
      </c>
      <c r="Q916" s="64">
        <v>1179.6300000000001</v>
      </c>
      <c r="R916" s="63">
        <v>0</v>
      </c>
      <c r="S916" s="64">
        <v>688.12</v>
      </c>
    </row>
    <row r="917" spans="1:19" ht="11.1" customHeight="1" x14ac:dyDescent="0.25">
      <c r="N917" s="50" t="s">
        <v>318</v>
      </c>
      <c r="O917" s="64">
        <v>13271.02</v>
      </c>
      <c r="P917" s="65">
        <v>20</v>
      </c>
      <c r="Q917" s="64">
        <v>688.12</v>
      </c>
      <c r="R917" s="63">
        <v>0</v>
      </c>
      <c r="S917" s="64">
        <v>0</v>
      </c>
    </row>
    <row r="918" spans="1:19" ht="11.1" customHeight="1" x14ac:dyDescent="0.25">
      <c r="A918" s="57">
        <v>113502</v>
      </c>
      <c r="B918" s="53">
        <v>46140</v>
      </c>
      <c r="C918" s="58">
        <v>46140</v>
      </c>
      <c r="D918" s="59" t="s">
        <v>907</v>
      </c>
      <c r="E918" s="50" t="s">
        <v>313</v>
      </c>
      <c r="F918" s="57">
        <v>36</v>
      </c>
      <c r="G918" s="60">
        <v>351</v>
      </c>
      <c r="H918" s="61" t="s">
        <v>854</v>
      </c>
      <c r="I918" s="50" t="s">
        <v>855</v>
      </c>
      <c r="J918" s="50" t="s">
        <v>856</v>
      </c>
      <c r="K918" s="62">
        <v>5102</v>
      </c>
      <c r="L918" s="57">
        <v>205</v>
      </c>
      <c r="M918" s="50" t="s">
        <v>26</v>
      </c>
      <c r="N918" s="50" t="s">
        <v>317</v>
      </c>
      <c r="O918" s="64">
        <v>41.1</v>
      </c>
      <c r="P918" s="65">
        <v>12</v>
      </c>
      <c r="Q918" s="64">
        <v>4.93</v>
      </c>
      <c r="R918" s="63">
        <v>0</v>
      </c>
      <c r="S918" s="64">
        <v>0</v>
      </c>
    </row>
    <row r="919" spans="1:19" ht="11.1" customHeight="1" x14ac:dyDescent="0.25">
      <c r="A919" s="57">
        <v>113503</v>
      </c>
      <c r="B919" s="53">
        <v>46140</v>
      </c>
      <c r="C919" s="58">
        <v>46140</v>
      </c>
      <c r="D919" s="59" t="s">
        <v>907</v>
      </c>
      <c r="E919" s="50" t="s">
        <v>313</v>
      </c>
      <c r="F919" s="57">
        <v>36</v>
      </c>
      <c r="G919" s="60">
        <v>351</v>
      </c>
      <c r="H919" s="61" t="s">
        <v>854</v>
      </c>
      <c r="I919" s="50" t="s">
        <v>855</v>
      </c>
      <c r="J919" s="50" t="s">
        <v>856</v>
      </c>
      <c r="K919" s="62">
        <v>5403</v>
      </c>
      <c r="L919" s="57">
        <v>207</v>
      </c>
      <c r="M919" s="50" t="s">
        <v>26</v>
      </c>
      <c r="N919" s="50" t="s">
        <v>317</v>
      </c>
      <c r="O919" s="64">
        <v>226.2</v>
      </c>
      <c r="P919" s="65">
        <v>12</v>
      </c>
      <c r="Q919" s="64">
        <v>27.14</v>
      </c>
      <c r="R919" s="63">
        <v>0</v>
      </c>
      <c r="S919" s="64">
        <v>15.83</v>
      </c>
    </row>
    <row r="920" spans="1:19" ht="11.1" customHeight="1" x14ac:dyDescent="0.25">
      <c r="N920" s="50" t="s">
        <v>318</v>
      </c>
      <c r="O920" s="64">
        <v>305.37</v>
      </c>
      <c r="P920" s="65">
        <v>20</v>
      </c>
      <c r="Q920" s="64">
        <v>15.83</v>
      </c>
      <c r="R920" s="63">
        <v>0</v>
      </c>
      <c r="S920" s="64">
        <v>0</v>
      </c>
    </row>
    <row r="921" spans="1:19" ht="11.1" customHeight="1" x14ac:dyDescent="0.25">
      <c r="A921" s="57">
        <v>113507</v>
      </c>
      <c r="B921" s="53">
        <v>46140</v>
      </c>
      <c r="C921" s="58">
        <v>46140</v>
      </c>
      <c r="D921" s="59" t="s">
        <v>908</v>
      </c>
      <c r="E921" s="50" t="s">
        <v>313</v>
      </c>
      <c r="F921" s="57">
        <v>36</v>
      </c>
      <c r="G921" s="60">
        <v>351</v>
      </c>
      <c r="H921" s="61" t="s">
        <v>854</v>
      </c>
      <c r="I921" s="50" t="s">
        <v>855</v>
      </c>
      <c r="J921" s="50" t="s">
        <v>856</v>
      </c>
      <c r="K921" s="62">
        <v>5102</v>
      </c>
      <c r="L921" s="57">
        <v>205</v>
      </c>
      <c r="M921" s="50" t="s">
        <v>26</v>
      </c>
      <c r="N921" s="50" t="s">
        <v>317</v>
      </c>
      <c r="O921" s="64">
        <v>1135.68</v>
      </c>
      <c r="P921" s="65">
        <v>12</v>
      </c>
      <c r="Q921" s="64">
        <v>136.28</v>
      </c>
      <c r="R921" s="63">
        <v>0</v>
      </c>
      <c r="S921" s="64">
        <v>0</v>
      </c>
    </row>
    <row r="922" spans="1:19" ht="11.1" customHeight="1" x14ac:dyDescent="0.25">
      <c r="A922" s="57">
        <v>113510</v>
      </c>
      <c r="B922" s="53">
        <v>46140</v>
      </c>
      <c r="C922" s="58">
        <v>46140</v>
      </c>
      <c r="D922" s="59" t="s">
        <v>909</v>
      </c>
      <c r="E922" s="50" t="s">
        <v>313</v>
      </c>
      <c r="F922" s="57">
        <v>36</v>
      </c>
      <c r="G922" s="60">
        <v>351</v>
      </c>
      <c r="H922" s="61" t="s">
        <v>854</v>
      </c>
      <c r="I922" s="50" t="s">
        <v>855</v>
      </c>
      <c r="J922" s="50" t="s">
        <v>856</v>
      </c>
      <c r="K922" s="62">
        <v>5102</v>
      </c>
      <c r="L922" s="57">
        <v>205</v>
      </c>
      <c r="M922" s="50" t="s">
        <v>26</v>
      </c>
      <c r="N922" s="50" t="s">
        <v>317</v>
      </c>
      <c r="O922" s="64">
        <v>48.2</v>
      </c>
      <c r="P922" s="65">
        <v>12</v>
      </c>
      <c r="Q922" s="64">
        <v>5.78</v>
      </c>
      <c r="R922" s="63">
        <v>0</v>
      </c>
      <c r="S922" s="64">
        <v>0</v>
      </c>
    </row>
    <row r="923" spans="1:19" ht="11.1" customHeight="1" x14ac:dyDescent="0.25">
      <c r="A923" s="57">
        <v>113512</v>
      </c>
      <c r="B923" s="53">
        <v>46140</v>
      </c>
      <c r="C923" s="58">
        <v>46140</v>
      </c>
      <c r="D923" s="59" t="s">
        <v>910</v>
      </c>
      <c r="E923" s="50" t="s">
        <v>313</v>
      </c>
      <c r="F923" s="57">
        <v>36</v>
      </c>
      <c r="G923" s="60">
        <v>351</v>
      </c>
      <c r="H923" s="61" t="s">
        <v>854</v>
      </c>
      <c r="I923" s="50" t="s">
        <v>855</v>
      </c>
      <c r="J923" s="50" t="s">
        <v>856</v>
      </c>
      <c r="K923" s="62">
        <v>5102</v>
      </c>
      <c r="L923" s="57">
        <v>205</v>
      </c>
      <c r="M923" s="50" t="s">
        <v>26</v>
      </c>
      <c r="N923" s="50" t="s">
        <v>317</v>
      </c>
      <c r="O923" s="64">
        <v>131</v>
      </c>
      <c r="P923" s="65">
        <v>12</v>
      </c>
      <c r="Q923" s="64">
        <v>15.72</v>
      </c>
      <c r="R923" s="63">
        <v>0</v>
      </c>
      <c r="S923" s="64">
        <v>0</v>
      </c>
    </row>
    <row r="924" spans="1:19" ht="11.1" customHeight="1" x14ac:dyDescent="0.25">
      <c r="A924" s="57">
        <v>113534</v>
      </c>
      <c r="B924" s="53">
        <v>46140</v>
      </c>
      <c r="C924" s="58">
        <v>46140</v>
      </c>
      <c r="D924" s="59" t="s">
        <v>911</v>
      </c>
      <c r="E924" s="50" t="s">
        <v>313</v>
      </c>
      <c r="F924" s="57">
        <v>36</v>
      </c>
      <c r="G924" s="60">
        <v>351</v>
      </c>
      <c r="H924" s="61" t="s">
        <v>854</v>
      </c>
      <c r="I924" s="50" t="s">
        <v>855</v>
      </c>
      <c r="J924" s="50" t="s">
        <v>856</v>
      </c>
      <c r="K924" s="62">
        <v>5403</v>
      </c>
      <c r="L924" s="57">
        <v>207</v>
      </c>
      <c r="M924" s="50" t="s">
        <v>26</v>
      </c>
      <c r="N924" s="50" t="s">
        <v>317</v>
      </c>
      <c r="O924" s="64">
        <v>172.08</v>
      </c>
      <c r="P924" s="65">
        <v>12</v>
      </c>
      <c r="Q924" s="64">
        <v>20.65</v>
      </c>
      <c r="R924" s="63">
        <v>0</v>
      </c>
      <c r="S924" s="64">
        <v>12.04</v>
      </c>
    </row>
    <row r="925" spans="1:19" ht="11.1" customHeight="1" x14ac:dyDescent="0.25">
      <c r="N925" s="50" t="s">
        <v>318</v>
      </c>
      <c r="O925" s="64">
        <v>232.31</v>
      </c>
      <c r="P925" s="65">
        <v>20</v>
      </c>
      <c r="Q925" s="64">
        <v>12.04</v>
      </c>
      <c r="R925" s="63">
        <v>0</v>
      </c>
      <c r="S925" s="64">
        <v>0</v>
      </c>
    </row>
    <row r="926" spans="1:19" ht="11.1" customHeight="1" x14ac:dyDescent="0.25">
      <c r="A926" s="57">
        <v>113535</v>
      </c>
      <c r="B926" s="53">
        <v>46140</v>
      </c>
      <c r="C926" s="58">
        <v>46140</v>
      </c>
      <c r="D926" s="59" t="s">
        <v>912</v>
      </c>
      <c r="E926" s="50" t="s">
        <v>313</v>
      </c>
      <c r="F926" s="57">
        <v>36</v>
      </c>
      <c r="G926" s="60">
        <v>351</v>
      </c>
      <c r="H926" s="61" t="s">
        <v>854</v>
      </c>
      <c r="I926" s="50" t="s">
        <v>855</v>
      </c>
      <c r="J926" s="50" t="s">
        <v>856</v>
      </c>
      <c r="K926" s="62">
        <v>5403</v>
      </c>
      <c r="L926" s="57">
        <v>207</v>
      </c>
      <c r="M926" s="50" t="s">
        <v>26</v>
      </c>
      <c r="N926" s="50" t="s">
        <v>317</v>
      </c>
      <c r="O926" s="64">
        <v>488.46</v>
      </c>
      <c r="P926" s="65">
        <v>12</v>
      </c>
      <c r="Q926" s="64">
        <v>58.62</v>
      </c>
      <c r="R926" s="63">
        <v>0</v>
      </c>
      <c r="S926" s="64">
        <v>34.19</v>
      </c>
    </row>
    <row r="927" spans="1:19" ht="11.1" customHeight="1" x14ac:dyDescent="0.25">
      <c r="N927" s="50" t="s">
        <v>318</v>
      </c>
      <c r="O927" s="64">
        <v>659.42</v>
      </c>
      <c r="P927" s="65">
        <v>20</v>
      </c>
      <c r="Q927" s="64">
        <v>34.19</v>
      </c>
      <c r="R927" s="63">
        <v>0</v>
      </c>
      <c r="S927" s="64">
        <v>0</v>
      </c>
    </row>
    <row r="928" spans="1:19" ht="11.1" customHeight="1" x14ac:dyDescent="0.25">
      <c r="A928" s="57">
        <v>113538</v>
      </c>
      <c r="B928" s="53">
        <v>46140</v>
      </c>
      <c r="C928" s="58">
        <v>46140</v>
      </c>
      <c r="D928" s="59" t="s">
        <v>913</v>
      </c>
      <c r="E928" s="50" t="s">
        <v>313</v>
      </c>
      <c r="F928" s="57">
        <v>36</v>
      </c>
      <c r="G928" s="60">
        <v>351</v>
      </c>
      <c r="H928" s="61" t="s">
        <v>854</v>
      </c>
      <c r="I928" s="50" t="s">
        <v>855</v>
      </c>
      <c r="J928" s="50" t="s">
        <v>856</v>
      </c>
      <c r="K928" s="62">
        <v>5403</v>
      </c>
      <c r="L928" s="57">
        <v>207</v>
      </c>
      <c r="M928" s="50" t="s">
        <v>26</v>
      </c>
      <c r="N928" s="50" t="s">
        <v>317</v>
      </c>
      <c r="O928" s="64">
        <v>229.8</v>
      </c>
      <c r="P928" s="65">
        <v>12</v>
      </c>
      <c r="Q928" s="64">
        <v>27.58</v>
      </c>
      <c r="R928" s="63">
        <v>0</v>
      </c>
      <c r="S928" s="64">
        <v>16.09</v>
      </c>
    </row>
    <row r="929" spans="1:19" ht="11.1" customHeight="1" x14ac:dyDescent="0.25">
      <c r="N929" s="50" t="s">
        <v>318</v>
      </c>
      <c r="O929" s="64">
        <v>310.23</v>
      </c>
      <c r="P929" s="65">
        <v>20</v>
      </c>
      <c r="Q929" s="64">
        <v>16.09</v>
      </c>
      <c r="R929" s="63">
        <v>0</v>
      </c>
      <c r="S929" s="64">
        <v>0</v>
      </c>
    </row>
    <row r="930" spans="1:19" ht="11.1" customHeight="1" x14ac:dyDescent="0.25">
      <c r="A930" s="57">
        <v>113569</v>
      </c>
      <c r="B930" s="53">
        <v>46141</v>
      </c>
      <c r="C930" s="58">
        <v>46141</v>
      </c>
      <c r="D930" s="59" t="s">
        <v>914</v>
      </c>
      <c r="E930" s="50" t="s">
        <v>313</v>
      </c>
      <c r="F930" s="57">
        <v>36</v>
      </c>
      <c r="G930" s="60">
        <v>351</v>
      </c>
      <c r="H930" s="61" t="s">
        <v>854</v>
      </c>
      <c r="I930" s="50" t="s">
        <v>855</v>
      </c>
      <c r="J930" s="50" t="s">
        <v>856</v>
      </c>
      <c r="K930" s="62">
        <v>5403</v>
      </c>
      <c r="L930" s="57">
        <v>207</v>
      </c>
      <c r="M930" s="50" t="s">
        <v>26</v>
      </c>
      <c r="N930" s="50" t="s">
        <v>317</v>
      </c>
      <c r="O930" s="64">
        <v>1545.25</v>
      </c>
      <c r="P930" s="65">
        <v>12</v>
      </c>
      <c r="Q930" s="64">
        <v>185.43</v>
      </c>
      <c r="R930" s="63">
        <v>0</v>
      </c>
      <c r="S930" s="64">
        <v>108.16</v>
      </c>
    </row>
    <row r="931" spans="1:19" ht="11.1" customHeight="1" x14ac:dyDescent="0.25">
      <c r="N931" s="50" t="s">
        <v>318</v>
      </c>
      <c r="O931" s="64">
        <v>2086.08</v>
      </c>
      <c r="P931" s="65">
        <v>20</v>
      </c>
      <c r="Q931" s="64">
        <v>108.16</v>
      </c>
      <c r="R931" s="63">
        <v>0</v>
      </c>
      <c r="S931" s="64">
        <v>0</v>
      </c>
    </row>
    <row r="932" spans="1:19" ht="11.1" customHeight="1" x14ac:dyDescent="0.25">
      <c r="A932" s="57">
        <v>113590</v>
      </c>
      <c r="B932" s="53">
        <v>46141</v>
      </c>
      <c r="C932" s="58">
        <v>46141</v>
      </c>
      <c r="D932" s="59" t="s">
        <v>915</v>
      </c>
      <c r="E932" s="50" t="s">
        <v>313</v>
      </c>
      <c r="F932" s="57">
        <v>36</v>
      </c>
      <c r="G932" s="60">
        <v>351</v>
      </c>
      <c r="H932" s="61" t="s">
        <v>854</v>
      </c>
      <c r="I932" s="50" t="s">
        <v>855</v>
      </c>
      <c r="J932" s="50" t="s">
        <v>856</v>
      </c>
      <c r="K932" s="62">
        <v>5102</v>
      </c>
      <c r="L932" s="57">
        <v>205</v>
      </c>
      <c r="M932" s="50" t="s">
        <v>26</v>
      </c>
      <c r="N932" s="50" t="s">
        <v>317</v>
      </c>
      <c r="O932" s="64">
        <v>555.62</v>
      </c>
      <c r="P932" s="65">
        <v>12</v>
      </c>
      <c r="Q932" s="64">
        <v>66.67</v>
      </c>
      <c r="R932" s="63">
        <v>0</v>
      </c>
      <c r="S932" s="64">
        <v>0</v>
      </c>
    </row>
    <row r="933" spans="1:19" ht="11.1" customHeight="1" x14ac:dyDescent="0.25">
      <c r="A933" s="57">
        <v>113602</v>
      </c>
      <c r="B933" s="53">
        <v>46141</v>
      </c>
      <c r="C933" s="58">
        <v>46141</v>
      </c>
      <c r="D933" s="59" t="s">
        <v>916</v>
      </c>
      <c r="E933" s="50" t="s">
        <v>313</v>
      </c>
      <c r="F933" s="57">
        <v>36</v>
      </c>
      <c r="G933" s="60">
        <v>351</v>
      </c>
      <c r="H933" s="61" t="s">
        <v>854</v>
      </c>
      <c r="I933" s="50" t="s">
        <v>855</v>
      </c>
      <c r="J933" s="50" t="s">
        <v>856</v>
      </c>
      <c r="K933" s="62">
        <v>5403</v>
      </c>
      <c r="L933" s="57">
        <v>207</v>
      </c>
      <c r="M933" s="50" t="s">
        <v>26</v>
      </c>
      <c r="N933" s="50" t="s">
        <v>317</v>
      </c>
      <c r="O933" s="64">
        <v>135.6</v>
      </c>
      <c r="P933" s="65">
        <v>12</v>
      </c>
      <c r="Q933" s="64">
        <v>16.27</v>
      </c>
      <c r="R933" s="63">
        <v>0</v>
      </c>
      <c r="S933" s="64">
        <v>9.49</v>
      </c>
    </row>
    <row r="934" spans="1:19" ht="11.1" customHeight="1" x14ac:dyDescent="0.25">
      <c r="N934" s="50" t="s">
        <v>318</v>
      </c>
      <c r="O934" s="64">
        <v>183.06</v>
      </c>
      <c r="P934" s="65">
        <v>20</v>
      </c>
      <c r="Q934" s="64">
        <v>9.49</v>
      </c>
      <c r="R934" s="63">
        <v>0</v>
      </c>
      <c r="S934" s="64">
        <v>0</v>
      </c>
    </row>
    <row r="935" spans="1:19" ht="11.1" customHeight="1" x14ac:dyDescent="0.25">
      <c r="A935" s="57">
        <v>113621</v>
      </c>
      <c r="B935" s="53">
        <v>46142</v>
      </c>
      <c r="C935" s="58">
        <v>46142</v>
      </c>
      <c r="D935" s="59" t="s">
        <v>917</v>
      </c>
      <c r="E935" s="50" t="s">
        <v>313</v>
      </c>
      <c r="F935" s="57">
        <v>36</v>
      </c>
      <c r="G935" s="60">
        <v>351</v>
      </c>
      <c r="H935" s="61" t="s">
        <v>854</v>
      </c>
      <c r="I935" s="50" t="s">
        <v>855</v>
      </c>
      <c r="J935" s="50" t="s">
        <v>856</v>
      </c>
      <c r="K935" s="62">
        <v>5102</v>
      </c>
      <c r="L935" s="57">
        <v>205</v>
      </c>
      <c r="M935" s="50" t="s">
        <v>26</v>
      </c>
      <c r="N935" s="50" t="s">
        <v>317</v>
      </c>
      <c r="O935" s="64">
        <v>79.41</v>
      </c>
      <c r="P935" s="65">
        <v>12</v>
      </c>
      <c r="Q935" s="64">
        <v>9.5299999999999994</v>
      </c>
      <c r="R935" s="63">
        <v>0</v>
      </c>
      <c r="S935" s="64">
        <v>0</v>
      </c>
    </row>
    <row r="936" spans="1:19" ht="11.1" customHeight="1" x14ac:dyDescent="0.25">
      <c r="A936" s="57">
        <v>113647</v>
      </c>
      <c r="B936" s="53">
        <v>46142</v>
      </c>
      <c r="C936" s="58">
        <v>46142</v>
      </c>
      <c r="D936" s="59" t="s">
        <v>918</v>
      </c>
      <c r="E936" s="50" t="s">
        <v>313</v>
      </c>
      <c r="F936" s="57">
        <v>36</v>
      </c>
      <c r="G936" s="60">
        <v>351</v>
      </c>
      <c r="H936" s="61" t="s">
        <v>854</v>
      </c>
      <c r="I936" s="50" t="s">
        <v>855</v>
      </c>
      <c r="J936" s="50" t="s">
        <v>856</v>
      </c>
      <c r="K936" s="62">
        <v>5102</v>
      </c>
      <c r="L936" s="57">
        <v>205</v>
      </c>
      <c r="M936" s="50" t="s">
        <v>26</v>
      </c>
      <c r="N936" s="50" t="s">
        <v>317</v>
      </c>
      <c r="O936" s="64">
        <v>108.42</v>
      </c>
      <c r="P936" s="65">
        <v>12</v>
      </c>
      <c r="Q936" s="64">
        <v>13</v>
      </c>
      <c r="R936" s="63">
        <v>0</v>
      </c>
      <c r="S936" s="64">
        <v>0</v>
      </c>
    </row>
    <row r="937" spans="1:19" ht="11.1" customHeight="1" x14ac:dyDescent="0.25">
      <c r="A937" s="57">
        <v>113648</v>
      </c>
      <c r="B937" s="53">
        <v>46142</v>
      </c>
      <c r="C937" s="58">
        <v>46142</v>
      </c>
      <c r="D937" s="59" t="s">
        <v>918</v>
      </c>
      <c r="E937" s="50" t="s">
        <v>313</v>
      </c>
      <c r="F937" s="57">
        <v>36</v>
      </c>
      <c r="G937" s="60">
        <v>351</v>
      </c>
      <c r="H937" s="61" t="s">
        <v>854</v>
      </c>
      <c r="I937" s="50" t="s">
        <v>855</v>
      </c>
      <c r="J937" s="50" t="s">
        <v>856</v>
      </c>
      <c r="K937" s="62">
        <v>5403</v>
      </c>
      <c r="L937" s="57">
        <v>207</v>
      </c>
      <c r="M937" s="50" t="s">
        <v>26</v>
      </c>
      <c r="N937" s="50" t="s">
        <v>317</v>
      </c>
      <c r="O937" s="64">
        <v>438.06</v>
      </c>
      <c r="P937" s="65">
        <v>12</v>
      </c>
      <c r="Q937" s="64">
        <v>52.57</v>
      </c>
      <c r="R937" s="63">
        <v>0</v>
      </c>
      <c r="S937" s="64">
        <v>30.66</v>
      </c>
    </row>
    <row r="938" spans="1:19" ht="11.1" customHeight="1" x14ac:dyDescent="0.25">
      <c r="N938" s="50" t="s">
        <v>318</v>
      </c>
      <c r="O938" s="64">
        <v>591.38</v>
      </c>
      <c r="P938" s="65">
        <v>20</v>
      </c>
      <c r="Q938" s="64">
        <v>30.66</v>
      </c>
      <c r="R938" s="63">
        <v>0</v>
      </c>
      <c r="S938" s="64">
        <v>0</v>
      </c>
    </row>
    <row r="939" spans="1:19" ht="11.85" customHeight="1" x14ac:dyDescent="0.25">
      <c r="A939" s="66" t="s">
        <v>320</v>
      </c>
      <c r="B939" s="66"/>
      <c r="C939" s="66"/>
      <c r="D939" s="66"/>
      <c r="E939" s="66"/>
      <c r="F939" s="66"/>
      <c r="G939" s="66"/>
      <c r="H939" s="66"/>
    </row>
    <row r="940" spans="1:19" ht="11.1" customHeight="1" x14ac:dyDescent="0.25">
      <c r="N940" s="50" t="s">
        <v>317</v>
      </c>
      <c r="O940" s="64">
        <v>114794.96</v>
      </c>
      <c r="Q940" s="64">
        <v>13775.38</v>
      </c>
      <c r="R940" s="63">
        <v>0</v>
      </c>
      <c r="S940" s="64">
        <v>4307.5200000000004</v>
      </c>
    </row>
    <row r="941" spans="1:19" ht="11.1" customHeight="1" x14ac:dyDescent="0.25">
      <c r="N941" s="50" t="s">
        <v>318</v>
      </c>
      <c r="O941" s="64">
        <v>76751.490000000005</v>
      </c>
      <c r="Q941" s="64">
        <v>3978.46</v>
      </c>
      <c r="R941" s="63">
        <v>0</v>
      </c>
      <c r="S941" s="64">
        <v>0</v>
      </c>
    </row>
    <row r="942" spans="1:19" ht="11.1" customHeight="1" x14ac:dyDescent="0.25">
      <c r="A942" s="57">
        <v>112496</v>
      </c>
      <c r="B942" s="53">
        <v>46113</v>
      </c>
      <c r="C942" s="58">
        <v>46113</v>
      </c>
      <c r="D942" s="59" t="s">
        <v>919</v>
      </c>
      <c r="E942" s="50" t="s">
        <v>313</v>
      </c>
      <c r="F942" s="57">
        <v>36</v>
      </c>
      <c r="G942" s="60">
        <v>781</v>
      </c>
      <c r="H942" s="61" t="s">
        <v>920</v>
      </c>
      <c r="I942" s="50" t="s">
        <v>921</v>
      </c>
      <c r="J942" s="50" t="s">
        <v>922</v>
      </c>
      <c r="K942" s="62">
        <v>6403</v>
      </c>
      <c r="L942" s="57">
        <v>207</v>
      </c>
      <c r="M942" s="50" t="s">
        <v>34</v>
      </c>
      <c r="N942" s="50" t="s">
        <v>317</v>
      </c>
      <c r="O942" s="64">
        <v>15263.38</v>
      </c>
      <c r="P942" s="65">
        <v>12</v>
      </c>
      <c r="Q942" s="64">
        <v>1831.6</v>
      </c>
      <c r="R942" s="63">
        <v>0</v>
      </c>
      <c r="S942" s="64">
        <v>1068.43</v>
      </c>
    </row>
    <row r="943" spans="1:19" ht="11.1" customHeight="1" x14ac:dyDescent="0.25">
      <c r="N943" s="50" t="s">
        <v>318</v>
      </c>
      <c r="O943" s="64">
        <v>15263.38</v>
      </c>
      <c r="P943" s="65">
        <v>19</v>
      </c>
      <c r="Q943" s="64">
        <v>1068.43</v>
      </c>
      <c r="R943" s="63">
        <v>0</v>
      </c>
      <c r="S943" s="64">
        <v>0</v>
      </c>
    </row>
    <row r="944" spans="1:19" ht="11.1" customHeight="1" x14ac:dyDescent="0.25">
      <c r="A944" s="57">
        <v>112497</v>
      </c>
      <c r="B944" s="53">
        <v>46113</v>
      </c>
      <c r="C944" s="58">
        <v>46113</v>
      </c>
      <c r="D944" s="59" t="s">
        <v>919</v>
      </c>
      <c r="E944" s="50" t="s">
        <v>313</v>
      </c>
      <c r="F944" s="57">
        <v>36</v>
      </c>
      <c r="G944" s="60">
        <v>781</v>
      </c>
      <c r="H944" s="61" t="s">
        <v>920</v>
      </c>
      <c r="I944" s="50" t="s">
        <v>921</v>
      </c>
      <c r="J944" s="50" t="s">
        <v>922</v>
      </c>
      <c r="K944" s="62">
        <v>6102</v>
      </c>
      <c r="L944" s="57">
        <v>238</v>
      </c>
      <c r="M944" s="50" t="s">
        <v>34</v>
      </c>
      <c r="N944" s="50" t="s">
        <v>317</v>
      </c>
      <c r="O944" s="64">
        <v>29777.9</v>
      </c>
      <c r="P944" s="65">
        <v>12</v>
      </c>
      <c r="Q944" s="64">
        <v>3573.31</v>
      </c>
      <c r="R944" s="63">
        <v>0</v>
      </c>
      <c r="S944" s="64">
        <v>0</v>
      </c>
    </row>
    <row r="945" spans="1:19" ht="11.1" customHeight="1" x14ac:dyDescent="0.25">
      <c r="A945" s="57">
        <v>112500</v>
      </c>
      <c r="B945" s="53">
        <v>46113</v>
      </c>
      <c r="C945" s="58">
        <v>46113</v>
      </c>
      <c r="D945" s="59" t="s">
        <v>923</v>
      </c>
      <c r="E945" s="50" t="s">
        <v>313</v>
      </c>
      <c r="F945" s="57">
        <v>36</v>
      </c>
      <c r="G945" s="60">
        <v>781</v>
      </c>
      <c r="H945" s="61" t="s">
        <v>920</v>
      </c>
      <c r="I945" s="50" t="s">
        <v>921</v>
      </c>
      <c r="J945" s="50" t="s">
        <v>922</v>
      </c>
      <c r="K945" s="62">
        <v>6403</v>
      </c>
      <c r="L945" s="57">
        <v>207</v>
      </c>
      <c r="M945" s="50" t="s">
        <v>34</v>
      </c>
      <c r="N945" s="50" t="s">
        <v>317</v>
      </c>
      <c r="O945" s="64">
        <v>1227.78</v>
      </c>
      <c r="P945" s="65">
        <v>12</v>
      </c>
      <c r="Q945" s="64">
        <v>147.33000000000001</v>
      </c>
      <c r="R945" s="63">
        <v>0</v>
      </c>
      <c r="S945" s="64">
        <v>85.95</v>
      </c>
    </row>
    <row r="946" spans="1:19" ht="11.1" customHeight="1" x14ac:dyDescent="0.25">
      <c r="N946" s="50" t="s">
        <v>318</v>
      </c>
      <c r="O946" s="64">
        <v>1227.78</v>
      </c>
      <c r="P946" s="65">
        <v>19</v>
      </c>
      <c r="Q946" s="64">
        <v>85.95</v>
      </c>
      <c r="R946" s="63">
        <v>0</v>
      </c>
      <c r="S946" s="64">
        <v>0</v>
      </c>
    </row>
    <row r="947" spans="1:19" ht="11.1" customHeight="1" x14ac:dyDescent="0.25">
      <c r="A947" s="57">
        <v>112501</v>
      </c>
      <c r="B947" s="53">
        <v>46113</v>
      </c>
      <c r="C947" s="58">
        <v>46113</v>
      </c>
      <c r="D947" s="59" t="s">
        <v>923</v>
      </c>
      <c r="E947" s="50" t="s">
        <v>313</v>
      </c>
      <c r="F947" s="57">
        <v>36</v>
      </c>
      <c r="G947" s="60">
        <v>781</v>
      </c>
      <c r="H947" s="61" t="s">
        <v>920</v>
      </c>
      <c r="I947" s="50" t="s">
        <v>921</v>
      </c>
      <c r="J947" s="50" t="s">
        <v>922</v>
      </c>
      <c r="K947" s="62">
        <v>6102</v>
      </c>
      <c r="L947" s="57">
        <v>238</v>
      </c>
      <c r="M947" s="50" t="s">
        <v>34</v>
      </c>
      <c r="N947" s="50" t="s">
        <v>317</v>
      </c>
      <c r="O947" s="64">
        <v>483.76</v>
      </c>
      <c r="P947" s="65">
        <v>12</v>
      </c>
      <c r="Q947" s="64">
        <v>58.05</v>
      </c>
      <c r="R947" s="63">
        <v>0</v>
      </c>
      <c r="S947" s="64">
        <v>0</v>
      </c>
    </row>
    <row r="948" spans="1:19" ht="11.1" customHeight="1" x14ac:dyDescent="0.25">
      <c r="A948" s="57">
        <v>112549</v>
      </c>
      <c r="B948" s="53">
        <v>46118</v>
      </c>
      <c r="C948" s="58">
        <v>46118</v>
      </c>
      <c r="D948" s="59" t="s">
        <v>924</v>
      </c>
      <c r="E948" s="50" t="s">
        <v>313</v>
      </c>
      <c r="F948" s="57">
        <v>36</v>
      </c>
      <c r="G948" s="60">
        <v>781</v>
      </c>
      <c r="H948" s="61" t="s">
        <v>920</v>
      </c>
      <c r="I948" s="50" t="s">
        <v>921</v>
      </c>
      <c r="J948" s="50" t="s">
        <v>922</v>
      </c>
      <c r="K948" s="62">
        <v>6403</v>
      </c>
      <c r="L948" s="57">
        <v>207</v>
      </c>
      <c r="M948" s="50" t="s">
        <v>34</v>
      </c>
      <c r="N948" s="50" t="s">
        <v>317</v>
      </c>
      <c r="O948" s="64">
        <v>168.73</v>
      </c>
      <c r="P948" s="65">
        <v>12</v>
      </c>
      <c r="Q948" s="64">
        <v>20.25</v>
      </c>
      <c r="R948" s="63">
        <v>0</v>
      </c>
      <c r="S948" s="64">
        <v>11.81</v>
      </c>
    </row>
    <row r="949" spans="1:19" ht="11.1" customHeight="1" x14ac:dyDescent="0.25">
      <c r="N949" s="50" t="s">
        <v>318</v>
      </c>
      <c r="O949" s="64">
        <v>168.73</v>
      </c>
      <c r="P949" s="65">
        <v>19</v>
      </c>
      <c r="Q949" s="64">
        <v>11.81</v>
      </c>
      <c r="R949" s="63">
        <v>0</v>
      </c>
      <c r="S949" s="64">
        <v>0</v>
      </c>
    </row>
    <row r="950" spans="1:19" ht="11.1" customHeight="1" x14ac:dyDescent="0.25">
      <c r="A950" s="57">
        <v>112632</v>
      </c>
      <c r="B950" s="53">
        <v>46118</v>
      </c>
      <c r="C950" s="58">
        <v>46118</v>
      </c>
      <c r="D950" s="59" t="s">
        <v>925</v>
      </c>
      <c r="E950" s="50" t="s">
        <v>313</v>
      </c>
      <c r="F950" s="57">
        <v>36</v>
      </c>
      <c r="G950" s="60">
        <v>781</v>
      </c>
      <c r="H950" s="61" t="s">
        <v>920</v>
      </c>
      <c r="I950" s="50" t="s">
        <v>921</v>
      </c>
      <c r="J950" s="50" t="s">
        <v>922</v>
      </c>
      <c r="K950" s="62">
        <v>6102</v>
      </c>
      <c r="L950" s="57">
        <v>238</v>
      </c>
      <c r="M950" s="50" t="s">
        <v>34</v>
      </c>
      <c r="N950" s="50" t="s">
        <v>317</v>
      </c>
      <c r="O950" s="64">
        <v>2735.28</v>
      </c>
      <c r="P950" s="65">
        <v>12</v>
      </c>
      <c r="Q950" s="64">
        <v>328.23</v>
      </c>
      <c r="R950" s="63">
        <v>0</v>
      </c>
      <c r="S950" s="64">
        <v>0</v>
      </c>
    </row>
    <row r="951" spans="1:19" ht="11.1" customHeight="1" x14ac:dyDescent="0.25">
      <c r="A951" s="57">
        <v>112652</v>
      </c>
      <c r="B951" s="53">
        <v>46119</v>
      </c>
      <c r="C951" s="58">
        <v>46119</v>
      </c>
      <c r="D951" s="59" t="s">
        <v>926</v>
      </c>
      <c r="E951" s="50" t="s">
        <v>313</v>
      </c>
      <c r="F951" s="57">
        <v>36</v>
      </c>
      <c r="G951" s="60">
        <v>781</v>
      </c>
      <c r="H951" s="61" t="s">
        <v>920</v>
      </c>
      <c r="I951" s="50" t="s">
        <v>921</v>
      </c>
      <c r="J951" s="50" t="s">
        <v>922</v>
      </c>
      <c r="K951" s="62">
        <v>6403</v>
      </c>
      <c r="L951" s="57">
        <v>207</v>
      </c>
      <c r="M951" s="50" t="s">
        <v>34</v>
      </c>
      <c r="N951" s="50" t="s">
        <v>317</v>
      </c>
      <c r="O951" s="64">
        <v>1134.3</v>
      </c>
      <c r="P951" s="65">
        <v>12</v>
      </c>
      <c r="Q951" s="64">
        <v>136.12</v>
      </c>
      <c r="R951" s="63">
        <v>0</v>
      </c>
      <c r="S951" s="64">
        <v>79.400000000000006</v>
      </c>
    </row>
    <row r="952" spans="1:19" ht="11.1" customHeight="1" x14ac:dyDescent="0.25">
      <c r="N952" s="50" t="s">
        <v>318</v>
      </c>
      <c r="O952" s="64">
        <v>1134.3</v>
      </c>
      <c r="P952" s="65">
        <v>19</v>
      </c>
      <c r="Q952" s="64">
        <v>79.400000000000006</v>
      </c>
      <c r="R952" s="63">
        <v>0</v>
      </c>
      <c r="S952" s="64">
        <v>0</v>
      </c>
    </row>
    <row r="953" spans="1:19" ht="11.1" customHeight="1" x14ac:dyDescent="0.25">
      <c r="A953" s="57">
        <v>112660</v>
      </c>
      <c r="B953" s="53">
        <v>46119</v>
      </c>
      <c r="C953" s="58">
        <v>46119</v>
      </c>
      <c r="D953" s="59" t="s">
        <v>927</v>
      </c>
      <c r="E953" s="50" t="s">
        <v>313</v>
      </c>
      <c r="F953" s="57">
        <v>36</v>
      </c>
      <c r="G953" s="60">
        <v>781</v>
      </c>
      <c r="H953" s="61" t="s">
        <v>920</v>
      </c>
      <c r="I953" s="50" t="s">
        <v>921</v>
      </c>
      <c r="J953" s="50" t="s">
        <v>922</v>
      </c>
      <c r="K953" s="62">
        <v>6403</v>
      </c>
      <c r="L953" s="57">
        <v>207</v>
      </c>
      <c r="M953" s="50" t="s">
        <v>34</v>
      </c>
      <c r="N953" s="50" t="s">
        <v>317</v>
      </c>
      <c r="O953" s="64">
        <v>8118.63</v>
      </c>
      <c r="P953" s="65">
        <v>12</v>
      </c>
      <c r="Q953" s="64">
        <v>974.24</v>
      </c>
      <c r="R953" s="63">
        <v>0</v>
      </c>
      <c r="S953" s="64">
        <v>568.28</v>
      </c>
    </row>
    <row r="954" spans="1:19" ht="11.1" customHeight="1" x14ac:dyDescent="0.25">
      <c r="N954" s="50" t="s">
        <v>318</v>
      </c>
      <c r="O954" s="64">
        <v>8118.63</v>
      </c>
      <c r="P954" s="65">
        <v>19</v>
      </c>
      <c r="Q954" s="64">
        <v>568.28</v>
      </c>
      <c r="R954" s="63">
        <v>0</v>
      </c>
      <c r="S954" s="64">
        <v>0</v>
      </c>
    </row>
    <row r="955" spans="1:19" ht="11.1" customHeight="1" x14ac:dyDescent="0.25">
      <c r="A955" s="57">
        <v>112661</v>
      </c>
      <c r="B955" s="53">
        <v>46119</v>
      </c>
      <c r="C955" s="58">
        <v>46119</v>
      </c>
      <c r="D955" s="59" t="s">
        <v>927</v>
      </c>
      <c r="E955" s="50" t="s">
        <v>313</v>
      </c>
      <c r="F955" s="57">
        <v>36</v>
      </c>
      <c r="G955" s="60">
        <v>781</v>
      </c>
      <c r="H955" s="61" t="s">
        <v>920</v>
      </c>
      <c r="I955" s="50" t="s">
        <v>921</v>
      </c>
      <c r="J955" s="50" t="s">
        <v>922</v>
      </c>
      <c r="K955" s="62">
        <v>6102</v>
      </c>
      <c r="L955" s="57">
        <v>238</v>
      </c>
      <c r="M955" s="50" t="s">
        <v>34</v>
      </c>
      <c r="N955" s="50" t="s">
        <v>317</v>
      </c>
      <c r="O955" s="64">
        <v>2077.5300000000002</v>
      </c>
      <c r="P955" s="65">
        <v>12</v>
      </c>
      <c r="Q955" s="64">
        <v>249.31</v>
      </c>
      <c r="R955" s="63">
        <v>0</v>
      </c>
      <c r="S955" s="64">
        <v>0</v>
      </c>
    </row>
    <row r="956" spans="1:19" ht="11.1" customHeight="1" x14ac:dyDescent="0.25">
      <c r="A956" s="57">
        <v>112692</v>
      </c>
      <c r="B956" s="53">
        <v>46119</v>
      </c>
      <c r="C956" s="58">
        <v>46119</v>
      </c>
      <c r="D956" s="59" t="s">
        <v>928</v>
      </c>
      <c r="E956" s="50" t="s">
        <v>313</v>
      </c>
      <c r="F956" s="57">
        <v>36</v>
      </c>
      <c r="G956" s="60">
        <v>781</v>
      </c>
      <c r="H956" s="61" t="s">
        <v>920</v>
      </c>
      <c r="I956" s="50" t="s">
        <v>921</v>
      </c>
      <c r="J956" s="50" t="s">
        <v>922</v>
      </c>
      <c r="K956" s="62">
        <v>6403</v>
      </c>
      <c r="L956" s="57">
        <v>207</v>
      </c>
      <c r="M956" s="50" t="s">
        <v>34</v>
      </c>
      <c r="N956" s="50" t="s">
        <v>317</v>
      </c>
      <c r="O956" s="64">
        <v>216.52</v>
      </c>
      <c r="P956" s="65">
        <v>12</v>
      </c>
      <c r="Q956" s="64">
        <v>25.98</v>
      </c>
      <c r="R956" s="63">
        <v>0</v>
      </c>
      <c r="S956" s="64">
        <v>15.16</v>
      </c>
    </row>
    <row r="957" spans="1:19" ht="11.1" customHeight="1" x14ac:dyDescent="0.25">
      <c r="N957" s="50" t="s">
        <v>318</v>
      </c>
      <c r="O957" s="64">
        <v>216.52</v>
      </c>
      <c r="P957" s="65">
        <v>19</v>
      </c>
      <c r="Q957" s="64">
        <v>15.16</v>
      </c>
      <c r="R957" s="63">
        <v>0</v>
      </c>
      <c r="S957" s="64">
        <v>0</v>
      </c>
    </row>
    <row r="958" spans="1:19" ht="11.1" customHeight="1" x14ac:dyDescent="0.25">
      <c r="A958" s="57">
        <v>112693</v>
      </c>
      <c r="B958" s="53">
        <v>46119</v>
      </c>
      <c r="C958" s="58">
        <v>46119</v>
      </c>
      <c r="D958" s="59" t="s">
        <v>928</v>
      </c>
      <c r="E958" s="50" t="s">
        <v>313</v>
      </c>
      <c r="F958" s="57">
        <v>36</v>
      </c>
      <c r="G958" s="60">
        <v>781</v>
      </c>
      <c r="H958" s="61" t="s">
        <v>920</v>
      </c>
      <c r="I958" s="50" t="s">
        <v>921</v>
      </c>
      <c r="J958" s="50" t="s">
        <v>922</v>
      </c>
      <c r="K958" s="62">
        <v>6102</v>
      </c>
      <c r="L958" s="57">
        <v>238</v>
      </c>
      <c r="M958" s="50" t="s">
        <v>34</v>
      </c>
      <c r="N958" s="50" t="s">
        <v>317</v>
      </c>
      <c r="O958" s="64">
        <v>90.76</v>
      </c>
      <c r="P958" s="65">
        <v>12</v>
      </c>
      <c r="Q958" s="64">
        <v>10.89</v>
      </c>
      <c r="R958" s="63">
        <v>0</v>
      </c>
      <c r="S958" s="64">
        <v>0</v>
      </c>
    </row>
    <row r="959" spans="1:19" ht="11.1" customHeight="1" x14ac:dyDescent="0.25">
      <c r="A959" s="57">
        <v>112724</v>
      </c>
      <c r="B959" s="53">
        <v>46120</v>
      </c>
      <c r="C959" s="58">
        <v>46120</v>
      </c>
      <c r="D959" s="59" t="s">
        <v>929</v>
      </c>
      <c r="E959" s="50" t="s">
        <v>313</v>
      </c>
      <c r="F959" s="57">
        <v>36</v>
      </c>
      <c r="G959" s="60">
        <v>781</v>
      </c>
      <c r="H959" s="61" t="s">
        <v>920</v>
      </c>
      <c r="I959" s="50" t="s">
        <v>921</v>
      </c>
      <c r="J959" s="50" t="s">
        <v>922</v>
      </c>
      <c r="K959" s="62">
        <v>6403</v>
      </c>
      <c r="L959" s="57">
        <v>207</v>
      </c>
      <c r="M959" s="50" t="s">
        <v>34</v>
      </c>
      <c r="N959" s="50" t="s">
        <v>317</v>
      </c>
      <c r="O959" s="64">
        <v>1134.3</v>
      </c>
      <c r="P959" s="65">
        <v>12</v>
      </c>
      <c r="Q959" s="64">
        <v>136.12</v>
      </c>
      <c r="R959" s="63">
        <v>0</v>
      </c>
      <c r="S959" s="64">
        <v>79.400000000000006</v>
      </c>
    </row>
    <row r="960" spans="1:19" ht="11.1" customHeight="1" x14ac:dyDescent="0.25">
      <c r="N960" s="50" t="s">
        <v>318</v>
      </c>
      <c r="O960" s="64">
        <v>1134.3</v>
      </c>
      <c r="P960" s="65">
        <v>19</v>
      </c>
      <c r="Q960" s="64">
        <v>79.400000000000006</v>
      </c>
      <c r="R960" s="63">
        <v>0</v>
      </c>
      <c r="S960" s="64">
        <v>0</v>
      </c>
    </row>
    <row r="961" spans="1:19" ht="11.1" customHeight="1" x14ac:dyDescent="0.25">
      <c r="A961" s="57">
        <v>112729</v>
      </c>
      <c r="B961" s="53">
        <v>46120</v>
      </c>
      <c r="C961" s="58">
        <v>46120</v>
      </c>
      <c r="D961" s="59" t="s">
        <v>930</v>
      </c>
      <c r="E961" s="50" t="s">
        <v>313</v>
      </c>
      <c r="F961" s="57">
        <v>36</v>
      </c>
      <c r="G961" s="60">
        <v>781</v>
      </c>
      <c r="H961" s="61" t="s">
        <v>920</v>
      </c>
      <c r="I961" s="50" t="s">
        <v>921</v>
      </c>
      <c r="J961" s="50" t="s">
        <v>922</v>
      </c>
      <c r="K961" s="62">
        <v>6102</v>
      </c>
      <c r="L961" s="57">
        <v>238</v>
      </c>
      <c r="M961" s="50" t="s">
        <v>34</v>
      </c>
      <c r="N961" s="50" t="s">
        <v>317</v>
      </c>
      <c r="O961" s="64">
        <v>588</v>
      </c>
      <c r="P961" s="65">
        <v>12</v>
      </c>
      <c r="Q961" s="64">
        <v>70.56</v>
      </c>
      <c r="R961" s="63">
        <v>0</v>
      </c>
      <c r="S961" s="64">
        <v>0</v>
      </c>
    </row>
    <row r="962" spans="1:19" ht="11.1" customHeight="1" x14ac:dyDescent="0.25">
      <c r="A962" s="57">
        <v>112757</v>
      </c>
      <c r="B962" s="53">
        <v>46120</v>
      </c>
      <c r="C962" s="58">
        <v>46120</v>
      </c>
      <c r="D962" s="59" t="s">
        <v>931</v>
      </c>
      <c r="E962" s="50" t="s">
        <v>313</v>
      </c>
      <c r="F962" s="57">
        <v>36</v>
      </c>
      <c r="G962" s="60">
        <v>781</v>
      </c>
      <c r="H962" s="61" t="s">
        <v>920</v>
      </c>
      <c r="I962" s="50" t="s">
        <v>921</v>
      </c>
      <c r="J962" s="50" t="s">
        <v>922</v>
      </c>
      <c r="K962" s="62">
        <v>6403</v>
      </c>
      <c r="L962" s="57">
        <v>207</v>
      </c>
      <c r="M962" s="50" t="s">
        <v>34</v>
      </c>
      <c r="N962" s="50" t="s">
        <v>317</v>
      </c>
      <c r="O962" s="64">
        <v>73.099999999999994</v>
      </c>
      <c r="P962" s="65">
        <v>12</v>
      </c>
      <c r="Q962" s="64">
        <v>8.77</v>
      </c>
      <c r="R962" s="63">
        <v>0</v>
      </c>
      <c r="S962" s="64">
        <v>5.12</v>
      </c>
    </row>
    <row r="963" spans="1:19" ht="11.1" customHeight="1" x14ac:dyDescent="0.25">
      <c r="N963" s="50" t="s">
        <v>318</v>
      </c>
      <c r="O963" s="64">
        <v>73.099999999999994</v>
      </c>
      <c r="P963" s="65">
        <v>19</v>
      </c>
      <c r="Q963" s="64">
        <v>5.12</v>
      </c>
      <c r="R963" s="63">
        <v>0</v>
      </c>
      <c r="S963" s="64">
        <v>0</v>
      </c>
    </row>
    <row r="964" spans="1:19" ht="11.1" customHeight="1" x14ac:dyDescent="0.25">
      <c r="A964" s="57">
        <v>112758</v>
      </c>
      <c r="B964" s="53">
        <v>46120</v>
      </c>
      <c r="C964" s="58">
        <v>46120</v>
      </c>
      <c r="D964" s="59" t="s">
        <v>931</v>
      </c>
      <c r="E964" s="50" t="s">
        <v>313</v>
      </c>
      <c r="F964" s="57">
        <v>36</v>
      </c>
      <c r="G964" s="60">
        <v>781</v>
      </c>
      <c r="H964" s="61" t="s">
        <v>920</v>
      </c>
      <c r="I964" s="50" t="s">
        <v>921</v>
      </c>
      <c r="J964" s="50" t="s">
        <v>922</v>
      </c>
      <c r="K964" s="62">
        <v>6102</v>
      </c>
      <c r="L964" s="57">
        <v>238</v>
      </c>
      <c r="M964" s="50" t="s">
        <v>34</v>
      </c>
      <c r="N964" s="50" t="s">
        <v>317</v>
      </c>
      <c r="O964" s="64">
        <v>97.56</v>
      </c>
      <c r="P964" s="65">
        <v>12</v>
      </c>
      <c r="Q964" s="64">
        <v>11.71</v>
      </c>
      <c r="R964" s="63">
        <v>0</v>
      </c>
      <c r="S964" s="64">
        <v>0</v>
      </c>
    </row>
    <row r="965" spans="1:19" ht="11.1" customHeight="1" x14ac:dyDescent="0.25">
      <c r="A965" s="57">
        <v>112785</v>
      </c>
      <c r="B965" s="53">
        <v>46120</v>
      </c>
      <c r="C965" s="58">
        <v>46120</v>
      </c>
      <c r="D965" s="59" t="s">
        <v>932</v>
      </c>
      <c r="E965" s="50" t="s">
        <v>313</v>
      </c>
      <c r="F965" s="57">
        <v>36</v>
      </c>
      <c r="G965" s="60">
        <v>781</v>
      </c>
      <c r="H965" s="61" t="s">
        <v>920</v>
      </c>
      <c r="I965" s="50" t="s">
        <v>921</v>
      </c>
      <c r="J965" s="50" t="s">
        <v>922</v>
      </c>
      <c r="K965" s="62">
        <v>6403</v>
      </c>
      <c r="L965" s="57">
        <v>207</v>
      </c>
      <c r="M965" s="50" t="s">
        <v>34</v>
      </c>
      <c r="N965" s="50" t="s">
        <v>317</v>
      </c>
      <c r="O965" s="64">
        <v>11504.52</v>
      </c>
      <c r="P965" s="65">
        <v>12</v>
      </c>
      <c r="Q965" s="64">
        <v>1380.53</v>
      </c>
      <c r="R965" s="63">
        <v>0</v>
      </c>
      <c r="S965" s="64">
        <v>805.32</v>
      </c>
    </row>
    <row r="966" spans="1:19" ht="11.1" customHeight="1" x14ac:dyDescent="0.25">
      <c r="N966" s="50" t="s">
        <v>318</v>
      </c>
      <c r="O966" s="64">
        <v>11504.52</v>
      </c>
      <c r="P966" s="65">
        <v>19</v>
      </c>
      <c r="Q966" s="64">
        <v>805.32</v>
      </c>
      <c r="R966" s="63">
        <v>0</v>
      </c>
      <c r="S966" s="64">
        <v>0</v>
      </c>
    </row>
    <row r="967" spans="1:19" ht="11.1" customHeight="1" x14ac:dyDescent="0.25">
      <c r="A967" s="57">
        <v>112786</v>
      </c>
      <c r="B967" s="53">
        <v>46120</v>
      </c>
      <c r="C967" s="58">
        <v>46120</v>
      </c>
      <c r="D967" s="59" t="s">
        <v>932</v>
      </c>
      <c r="E967" s="50" t="s">
        <v>313</v>
      </c>
      <c r="F967" s="57">
        <v>36</v>
      </c>
      <c r="G967" s="60">
        <v>781</v>
      </c>
      <c r="H967" s="61" t="s">
        <v>920</v>
      </c>
      <c r="I967" s="50" t="s">
        <v>921</v>
      </c>
      <c r="J967" s="50" t="s">
        <v>922</v>
      </c>
      <c r="K967" s="62">
        <v>6102</v>
      </c>
      <c r="L967" s="57">
        <v>238</v>
      </c>
      <c r="M967" s="50" t="s">
        <v>34</v>
      </c>
      <c r="N967" s="50" t="s">
        <v>317</v>
      </c>
      <c r="O967" s="64">
        <v>18099.05</v>
      </c>
      <c r="P967" s="65">
        <v>12</v>
      </c>
      <c r="Q967" s="64">
        <v>2171.87</v>
      </c>
      <c r="R967" s="63">
        <v>0</v>
      </c>
      <c r="S967" s="64">
        <v>0</v>
      </c>
    </row>
    <row r="968" spans="1:19" ht="11.1" customHeight="1" x14ac:dyDescent="0.25">
      <c r="A968" s="57">
        <v>112795</v>
      </c>
      <c r="B968" s="53">
        <v>46120</v>
      </c>
      <c r="C968" s="58">
        <v>46120</v>
      </c>
      <c r="D968" s="59" t="s">
        <v>933</v>
      </c>
      <c r="E968" s="50" t="s">
        <v>313</v>
      </c>
      <c r="F968" s="57">
        <v>36</v>
      </c>
      <c r="G968" s="60">
        <v>781</v>
      </c>
      <c r="H968" s="61" t="s">
        <v>920</v>
      </c>
      <c r="I968" s="50" t="s">
        <v>921</v>
      </c>
      <c r="J968" s="50" t="s">
        <v>922</v>
      </c>
      <c r="K968" s="62">
        <v>6403</v>
      </c>
      <c r="L968" s="57">
        <v>207</v>
      </c>
      <c r="M968" s="50" t="s">
        <v>34</v>
      </c>
      <c r="N968" s="50" t="s">
        <v>317</v>
      </c>
      <c r="O968" s="64">
        <v>3762.62</v>
      </c>
      <c r="P968" s="65">
        <v>12</v>
      </c>
      <c r="Q968" s="64">
        <v>451.51</v>
      </c>
      <c r="R968" s="63">
        <v>0</v>
      </c>
      <c r="S968" s="64">
        <v>263.38</v>
      </c>
    </row>
    <row r="969" spans="1:19" ht="11.1" customHeight="1" x14ac:dyDescent="0.25">
      <c r="N969" s="50" t="s">
        <v>318</v>
      </c>
      <c r="O969" s="64">
        <v>3762.62</v>
      </c>
      <c r="P969" s="65">
        <v>19</v>
      </c>
      <c r="Q969" s="64">
        <v>263.38</v>
      </c>
      <c r="R969" s="63">
        <v>0</v>
      </c>
      <c r="S969" s="64">
        <v>0</v>
      </c>
    </row>
    <row r="970" spans="1:19" ht="11.1" customHeight="1" x14ac:dyDescent="0.25">
      <c r="A970" s="57">
        <v>112796</v>
      </c>
      <c r="B970" s="53">
        <v>46120</v>
      </c>
      <c r="C970" s="58">
        <v>46120</v>
      </c>
      <c r="D970" s="59" t="s">
        <v>933</v>
      </c>
      <c r="E970" s="50" t="s">
        <v>313</v>
      </c>
      <c r="F970" s="57">
        <v>36</v>
      </c>
      <c r="G970" s="60">
        <v>781</v>
      </c>
      <c r="H970" s="61" t="s">
        <v>920</v>
      </c>
      <c r="I970" s="50" t="s">
        <v>921</v>
      </c>
      <c r="J970" s="50" t="s">
        <v>922</v>
      </c>
      <c r="K970" s="62">
        <v>6102</v>
      </c>
      <c r="L970" s="57">
        <v>238</v>
      </c>
      <c r="M970" s="50" t="s">
        <v>34</v>
      </c>
      <c r="N970" s="50" t="s">
        <v>317</v>
      </c>
      <c r="O970" s="64">
        <v>716.36</v>
      </c>
      <c r="P970" s="65">
        <v>12</v>
      </c>
      <c r="Q970" s="64">
        <v>85.97</v>
      </c>
      <c r="R970" s="63">
        <v>0</v>
      </c>
      <c r="S970" s="64">
        <v>0</v>
      </c>
    </row>
    <row r="971" spans="1:19" ht="11.1" customHeight="1" x14ac:dyDescent="0.25">
      <c r="A971" s="57">
        <v>112802</v>
      </c>
      <c r="B971" s="53">
        <v>46120</v>
      </c>
      <c r="C971" s="58">
        <v>46120</v>
      </c>
      <c r="D971" s="59" t="s">
        <v>934</v>
      </c>
      <c r="E971" s="50" t="s">
        <v>313</v>
      </c>
      <c r="F971" s="57">
        <v>36</v>
      </c>
      <c r="G971" s="60">
        <v>781</v>
      </c>
      <c r="H971" s="61" t="s">
        <v>920</v>
      </c>
      <c r="I971" s="50" t="s">
        <v>921</v>
      </c>
      <c r="J971" s="50" t="s">
        <v>922</v>
      </c>
      <c r="K971" s="62">
        <v>6403</v>
      </c>
      <c r="L971" s="57">
        <v>207</v>
      </c>
      <c r="M971" s="50" t="s">
        <v>34</v>
      </c>
      <c r="N971" s="50" t="s">
        <v>317</v>
      </c>
      <c r="O971" s="64">
        <v>396.52</v>
      </c>
      <c r="P971" s="65">
        <v>12</v>
      </c>
      <c r="Q971" s="64">
        <v>47.58</v>
      </c>
      <c r="R971" s="63">
        <v>0</v>
      </c>
      <c r="S971" s="64">
        <v>27.76</v>
      </c>
    </row>
    <row r="972" spans="1:19" ht="11.1" customHeight="1" x14ac:dyDescent="0.25">
      <c r="N972" s="50" t="s">
        <v>318</v>
      </c>
      <c r="O972" s="64">
        <v>396.52</v>
      </c>
      <c r="P972" s="65">
        <v>19</v>
      </c>
      <c r="Q972" s="64">
        <v>27.76</v>
      </c>
      <c r="R972" s="63">
        <v>0</v>
      </c>
      <c r="S972" s="64">
        <v>0</v>
      </c>
    </row>
    <row r="973" spans="1:19" ht="11.1" customHeight="1" x14ac:dyDescent="0.25">
      <c r="A973" s="57">
        <v>112883</v>
      </c>
      <c r="B973" s="53">
        <v>46122</v>
      </c>
      <c r="C973" s="58">
        <v>46122</v>
      </c>
      <c r="D973" s="59" t="s">
        <v>935</v>
      </c>
      <c r="E973" s="50" t="s">
        <v>313</v>
      </c>
      <c r="F973" s="57">
        <v>36</v>
      </c>
      <c r="G973" s="60">
        <v>781</v>
      </c>
      <c r="H973" s="61" t="s">
        <v>920</v>
      </c>
      <c r="I973" s="50" t="s">
        <v>921</v>
      </c>
      <c r="J973" s="50" t="s">
        <v>922</v>
      </c>
      <c r="K973" s="62">
        <v>6102</v>
      </c>
      <c r="L973" s="57">
        <v>238</v>
      </c>
      <c r="M973" s="50" t="s">
        <v>34</v>
      </c>
      <c r="N973" s="50" t="s">
        <v>317</v>
      </c>
      <c r="O973" s="64">
        <v>58.83</v>
      </c>
      <c r="P973" s="65">
        <v>12</v>
      </c>
      <c r="Q973" s="64">
        <v>7.06</v>
      </c>
      <c r="R973" s="63">
        <v>0</v>
      </c>
      <c r="S973" s="64">
        <v>0</v>
      </c>
    </row>
    <row r="974" spans="1:19" ht="11.1" customHeight="1" x14ac:dyDescent="0.25">
      <c r="A974" s="57">
        <v>112901</v>
      </c>
      <c r="B974" s="53">
        <v>46122</v>
      </c>
      <c r="C974" s="58">
        <v>46122</v>
      </c>
      <c r="D974" s="59" t="s">
        <v>936</v>
      </c>
      <c r="E974" s="50" t="s">
        <v>313</v>
      </c>
      <c r="F974" s="57">
        <v>36</v>
      </c>
      <c r="G974" s="60">
        <v>781</v>
      </c>
      <c r="H974" s="61" t="s">
        <v>920</v>
      </c>
      <c r="I974" s="50" t="s">
        <v>921</v>
      </c>
      <c r="J974" s="50" t="s">
        <v>922</v>
      </c>
      <c r="K974" s="62">
        <v>6102</v>
      </c>
      <c r="L974" s="57">
        <v>238</v>
      </c>
      <c r="M974" s="50" t="s">
        <v>34</v>
      </c>
      <c r="N974" s="50" t="s">
        <v>317</v>
      </c>
      <c r="O974" s="64">
        <v>633.14</v>
      </c>
      <c r="P974" s="65">
        <v>12</v>
      </c>
      <c r="Q974" s="64">
        <v>75.98</v>
      </c>
      <c r="R974" s="63">
        <v>0</v>
      </c>
      <c r="S974" s="64">
        <v>0</v>
      </c>
    </row>
    <row r="975" spans="1:19" ht="11.1" customHeight="1" x14ac:dyDescent="0.25">
      <c r="A975" s="57">
        <v>112936</v>
      </c>
      <c r="B975" s="53">
        <v>46125</v>
      </c>
      <c r="C975" s="58">
        <v>46125</v>
      </c>
      <c r="D975" s="59" t="s">
        <v>937</v>
      </c>
      <c r="E975" s="50" t="s">
        <v>313</v>
      </c>
      <c r="F975" s="57">
        <v>36</v>
      </c>
      <c r="G975" s="60">
        <v>781</v>
      </c>
      <c r="H975" s="61" t="s">
        <v>920</v>
      </c>
      <c r="I975" s="50" t="s">
        <v>921</v>
      </c>
      <c r="J975" s="50" t="s">
        <v>922</v>
      </c>
      <c r="K975" s="62">
        <v>6403</v>
      </c>
      <c r="L975" s="57">
        <v>207</v>
      </c>
      <c r="M975" s="50" t="s">
        <v>34</v>
      </c>
      <c r="N975" s="50" t="s">
        <v>317</v>
      </c>
      <c r="O975" s="64">
        <v>3249.75</v>
      </c>
      <c r="P975" s="65">
        <v>12</v>
      </c>
      <c r="Q975" s="64">
        <v>389.96</v>
      </c>
      <c r="R975" s="63">
        <v>0</v>
      </c>
      <c r="S975" s="64">
        <v>227.49</v>
      </c>
    </row>
    <row r="976" spans="1:19" ht="11.1" customHeight="1" x14ac:dyDescent="0.25">
      <c r="N976" s="50" t="s">
        <v>318</v>
      </c>
      <c r="O976" s="64">
        <v>3249.75</v>
      </c>
      <c r="P976" s="65">
        <v>19</v>
      </c>
      <c r="Q976" s="64">
        <v>227.49</v>
      </c>
      <c r="R976" s="63">
        <v>0</v>
      </c>
      <c r="S976" s="64">
        <v>0</v>
      </c>
    </row>
    <row r="977" spans="1:19" ht="11.1" customHeight="1" x14ac:dyDescent="0.25">
      <c r="A977" s="57">
        <v>112937</v>
      </c>
      <c r="B977" s="53">
        <v>46125</v>
      </c>
      <c r="C977" s="58">
        <v>46125</v>
      </c>
      <c r="D977" s="59" t="s">
        <v>937</v>
      </c>
      <c r="E977" s="50" t="s">
        <v>313</v>
      </c>
      <c r="F977" s="57">
        <v>36</v>
      </c>
      <c r="G977" s="60">
        <v>781</v>
      </c>
      <c r="H977" s="61" t="s">
        <v>920</v>
      </c>
      <c r="I977" s="50" t="s">
        <v>921</v>
      </c>
      <c r="J977" s="50" t="s">
        <v>922</v>
      </c>
      <c r="K977" s="62">
        <v>6102</v>
      </c>
      <c r="L977" s="57">
        <v>238</v>
      </c>
      <c r="M977" s="50" t="s">
        <v>34</v>
      </c>
      <c r="N977" s="50" t="s">
        <v>317</v>
      </c>
      <c r="O977" s="64">
        <v>1099.2</v>
      </c>
      <c r="P977" s="65">
        <v>12</v>
      </c>
      <c r="Q977" s="64">
        <v>131.91</v>
      </c>
      <c r="R977" s="63">
        <v>0</v>
      </c>
      <c r="S977" s="64">
        <v>0</v>
      </c>
    </row>
    <row r="978" spans="1:19" ht="11.1" customHeight="1" x14ac:dyDescent="0.25">
      <c r="A978" s="57">
        <v>112946</v>
      </c>
      <c r="B978" s="53">
        <v>46125</v>
      </c>
      <c r="C978" s="58">
        <v>46125</v>
      </c>
      <c r="D978" s="59" t="s">
        <v>938</v>
      </c>
      <c r="E978" s="50" t="s">
        <v>313</v>
      </c>
      <c r="F978" s="57">
        <v>36</v>
      </c>
      <c r="G978" s="60">
        <v>781</v>
      </c>
      <c r="H978" s="61" t="s">
        <v>920</v>
      </c>
      <c r="I978" s="50" t="s">
        <v>921</v>
      </c>
      <c r="J978" s="50" t="s">
        <v>922</v>
      </c>
      <c r="K978" s="62">
        <v>6403</v>
      </c>
      <c r="L978" s="57">
        <v>207</v>
      </c>
      <c r="M978" s="50" t="s">
        <v>34</v>
      </c>
      <c r="N978" s="50" t="s">
        <v>317</v>
      </c>
      <c r="O978" s="64">
        <v>2739.28</v>
      </c>
      <c r="P978" s="65">
        <v>12</v>
      </c>
      <c r="Q978" s="64">
        <v>328.7</v>
      </c>
      <c r="R978" s="63">
        <v>0</v>
      </c>
      <c r="S978" s="64">
        <v>191.76</v>
      </c>
    </row>
    <row r="979" spans="1:19" ht="11.1" customHeight="1" x14ac:dyDescent="0.25">
      <c r="N979" s="50" t="s">
        <v>318</v>
      </c>
      <c r="O979" s="64">
        <v>2739.28</v>
      </c>
      <c r="P979" s="65">
        <v>19</v>
      </c>
      <c r="Q979" s="64">
        <v>191.76</v>
      </c>
      <c r="R979" s="63">
        <v>0</v>
      </c>
      <c r="S979" s="64">
        <v>0</v>
      </c>
    </row>
    <row r="980" spans="1:19" ht="11.1" customHeight="1" x14ac:dyDescent="0.25">
      <c r="A980" s="57">
        <v>112957</v>
      </c>
      <c r="B980" s="53">
        <v>46125</v>
      </c>
      <c r="C980" s="58">
        <v>46125</v>
      </c>
      <c r="D980" s="59" t="s">
        <v>939</v>
      </c>
      <c r="E980" s="50" t="s">
        <v>313</v>
      </c>
      <c r="F980" s="57">
        <v>36</v>
      </c>
      <c r="G980" s="60">
        <v>781</v>
      </c>
      <c r="H980" s="61" t="s">
        <v>920</v>
      </c>
      <c r="I980" s="50" t="s">
        <v>921</v>
      </c>
      <c r="J980" s="50" t="s">
        <v>922</v>
      </c>
      <c r="K980" s="62">
        <v>6403</v>
      </c>
      <c r="L980" s="57">
        <v>207</v>
      </c>
      <c r="M980" s="50" t="s">
        <v>34</v>
      </c>
      <c r="N980" s="50" t="s">
        <v>317</v>
      </c>
      <c r="O980" s="64">
        <v>2557.56</v>
      </c>
      <c r="P980" s="65">
        <v>12</v>
      </c>
      <c r="Q980" s="64">
        <v>306.91000000000003</v>
      </c>
      <c r="R980" s="63">
        <v>0</v>
      </c>
      <c r="S980" s="64">
        <v>179.02</v>
      </c>
    </row>
    <row r="981" spans="1:19" ht="11.1" customHeight="1" x14ac:dyDescent="0.25">
      <c r="N981" s="50" t="s">
        <v>318</v>
      </c>
      <c r="O981" s="64">
        <v>2557.56</v>
      </c>
      <c r="P981" s="65">
        <v>19</v>
      </c>
      <c r="Q981" s="64">
        <v>179.02</v>
      </c>
      <c r="R981" s="63">
        <v>0</v>
      </c>
      <c r="S981" s="64">
        <v>0</v>
      </c>
    </row>
    <row r="982" spans="1:19" ht="11.1" customHeight="1" x14ac:dyDescent="0.25">
      <c r="A982" s="57">
        <v>112958</v>
      </c>
      <c r="B982" s="53">
        <v>46125</v>
      </c>
      <c r="C982" s="58">
        <v>46125</v>
      </c>
      <c r="D982" s="59" t="s">
        <v>939</v>
      </c>
      <c r="E982" s="50" t="s">
        <v>313</v>
      </c>
      <c r="F982" s="57">
        <v>36</v>
      </c>
      <c r="G982" s="60">
        <v>781</v>
      </c>
      <c r="H982" s="61" t="s">
        <v>920</v>
      </c>
      <c r="I982" s="50" t="s">
        <v>921</v>
      </c>
      <c r="J982" s="50" t="s">
        <v>922</v>
      </c>
      <c r="K982" s="62">
        <v>6102</v>
      </c>
      <c r="L982" s="57">
        <v>238</v>
      </c>
      <c r="M982" s="50" t="s">
        <v>34</v>
      </c>
      <c r="N982" s="50" t="s">
        <v>317</v>
      </c>
      <c r="O982" s="64">
        <v>3461.66</v>
      </c>
      <c r="P982" s="65">
        <v>12</v>
      </c>
      <c r="Q982" s="64">
        <v>415.41</v>
      </c>
      <c r="R982" s="63">
        <v>0</v>
      </c>
      <c r="S982" s="64">
        <v>0</v>
      </c>
    </row>
    <row r="983" spans="1:19" ht="11.1" customHeight="1" x14ac:dyDescent="0.25">
      <c r="A983" s="57">
        <v>112959</v>
      </c>
      <c r="B983" s="53">
        <v>46125</v>
      </c>
      <c r="C983" s="58">
        <v>46125</v>
      </c>
      <c r="D983" s="59" t="s">
        <v>940</v>
      </c>
      <c r="E983" s="50" t="s">
        <v>313</v>
      </c>
      <c r="F983" s="57">
        <v>36</v>
      </c>
      <c r="G983" s="60">
        <v>781</v>
      </c>
      <c r="H983" s="61" t="s">
        <v>920</v>
      </c>
      <c r="I983" s="50" t="s">
        <v>921</v>
      </c>
      <c r="J983" s="50" t="s">
        <v>922</v>
      </c>
      <c r="K983" s="62">
        <v>6102</v>
      </c>
      <c r="L983" s="57">
        <v>238</v>
      </c>
      <c r="M983" s="50" t="s">
        <v>34</v>
      </c>
      <c r="N983" s="50" t="s">
        <v>317</v>
      </c>
      <c r="O983" s="64">
        <v>432.6</v>
      </c>
      <c r="P983" s="65">
        <v>12</v>
      </c>
      <c r="Q983" s="64">
        <v>51.91</v>
      </c>
      <c r="R983" s="63">
        <v>0</v>
      </c>
      <c r="S983" s="64">
        <v>0</v>
      </c>
    </row>
    <row r="984" spans="1:19" ht="11.1" customHeight="1" x14ac:dyDescent="0.25">
      <c r="A984" s="57">
        <v>113102</v>
      </c>
      <c r="B984" s="53">
        <v>46127</v>
      </c>
      <c r="C984" s="58">
        <v>46127</v>
      </c>
      <c r="D984" s="59" t="s">
        <v>941</v>
      </c>
      <c r="E984" s="50" t="s">
        <v>313</v>
      </c>
      <c r="F984" s="57">
        <v>36</v>
      </c>
      <c r="G984" s="60">
        <v>781</v>
      </c>
      <c r="H984" s="61" t="s">
        <v>920</v>
      </c>
      <c r="I984" s="50" t="s">
        <v>921</v>
      </c>
      <c r="J984" s="50" t="s">
        <v>922</v>
      </c>
      <c r="K984" s="62">
        <v>6403</v>
      </c>
      <c r="L984" s="57">
        <v>207</v>
      </c>
      <c r="M984" s="50" t="s">
        <v>34</v>
      </c>
      <c r="N984" s="50" t="s">
        <v>317</v>
      </c>
      <c r="O984" s="64">
        <v>18210.96</v>
      </c>
      <c r="P984" s="65">
        <v>12</v>
      </c>
      <c r="Q984" s="64">
        <v>2185.3000000000002</v>
      </c>
      <c r="R984" s="63">
        <v>0</v>
      </c>
      <c r="S984" s="64">
        <v>1274.79</v>
      </c>
    </row>
    <row r="985" spans="1:19" ht="11.1" customHeight="1" x14ac:dyDescent="0.25">
      <c r="N985" s="50" t="s">
        <v>318</v>
      </c>
      <c r="O985" s="64">
        <v>18210.96</v>
      </c>
      <c r="P985" s="65">
        <v>19</v>
      </c>
      <c r="Q985" s="64">
        <v>1274.79</v>
      </c>
      <c r="R985" s="63">
        <v>0</v>
      </c>
      <c r="S985" s="64">
        <v>0</v>
      </c>
    </row>
    <row r="986" spans="1:19" ht="11.1" customHeight="1" x14ac:dyDescent="0.25">
      <c r="A986" s="57">
        <v>113103</v>
      </c>
      <c r="B986" s="53">
        <v>46127</v>
      </c>
      <c r="C986" s="58">
        <v>46127</v>
      </c>
      <c r="D986" s="59" t="s">
        <v>941</v>
      </c>
      <c r="E986" s="50" t="s">
        <v>313</v>
      </c>
      <c r="F986" s="57">
        <v>36</v>
      </c>
      <c r="G986" s="60">
        <v>781</v>
      </c>
      <c r="H986" s="61" t="s">
        <v>920</v>
      </c>
      <c r="I986" s="50" t="s">
        <v>921</v>
      </c>
      <c r="J986" s="50" t="s">
        <v>922</v>
      </c>
      <c r="K986" s="62">
        <v>6102</v>
      </c>
      <c r="L986" s="57">
        <v>238</v>
      </c>
      <c r="M986" s="50" t="s">
        <v>34</v>
      </c>
      <c r="N986" s="50" t="s">
        <v>317</v>
      </c>
      <c r="O986" s="64">
        <v>15090.21</v>
      </c>
      <c r="P986" s="65">
        <v>12</v>
      </c>
      <c r="Q986" s="64">
        <v>1810.84</v>
      </c>
      <c r="R986" s="63">
        <v>0</v>
      </c>
      <c r="S986" s="64">
        <v>0</v>
      </c>
    </row>
    <row r="987" spans="1:19" ht="11.1" customHeight="1" x14ac:dyDescent="0.25">
      <c r="A987" s="57">
        <v>113104</v>
      </c>
      <c r="B987" s="53">
        <v>46127</v>
      </c>
      <c r="C987" s="58">
        <v>46127</v>
      </c>
      <c r="D987" s="59" t="s">
        <v>941</v>
      </c>
      <c r="E987" s="50" t="s">
        <v>313</v>
      </c>
      <c r="F987" s="57">
        <v>36</v>
      </c>
      <c r="G987" s="60">
        <v>781</v>
      </c>
      <c r="H987" s="61" t="s">
        <v>920</v>
      </c>
      <c r="I987" s="50" t="s">
        <v>921</v>
      </c>
      <c r="J987" s="50" t="s">
        <v>922</v>
      </c>
      <c r="K987" s="62">
        <v>6404</v>
      </c>
      <c r="L987" s="57">
        <v>710</v>
      </c>
      <c r="M987" s="50" t="s">
        <v>34</v>
      </c>
      <c r="N987" s="50" t="s">
        <v>317</v>
      </c>
      <c r="O987" s="64">
        <v>0</v>
      </c>
      <c r="P987" s="65">
        <v>12</v>
      </c>
      <c r="Q987" s="64">
        <v>0</v>
      </c>
      <c r="R987" s="63">
        <v>0</v>
      </c>
      <c r="S987" s="64">
        <v>189.13</v>
      </c>
    </row>
    <row r="988" spans="1:19" ht="11.1" customHeight="1" x14ac:dyDescent="0.25">
      <c r="N988" s="50" t="s">
        <v>318</v>
      </c>
      <c r="O988" s="64">
        <v>176.76</v>
      </c>
      <c r="P988" s="65">
        <v>19</v>
      </c>
      <c r="Q988" s="64">
        <v>12.37</v>
      </c>
      <c r="R988" s="63">
        <v>0</v>
      </c>
      <c r="S988" s="64">
        <v>0</v>
      </c>
    </row>
    <row r="989" spans="1:19" ht="11.1" customHeight="1" x14ac:dyDescent="0.25">
      <c r="A989" s="57">
        <v>113108</v>
      </c>
      <c r="B989" s="53">
        <v>46128</v>
      </c>
      <c r="C989" s="58">
        <v>46128</v>
      </c>
      <c r="D989" s="59" t="s">
        <v>942</v>
      </c>
      <c r="E989" s="50" t="s">
        <v>313</v>
      </c>
      <c r="F989" s="57">
        <v>36</v>
      </c>
      <c r="G989" s="60">
        <v>781</v>
      </c>
      <c r="H989" s="61" t="s">
        <v>920</v>
      </c>
      <c r="I989" s="50" t="s">
        <v>921</v>
      </c>
      <c r="J989" s="50" t="s">
        <v>922</v>
      </c>
      <c r="K989" s="62">
        <v>6403</v>
      </c>
      <c r="L989" s="57">
        <v>207</v>
      </c>
      <c r="M989" s="50" t="s">
        <v>34</v>
      </c>
      <c r="N989" s="50" t="s">
        <v>317</v>
      </c>
      <c r="O989" s="64">
        <v>491.16</v>
      </c>
      <c r="P989" s="65">
        <v>12</v>
      </c>
      <c r="Q989" s="64">
        <v>58.94</v>
      </c>
      <c r="R989" s="63">
        <v>0</v>
      </c>
      <c r="S989" s="64">
        <v>34.380000000000003</v>
      </c>
    </row>
    <row r="990" spans="1:19" ht="11.1" customHeight="1" x14ac:dyDescent="0.25">
      <c r="N990" s="50" t="s">
        <v>318</v>
      </c>
      <c r="O990" s="64">
        <v>491.16</v>
      </c>
      <c r="P990" s="65">
        <v>19</v>
      </c>
      <c r="Q990" s="64">
        <v>34.380000000000003</v>
      </c>
      <c r="R990" s="63">
        <v>0</v>
      </c>
      <c r="S990" s="64">
        <v>0</v>
      </c>
    </row>
    <row r="991" spans="1:19" ht="11.1" customHeight="1" x14ac:dyDescent="0.25">
      <c r="A991" s="57">
        <v>113126</v>
      </c>
      <c r="B991" s="53">
        <v>46128</v>
      </c>
      <c r="C991" s="58">
        <v>46128</v>
      </c>
      <c r="D991" s="59" t="s">
        <v>943</v>
      </c>
      <c r="E991" s="50" t="s">
        <v>313</v>
      </c>
      <c r="F991" s="57">
        <v>36</v>
      </c>
      <c r="G991" s="60">
        <v>781</v>
      </c>
      <c r="H991" s="61" t="s">
        <v>920</v>
      </c>
      <c r="I991" s="50" t="s">
        <v>921</v>
      </c>
      <c r="J991" s="50" t="s">
        <v>922</v>
      </c>
      <c r="K991" s="62">
        <v>6102</v>
      </c>
      <c r="L991" s="57">
        <v>238</v>
      </c>
      <c r="M991" s="50" t="s">
        <v>34</v>
      </c>
      <c r="N991" s="50" t="s">
        <v>317</v>
      </c>
      <c r="O991" s="64">
        <v>404.51</v>
      </c>
      <c r="P991" s="65">
        <v>12</v>
      </c>
      <c r="Q991" s="64">
        <v>48.55</v>
      </c>
      <c r="R991" s="63">
        <v>0</v>
      </c>
      <c r="S991" s="64">
        <v>0</v>
      </c>
    </row>
    <row r="992" spans="1:19" ht="11.1" customHeight="1" x14ac:dyDescent="0.25">
      <c r="A992" s="57">
        <v>113181</v>
      </c>
      <c r="B992" s="53">
        <v>46129</v>
      </c>
      <c r="C992" s="58">
        <v>46129</v>
      </c>
      <c r="D992" s="59" t="s">
        <v>944</v>
      </c>
      <c r="E992" s="50" t="s">
        <v>313</v>
      </c>
      <c r="F992" s="57">
        <v>36</v>
      </c>
      <c r="G992" s="60">
        <v>781</v>
      </c>
      <c r="H992" s="61" t="s">
        <v>920</v>
      </c>
      <c r="I992" s="50" t="s">
        <v>921</v>
      </c>
      <c r="J992" s="50" t="s">
        <v>922</v>
      </c>
      <c r="K992" s="62">
        <v>6102</v>
      </c>
      <c r="L992" s="57">
        <v>238</v>
      </c>
      <c r="M992" s="50" t="s">
        <v>34</v>
      </c>
      <c r="N992" s="50" t="s">
        <v>317</v>
      </c>
      <c r="O992" s="64">
        <v>419.4</v>
      </c>
      <c r="P992" s="65">
        <v>12</v>
      </c>
      <c r="Q992" s="64">
        <v>50.33</v>
      </c>
      <c r="R992" s="63">
        <v>0</v>
      </c>
      <c r="S992" s="64">
        <v>0</v>
      </c>
    </row>
    <row r="993" spans="1:19" ht="11.1" customHeight="1" x14ac:dyDescent="0.25">
      <c r="A993" s="57">
        <v>113268</v>
      </c>
      <c r="B993" s="53">
        <v>46134</v>
      </c>
      <c r="C993" s="58">
        <v>46134</v>
      </c>
      <c r="D993" s="59" t="s">
        <v>945</v>
      </c>
      <c r="E993" s="50" t="s">
        <v>313</v>
      </c>
      <c r="F993" s="57">
        <v>36</v>
      </c>
      <c r="G993" s="60">
        <v>781</v>
      </c>
      <c r="H993" s="61" t="s">
        <v>920</v>
      </c>
      <c r="I993" s="50" t="s">
        <v>921</v>
      </c>
      <c r="J993" s="50" t="s">
        <v>922</v>
      </c>
      <c r="K993" s="62">
        <v>6403</v>
      </c>
      <c r="L993" s="57">
        <v>207</v>
      </c>
      <c r="M993" s="50" t="s">
        <v>34</v>
      </c>
      <c r="N993" s="50" t="s">
        <v>317</v>
      </c>
      <c r="O993" s="64">
        <v>35.85</v>
      </c>
      <c r="P993" s="65">
        <v>12</v>
      </c>
      <c r="Q993" s="64">
        <v>4.3</v>
      </c>
      <c r="R993" s="63">
        <v>0</v>
      </c>
      <c r="S993" s="64">
        <v>2.5099999999999998</v>
      </c>
    </row>
    <row r="994" spans="1:19" ht="11.1" customHeight="1" x14ac:dyDescent="0.25">
      <c r="N994" s="50" t="s">
        <v>318</v>
      </c>
      <c r="O994" s="64">
        <v>35.85</v>
      </c>
      <c r="P994" s="65">
        <v>19</v>
      </c>
      <c r="Q994" s="64">
        <v>2.5099999999999998</v>
      </c>
      <c r="R994" s="63">
        <v>0</v>
      </c>
      <c r="S994" s="64">
        <v>0</v>
      </c>
    </row>
    <row r="995" spans="1:19" ht="11.1" customHeight="1" x14ac:dyDescent="0.25">
      <c r="A995" s="57">
        <v>113301</v>
      </c>
      <c r="B995" s="53">
        <v>46134</v>
      </c>
      <c r="C995" s="58">
        <v>46134</v>
      </c>
      <c r="D995" s="59" t="s">
        <v>946</v>
      </c>
      <c r="E995" s="50" t="s">
        <v>313</v>
      </c>
      <c r="F995" s="57">
        <v>36</v>
      </c>
      <c r="G995" s="60">
        <v>781</v>
      </c>
      <c r="H995" s="61" t="s">
        <v>920</v>
      </c>
      <c r="I995" s="50" t="s">
        <v>921</v>
      </c>
      <c r="J995" s="50" t="s">
        <v>922</v>
      </c>
      <c r="K995" s="62">
        <v>6403</v>
      </c>
      <c r="L995" s="57">
        <v>207</v>
      </c>
      <c r="M995" s="50" t="s">
        <v>34</v>
      </c>
      <c r="N995" s="50" t="s">
        <v>317</v>
      </c>
      <c r="O995" s="64">
        <v>12474.6</v>
      </c>
      <c r="P995" s="65">
        <v>12</v>
      </c>
      <c r="Q995" s="64">
        <v>1496.96</v>
      </c>
      <c r="R995" s="63">
        <v>0</v>
      </c>
      <c r="S995" s="64">
        <v>873.23</v>
      </c>
    </row>
    <row r="996" spans="1:19" ht="11.1" customHeight="1" x14ac:dyDescent="0.25">
      <c r="N996" s="50" t="s">
        <v>318</v>
      </c>
      <c r="O996" s="64">
        <v>12474.6</v>
      </c>
      <c r="P996" s="65">
        <v>19</v>
      </c>
      <c r="Q996" s="64">
        <v>873.23</v>
      </c>
      <c r="R996" s="63">
        <v>0</v>
      </c>
      <c r="S996" s="64">
        <v>0</v>
      </c>
    </row>
    <row r="997" spans="1:19" ht="11.1" customHeight="1" x14ac:dyDescent="0.25">
      <c r="A997" s="57">
        <v>113302</v>
      </c>
      <c r="B997" s="53">
        <v>46134</v>
      </c>
      <c r="C997" s="58">
        <v>46134</v>
      </c>
      <c r="D997" s="59" t="s">
        <v>946</v>
      </c>
      <c r="E997" s="50" t="s">
        <v>313</v>
      </c>
      <c r="F997" s="57">
        <v>36</v>
      </c>
      <c r="G997" s="60">
        <v>781</v>
      </c>
      <c r="H997" s="61" t="s">
        <v>920</v>
      </c>
      <c r="I997" s="50" t="s">
        <v>921</v>
      </c>
      <c r="J997" s="50" t="s">
        <v>922</v>
      </c>
      <c r="K997" s="62">
        <v>6102</v>
      </c>
      <c r="L997" s="57">
        <v>238</v>
      </c>
      <c r="M997" s="50" t="s">
        <v>34</v>
      </c>
      <c r="N997" s="50" t="s">
        <v>317</v>
      </c>
      <c r="O997" s="64">
        <v>17788.68</v>
      </c>
      <c r="P997" s="65">
        <v>12</v>
      </c>
      <c r="Q997" s="64">
        <v>2134.64</v>
      </c>
      <c r="R997" s="63">
        <v>0</v>
      </c>
      <c r="S997" s="64">
        <v>0</v>
      </c>
    </row>
    <row r="998" spans="1:19" ht="11.1" customHeight="1" x14ac:dyDescent="0.25">
      <c r="A998" s="57">
        <v>113305</v>
      </c>
      <c r="B998" s="53">
        <v>46134</v>
      </c>
      <c r="C998" s="58">
        <v>46134</v>
      </c>
      <c r="D998" s="59" t="s">
        <v>947</v>
      </c>
      <c r="E998" s="50" t="s">
        <v>313</v>
      </c>
      <c r="F998" s="57">
        <v>36</v>
      </c>
      <c r="G998" s="60">
        <v>781</v>
      </c>
      <c r="H998" s="61" t="s">
        <v>920</v>
      </c>
      <c r="I998" s="50" t="s">
        <v>921</v>
      </c>
      <c r="J998" s="50" t="s">
        <v>922</v>
      </c>
      <c r="K998" s="62">
        <v>6403</v>
      </c>
      <c r="L998" s="57">
        <v>207</v>
      </c>
      <c r="M998" s="50" t="s">
        <v>34</v>
      </c>
      <c r="N998" s="50" t="s">
        <v>317</v>
      </c>
      <c r="O998" s="64">
        <v>140.36000000000001</v>
      </c>
      <c r="P998" s="65">
        <v>12</v>
      </c>
      <c r="Q998" s="64">
        <v>16.84</v>
      </c>
      <c r="R998" s="63">
        <v>0</v>
      </c>
      <c r="S998" s="64">
        <v>9.83</v>
      </c>
    </row>
    <row r="999" spans="1:19" ht="11.1" customHeight="1" x14ac:dyDescent="0.25">
      <c r="N999" s="50" t="s">
        <v>318</v>
      </c>
      <c r="O999" s="64">
        <v>140.36000000000001</v>
      </c>
      <c r="P999" s="65">
        <v>19</v>
      </c>
      <c r="Q999" s="64">
        <v>9.83</v>
      </c>
      <c r="R999" s="63">
        <v>0</v>
      </c>
      <c r="S999" s="64">
        <v>0</v>
      </c>
    </row>
    <row r="1000" spans="1:19" ht="11.1" customHeight="1" x14ac:dyDescent="0.25">
      <c r="A1000" s="57">
        <v>113306</v>
      </c>
      <c r="B1000" s="53">
        <v>46134</v>
      </c>
      <c r="C1000" s="58">
        <v>46134</v>
      </c>
      <c r="D1000" s="59" t="s">
        <v>947</v>
      </c>
      <c r="E1000" s="50" t="s">
        <v>313</v>
      </c>
      <c r="F1000" s="57">
        <v>36</v>
      </c>
      <c r="G1000" s="60">
        <v>781</v>
      </c>
      <c r="H1000" s="61" t="s">
        <v>920</v>
      </c>
      <c r="I1000" s="50" t="s">
        <v>921</v>
      </c>
      <c r="J1000" s="50" t="s">
        <v>922</v>
      </c>
      <c r="K1000" s="62">
        <v>6102</v>
      </c>
      <c r="L1000" s="57">
        <v>238</v>
      </c>
      <c r="M1000" s="50" t="s">
        <v>34</v>
      </c>
      <c r="N1000" s="50" t="s">
        <v>317</v>
      </c>
      <c r="O1000" s="64">
        <v>5141.16</v>
      </c>
      <c r="P1000" s="65">
        <v>12</v>
      </c>
      <c r="Q1000" s="64">
        <v>616.92999999999995</v>
      </c>
      <c r="R1000" s="63">
        <v>0</v>
      </c>
      <c r="S1000" s="64">
        <v>0</v>
      </c>
    </row>
    <row r="1001" spans="1:19" ht="11.1" customHeight="1" x14ac:dyDescent="0.25">
      <c r="A1001" s="57">
        <v>113315</v>
      </c>
      <c r="B1001" s="53">
        <v>46135</v>
      </c>
      <c r="C1001" s="58">
        <v>46135</v>
      </c>
      <c r="D1001" s="59" t="s">
        <v>948</v>
      </c>
      <c r="E1001" s="50" t="s">
        <v>313</v>
      </c>
      <c r="F1001" s="57">
        <v>36</v>
      </c>
      <c r="G1001" s="60">
        <v>781</v>
      </c>
      <c r="H1001" s="61" t="s">
        <v>920</v>
      </c>
      <c r="I1001" s="50" t="s">
        <v>921</v>
      </c>
      <c r="J1001" s="50" t="s">
        <v>922</v>
      </c>
      <c r="K1001" s="62">
        <v>6403</v>
      </c>
      <c r="L1001" s="57">
        <v>207</v>
      </c>
      <c r="M1001" s="50" t="s">
        <v>34</v>
      </c>
      <c r="N1001" s="50" t="s">
        <v>317</v>
      </c>
      <c r="O1001" s="64">
        <v>134.83000000000001</v>
      </c>
      <c r="P1001" s="65">
        <v>12</v>
      </c>
      <c r="Q1001" s="64">
        <v>16.170000000000002</v>
      </c>
      <c r="R1001" s="63">
        <v>0</v>
      </c>
      <c r="S1001" s="64">
        <v>9.4499999999999993</v>
      </c>
    </row>
    <row r="1002" spans="1:19" ht="11.1" customHeight="1" x14ac:dyDescent="0.25">
      <c r="N1002" s="50" t="s">
        <v>318</v>
      </c>
      <c r="O1002" s="64">
        <v>134.83000000000001</v>
      </c>
      <c r="P1002" s="65">
        <v>19</v>
      </c>
      <c r="Q1002" s="64">
        <v>9.4499999999999993</v>
      </c>
      <c r="R1002" s="63">
        <v>0</v>
      </c>
      <c r="S1002" s="64">
        <v>0</v>
      </c>
    </row>
    <row r="1003" spans="1:19" ht="11.1" customHeight="1" x14ac:dyDescent="0.25">
      <c r="A1003" s="57">
        <v>113368</v>
      </c>
      <c r="B1003" s="53">
        <v>46135</v>
      </c>
      <c r="C1003" s="58">
        <v>46135</v>
      </c>
      <c r="D1003" s="59" t="s">
        <v>949</v>
      </c>
      <c r="E1003" s="50" t="s">
        <v>313</v>
      </c>
      <c r="F1003" s="57">
        <v>36</v>
      </c>
      <c r="G1003" s="60">
        <v>781</v>
      </c>
      <c r="H1003" s="61" t="s">
        <v>920</v>
      </c>
      <c r="I1003" s="50" t="s">
        <v>921</v>
      </c>
      <c r="J1003" s="50" t="s">
        <v>922</v>
      </c>
      <c r="K1003" s="62">
        <v>6403</v>
      </c>
      <c r="L1003" s="57">
        <v>207</v>
      </c>
      <c r="M1003" s="50" t="s">
        <v>34</v>
      </c>
      <c r="N1003" s="50" t="s">
        <v>317</v>
      </c>
      <c r="O1003" s="64">
        <v>901.19</v>
      </c>
      <c r="P1003" s="65">
        <v>12</v>
      </c>
      <c r="Q1003" s="64">
        <v>108.14</v>
      </c>
      <c r="R1003" s="63">
        <v>0</v>
      </c>
      <c r="S1003" s="64">
        <v>63.09</v>
      </c>
    </row>
    <row r="1004" spans="1:19" ht="11.1" customHeight="1" x14ac:dyDescent="0.25">
      <c r="N1004" s="50" t="s">
        <v>318</v>
      </c>
      <c r="O1004" s="64">
        <v>901.19</v>
      </c>
      <c r="P1004" s="65">
        <v>19</v>
      </c>
      <c r="Q1004" s="64">
        <v>63.09</v>
      </c>
      <c r="R1004" s="63">
        <v>0</v>
      </c>
      <c r="S1004" s="64">
        <v>0</v>
      </c>
    </row>
    <row r="1005" spans="1:19" ht="11.1" customHeight="1" x14ac:dyDescent="0.25">
      <c r="A1005" s="57">
        <v>113386</v>
      </c>
      <c r="B1005" s="53">
        <v>46136</v>
      </c>
      <c r="C1005" s="58">
        <v>46136</v>
      </c>
      <c r="D1005" s="59" t="s">
        <v>950</v>
      </c>
      <c r="E1005" s="50" t="s">
        <v>313</v>
      </c>
      <c r="F1005" s="57">
        <v>36</v>
      </c>
      <c r="G1005" s="60">
        <v>781</v>
      </c>
      <c r="H1005" s="61" t="s">
        <v>920</v>
      </c>
      <c r="I1005" s="50" t="s">
        <v>921</v>
      </c>
      <c r="J1005" s="50" t="s">
        <v>922</v>
      </c>
      <c r="K1005" s="62">
        <v>6403</v>
      </c>
      <c r="L1005" s="57">
        <v>207</v>
      </c>
      <c r="M1005" s="50" t="s">
        <v>34</v>
      </c>
      <c r="N1005" s="50" t="s">
        <v>317</v>
      </c>
      <c r="O1005" s="64">
        <v>3467.99</v>
      </c>
      <c r="P1005" s="65">
        <v>12</v>
      </c>
      <c r="Q1005" s="64">
        <v>416.16</v>
      </c>
      <c r="R1005" s="63">
        <v>0</v>
      </c>
      <c r="S1005" s="64">
        <v>242.77</v>
      </c>
    </row>
    <row r="1006" spans="1:19" ht="11.1" customHeight="1" x14ac:dyDescent="0.25">
      <c r="N1006" s="50" t="s">
        <v>318</v>
      </c>
      <c r="O1006" s="64">
        <v>3467.99</v>
      </c>
      <c r="P1006" s="65">
        <v>19</v>
      </c>
      <c r="Q1006" s="64">
        <v>242.77</v>
      </c>
      <c r="R1006" s="63">
        <v>0</v>
      </c>
      <c r="S1006" s="64">
        <v>0</v>
      </c>
    </row>
    <row r="1007" spans="1:19" ht="11.1" customHeight="1" x14ac:dyDescent="0.25">
      <c r="A1007" s="57">
        <v>113387</v>
      </c>
      <c r="B1007" s="53">
        <v>46136</v>
      </c>
      <c r="C1007" s="58">
        <v>46136</v>
      </c>
      <c r="D1007" s="59" t="s">
        <v>950</v>
      </c>
      <c r="E1007" s="50" t="s">
        <v>313</v>
      </c>
      <c r="F1007" s="57">
        <v>36</v>
      </c>
      <c r="G1007" s="60">
        <v>781</v>
      </c>
      <c r="H1007" s="61" t="s">
        <v>920</v>
      </c>
      <c r="I1007" s="50" t="s">
        <v>921</v>
      </c>
      <c r="J1007" s="50" t="s">
        <v>922</v>
      </c>
      <c r="K1007" s="62">
        <v>6102</v>
      </c>
      <c r="L1007" s="57">
        <v>238</v>
      </c>
      <c r="M1007" s="50" t="s">
        <v>34</v>
      </c>
      <c r="N1007" s="50" t="s">
        <v>317</v>
      </c>
      <c r="O1007" s="64">
        <v>1359.56</v>
      </c>
      <c r="P1007" s="65">
        <v>12</v>
      </c>
      <c r="Q1007" s="64">
        <v>163.16</v>
      </c>
      <c r="R1007" s="63">
        <v>0</v>
      </c>
      <c r="S1007" s="64">
        <v>0</v>
      </c>
    </row>
    <row r="1008" spans="1:19" ht="11.1" customHeight="1" x14ac:dyDescent="0.25">
      <c r="A1008" s="57">
        <v>113389</v>
      </c>
      <c r="B1008" s="53">
        <v>46136</v>
      </c>
      <c r="C1008" s="58">
        <v>46136</v>
      </c>
      <c r="D1008" s="59" t="s">
        <v>951</v>
      </c>
      <c r="E1008" s="50" t="s">
        <v>313</v>
      </c>
      <c r="F1008" s="57">
        <v>36</v>
      </c>
      <c r="G1008" s="60">
        <v>781</v>
      </c>
      <c r="H1008" s="61" t="s">
        <v>920</v>
      </c>
      <c r="I1008" s="50" t="s">
        <v>921</v>
      </c>
      <c r="J1008" s="50" t="s">
        <v>922</v>
      </c>
      <c r="K1008" s="62">
        <v>6403</v>
      </c>
      <c r="L1008" s="57">
        <v>207</v>
      </c>
      <c r="M1008" s="50" t="s">
        <v>34</v>
      </c>
      <c r="N1008" s="50" t="s">
        <v>317</v>
      </c>
      <c r="O1008" s="64">
        <v>255.05</v>
      </c>
      <c r="P1008" s="65">
        <v>12</v>
      </c>
      <c r="Q1008" s="64">
        <v>30.61</v>
      </c>
      <c r="R1008" s="63">
        <v>0</v>
      </c>
      <c r="S1008" s="64">
        <v>17.850000000000001</v>
      </c>
    </row>
    <row r="1009" spans="1:19" ht="11.1" customHeight="1" x14ac:dyDescent="0.25">
      <c r="N1009" s="50" t="s">
        <v>318</v>
      </c>
      <c r="O1009" s="64">
        <v>255.05</v>
      </c>
      <c r="P1009" s="65">
        <v>19</v>
      </c>
      <c r="Q1009" s="64">
        <v>17.850000000000001</v>
      </c>
      <c r="R1009" s="63">
        <v>0</v>
      </c>
      <c r="S1009" s="64">
        <v>0</v>
      </c>
    </row>
    <row r="1010" spans="1:19" ht="11.1" customHeight="1" x14ac:dyDescent="0.25">
      <c r="A1010" s="57">
        <v>113392</v>
      </c>
      <c r="B1010" s="53">
        <v>46136</v>
      </c>
      <c r="C1010" s="58">
        <v>46136</v>
      </c>
      <c r="D1010" s="59" t="s">
        <v>952</v>
      </c>
      <c r="E1010" s="50" t="s">
        <v>313</v>
      </c>
      <c r="F1010" s="57">
        <v>36</v>
      </c>
      <c r="G1010" s="60">
        <v>781</v>
      </c>
      <c r="H1010" s="61" t="s">
        <v>920</v>
      </c>
      <c r="I1010" s="50" t="s">
        <v>921</v>
      </c>
      <c r="J1010" s="50" t="s">
        <v>922</v>
      </c>
      <c r="K1010" s="62">
        <v>6403</v>
      </c>
      <c r="L1010" s="57">
        <v>207</v>
      </c>
      <c r="M1010" s="50" t="s">
        <v>34</v>
      </c>
      <c r="N1010" s="50" t="s">
        <v>317</v>
      </c>
      <c r="O1010" s="64">
        <v>946.42</v>
      </c>
      <c r="P1010" s="65">
        <v>12</v>
      </c>
      <c r="Q1010" s="64">
        <v>113.57</v>
      </c>
      <c r="R1010" s="63">
        <v>0</v>
      </c>
      <c r="S1010" s="64">
        <v>66.25</v>
      </c>
    </row>
    <row r="1011" spans="1:19" ht="11.1" customHeight="1" x14ac:dyDescent="0.25">
      <c r="N1011" s="50" t="s">
        <v>318</v>
      </c>
      <c r="O1011" s="64">
        <v>946.42</v>
      </c>
      <c r="P1011" s="65">
        <v>19</v>
      </c>
      <c r="Q1011" s="64">
        <v>66.25</v>
      </c>
      <c r="R1011" s="63">
        <v>0</v>
      </c>
      <c r="S1011" s="64">
        <v>0</v>
      </c>
    </row>
    <row r="1012" spans="1:19" ht="11.1" customHeight="1" x14ac:dyDescent="0.25">
      <c r="A1012" s="57">
        <v>113393</v>
      </c>
      <c r="B1012" s="53">
        <v>46136</v>
      </c>
      <c r="C1012" s="58">
        <v>46136</v>
      </c>
      <c r="D1012" s="59" t="s">
        <v>952</v>
      </c>
      <c r="E1012" s="50" t="s">
        <v>313</v>
      </c>
      <c r="F1012" s="57">
        <v>36</v>
      </c>
      <c r="G1012" s="60">
        <v>781</v>
      </c>
      <c r="H1012" s="61" t="s">
        <v>920</v>
      </c>
      <c r="I1012" s="50" t="s">
        <v>921</v>
      </c>
      <c r="J1012" s="50" t="s">
        <v>922</v>
      </c>
      <c r="K1012" s="62">
        <v>6102</v>
      </c>
      <c r="L1012" s="57">
        <v>238</v>
      </c>
      <c r="M1012" s="50" t="s">
        <v>34</v>
      </c>
      <c r="N1012" s="50" t="s">
        <v>317</v>
      </c>
      <c r="O1012" s="64">
        <v>273.24</v>
      </c>
      <c r="P1012" s="65">
        <v>12</v>
      </c>
      <c r="Q1012" s="64">
        <v>32.79</v>
      </c>
      <c r="R1012" s="63">
        <v>0</v>
      </c>
      <c r="S1012" s="64">
        <v>0</v>
      </c>
    </row>
    <row r="1013" spans="1:19" ht="11.1" customHeight="1" x14ac:dyDescent="0.25">
      <c r="A1013" s="57">
        <v>113520</v>
      </c>
      <c r="B1013" s="53">
        <v>46140</v>
      </c>
      <c r="C1013" s="58">
        <v>46140</v>
      </c>
      <c r="D1013" s="59" t="s">
        <v>953</v>
      </c>
      <c r="E1013" s="50" t="s">
        <v>313</v>
      </c>
      <c r="F1013" s="57">
        <v>36</v>
      </c>
      <c r="G1013" s="60">
        <v>781</v>
      </c>
      <c r="H1013" s="61" t="s">
        <v>920</v>
      </c>
      <c r="I1013" s="50" t="s">
        <v>921</v>
      </c>
      <c r="J1013" s="50" t="s">
        <v>922</v>
      </c>
      <c r="K1013" s="62">
        <v>6403</v>
      </c>
      <c r="L1013" s="57">
        <v>207</v>
      </c>
      <c r="M1013" s="50" t="s">
        <v>34</v>
      </c>
      <c r="N1013" s="50" t="s">
        <v>317</v>
      </c>
      <c r="O1013" s="64">
        <v>5292.65</v>
      </c>
      <c r="P1013" s="65">
        <v>12</v>
      </c>
      <c r="Q1013" s="64">
        <v>635.1</v>
      </c>
      <c r="R1013" s="63">
        <v>0</v>
      </c>
      <c r="S1013" s="64">
        <v>370.51</v>
      </c>
    </row>
    <row r="1014" spans="1:19" ht="11.1" customHeight="1" x14ac:dyDescent="0.25">
      <c r="N1014" s="50" t="s">
        <v>318</v>
      </c>
      <c r="O1014" s="64">
        <v>5292.65</v>
      </c>
      <c r="P1014" s="65">
        <v>19</v>
      </c>
      <c r="Q1014" s="64">
        <v>370.51</v>
      </c>
      <c r="R1014" s="63">
        <v>0</v>
      </c>
      <c r="S1014" s="64">
        <v>0</v>
      </c>
    </row>
    <row r="1015" spans="1:19" ht="11.1" customHeight="1" x14ac:dyDescent="0.25">
      <c r="A1015" s="57">
        <v>113521</v>
      </c>
      <c r="B1015" s="53">
        <v>46140</v>
      </c>
      <c r="C1015" s="58">
        <v>46140</v>
      </c>
      <c r="D1015" s="59" t="s">
        <v>953</v>
      </c>
      <c r="E1015" s="50" t="s">
        <v>313</v>
      </c>
      <c r="F1015" s="57">
        <v>36</v>
      </c>
      <c r="G1015" s="60">
        <v>781</v>
      </c>
      <c r="H1015" s="61" t="s">
        <v>920</v>
      </c>
      <c r="I1015" s="50" t="s">
        <v>921</v>
      </c>
      <c r="J1015" s="50" t="s">
        <v>922</v>
      </c>
      <c r="K1015" s="62">
        <v>6102</v>
      </c>
      <c r="L1015" s="57">
        <v>238</v>
      </c>
      <c r="M1015" s="50" t="s">
        <v>34</v>
      </c>
      <c r="N1015" s="50" t="s">
        <v>317</v>
      </c>
      <c r="O1015" s="64">
        <v>985.02</v>
      </c>
      <c r="P1015" s="65">
        <v>12</v>
      </c>
      <c r="Q1015" s="64">
        <v>118.2</v>
      </c>
      <c r="R1015" s="63">
        <v>0</v>
      </c>
      <c r="S1015" s="64">
        <v>0</v>
      </c>
    </row>
    <row r="1016" spans="1:19" ht="11.1" customHeight="1" x14ac:dyDescent="0.25">
      <c r="A1016" s="57">
        <v>113606</v>
      </c>
      <c r="B1016" s="53">
        <v>46141</v>
      </c>
      <c r="C1016" s="58">
        <v>46141</v>
      </c>
      <c r="D1016" s="59" t="s">
        <v>954</v>
      </c>
      <c r="E1016" s="50" t="s">
        <v>313</v>
      </c>
      <c r="F1016" s="57">
        <v>36</v>
      </c>
      <c r="G1016" s="60">
        <v>781</v>
      </c>
      <c r="H1016" s="61" t="s">
        <v>920</v>
      </c>
      <c r="I1016" s="50" t="s">
        <v>921</v>
      </c>
      <c r="J1016" s="50" t="s">
        <v>922</v>
      </c>
      <c r="K1016" s="62">
        <v>6403</v>
      </c>
      <c r="L1016" s="57">
        <v>207</v>
      </c>
      <c r="M1016" s="50" t="s">
        <v>34</v>
      </c>
      <c r="N1016" s="50" t="s">
        <v>317</v>
      </c>
      <c r="O1016" s="64">
        <v>26504.76</v>
      </c>
      <c r="P1016" s="65">
        <v>12</v>
      </c>
      <c r="Q1016" s="64">
        <v>3180.58</v>
      </c>
      <c r="R1016" s="63">
        <v>0</v>
      </c>
      <c r="S1016" s="64">
        <v>1855.35</v>
      </c>
    </row>
    <row r="1017" spans="1:19" ht="11.1" customHeight="1" x14ac:dyDescent="0.25">
      <c r="N1017" s="50" t="s">
        <v>318</v>
      </c>
      <c r="O1017" s="64">
        <v>26504.76</v>
      </c>
      <c r="P1017" s="65">
        <v>19</v>
      </c>
      <c r="Q1017" s="64">
        <v>1855.35</v>
      </c>
      <c r="R1017" s="63">
        <v>0</v>
      </c>
      <c r="S1017" s="64">
        <v>0</v>
      </c>
    </row>
    <row r="1018" spans="1:19" ht="11.1" customHeight="1" x14ac:dyDescent="0.25">
      <c r="A1018" s="57">
        <v>113607</v>
      </c>
      <c r="B1018" s="53">
        <v>46141</v>
      </c>
      <c r="C1018" s="58">
        <v>46141</v>
      </c>
      <c r="D1018" s="59" t="s">
        <v>954</v>
      </c>
      <c r="E1018" s="50" t="s">
        <v>313</v>
      </c>
      <c r="F1018" s="57">
        <v>36</v>
      </c>
      <c r="G1018" s="60">
        <v>781</v>
      </c>
      <c r="H1018" s="61" t="s">
        <v>920</v>
      </c>
      <c r="I1018" s="50" t="s">
        <v>921</v>
      </c>
      <c r="J1018" s="50" t="s">
        <v>922</v>
      </c>
      <c r="K1018" s="62">
        <v>6102</v>
      </c>
      <c r="L1018" s="57">
        <v>238</v>
      </c>
      <c r="M1018" s="50" t="s">
        <v>34</v>
      </c>
      <c r="N1018" s="50" t="s">
        <v>317</v>
      </c>
      <c r="O1018" s="64">
        <v>20035.16</v>
      </c>
      <c r="P1018" s="65">
        <v>12</v>
      </c>
      <c r="Q1018" s="64">
        <v>2404.23</v>
      </c>
      <c r="R1018" s="63">
        <v>0</v>
      </c>
      <c r="S1018" s="64">
        <v>0</v>
      </c>
    </row>
    <row r="1019" spans="1:19" ht="11.1" customHeight="1" x14ac:dyDescent="0.25">
      <c r="A1019" s="57">
        <v>113608</v>
      </c>
      <c r="B1019" s="53">
        <v>46141</v>
      </c>
      <c r="C1019" s="58">
        <v>46141</v>
      </c>
      <c r="D1019" s="59" t="s">
        <v>954</v>
      </c>
      <c r="E1019" s="50" t="s">
        <v>313</v>
      </c>
      <c r="F1019" s="57">
        <v>36</v>
      </c>
      <c r="G1019" s="60">
        <v>781</v>
      </c>
      <c r="H1019" s="61" t="s">
        <v>920</v>
      </c>
      <c r="I1019" s="50" t="s">
        <v>921</v>
      </c>
      <c r="J1019" s="50" t="s">
        <v>922</v>
      </c>
      <c r="K1019" s="62">
        <v>6404</v>
      </c>
      <c r="L1019" s="57">
        <v>710</v>
      </c>
      <c r="M1019" s="50" t="s">
        <v>34</v>
      </c>
      <c r="N1019" s="50" t="s">
        <v>317</v>
      </c>
      <c r="O1019" s="64">
        <v>0</v>
      </c>
      <c r="P1019" s="65">
        <v>12</v>
      </c>
      <c r="Q1019" s="64">
        <v>0</v>
      </c>
      <c r="R1019" s="63">
        <v>0</v>
      </c>
      <c r="S1019" s="64">
        <v>389.05</v>
      </c>
    </row>
    <row r="1020" spans="1:19" ht="11.1" customHeight="1" x14ac:dyDescent="0.25">
      <c r="N1020" s="50" t="s">
        <v>318</v>
      </c>
      <c r="O1020" s="64">
        <v>363.6</v>
      </c>
      <c r="P1020" s="65">
        <v>19</v>
      </c>
      <c r="Q1020" s="64">
        <v>25.45</v>
      </c>
      <c r="R1020" s="63">
        <v>0</v>
      </c>
      <c r="S1020" s="64">
        <v>0</v>
      </c>
    </row>
    <row r="1021" spans="1:19" ht="11.1" customHeight="1" x14ac:dyDescent="0.25">
      <c r="A1021" s="57">
        <v>113626</v>
      </c>
      <c r="B1021" s="53">
        <v>46142</v>
      </c>
      <c r="C1021" s="58">
        <v>46142</v>
      </c>
      <c r="D1021" s="59" t="s">
        <v>955</v>
      </c>
      <c r="E1021" s="50" t="s">
        <v>313</v>
      </c>
      <c r="F1021" s="57">
        <v>36</v>
      </c>
      <c r="G1021" s="60">
        <v>781</v>
      </c>
      <c r="H1021" s="61" t="s">
        <v>920</v>
      </c>
      <c r="I1021" s="50" t="s">
        <v>921</v>
      </c>
      <c r="J1021" s="50" t="s">
        <v>922</v>
      </c>
      <c r="K1021" s="62">
        <v>6403</v>
      </c>
      <c r="L1021" s="57">
        <v>207</v>
      </c>
      <c r="M1021" s="50" t="s">
        <v>34</v>
      </c>
      <c r="N1021" s="50" t="s">
        <v>317</v>
      </c>
      <c r="O1021" s="64">
        <v>433.26</v>
      </c>
      <c r="P1021" s="65">
        <v>12</v>
      </c>
      <c r="Q1021" s="64">
        <v>51.99</v>
      </c>
      <c r="R1021" s="63">
        <v>0</v>
      </c>
      <c r="S1021" s="64">
        <v>30.33</v>
      </c>
    </row>
    <row r="1022" spans="1:19" ht="11.1" customHeight="1" x14ac:dyDescent="0.25">
      <c r="N1022" s="50" t="s">
        <v>318</v>
      </c>
      <c r="O1022" s="64">
        <v>433.26</v>
      </c>
      <c r="P1022" s="65">
        <v>19</v>
      </c>
      <c r="Q1022" s="64">
        <v>30.33</v>
      </c>
      <c r="R1022" s="63">
        <v>0</v>
      </c>
      <c r="S1022" s="64">
        <v>0</v>
      </c>
    </row>
    <row r="1023" spans="1:19" ht="11.85" customHeight="1" x14ac:dyDescent="0.25">
      <c r="A1023" s="66" t="s">
        <v>320</v>
      </c>
      <c r="B1023" s="66"/>
      <c r="C1023" s="66"/>
      <c r="D1023" s="66"/>
      <c r="E1023" s="66"/>
      <c r="F1023" s="66"/>
      <c r="G1023" s="66"/>
      <c r="H1023" s="66"/>
    </row>
    <row r="1024" spans="1:19" ht="11.1" customHeight="1" x14ac:dyDescent="0.25">
      <c r="N1024" s="50" t="s">
        <v>317</v>
      </c>
      <c r="O1024" s="64">
        <v>242684.64</v>
      </c>
      <c r="Q1024" s="64">
        <v>29122.1</v>
      </c>
      <c r="R1024" s="63">
        <v>0</v>
      </c>
      <c r="S1024" s="64">
        <v>9036.7999999999993</v>
      </c>
    </row>
    <row r="1025" spans="1:19" ht="11.1" customHeight="1" x14ac:dyDescent="0.25">
      <c r="N1025" s="50" t="s">
        <v>318</v>
      </c>
      <c r="O1025" s="64">
        <v>121376.43</v>
      </c>
      <c r="Q1025" s="64">
        <v>8496.44</v>
      </c>
      <c r="R1025" s="63">
        <v>0</v>
      </c>
      <c r="S1025" s="64">
        <v>0</v>
      </c>
    </row>
    <row r="1026" spans="1:19" ht="11.1" customHeight="1" x14ac:dyDescent="0.25">
      <c r="A1026" s="57">
        <v>112456</v>
      </c>
      <c r="B1026" s="53">
        <v>46113</v>
      </c>
      <c r="C1026" s="58">
        <v>46113</v>
      </c>
      <c r="D1026" s="59" t="s">
        <v>956</v>
      </c>
      <c r="E1026" s="50" t="s">
        <v>313</v>
      </c>
      <c r="F1026" s="57">
        <v>36</v>
      </c>
      <c r="G1026" s="60">
        <v>2</v>
      </c>
      <c r="H1026" s="61" t="s">
        <v>957</v>
      </c>
      <c r="I1026" s="50" t="s">
        <v>958</v>
      </c>
      <c r="J1026" s="50" t="s">
        <v>959</v>
      </c>
      <c r="K1026" s="62">
        <v>5403</v>
      </c>
      <c r="L1026" s="57">
        <v>207</v>
      </c>
      <c r="M1026" s="50" t="s">
        <v>26</v>
      </c>
      <c r="N1026" s="50" t="s">
        <v>317</v>
      </c>
      <c r="O1026" s="64">
        <v>175.62</v>
      </c>
      <c r="P1026" s="65">
        <v>12</v>
      </c>
      <c r="Q1026" s="64">
        <v>21.07</v>
      </c>
      <c r="R1026" s="63">
        <v>0</v>
      </c>
      <c r="S1026" s="64">
        <v>12.3</v>
      </c>
    </row>
    <row r="1027" spans="1:19" ht="11.1" customHeight="1" x14ac:dyDescent="0.25">
      <c r="N1027" s="50" t="s">
        <v>318</v>
      </c>
      <c r="O1027" s="64">
        <v>237.09</v>
      </c>
      <c r="P1027" s="65">
        <v>20</v>
      </c>
      <c r="Q1027" s="64">
        <v>12.3</v>
      </c>
      <c r="R1027" s="63">
        <v>0</v>
      </c>
      <c r="S1027" s="64">
        <v>0</v>
      </c>
    </row>
    <row r="1028" spans="1:19" ht="11.1" customHeight="1" x14ac:dyDescent="0.25">
      <c r="A1028" s="57">
        <v>112457</v>
      </c>
      <c r="B1028" s="53">
        <v>46113</v>
      </c>
      <c r="C1028" s="58">
        <v>46113</v>
      </c>
      <c r="D1028" s="59" t="s">
        <v>960</v>
      </c>
      <c r="E1028" s="50" t="s">
        <v>313</v>
      </c>
      <c r="F1028" s="57">
        <v>36</v>
      </c>
      <c r="G1028" s="60">
        <v>2</v>
      </c>
      <c r="H1028" s="61" t="s">
        <v>957</v>
      </c>
      <c r="I1028" s="50" t="s">
        <v>958</v>
      </c>
      <c r="J1028" s="50" t="s">
        <v>959</v>
      </c>
      <c r="K1028" s="62">
        <v>5403</v>
      </c>
      <c r="L1028" s="57">
        <v>207</v>
      </c>
      <c r="M1028" s="50" t="s">
        <v>26</v>
      </c>
      <c r="N1028" s="50" t="s">
        <v>317</v>
      </c>
      <c r="O1028" s="64">
        <v>263.19</v>
      </c>
      <c r="P1028" s="65">
        <v>12</v>
      </c>
      <c r="Q1028" s="64">
        <v>31.58</v>
      </c>
      <c r="R1028" s="63">
        <v>0</v>
      </c>
      <c r="S1028" s="64">
        <v>18.420000000000002</v>
      </c>
    </row>
    <row r="1029" spans="1:19" ht="11.1" customHeight="1" x14ac:dyDescent="0.25">
      <c r="N1029" s="50" t="s">
        <v>318</v>
      </c>
      <c r="O1029" s="64">
        <v>355.31</v>
      </c>
      <c r="P1029" s="65">
        <v>20</v>
      </c>
      <c r="Q1029" s="64">
        <v>18.420000000000002</v>
      </c>
      <c r="R1029" s="63">
        <v>0</v>
      </c>
      <c r="S1029" s="64">
        <v>0</v>
      </c>
    </row>
    <row r="1030" spans="1:19" ht="11.1" customHeight="1" x14ac:dyDescent="0.25">
      <c r="A1030" s="57">
        <v>112480</v>
      </c>
      <c r="B1030" s="53">
        <v>46113</v>
      </c>
      <c r="C1030" s="58">
        <v>46113</v>
      </c>
      <c r="D1030" s="59" t="s">
        <v>961</v>
      </c>
      <c r="E1030" s="50" t="s">
        <v>313</v>
      </c>
      <c r="F1030" s="57">
        <v>36</v>
      </c>
      <c r="G1030" s="60">
        <v>2</v>
      </c>
      <c r="H1030" s="61" t="s">
        <v>957</v>
      </c>
      <c r="I1030" s="50" t="s">
        <v>958</v>
      </c>
      <c r="J1030" s="50" t="s">
        <v>959</v>
      </c>
      <c r="K1030" s="62">
        <v>5102</v>
      </c>
      <c r="L1030" s="57">
        <v>205</v>
      </c>
      <c r="M1030" s="50" t="s">
        <v>26</v>
      </c>
      <c r="N1030" s="50" t="s">
        <v>317</v>
      </c>
      <c r="O1030" s="64">
        <v>713.4</v>
      </c>
      <c r="P1030" s="65">
        <v>12</v>
      </c>
      <c r="Q1030" s="64">
        <v>85.61</v>
      </c>
      <c r="R1030" s="63">
        <v>0</v>
      </c>
      <c r="S1030" s="64">
        <v>0</v>
      </c>
    </row>
    <row r="1031" spans="1:19" ht="11.1" customHeight="1" x14ac:dyDescent="0.25">
      <c r="A1031" s="57">
        <v>112481</v>
      </c>
      <c r="B1031" s="53">
        <v>46113</v>
      </c>
      <c r="C1031" s="58">
        <v>46113</v>
      </c>
      <c r="D1031" s="59" t="s">
        <v>961</v>
      </c>
      <c r="E1031" s="50" t="s">
        <v>313</v>
      </c>
      <c r="F1031" s="57">
        <v>36</v>
      </c>
      <c r="G1031" s="60">
        <v>2</v>
      </c>
      <c r="H1031" s="61" t="s">
        <v>957</v>
      </c>
      <c r="I1031" s="50" t="s">
        <v>958</v>
      </c>
      <c r="J1031" s="50" t="s">
        <v>959</v>
      </c>
      <c r="K1031" s="62">
        <v>5403</v>
      </c>
      <c r="L1031" s="57">
        <v>207</v>
      </c>
      <c r="M1031" s="50" t="s">
        <v>26</v>
      </c>
      <c r="N1031" s="50" t="s">
        <v>317</v>
      </c>
      <c r="O1031" s="64">
        <v>81.56</v>
      </c>
      <c r="P1031" s="65">
        <v>12</v>
      </c>
      <c r="Q1031" s="64">
        <v>9.7899999999999991</v>
      </c>
      <c r="R1031" s="63">
        <v>0</v>
      </c>
      <c r="S1031" s="64">
        <v>5.71</v>
      </c>
    </row>
    <row r="1032" spans="1:19" ht="11.1" customHeight="1" x14ac:dyDescent="0.25">
      <c r="N1032" s="50" t="s">
        <v>318</v>
      </c>
      <c r="O1032" s="64">
        <v>110.11</v>
      </c>
      <c r="P1032" s="65">
        <v>20</v>
      </c>
      <c r="Q1032" s="64">
        <v>5.71</v>
      </c>
      <c r="R1032" s="63">
        <v>0</v>
      </c>
      <c r="S1032" s="64">
        <v>0</v>
      </c>
    </row>
    <row r="1033" spans="1:19" ht="11.1" customHeight="1" x14ac:dyDescent="0.25">
      <c r="A1033" s="57">
        <v>112482</v>
      </c>
      <c r="B1033" s="53">
        <v>46113</v>
      </c>
      <c r="C1033" s="58">
        <v>46113</v>
      </c>
      <c r="D1033" s="59" t="s">
        <v>962</v>
      </c>
      <c r="E1033" s="50" t="s">
        <v>313</v>
      </c>
      <c r="F1033" s="57">
        <v>36</v>
      </c>
      <c r="G1033" s="60">
        <v>2</v>
      </c>
      <c r="H1033" s="61" t="s">
        <v>957</v>
      </c>
      <c r="I1033" s="50" t="s">
        <v>958</v>
      </c>
      <c r="J1033" s="50" t="s">
        <v>959</v>
      </c>
      <c r="K1033" s="62">
        <v>5102</v>
      </c>
      <c r="L1033" s="57">
        <v>205</v>
      </c>
      <c r="M1033" s="50" t="s">
        <v>26</v>
      </c>
      <c r="N1033" s="50" t="s">
        <v>317</v>
      </c>
      <c r="O1033" s="64">
        <v>713.4</v>
      </c>
      <c r="P1033" s="65">
        <v>12</v>
      </c>
      <c r="Q1033" s="64">
        <v>85.61</v>
      </c>
      <c r="R1033" s="63">
        <v>0</v>
      </c>
      <c r="S1033" s="64">
        <v>0</v>
      </c>
    </row>
    <row r="1034" spans="1:19" ht="11.1" customHeight="1" x14ac:dyDescent="0.25">
      <c r="A1034" s="57">
        <v>112540</v>
      </c>
      <c r="B1034" s="53">
        <v>46114</v>
      </c>
      <c r="C1034" s="58">
        <v>46114</v>
      </c>
      <c r="D1034" s="59" t="s">
        <v>963</v>
      </c>
      <c r="E1034" s="50" t="s">
        <v>313</v>
      </c>
      <c r="F1034" s="57">
        <v>36</v>
      </c>
      <c r="G1034" s="60">
        <v>2</v>
      </c>
      <c r="H1034" s="61" t="s">
        <v>957</v>
      </c>
      <c r="I1034" s="50" t="s">
        <v>958</v>
      </c>
      <c r="J1034" s="50" t="s">
        <v>959</v>
      </c>
      <c r="K1034" s="62">
        <v>5405</v>
      </c>
      <c r="L1034" s="57">
        <v>206</v>
      </c>
      <c r="M1034" s="50" t="s">
        <v>26</v>
      </c>
      <c r="N1034" s="50" t="s">
        <v>317</v>
      </c>
      <c r="O1034" s="64">
        <v>0</v>
      </c>
      <c r="P1034" s="65">
        <v>0</v>
      </c>
      <c r="Q1034" s="64">
        <v>0</v>
      </c>
      <c r="R1034" s="63">
        <v>0</v>
      </c>
      <c r="S1034" s="64">
        <v>34.03</v>
      </c>
    </row>
    <row r="1035" spans="1:19" ht="11.1" customHeight="1" x14ac:dyDescent="0.25">
      <c r="A1035" s="57">
        <v>112578</v>
      </c>
      <c r="B1035" s="53">
        <v>46118</v>
      </c>
      <c r="C1035" s="58">
        <v>46118</v>
      </c>
      <c r="D1035" s="59" t="s">
        <v>964</v>
      </c>
      <c r="E1035" s="50" t="s">
        <v>313</v>
      </c>
      <c r="F1035" s="57">
        <v>36</v>
      </c>
      <c r="G1035" s="60">
        <v>2</v>
      </c>
      <c r="H1035" s="61" t="s">
        <v>957</v>
      </c>
      <c r="I1035" s="50" t="s">
        <v>958</v>
      </c>
      <c r="J1035" s="50" t="s">
        <v>959</v>
      </c>
      <c r="K1035" s="62">
        <v>5102</v>
      </c>
      <c r="L1035" s="57">
        <v>205</v>
      </c>
      <c r="M1035" s="50" t="s">
        <v>26</v>
      </c>
      <c r="N1035" s="50" t="s">
        <v>317</v>
      </c>
      <c r="O1035" s="64">
        <v>1044.19</v>
      </c>
      <c r="P1035" s="65">
        <v>12</v>
      </c>
      <c r="Q1035" s="64">
        <v>125.3</v>
      </c>
      <c r="R1035" s="63">
        <v>0</v>
      </c>
      <c r="S1035" s="64">
        <v>0</v>
      </c>
    </row>
    <row r="1036" spans="1:19" ht="11.1" customHeight="1" x14ac:dyDescent="0.25">
      <c r="A1036" s="57">
        <v>112579</v>
      </c>
      <c r="B1036" s="53">
        <v>46118</v>
      </c>
      <c r="C1036" s="58">
        <v>46118</v>
      </c>
      <c r="D1036" s="59" t="s">
        <v>964</v>
      </c>
      <c r="E1036" s="50" t="s">
        <v>313</v>
      </c>
      <c r="F1036" s="57">
        <v>36</v>
      </c>
      <c r="G1036" s="60">
        <v>2</v>
      </c>
      <c r="H1036" s="61" t="s">
        <v>957</v>
      </c>
      <c r="I1036" s="50" t="s">
        <v>958</v>
      </c>
      <c r="J1036" s="50" t="s">
        <v>959</v>
      </c>
      <c r="K1036" s="62">
        <v>5403</v>
      </c>
      <c r="L1036" s="57">
        <v>207</v>
      </c>
      <c r="M1036" s="50" t="s">
        <v>26</v>
      </c>
      <c r="N1036" s="50" t="s">
        <v>317</v>
      </c>
      <c r="O1036" s="64">
        <v>942.75</v>
      </c>
      <c r="P1036" s="65">
        <v>12</v>
      </c>
      <c r="Q1036" s="64">
        <v>113.13</v>
      </c>
      <c r="R1036" s="63">
        <v>0</v>
      </c>
      <c r="S1036" s="64">
        <v>65.989999999999995</v>
      </c>
    </row>
    <row r="1037" spans="1:19" ht="11.1" customHeight="1" x14ac:dyDescent="0.25">
      <c r="N1037" s="50" t="s">
        <v>318</v>
      </c>
      <c r="O1037" s="64">
        <v>1272.71</v>
      </c>
      <c r="P1037" s="65">
        <v>20</v>
      </c>
      <c r="Q1037" s="64">
        <v>65.989999999999995</v>
      </c>
      <c r="R1037" s="63">
        <v>0</v>
      </c>
      <c r="S1037" s="64">
        <v>0</v>
      </c>
    </row>
    <row r="1038" spans="1:19" ht="11.1" customHeight="1" x14ac:dyDescent="0.25">
      <c r="A1038" s="57">
        <v>112610</v>
      </c>
      <c r="B1038" s="53">
        <v>46118</v>
      </c>
      <c r="C1038" s="58">
        <v>46118</v>
      </c>
      <c r="D1038" s="59" t="s">
        <v>965</v>
      </c>
      <c r="E1038" s="50" t="s">
        <v>313</v>
      </c>
      <c r="F1038" s="57">
        <v>36</v>
      </c>
      <c r="G1038" s="60">
        <v>2</v>
      </c>
      <c r="H1038" s="61" t="s">
        <v>957</v>
      </c>
      <c r="I1038" s="50" t="s">
        <v>958</v>
      </c>
      <c r="J1038" s="50" t="s">
        <v>959</v>
      </c>
      <c r="K1038" s="62">
        <v>5102</v>
      </c>
      <c r="L1038" s="57">
        <v>205</v>
      </c>
      <c r="M1038" s="50" t="s">
        <v>26</v>
      </c>
      <c r="N1038" s="50" t="s">
        <v>317</v>
      </c>
      <c r="O1038" s="64">
        <v>173.32</v>
      </c>
      <c r="P1038" s="65">
        <v>12</v>
      </c>
      <c r="Q1038" s="64">
        <v>20.8</v>
      </c>
      <c r="R1038" s="63">
        <v>0</v>
      </c>
      <c r="S1038" s="64">
        <v>0</v>
      </c>
    </row>
    <row r="1039" spans="1:19" ht="11.1" customHeight="1" x14ac:dyDescent="0.25">
      <c r="A1039" s="57">
        <v>112611</v>
      </c>
      <c r="B1039" s="53">
        <v>46118</v>
      </c>
      <c r="C1039" s="58">
        <v>46118</v>
      </c>
      <c r="D1039" s="59" t="s">
        <v>965</v>
      </c>
      <c r="E1039" s="50" t="s">
        <v>313</v>
      </c>
      <c r="F1039" s="57">
        <v>36</v>
      </c>
      <c r="G1039" s="60">
        <v>2</v>
      </c>
      <c r="H1039" s="61" t="s">
        <v>957</v>
      </c>
      <c r="I1039" s="50" t="s">
        <v>958</v>
      </c>
      <c r="J1039" s="50" t="s">
        <v>959</v>
      </c>
      <c r="K1039" s="62">
        <v>5403</v>
      </c>
      <c r="L1039" s="57">
        <v>207</v>
      </c>
      <c r="M1039" s="50" t="s">
        <v>26</v>
      </c>
      <c r="N1039" s="50" t="s">
        <v>317</v>
      </c>
      <c r="O1039" s="64">
        <v>100.67</v>
      </c>
      <c r="P1039" s="65">
        <v>12</v>
      </c>
      <c r="Q1039" s="64">
        <v>12.08</v>
      </c>
      <c r="R1039" s="63">
        <v>0</v>
      </c>
      <c r="S1039" s="64">
        <v>7.05</v>
      </c>
    </row>
    <row r="1040" spans="1:19" ht="11.1" customHeight="1" x14ac:dyDescent="0.25">
      <c r="N1040" s="50" t="s">
        <v>318</v>
      </c>
      <c r="O1040" s="64">
        <v>135.9</v>
      </c>
      <c r="P1040" s="65">
        <v>20</v>
      </c>
      <c r="Q1040" s="64">
        <v>7.05</v>
      </c>
      <c r="R1040" s="63">
        <v>0</v>
      </c>
      <c r="S1040" s="64">
        <v>0</v>
      </c>
    </row>
    <row r="1041" spans="1:19" ht="11.1" customHeight="1" x14ac:dyDescent="0.25">
      <c r="A1041" s="57">
        <v>112686</v>
      </c>
      <c r="B1041" s="53">
        <v>46119</v>
      </c>
      <c r="C1041" s="58">
        <v>46119</v>
      </c>
      <c r="D1041" s="59" t="s">
        <v>966</v>
      </c>
      <c r="E1041" s="50" t="s">
        <v>313</v>
      </c>
      <c r="F1041" s="57">
        <v>36</v>
      </c>
      <c r="G1041" s="60">
        <v>2</v>
      </c>
      <c r="H1041" s="61" t="s">
        <v>957</v>
      </c>
      <c r="I1041" s="50" t="s">
        <v>958</v>
      </c>
      <c r="J1041" s="50" t="s">
        <v>959</v>
      </c>
      <c r="K1041" s="62">
        <v>5102</v>
      </c>
      <c r="L1041" s="57">
        <v>205</v>
      </c>
      <c r="M1041" s="50" t="s">
        <v>26</v>
      </c>
      <c r="N1041" s="50" t="s">
        <v>317</v>
      </c>
      <c r="O1041" s="64">
        <v>338.48</v>
      </c>
      <c r="P1041" s="65">
        <v>12</v>
      </c>
      <c r="Q1041" s="64">
        <v>40.619999999999997</v>
      </c>
      <c r="R1041" s="63">
        <v>0</v>
      </c>
      <c r="S1041" s="64">
        <v>0</v>
      </c>
    </row>
    <row r="1042" spans="1:19" ht="11.1" customHeight="1" x14ac:dyDescent="0.25">
      <c r="A1042" s="57">
        <v>112687</v>
      </c>
      <c r="B1042" s="53">
        <v>46119</v>
      </c>
      <c r="C1042" s="58">
        <v>46119</v>
      </c>
      <c r="D1042" s="59" t="s">
        <v>966</v>
      </c>
      <c r="E1042" s="50" t="s">
        <v>313</v>
      </c>
      <c r="F1042" s="57">
        <v>36</v>
      </c>
      <c r="G1042" s="60">
        <v>2</v>
      </c>
      <c r="H1042" s="61" t="s">
        <v>957</v>
      </c>
      <c r="I1042" s="50" t="s">
        <v>958</v>
      </c>
      <c r="J1042" s="50" t="s">
        <v>959</v>
      </c>
      <c r="K1042" s="62">
        <v>5403</v>
      </c>
      <c r="L1042" s="57">
        <v>207</v>
      </c>
      <c r="M1042" s="50" t="s">
        <v>26</v>
      </c>
      <c r="N1042" s="50" t="s">
        <v>317</v>
      </c>
      <c r="O1042" s="64">
        <v>273.5</v>
      </c>
      <c r="P1042" s="65">
        <v>12</v>
      </c>
      <c r="Q1042" s="64">
        <v>32.82</v>
      </c>
      <c r="R1042" s="63">
        <v>0</v>
      </c>
      <c r="S1042" s="64">
        <v>19.14</v>
      </c>
    </row>
    <row r="1043" spans="1:19" ht="11.1" customHeight="1" x14ac:dyDescent="0.25">
      <c r="N1043" s="50" t="s">
        <v>318</v>
      </c>
      <c r="O1043" s="64">
        <v>369.23</v>
      </c>
      <c r="P1043" s="65">
        <v>20</v>
      </c>
      <c r="Q1043" s="64">
        <v>19.14</v>
      </c>
      <c r="R1043" s="63">
        <v>0</v>
      </c>
      <c r="S1043" s="64">
        <v>0</v>
      </c>
    </row>
    <row r="1044" spans="1:19" ht="11.1" customHeight="1" x14ac:dyDescent="0.25">
      <c r="A1044" s="57">
        <v>112743</v>
      </c>
      <c r="B1044" s="53">
        <v>46120</v>
      </c>
      <c r="C1044" s="58">
        <v>46120</v>
      </c>
      <c r="D1044" s="59" t="s">
        <v>967</v>
      </c>
      <c r="E1044" s="50" t="s">
        <v>313</v>
      </c>
      <c r="F1044" s="57">
        <v>36</v>
      </c>
      <c r="G1044" s="60">
        <v>2</v>
      </c>
      <c r="H1044" s="61" t="s">
        <v>957</v>
      </c>
      <c r="I1044" s="50" t="s">
        <v>958</v>
      </c>
      <c r="J1044" s="50" t="s">
        <v>959</v>
      </c>
      <c r="K1044" s="62">
        <v>5102</v>
      </c>
      <c r="L1044" s="57">
        <v>205</v>
      </c>
      <c r="M1044" s="50" t="s">
        <v>26</v>
      </c>
      <c r="N1044" s="50" t="s">
        <v>317</v>
      </c>
      <c r="O1044" s="64">
        <v>984.02</v>
      </c>
      <c r="P1044" s="65">
        <v>12</v>
      </c>
      <c r="Q1044" s="64">
        <v>118.08</v>
      </c>
      <c r="R1044" s="63">
        <v>0</v>
      </c>
      <c r="S1044" s="64">
        <v>0</v>
      </c>
    </row>
    <row r="1045" spans="1:19" ht="11.1" customHeight="1" x14ac:dyDescent="0.25">
      <c r="A1045" s="57">
        <v>112744</v>
      </c>
      <c r="B1045" s="53">
        <v>46120</v>
      </c>
      <c r="C1045" s="58">
        <v>46120</v>
      </c>
      <c r="D1045" s="59" t="s">
        <v>967</v>
      </c>
      <c r="E1045" s="50" t="s">
        <v>313</v>
      </c>
      <c r="F1045" s="57">
        <v>36</v>
      </c>
      <c r="G1045" s="60">
        <v>2</v>
      </c>
      <c r="H1045" s="61" t="s">
        <v>957</v>
      </c>
      <c r="I1045" s="50" t="s">
        <v>958</v>
      </c>
      <c r="J1045" s="50" t="s">
        <v>959</v>
      </c>
      <c r="K1045" s="62">
        <v>5405</v>
      </c>
      <c r="L1045" s="57">
        <v>206</v>
      </c>
      <c r="M1045" s="50" t="s">
        <v>26</v>
      </c>
      <c r="N1045" s="50" t="s">
        <v>317</v>
      </c>
      <c r="O1045" s="64">
        <v>0</v>
      </c>
      <c r="P1045" s="65">
        <v>0</v>
      </c>
      <c r="Q1045" s="64">
        <v>0</v>
      </c>
      <c r="R1045" s="63">
        <v>0</v>
      </c>
      <c r="S1045" s="64">
        <v>136.12</v>
      </c>
    </row>
    <row r="1046" spans="1:19" ht="11.1" customHeight="1" x14ac:dyDescent="0.25">
      <c r="A1046" s="57">
        <v>112745</v>
      </c>
      <c r="B1046" s="53">
        <v>46120</v>
      </c>
      <c r="C1046" s="58">
        <v>46120</v>
      </c>
      <c r="D1046" s="59" t="s">
        <v>967</v>
      </c>
      <c r="E1046" s="50" t="s">
        <v>313</v>
      </c>
      <c r="F1046" s="57">
        <v>36</v>
      </c>
      <c r="G1046" s="60">
        <v>2</v>
      </c>
      <c r="H1046" s="61" t="s">
        <v>957</v>
      </c>
      <c r="I1046" s="50" t="s">
        <v>958</v>
      </c>
      <c r="J1046" s="50" t="s">
        <v>959</v>
      </c>
      <c r="K1046" s="62">
        <v>5403</v>
      </c>
      <c r="L1046" s="57">
        <v>207</v>
      </c>
      <c r="M1046" s="50" t="s">
        <v>26</v>
      </c>
      <c r="N1046" s="50" t="s">
        <v>317</v>
      </c>
      <c r="O1046" s="64">
        <v>585.76</v>
      </c>
      <c r="P1046" s="65">
        <v>12</v>
      </c>
      <c r="Q1046" s="64">
        <v>70.290000000000006</v>
      </c>
      <c r="R1046" s="63">
        <v>0</v>
      </c>
      <c r="S1046" s="64">
        <v>41.01</v>
      </c>
    </row>
    <row r="1047" spans="1:19" ht="11.1" customHeight="1" x14ac:dyDescent="0.25">
      <c r="N1047" s="50" t="s">
        <v>318</v>
      </c>
      <c r="O1047" s="64">
        <v>790.78</v>
      </c>
      <c r="P1047" s="65">
        <v>20</v>
      </c>
      <c r="Q1047" s="64">
        <v>41.01</v>
      </c>
      <c r="R1047" s="63">
        <v>0</v>
      </c>
      <c r="S1047" s="64">
        <v>0</v>
      </c>
    </row>
    <row r="1048" spans="1:19" ht="11.1" customHeight="1" x14ac:dyDescent="0.25">
      <c r="A1048" s="57">
        <v>112839</v>
      </c>
      <c r="B1048" s="53">
        <v>46121</v>
      </c>
      <c r="C1048" s="58">
        <v>46121</v>
      </c>
      <c r="D1048" s="59" t="s">
        <v>968</v>
      </c>
      <c r="E1048" s="50" t="s">
        <v>313</v>
      </c>
      <c r="F1048" s="57">
        <v>36</v>
      </c>
      <c r="G1048" s="60">
        <v>2</v>
      </c>
      <c r="H1048" s="61" t="s">
        <v>957</v>
      </c>
      <c r="I1048" s="50" t="s">
        <v>958</v>
      </c>
      <c r="J1048" s="50" t="s">
        <v>959</v>
      </c>
      <c r="K1048" s="62">
        <v>5102</v>
      </c>
      <c r="L1048" s="57">
        <v>205</v>
      </c>
      <c r="M1048" s="50" t="s">
        <v>26</v>
      </c>
      <c r="N1048" s="50" t="s">
        <v>317</v>
      </c>
      <c r="O1048" s="64">
        <v>401.04</v>
      </c>
      <c r="P1048" s="65">
        <v>12</v>
      </c>
      <c r="Q1048" s="64">
        <v>48.12</v>
      </c>
      <c r="R1048" s="63">
        <v>0</v>
      </c>
      <c r="S1048" s="64">
        <v>0</v>
      </c>
    </row>
    <row r="1049" spans="1:19" ht="11.1" customHeight="1" x14ac:dyDescent="0.25">
      <c r="A1049" s="57">
        <v>112860</v>
      </c>
      <c r="B1049" s="53">
        <v>46121</v>
      </c>
      <c r="C1049" s="58">
        <v>46121</v>
      </c>
      <c r="D1049" s="59" t="s">
        <v>969</v>
      </c>
      <c r="E1049" s="50" t="s">
        <v>313</v>
      </c>
      <c r="F1049" s="57">
        <v>36</v>
      </c>
      <c r="G1049" s="60">
        <v>2</v>
      </c>
      <c r="H1049" s="61" t="s">
        <v>957</v>
      </c>
      <c r="I1049" s="50" t="s">
        <v>958</v>
      </c>
      <c r="J1049" s="50" t="s">
        <v>959</v>
      </c>
      <c r="K1049" s="62">
        <v>5102</v>
      </c>
      <c r="L1049" s="57">
        <v>205</v>
      </c>
      <c r="M1049" s="50" t="s">
        <v>26</v>
      </c>
      <c r="N1049" s="50" t="s">
        <v>317</v>
      </c>
      <c r="O1049" s="64">
        <v>100.04</v>
      </c>
      <c r="P1049" s="65">
        <v>12</v>
      </c>
      <c r="Q1049" s="64">
        <v>12</v>
      </c>
      <c r="R1049" s="63">
        <v>0</v>
      </c>
      <c r="S1049" s="64">
        <v>0</v>
      </c>
    </row>
    <row r="1050" spans="1:19" ht="11.1" customHeight="1" x14ac:dyDescent="0.25">
      <c r="A1050" s="57">
        <v>112861</v>
      </c>
      <c r="B1050" s="53">
        <v>46121</v>
      </c>
      <c r="C1050" s="58">
        <v>46121</v>
      </c>
      <c r="D1050" s="59" t="s">
        <v>969</v>
      </c>
      <c r="E1050" s="50" t="s">
        <v>313</v>
      </c>
      <c r="F1050" s="57">
        <v>36</v>
      </c>
      <c r="G1050" s="60">
        <v>2</v>
      </c>
      <c r="H1050" s="61" t="s">
        <v>957</v>
      </c>
      <c r="I1050" s="50" t="s">
        <v>958</v>
      </c>
      <c r="J1050" s="50" t="s">
        <v>959</v>
      </c>
      <c r="K1050" s="62">
        <v>5403</v>
      </c>
      <c r="L1050" s="57">
        <v>207</v>
      </c>
      <c r="M1050" s="50" t="s">
        <v>26</v>
      </c>
      <c r="N1050" s="50" t="s">
        <v>317</v>
      </c>
      <c r="O1050" s="64">
        <v>52.53</v>
      </c>
      <c r="P1050" s="65">
        <v>12</v>
      </c>
      <c r="Q1050" s="64">
        <v>6.3</v>
      </c>
      <c r="R1050" s="63">
        <v>0</v>
      </c>
      <c r="S1050" s="64">
        <v>3.67</v>
      </c>
    </row>
    <row r="1051" spans="1:19" ht="11.1" customHeight="1" x14ac:dyDescent="0.25">
      <c r="N1051" s="50" t="s">
        <v>318</v>
      </c>
      <c r="O1051" s="64">
        <v>70.92</v>
      </c>
      <c r="P1051" s="65">
        <v>20</v>
      </c>
      <c r="Q1051" s="64">
        <v>3.67</v>
      </c>
      <c r="R1051" s="63">
        <v>0</v>
      </c>
      <c r="S1051" s="64">
        <v>0</v>
      </c>
    </row>
    <row r="1052" spans="1:19" ht="11.1" customHeight="1" x14ac:dyDescent="0.25">
      <c r="A1052" s="57">
        <v>112892</v>
      </c>
      <c r="B1052" s="53">
        <v>46122</v>
      </c>
      <c r="C1052" s="58">
        <v>46122</v>
      </c>
      <c r="D1052" s="59" t="s">
        <v>970</v>
      </c>
      <c r="E1052" s="50" t="s">
        <v>313</v>
      </c>
      <c r="F1052" s="57">
        <v>36</v>
      </c>
      <c r="G1052" s="60">
        <v>2</v>
      </c>
      <c r="H1052" s="61" t="s">
        <v>957</v>
      </c>
      <c r="I1052" s="50" t="s">
        <v>958</v>
      </c>
      <c r="J1052" s="50" t="s">
        <v>959</v>
      </c>
      <c r="K1052" s="62">
        <v>5102</v>
      </c>
      <c r="L1052" s="57">
        <v>205</v>
      </c>
      <c r="M1052" s="50" t="s">
        <v>26</v>
      </c>
      <c r="N1052" s="50" t="s">
        <v>317</v>
      </c>
      <c r="O1052" s="64">
        <v>594.04999999999995</v>
      </c>
      <c r="P1052" s="65">
        <v>12</v>
      </c>
      <c r="Q1052" s="64">
        <v>71.28</v>
      </c>
      <c r="R1052" s="63">
        <v>0</v>
      </c>
      <c r="S1052" s="64">
        <v>0</v>
      </c>
    </row>
    <row r="1053" spans="1:19" ht="11.1" customHeight="1" x14ac:dyDescent="0.25">
      <c r="A1053" s="57">
        <v>112893</v>
      </c>
      <c r="B1053" s="53">
        <v>46122</v>
      </c>
      <c r="C1053" s="58">
        <v>46122</v>
      </c>
      <c r="D1053" s="59" t="s">
        <v>970</v>
      </c>
      <c r="E1053" s="50" t="s">
        <v>313</v>
      </c>
      <c r="F1053" s="57">
        <v>36</v>
      </c>
      <c r="G1053" s="60">
        <v>2</v>
      </c>
      <c r="H1053" s="61" t="s">
        <v>957</v>
      </c>
      <c r="I1053" s="50" t="s">
        <v>958</v>
      </c>
      <c r="J1053" s="50" t="s">
        <v>959</v>
      </c>
      <c r="K1053" s="62">
        <v>5403</v>
      </c>
      <c r="L1053" s="57">
        <v>207</v>
      </c>
      <c r="M1053" s="50" t="s">
        <v>26</v>
      </c>
      <c r="N1053" s="50" t="s">
        <v>317</v>
      </c>
      <c r="O1053" s="64">
        <v>883.9</v>
      </c>
      <c r="P1053" s="65">
        <v>12</v>
      </c>
      <c r="Q1053" s="64">
        <v>106.07</v>
      </c>
      <c r="R1053" s="63">
        <v>0</v>
      </c>
      <c r="S1053" s="64">
        <v>61.87</v>
      </c>
    </row>
    <row r="1054" spans="1:19" ht="11.1" customHeight="1" x14ac:dyDescent="0.25">
      <c r="N1054" s="50" t="s">
        <v>318</v>
      </c>
      <c r="O1054" s="64">
        <v>1193.27</v>
      </c>
      <c r="P1054" s="65">
        <v>20</v>
      </c>
      <c r="Q1054" s="64">
        <v>61.87</v>
      </c>
      <c r="R1054" s="63">
        <v>0</v>
      </c>
      <c r="S1054" s="64">
        <v>0</v>
      </c>
    </row>
    <row r="1055" spans="1:19" ht="11.1" customHeight="1" x14ac:dyDescent="0.25">
      <c r="A1055" s="57">
        <v>112905</v>
      </c>
      <c r="B1055" s="53">
        <v>46122</v>
      </c>
      <c r="C1055" s="58">
        <v>46122</v>
      </c>
      <c r="D1055" s="59" t="s">
        <v>971</v>
      </c>
      <c r="E1055" s="50" t="s">
        <v>313</v>
      </c>
      <c r="F1055" s="57">
        <v>36</v>
      </c>
      <c r="G1055" s="60">
        <v>2</v>
      </c>
      <c r="H1055" s="61" t="s">
        <v>957</v>
      </c>
      <c r="I1055" s="50" t="s">
        <v>958</v>
      </c>
      <c r="J1055" s="50" t="s">
        <v>959</v>
      </c>
      <c r="K1055" s="62">
        <v>5102</v>
      </c>
      <c r="L1055" s="57">
        <v>205</v>
      </c>
      <c r="M1055" s="50" t="s">
        <v>26</v>
      </c>
      <c r="N1055" s="50" t="s">
        <v>317</v>
      </c>
      <c r="O1055" s="64">
        <v>819.46</v>
      </c>
      <c r="P1055" s="65">
        <v>12</v>
      </c>
      <c r="Q1055" s="64">
        <v>98.33</v>
      </c>
      <c r="R1055" s="63">
        <v>0</v>
      </c>
      <c r="S1055" s="64">
        <v>0</v>
      </c>
    </row>
    <row r="1056" spans="1:19" ht="11.1" customHeight="1" x14ac:dyDescent="0.25">
      <c r="A1056" s="57">
        <v>112906</v>
      </c>
      <c r="B1056" s="53">
        <v>46122</v>
      </c>
      <c r="C1056" s="58">
        <v>46122</v>
      </c>
      <c r="D1056" s="59" t="s">
        <v>971</v>
      </c>
      <c r="E1056" s="50" t="s">
        <v>313</v>
      </c>
      <c r="F1056" s="57">
        <v>36</v>
      </c>
      <c r="G1056" s="60">
        <v>2</v>
      </c>
      <c r="H1056" s="61" t="s">
        <v>957</v>
      </c>
      <c r="I1056" s="50" t="s">
        <v>958</v>
      </c>
      <c r="J1056" s="50" t="s">
        <v>959</v>
      </c>
      <c r="K1056" s="62">
        <v>5403</v>
      </c>
      <c r="L1056" s="57">
        <v>207</v>
      </c>
      <c r="M1056" s="50" t="s">
        <v>26</v>
      </c>
      <c r="N1056" s="50" t="s">
        <v>317</v>
      </c>
      <c r="O1056" s="64">
        <v>9275.5300000000007</v>
      </c>
      <c r="P1056" s="65">
        <v>12</v>
      </c>
      <c r="Q1056" s="64">
        <v>1113.07</v>
      </c>
      <c r="R1056" s="63">
        <v>0</v>
      </c>
      <c r="S1056" s="64">
        <v>649.25</v>
      </c>
    </row>
    <row r="1057" spans="1:19" ht="11.1" customHeight="1" x14ac:dyDescent="0.25">
      <c r="N1057" s="50" t="s">
        <v>318</v>
      </c>
      <c r="O1057" s="64">
        <v>12521.95</v>
      </c>
      <c r="P1057" s="65">
        <v>20</v>
      </c>
      <c r="Q1057" s="64">
        <v>649.25</v>
      </c>
      <c r="R1057" s="63">
        <v>0</v>
      </c>
      <c r="S1057" s="64">
        <v>0</v>
      </c>
    </row>
    <row r="1058" spans="1:19" ht="11.1" customHeight="1" x14ac:dyDescent="0.25">
      <c r="A1058" s="57">
        <v>112907</v>
      </c>
      <c r="B1058" s="53">
        <v>46122</v>
      </c>
      <c r="C1058" s="58">
        <v>46122</v>
      </c>
      <c r="D1058" s="59" t="s">
        <v>972</v>
      </c>
      <c r="E1058" s="50" t="s">
        <v>313</v>
      </c>
      <c r="F1058" s="57">
        <v>36</v>
      </c>
      <c r="G1058" s="60">
        <v>2</v>
      </c>
      <c r="H1058" s="61" t="s">
        <v>957</v>
      </c>
      <c r="I1058" s="50" t="s">
        <v>958</v>
      </c>
      <c r="J1058" s="50" t="s">
        <v>959</v>
      </c>
      <c r="K1058" s="62">
        <v>5102</v>
      </c>
      <c r="L1058" s="57">
        <v>205</v>
      </c>
      <c r="M1058" s="50" t="s">
        <v>26</v>
      </c>
      <c r="N1058" s="50" t="s">
        <v>317</v>
      </c>
      <c r="O1058" s="64">
        <v>437.76</v>
      </c>
      <c r="P1058" s="65">
        <v>12</v>
      </c>
      <c r="Q1058" s="64">
        <v>52.53</v>
      </c>
      <c r="R1058" s="63">
        <v>0</v>
      </c>
      <c r="S1058" s="64">
        <v>0</v>
      </c>
    </row>
    <row r="1059" spans="1:19" ht="11.1" customHeight="1" x14ac:dyDescent="0.25">
      <c r="A1059" s="57">
        <v>112949</v>
      </c>
      <c r="B1059" s="53">
        <v>46125</v>
      </c>
      <c r="C1059" s="58">
        <v>46125</v>
      </c>
      <c r="D1059" s="59" t="s">
        <v>973</v>
      </c>
      <c r="E1059" s="50" t="s">
        <v>313</v>
      </c>
      <c r="F1059" s="57">
        <v>36</v>
      </c>
      <c r="G1059" s="60">
        <v>2</v>
      </c>
      <c r="H1059" s="61" t="s">
        <v>957</v>
      </c>
      <c r="I1059" s="50" t="s">
        <v>958</v>
      </c>
      <c r="J1059" s="50" t="s">
        <v>959</v>
      </c>
      <c r="K1059" s="62">
        <v>5102</v>
      </c>
      <c r="L1059" s="57">
        <v>205</v>
      </c>
      <c r="M1059" s="50" t="s">
        <v>26</v>
      </c>
      <c r="N1059" s="50" t="s">
        <v>317</v>
      </c>
      <c r="O1059" s="64">
        <v>80.459999999999994</v>
      </c>
      <c r="P1059" s="65">
        <v>12</v>
      </c>
      <c r="Q1059" s="64">
        <v>9.66</v>
      </c>
      <c r="R1059" s="63">
        <v>0</v>
      </c>
      <c r="S1059" s="64">
        <v>0</v>
      </c>
    </row>
    <row r="1060" spans="1:19" ht="11.1" customHeight="1" x14ac:dyDescent="0.25">
      <c r="A1060" s="57">
        <v>112950</v>
      </c>
      <c r="B1060" s="53">
        <v>46125</v>
      </c>
      <c r="C1060" s="58">
        <v>46125</v>
      </c>
      <c r="D1060" s="59" t="s">
        <v>974</v>
      </c>
      <c r="E1060" s="50" t="s">
        <v>313</v>
      </c>
      <c r="F1060" s="57">
        <v>36</v>
      </c>
      <c r="G1060" s="60">
        <v>2</v>
      </c>
      <c r="H1060" s="61" t="s">
        <v>957</v>
      </c>
      <c r="I1060" s="50" t="s">
        <v>958</v>
      </c>
      <c r="J1060" s="50" t="s">
        <v>959</v>
      </c>
      <c r="K1060" s="62">
        <v>5403</v>
      </c>
      <c r="L1060" s="57">
        <v>207</v>
      </c>
      <c r="M1060" s="50" t="s">
        <v>26</v>
      </c>
      <c r="N1060" s="50" t="s">
        <v>317</v>
      </c>
      <c r="O1060" s="64">
        <v>47.08</v>
      </c>
      <c r="P1060" s="65">
        <v>12</v>
      </c>
      <c r="Q1060" s="64">
        <v>5.65</v>
      </c>
      <c r="R1060" s="63">
        <v>0</v>
      </c>
      <c r="S1060" s="64">
        <v>3.29</v>
      </c>
    </row>
    <row r="1061" spans="1:19" ht="11.1" customHeight="1" x14ac:dyDescent="0.25">
      <c r="N1061" s="50" t="s">
        <v>318</v>
      </c>
      <c r="O1061" s="64">
        <v>63.56</v>
      </c>
      <c r="P1061" s="65">
        <v>20</v>
      </c>
      <c r="Q1061" s="64">
        <v>3.29</v>
      </c>
      <c r="R1061" s="63">
        <v>0</v>
      </c>
      <c r="S1061" s="64">
        <v>0</v>
      </c>
    </row>
    <row r="1062" spans="1:19" ht="11.1" customHeight="1" x14ac:dyDescent="0.25">
      <c r="A1062" s="57">
        <v>112994</v>
      </c>
      <c r="B1062" s="53">
        <v>46125</v>
      </c>
      <c r="C1062" s="58">
        <v>46125</v>
      </c>
      <c r="D1062" s="59" t="s">
        <v>975</v>
      </c>
      <c r="E1062" s="50" t="s">
        <v>313</v>
      </c>
      <c r="F1062" s="57">
        <v>36</v>
      </c>
      <c r="G1062" s="60">
        <v>2</v>
      </c>
      <c r="H1062" s="61" t="s">
        <v>957</v>
      </c>
      <c r="I1062" s="50" t="s">
        <v>958</v>
      </c>
      <c r="J1062" s="50" t="s">
        <v>959</v>
      </c>
      <c r="K1062" s="62">
        <v>5102</v>
      </c>
      <c r="L1062" s="57">
        <v>205</v>
      </c>
      <c r="M1062" s="50" t="s">
        <v>26</v>
      </c>
      <c r="N1062" s="50" t="s">
        <v>317</v>
      </c>
      <c r="O1062" s="64">
        <v>15222.2</v>
      </c>
      <c r="P1062" s="65">
        <v>12</v>
      </c>
      <c r="Q1062" s="64">
        <v>1826.66</v>
      </c>
      <c r="R1062" s="63">
        <v>0</v>
      </c>
      <c r="S1062" s="64">
        <v>0</v>
      </c>
    </row>
    <row r="1063" spans="1:19" ht="11.1" customHeight="1" x14ac:dyDescent="0.25">
      <c r="A1063" s="57">
        <v>112995</v>
      </c>
      <c r="B1063" s="53">
        <v>46125</v>
      </c>
      <c r="C1063" s="58">
        <v>46125</v>
      </c>
      <c r="D1063" s="59" t="s">
        <v>975</v>
      </c>
      <c r="E1063" s="50" t="s">
        <v>313</v>
      </c>
      <c r="F1063" s="57">
        <v>36</v>
      </c>
      <c r="G1063" s="60">
        <v>2</v>
      </c>
      <c r="H1063" s="61" t="s">
        <v>957</v>
      </c>
      <c r="I1063" s="50" t="s">
        <v>958</v>
      </c>
      <c r="J1063" s="50" t="s">
        <v>959</v>
      </c>
      <c r="K1063" s="62">
        <v>5405</v>
      </c>
      <c r="L1063" s="57">
        <v>206</v>
      </c>
      <c r="M1063" s="50" t="s">
        <v>26</v>
      </c>
      <c r="N1063" s="50" t="s">
        <v>317</v>
      </c>
      <c r="O1063" s="64">
        <v>0</v>
      </c>
      <c r="P1063" s="65">
        <v>0</v>
      </c>
      <c r="Q1063" s="64">
        <v>0</v>
      </c>
      <c r="R1063" s="63">
        <v>0</v>
      </c>
      <c r="S1063" s="64">
        <v>380.04</v>
      </c>
    </row>
    <row r="1064" spans="1:19" ht="11.1" customHeight="1" x14ac:dyDescent="0.25">
      <c r="A1064" s="57">
        <v>112996</v>
      </c>
      <c r="B1064" s="53">
        <v>46125</v>
      </c>
      <c r="C1064" s="58">
        <v>46125</v>
      </c>
      <c r="D1064" s="59" t="s">
        <v>975</v>
      </c>
      <c r="E1064" s="50" t="s">
        <v>313</v>
      </c>
      <c r="F1064" s="57">
        <v>36</v>
      </c>
      <c r="G1064" s="60">
        <v>2</v>
      </c>
      <c r="H1064" s="61" t="s">
        <v>957</v>
      </c>
      <c r="I1064" s="50" t="s">
        <v>958</v>
      </c>
      <c r="J1064" s="50" t="s">
        <v>959</v>
      </c>
      <c r="K1064" s="62">
        <v>5403</v>
      </c>
      <c r="L1064" s="57">
        <v>207</v>
      </c>
      <c r="M1064" s="50" t="s">
        <v>26</v>
      </c>
      <c r="N1064" s="50" t="s">
        <v>317</v>
      </c>
      <c r="O1064" s="64">
        <v>3991.7</v>
      </c>
      <c r="P1064" s="65">
        <v>12</v>
      </c>
      <c r="Q1064" s="64">
        <v>479</v>
      </c>
      <c r="R1064" s="63">
        <v>0</v>
      </c>
      <c r="S1064" s="64">
        <v>279.39999999999998</v>
      </c>
    </row>
    <row r="1065" spans="1:19" ht="11.1" customHeight="1" x14ac:dyDescent="0.25">
      <c r="N1065" s="50" t="s">
        <v>318</v>
      </c>
      <c r="O1065" s="64">
        <v>5388.78</v>
      </c>
      <c r="P1065" s="65">
        <v>20</v>
      </c>
      <c r="Q1065" s="64">
        <v>279.39999999999998</v>
      </c>
      <c r="R1065" s="63">
        <v>0</v>
      </c>
      <c r="S1065" s="64">
        <v>0</v>
      </c>
    </row>
    <row r="1066" spans="1:19" ht="11.1" customHeight="1" x14ac:dyDescent="0.25">
      <c r="A1066" s="57">
        <v>113000</v>
      </c>
      <c r="B1066" s="53">
        <v>46126</v>
      </c>
      <c r="C1066" s="58">
        <v>46126</v>
      </c>
      <c r="D1066" s="59" t="s">
        <v>976</v>
      </c>
      <c r="E1066" s="50" t="s">
        <v>313</v>
      </c>
      <c r="F1066" s="57">
        <v>36</v>
      </c>
      <c r="G1066" s="60">
        <v>2</v>
      </c>
      <c r="H1066" s="61" t="s">
        <v>957</v>
      </c>
      <c r="I1066" s="50" t="s">
        <v>958</v>
      </c>
      <c r="J1066" s="50" t="s">
        <v>959</v>
      </c>
      <c r="K1066" s="62">
        <v>5102</v>
      </c>
      <c r="L1066" s="57">
        <v>205</v>
      </c>
      <c r="M1066" s="50" t="s">
        <v>26</v>
      </c>
      <c r="N1066" s="50" t="s">
        <v>317</v>
      </c>
      <c r="O1066" s="64">
        <v>814.81</v>
      </c>
      <c r="P1066" s="65">
        <v>12</v>
      </c>
      <c r="Q1066" s="64">
        <v>97.78</v>
      </c>
      <c r="R1066" s="63">
        <v>0</v>
      </c>
      <c r="S1066" s="64">
        <v>0</v>
      </c>
    </row>
    <row r="1067" spans="1:19" ht="11.1" customHeight="1" x14ac:dyDescent="0.25">
      <c r="A1067" s="57">
        <v>113039</v>
      </c>
      <c r="B1067" s="53">
        <v>46126</v>
      </c>
      <c r="C1067" s="58">
        <v>46126</v>
      </c>
      <c r="D1067" s="59" t="s">
        <v>977</v>
      </c>
      <c r="E1067" s="50" t="s">
        <v>313</v>
      </c>
      <c r="F1067" s="57">
        <v>36</v>
      </c>
      <c r="G1067" s="60">
        <v>2</v>
      </c>
      <c r="H1067" s="61" t="s">
        <v>957</v>
      </c>
      <c r="I1067" s="50" t="s">
        <v>958</v>
      </c>
      <c r="J1067" s="50" t="s">
        <v>959</v>
      </c>
      <c r="K1067" s="62">
        <v>5403</v>
      </c>
      <c r="L1067" s="57">
        <v>207</v>
      </c>
      <c r="M1067" s="50" t="s">
        <v>26</v>
      </c>
      <c r="N1067" s="50" t="s">
        <v>317</v>
      </c>
      <c r="O1067" s="64">
        <v>1608.76</v>
      </c>
      <c r="P1067" s="65">
        <v>12</v>
      </c>
      <c r="Q1067" s="64">
        <v>193.06</v>
      </c>
      <c r="R1067" s="63">
        <v>0</v>
      </c>
      <c r="S1067" s="64">
        <v>112.62</v>
      </c>
    </row>
    <row r="1068" spans="1:19" ht="11.1" customHeight="1" x14ac:dyDescent="0.25">
      <c r="N1068" s="50" t="s">
        <v>318</v>
      </c>
      <c r="O1068" s="64">
        <v>2171.83</v>
      </c>
      <c r="P1068" s="65">
        <v>20</v>
      </c>
      <c r="Q1068" s="64">
        <v>112.62</v>
      </c>
      <c r="R1068" s="63">
        <v>0</v>
      </c>
      <c r="S1068" s="64">
        <v>0</v>
      </c>
    </row>
    <row r="1069" spans="1:19" ht="11.1" customHeight="1" x14ac:dyDescent="0.25">
      <c r="A1069" s="57">
        <v>113069</v>
      </c>
      <c r="B1069" s="53">
        <v>46127</v>
      </c>
      <c r="C1069" s="58">
        <v>46127</v>
      </c>
      <c r="D1069" s="59" t="s">
        <v>978</v>
      </c>
      <c r="E1069" s="50" t="s">
        <v>313</v>
      </c>
      <c r="F1069" s="57">
        <v>36</v>
      </c>
      <c r="G1069" s="60">
        <v>2</v>
      </c>
      <c r="H1069" s="61" t="s">
        <v>957</v>
      </c>
      <c r="I1069" s="50" t="s">
        <v>958</v>
      </c>
      <c r="J1069" s="50" t="s">
        <v>959</v>
      </c>
      <c r="K1069" s="62">
        <v>5102</v>
      </c>
      <c r="L1069" s="57">
        <v>205</v>
      </c>
      <c r="M1069" s="50" t="s">
        <v>26</v>
      </c>
      <c r="N1069" s="50" t="s">
        <v>317</v>
      </c>
      <c r="O1069" s="64">
        <v>386</v>
      </c>
      <c r="P1069" s="65">
        <v>12</v>
      </c>
      <c r="Q1069" s="64">
        <v>46.32</v>
      </c>
      <c r="R1069" s="63">
        <v>0</v>
      </c>
      <c r="S1069" s="64">
        <v>0</v>
      </c>
    </row>
    <row r="1070" spans="1:19" ht="11.1" customHeight="1" x14ac:dyDescent="0.25">
      <c r="A1070" s="57">
        <v>113070</v>
      </c>
      <c r="B1070" s="53">
        <v>46127</v>
      </c>
      <c r="C1070" s="58">
        <v>46127</v>
      </c>
      <c r="D1070" s="59" t="s">
        <v>978</v>
      </c>
      <c r="E1070" s="50" t="s">
        <v>313</v>
      </c>
      <c r="F1070" s="57">
        <v>36</v>
      </c>
      <c r="G1070" s="60">
        <v>2</v>
      </c>
      <c r="H1070" s="61" t="s">
        <v>957</v>
      </c>
      <c r="I1070" s="50" t="s">
        <v>958</v>
      </c>
      <c r="J1070" s="50" t="s">
        <v>959</v>
      </c>
      <c r="K1070" s="62">
        <v>5403</v>
      </c>
      <c r="L1070" s="57">
        <v>207</v>
      </c>
      <c r="M1070" s="50" t="s">
        <v>26</v>
      </c>
      <c r="N1070" s="50" t="s">
        <v>317</v>
      </c>
      <c r="O1070" s="64">
        <v>213.12</v>
      </c>
      <c r="P1070" s="65">
        <v>12</v>
      </c>
      <c r="Q1070" s="64">
        <v>25.57</v>
      </c>
      <c r="R1070" s="63">
        <v>0</v>
      </c>
      <c r="S1070" s="64">
        <v>14.92</v>
      </c>
    </row>
    <row r="1071" spans="1:19" ht="11.1" customHeight="1" x14ac:dyDescent="0.25">
      <c r="N1071" s="50" t="s">
        <v>318</v>
      </c>
      <c r="O1071" s="64">
        <v>287.70999999999998</v>
      </c>
      <c r="P1071" s="65">
        <v>20</v>
      </c>
      <c r="Q1071" s="64">
        <v>14.92</v>
      </c>
      <c r="R1071" s="63">
        <v>0</v>
      </c>
      <c r="S1071" s="64">
        <v>0</v>
      </c>
    </row>
    <row r="1072" spans="1:19" ht="11.1" customHeight="1" x14ac:dyDescent="0.25">
      <c r="A1072" s="57">
        <v>113086</v>
      </c>
      <c r="B1072" s="53">
        <v>46127</v>
      </c>
      <c r="C1072" s="58">
        <v>46127</v>
      </c>
      <c r="D1072" s="59" t="s">
        <v>979</v>
      </c>
      <c r="E1072" s="50" t="s">
        <v>313</v>
      </c>
      <c r="F1072" s="57">
        <v>36</v>
      </c>
      <c r="G1072" s="60">
        <v>2</v>
      </c>
      <c r="H1072" s="61" t="s">
        <v>957</v>
      </c>
      <c r="I1072" s="50" t="s">
        <v>958</v>
      </c>
      <c r="J1072" s="50" t="s">
        <v>959</v>
      </c>
      <c r="K1072" s="62">
        <v>5102</v>
      </c>
      <c r="L1072" s="57">
        <v>205</v>
      </c>
      <c r="M1072" s="50" t="s">
        <v>26</v>
      </c>
      <c r="N1072" s="50" t="s">
        <v>317</v>
      </c>
      <c r="O1072" s="64">
        <v>76.8</v>
      </c>
      <c r="P1072" s="65">
        <v>12</v>
      </c>
      <c r="Q1072" s="64">
        <v>9.2200000000000006</v>
      </c>
      <c r="R1072" s="63">
        <v>0</v>
      </c>
      <c r="S1072" s="64">
        <v>0</v>
      </c>
    </row>
    <row r="1073" spans="1:19" ht="11.1" customHeight="1" x14ac:dyDescent="0.25">
      <c r="A1073" s="57">
        <v>113116</v>
      </c>
      <c r="B1073" s="53">
        <v>46128</v>
      </c>
      <c r="C1073" s="58">
        <v>46128</v>
      </c>
      <c r="D1073" s="59" t="s">
        <v>980</v>
      </c>
      <c r="E1073" s="50" t="s">
        <v>313</v>
      </c>
      <c r="F1073" s="57">
        <v>36</v>
      </c>
      <c r="G1073" s="60">
        <v>2</v>
      </c>
      <c r="H1073" s="61" t="s">
        <v>957</v>
      </c>
      <c r="I1073" s="50" t="s">
        <v>958</v>
      </c>
      <c r="J1073" s="50" t="s">
        <v>959</v>
      </c>
      <c r="K1073" s="62">
        <v>5403</v>
      </c>
      <c r="L1073" s="57">
        <v>207</v>
      </c>
      <c r="M1073" s="50" t="s">
        <v>26</v>
      </c>
      <c r="N1073" s="50" t="s">
        <v>317</v>
      </c>
      <c r="O1073" s="64">
        <v>319.76</v>
      </c>
      <c r="P1073" s="65">
        <v>12</v>
      </c>
      <c r="Q1073" s="64">
        <v>38.369999999999997</v>
      </c>
      <c r="R1073" s="63">
        <v>0</v>
      </c>
      <c r="S1073" s="64">
        <v>22.39</v>
      </c>
    </row>
    <row r="1074" spans="1:19" ht="11.1" customHeight="1" x14ac:dyDescent="0.25">
      <c r="N1074" s="50" t="s">
        <v>318</v>
      </c>
      <c r="O1074" s="64">
        <v>431.68</v>
      </c>
      <c r="P1074" s="65">
        <v>20</v>
      </c>
      <c r="Q1074" s="64">
        <v>22.39</v>
      </c>
      <c r="R1074" s="63">
        <v>0</v>
      </c>
      <c r="S1074" s="64">
        <v>0</v>
      </c>
    </row>
    <row r="1075" spans="1:19" ht="11.1" customHeight="1" x14ac:dyDescent="0.25">
      <c r="A1075" s="57">
        <v>113117</v>
      </c>
      <c r="B1075" s="53">
        <v>46128</v>
      </c>
      <c r="C1075" s="58">
        <v>46128</v>
      </c>
      <c r="D1075" s="59" t="s">
        <v>981</v>
      </c>
      <c r="E1075" s="50" t="s">
        <v>313</v>
      </c>
      <c r="F1075" s="57">
        <v>36</v>
      </c>
      <c r="G1075" s="60">
        <v>2</v>
      </c>
      <c r="H1075" s="61" t="s">
        <v>957</v>
      </c>
      <c r="I1075" s="50" t="s">
        <v>958</v>
      </c>
      <c r="J1075" s="50" t="s">
        <v>959</v>
      </c>
      <c r="K1075" s="62">
        <v>5102</v>
      </c>
      <c r="L1075" s="57">
        <v>205</v>
      </c>
      <c r="M1075" s="50" t="s">
        <v>26</v>
      </c>
      <c r="N1075" s="50" t="s">
        <v>317</v>
      </c>
      <c r="O1075" s="64">
        <v>914.72</v>
      </c>
      <c r="P1075" s="65">
        <v>12</v>
      </c>
      <c r="Q1075" s="64">
        <v>109.77</v>
      </c>
      <c r="R1075" s="63">
        <v>0</v>
      </c>
      <c r="S1075" s="64">
        <v>0</v>
      </c>
    </row>
    <row r="1076" spans="1:19" ht="11.1" customHeight="1" x14ac:dyDescent="0.25">
      <c r="A1076" s="57">
        <v>113118</v>
      </c>
      <c r="B1076" s="53">
        <v>46128</v>
      </c>
      <c r="C1076" s="58">
        <v>46128</v>
      </c>
      <c r="D1076" s="59" t="s">
        <v>981</v>
      </c>
      <c r="E1076" s="50" t="s">
        <v>313</v>
      </c>
      <c r="F1076" s="57">
        <v>36</v>
      </c>
      <c r="G1076" s="60">
        <v>2</v>
      </c>
      <c r="H1076" s="61" t="s">
        <v>957</v>
      </c>
      <c r="I1076" s="50" t="s">
        <v>958</v>
      </c>
      <c r="J1076" s="50" t="s">
        <v>959</v>
      </c>
      <c r="K1076" s="62">
        <v>5403</v>
      </c>
      <c r="L1076" s="57">
        <v>207</v>
      </c>
      <c r="M1076" s="50" t="s">
        <v>26</v>
      </c>
      <c r="N1076" s="50" t="s">
        <v>317</v>
      </c>
      <c r="O1076" s="64">
        <v>1658.57</v>
      </c>
      <c r="P1076" s="65">
        <v>12</v>
      </c>
      <c r="Q1076" s="64">
        <v>199.03</v>
      </c>
      <c r="R1076" s="63">
        <v>0</v>
      </c>
      <c r="S1076" s="64">
        <v>116.09</v>
      </c>
    </row>
    <row r="1077" spans="1:19" ht="11.1" customHeight="1" x14ac:dyDescent="0.25">
      <c r="N1077" s="50" t="s">
        <v>318</v>
      </c>
      <c r="O1077" s="64">
        <v>2239.0700000000002</v>
      </c>
      <c r="P1077" s="65">
        <v>20</v>
      </c>
      <c r="Q1077" s="64">
        <v>116.09</v>
      </c>
      <c r="R1077" s="63">
        <v>0</v>
      </c>
      <c r="S1077" s="64">
        <v>0</v>
      </c>
    </row>
    <row r="1078" spans="1:19" ht="11.1" customHeight="1" x14ac:dyDescent="0.25">
      <c r="A1078" s="57">
        <v>113123</v>
      </c>
      <c r="B1078" s="53">
        <v>46128</v>
      </c>
      <c r="C1078" s="58">
        <v>46128</v>
      </c>
      <c r="D1078" s="59" t="s">
        <v>982</v>
      </c>
      <c r="E1078" s="50" t="s">
        <v>313</v>
      </c>
      <c r="F1078" s="57">
        <v>36</v>
      </c>
      <c r="G1078" s="60">
        <v>2</v>
      </c>
      <c r="H1078" s="61" t="s">
        <v>957</v>
      </c>
      <c r="I1078" s="50" t="s">
        <v>958</v>
      </c>
      <c r="J1078" s="50" t="s">
        <v>959</v>
      </c>
      <c r="K1078" s="62">
        <v>5403</v>
      </c>
      <c r="L1078" s="57">
        <v>207</v>
      </c>
      <c r="M1078" s="50" t="s">
        <v>26</v>
      </c>
      <c r="N1078" s="50" t="s">
        <v>317</v>
      </c>
      <c r="O1078" s="64">
        <v>166.26</v>
      </c>
      <c r="P1078" s="65">
        <v>12</v>
      </c>
      <c r="Q1078" s="64">
        <v>19.95</v>
      </c>
      <c r="R1078" s="63">
        <v>0</v>
      </c>
      <c r="S1078" s="64">
        <v>11.64</v>
      </c>
    </row>
    <row r="1079" spans="1:19" ht="11.1" customHeight="1" x14ac:dyDescent="0.25">
      <c r="N1079" s="50" t="s">
        <v>318</v>
      </c>
      <c r="O1079" s="64">
        <v>224.45</v>
      </c>
      <c r="P1079" s="65">
        <v>20</v>
      </c>
      <c r="Q1079" s="64">
        <v>11.64</v>
      </c>
      <c r="R1079" s="63">
        <v>0</v>
      </c>
      <c r="S1079" s="64">
        <v>0</v>
      </c>
    </row>
    <row r="1080" spans="1:19" ht="11.1" customHeight="1" x14ac:dyDescent="0.25">
      <c r="A1080" s="57">
        <v>113124</v>
      </c>
      <c r="B1080" s="53">
        <v>46128</v>
      </c>
      <c r="C1080" s="58">
        <v>46128</v>
      </c>
      <c r="D1080" s="59" t="s">
        <v>983</v>
      </c>
      <c r="E1080" s="50" t="s">
        <v>313</v>
      </c>
      <c r="F1080" s="57">
        <v>36</v>
      </c>
      <c r="G1080" s="60">
        <v>2</v>
      </c>
      <c r="H1080" s="61" t="s">
        <v>957</v>
      </c>
      <c r="I1080" s="50" t="s">
        <v>958</v>
      </c>
      <c r="J1080" s="50" t="s">
        <v>959</v>
      </c>
      <c r="K1080" s="62">
        <v>5102</v>
      </c>
      <c r="L1080" s="57">
        <v>205</v>
      </c>
      <c r="M1080" s="50" t="s">
        <v>26</v>
      </c>
      <c r="N1080" s="50" t="s">
        <v>317</v>
      </c>
      <c r="O1080" s="64">
        <v>159.02000000000001</v>
      </c>
      <c r="P1080" s="65">
        <v>12</v>
      </c>
      <c r="Q1080" s="64">
        <v>19.079999999999998</v>
      </c>
      <c r="R1080" s="63">
        <v>0</v>
      </c>
      <c r="S1080" s="64">
        <v>0</v>
      </c>
    </row>
    <row r="1081" spans="1:19" ht="11.1" customHeight="1" x14ac:dyDescent="0.25">
      <c r="A1081" s="57">
        <v>113148</v>
      </c>
      <c r="B1081" s="53">
        <v>46128</v>
      </c>
      <c r="C1081" s="58">
        <v>46128</v>
      </c>
      <c r="D1081" s="59" t="s">
        <v>984</v>
      </c>
      <c r="E1081" s="50" t="s">
        <v>313</v>
      </c>
      <c r="F1081" s="57">
        <v>36</v>
      </c>
      <c r="G1081" s="60">
        <v>2</v>
      </c>
      <c r="H1081" s="61" t="s">
        <v>957</v>
      </c>
      <c r="I1081" s="50" t="s">
        <v>958</v>
      </c>
      <c r="J1081" s="50" t="s">
        <v>959</v>
      </c>
      <c r="K1081" s="62">
        <v>5102</v>
      </c>
      <c r="L1081" s="57">
        <v>205</v>
      </c>
      <c r="M1081" s="50" t="s">
        <v>26</v>
      </c>
      <c r="N1081" s="50" t="s">
        <v>317</v>
      </c>
      <c r="O1081" s="64">
        <v>938.8</v>
      </c>
      <c r="P1081" s="65">
        <v>12</v>
      </c>
      <c r="Q1081" s="64">
        <v>112.66</v>
      </c>
      <c r="R1081" s="63">
        <v>0</v>
      </c>
      <c r="S1081" s="64">
        <v>0</v>
      </c>
    </row>
    <row r="1082" spans="1:19" ht="11.1" customHeight="1" x14ac:dyDescent="0.25">
      <c r="A1082" s="57">
        <v>113160</v>
      </c>
      <c r="B1082" s="53">
        <v>46128</v>
      </c>
      <c r="C1082" s="58">
        <v>46128</v>
      </c>
      <c r="D1082" s="59" t="s">
        <v>985</v>
      </c>
      <c r="E1082" s="50" t="s">
        <v>313</v>
      </c>
      <c r="F1082" s="57">
        <v>36</v>
      </c>
      <c r="G1082" s="60">
        <v>2</v>
      </c>
      <c r="H1082" s="61" t="s">
        <v>957</v>
      </c>
      <c r="I1082" s="50" t="s">
        <v>958</v>
      </c>
      <c r="J1082" s="50" t="s">
        <v>959</v>
      </c>
      <c r="K1082" s="62">
        <v>5403</v>
      </c>
      <c r="L1082" s="57">
        <v>207</v>
      </c>
      <c r="M1082" s="50" t="s">
        <v>26</v>
      </c>
      <c r="N1082" s="50" t="s">
        <v>317</v>
      </c>
      <c r="O1082" s="64">
        <v>150.78</v>
      </c>
      <c r="P1082" s="65">
        <v>12</v>
      </c>
      <c r="Q1082" s="64">
        <v>18.09</v>
      </c>
      <c r="R1082" s="63">
        <v>0</v>
      </c>
      <c r="S1082" s="64">
        <v>10.55</v>
      </c>
    </row>
    <row r="1083" spans="1:19" ht="11.1" customHeight="1" x14ac:dyDescent="0.25">
      <c r="N1083" s="50" t="s">
        <v>318</v>
      </c>
      <c r="O1083" s="64">
        <v>203.55</v>
      </c>
      <c r="P1083" s="65">
        <v>20</v>
      </c>
      <c r="Q1083" s="64">
        <v>10.55</v>
      </c>
      <c r="R1083" s="63">
        <v>0</v>
      </c>
      <c r="S1083" s="64">
        <v>0</v>
      </c>
    </row>
    <row r="1084" spans="1:19" ht="11.1" customHeight="1" x14ac:dyDescent="0.25">
      <c r="A1084" s="57">
        <v>113165</v>
      </c>
      <c r="B1084" s="53">
        <v>46129</v>
      </c>
      <c r="C1084" s="58">
        <v>46129</v>
      </c>
      <c r="D1084" s="59" t="s">
        <v>986</v>
      </c>
      <c r="E1084" s="50" t="s">
        <v>313</v>
      </c>
      <c r="F1084" s="57">
        <v>36</v>
      </c>
      <c r="G1084" s="60">
        <v>2</v>
      </c>
      <c r="H1084" s="61" t="s">
        <v>957</v>
      </c>
      <c r="I1084" s="50" t="s">
        <v>958</v>
      </c>
      <c r="J1084" s="50" t="s">
        <v>959</v>
      </c>
      <c r="K1084" s="62">
        <v>5403</v>
      </c>
      <c r="L1084" s="57">
        <v>207</v>
      </c>
      <c r="M1084" s="50" t="s">
        <v>26</v>
      </c>
      <c r="N1084" s="50" t="s">
        <v>317</v>
      </c>
      <c r="O1084" s="64">
        <v>161.88</v>
      </c>
      <c r="P1084" s="65">
        <v>12</v>
      </c>
      <c r="Q1084" s="64">
        <v>19.43</v>
      </c>
      <c r="R1084" s="63">
        <v>0</v>
      </c>
      <c r="S1084" s="64">
        <v>11.33</v>
      </c>
    </row>
    <row r="1085" spans="1:19" ht="11.1" customHeight="1" x14ac:dyDescent="0.25">
      <c r="N1085" s="50" t="s">
        <v>318</v>
      </c>
      <c r="O1085" s="64">
        <v>218.54</v>
      </c>
      <c r="P1085" s="65">
        <v>20</v>
      </c>
      <c r="Q1085" s="64">
        <v>11.33</v>
      </c>
      <c r="R1085" s="63">
        <v>0</v>
      </c>
      <c r="S1085" s="64">
        <v>0</v>
      </c>
    </row>
    <row r="1086" spans="1:19" ht="11.1" customHeight="1" x14ac:dyDescent="0.25">
      <c r="A1086" s="57">
        <v>113166</v>
      </c>
      <c r="B1086" s="53">
        <v>46129</v>
      </c>
      <c r="C1086" s="58">
        <v>46129</v>
      </c>
      <c r="D1086" s="59" t="s">
        <v>987</v>
      </c>
      <c r="E1086" s="50" t="s">
        <v>313</v>
      </c>
      <c r="F1086" s="57">
        <v>36</v>
      </c>
      <c r="G1086" s="60">
        <v>2</v>
      </c>
      <c r="H1086" s="61" t="s">
        <v>957</v>
      </c>
      <c r="I1086" s="50" t="s">
        <v>958</v>
      </c>
      <c r="J1086" s="50" t="s">
        <v>959</v>
      </c>
      <c r="K1086" s="62">
        <v>5102</v>
      </c>
      <c r="L1086" s="57">
        <v>205</v>
      </c>
      <c r="M1086" s="50" t="s">
        <v>26</v>
      </c>
      <c r="N1086" s="50" t="s">
        <v>317</v>
      </c>
      <c r="O1086" s="64">
        <v>919.53</v>
      </c>
      <c r="P1086" s="65">
        <v>12</v>
      </c>
      <c r="Q1086" s="64">
        <v>110.35</v>
      </c>
      <c r="R1086" s="63">
        <v>0</v>
      </c>
      <c r="S1086" s="64">
        <v>0</v>
      </c>
    </row>
    <row r="1087" spans="1:19" ht="11.1" customHeight="1" x14ac:dyDescent="0.25">
      <c r="A1087" s="57">
        <v>113167</v>
      </c>
      <c r="B1087" s="53">
        <v>46129</v>
      </c>
      <c r="C1087" s="58">
        <v>46129</v>
      </c>
      <c r="D1087" s="59" t="s">
        <v>987</v>
      </c>
      <c r="E1087" s="50" t="s">
        <v>313</v>
      </c>
      <c r="F1087" s="57">
        <v>36</v>
      </c>
      <c r="G1087" s="60">
        <v>2</v>
      </c>
      <c r="H1087" s="61" t="s">
        <v>957</v>
      </c>
      <c r="I1087" s="50" t="s">
        <v>958</v>
      </c>
      <c r="J1087" s="50" t="s">
        <v>959</v>
      </c>
      <c r="K1087" s="62">
        <v>5403</v>
      </c>
      <c r="L1087" s="57">
        <v>207</v>
      </c>
      <c r="M1087" s="50" t="s">
        <v>26</v>
      </c>
      <c r="N1087" s="50" t="s">
        <v>317</v>
      </c>
      <c r="O1087" s="64">
        <v>1315.2</v>
      </c>
      <c r="P1087" s="65">
        <v>12</v>
      </c>
      <c r="Q1087" s="64">
        <v>157.83000000000001</v>
      </c>
      <c r="R1087" s="63">
        <v>0</v>
      </c>
      <c r="S1087" s="64">
        <v>92.05</v>
      </c>
    </row>
    <row r="1088" spans="1:19" ht="11.1" customHeight="1" x14ac:dyDescent="0.25">
      <c r="N1088" s="50" t="s">
        <v>318</v>
      </c>
      <c r="O1088" s="64">
        <v>1775.53</v>
      </c>
      <c r="P1088" s="65">
        <v>20</v>
      </c>
      <c r="Q1088" s="64">
        <v>92.05</v>
      </c>
      <c r="R1088" s="63">
        <v>0</v>
      </c>
      <c r="S1088" s="64">
        <v>0</v>
      </c>
    </row>
    <row r="1089" spans="1:19" ht="11.1" customHeight="1" x14ac:dyDescent="0.25">
      <c r="A1089" s="57">
        <v>113218</v>
      </c>
      <c r="B1089" s="53">
        <v>46132</v>
      </c>
      <c r="C1089" s="58">
        <v>46132</v>
      </c>
      <c r="D1089" s="59" t="s">
        <v>988</v>
      </c>
      <c r="E1089" s="50" t="s">
        <v>313</v>
      </c>
      <c r="F1089" s="57">
        <v>36</v>
      </c>
      <c r="G1089" s="60">
        <v>2</v>
      </c>
      <c r="H1089" s="61" t="s">
        <v>957</v>
      </c>
      <c r="I1089" s="50" t="s">
        <v>958</v>
      </c>
      <c r="J1089" s="50" t="s">
        <v>959</v>
      </c>
      <c r="K1089" s="62">
        <v>5102</v>
      </c>
      <c r="L1089" s="57">
        <v>205</v>
      </c>
      <c r="M1089" s="50" t="s">
        <v>26</v>
      </c>
      <c r="N1089" s="50" t="s">
        <v>317</v>
      </c>
      <c r="O1089" s="64">
        <v>46.23</v>
      </c>
      <c r="P1089" s="65">
        <v>12</v>
      </c>
      <c r="Q1089" s="64">
        <v>5.55</v>
      </c>
      <c r="R1089" s="63">
        <v>0</v>
      </c>
      <c r="S1089" s="64">
        <v>0</v>
      </c>
    </row>
    <row r="1090" spans="1:19" ht="11.1" customHeight="1" x14ac:dyDescent="0.25">
      <c r="A1090" s="57">
        <v>113226</v>
      </c>
      <c r="B1090" s="53">
        <v>46132</v>
      </c>
      <c r="C1090" s="58">
        <v>46132</v>
      </c>
      <c r="D1090" s="59" t="s">
        <v>989</v>
      </c>
      <c r="E1090" s="50" t="s">
        <v>313</v>
      </c>
      <c r="F1090" s="57">
        <v>36</v>
      </c>
      <c r="G1090" s="60">
        <v>2</v>
      </c>
      <c r="H1090" s="61" t="s">
        <v>957</v>
      </c>
      <c r="I1090" s="50" t="s">
        <v>958</v>
      </c>
      <c r="J1090" s="50" t="s">
        <v>959</v>
      </c>
      <c r="K1090" s="62">
        <v>5102</v>
      </c>
      <c r="L1090" s="57">
        <v>205</v>
      </c>
      <c r="M1090" s="50" t="s">
        <v>26</v>
      </c>
      <c r="N1090" s="50" t="s">
        <v>317</v>
      </c>
      <c r="O1090" s="64">
        <v>289.5</v>
      </c>
      <c r="P1090" s="65">
        <v>12</v>
      </c>
      <c r="Q1090" s="64">
        <v>34.74</v>
      </c>
      <c r="R1090" s="63">
        <v>0</v>
      </c>
      <c r="S1090" s="64">
        <v>0</v>
      </c>
    </row>
    <row r="1091" spans="1:19" ht="11.1" customHeight="1" x14ac:dyDescent="0.25">
      <c r="A1091" s="57">
        <v>113235</v>
      </c>
      <c r="B1091" s="53">
        <v>46132</v>
      </c>
      <c r="C1091" s="58">
        <v>46132</v>
      </c>
      <c r="D1091" s="59" t="s">
        <v>990</v>
      </c>
      <c r="E1091" s="50" t="s">
        <v>313</v>
      </c>
      <c r="F1091" s="57">
        <v>36</v>
      </c>
      <c r="G1091" s="60">
        <v>2</v>
      </c>
      <c r="H1091" s="61" t="s">
        <v>957</v>
      </c>
      <c r="I1091" s="50" t="s">
        <v>958</v>
      </c>
      <c r="J1091" s="50" t="s">
        <v>959</v>
      </c>
      <c r="K1091" s="62">
        <v>5102</v>
      </c>
      <c r="L1091" s="57">
        <v>205</v>
      </c>
      <c r="M1091" s="50" t="s">
        <v>26</v>
      </c>
      <c r="N1091" s="50" t="s">
        <v>317</v>
      </c>
      <c r="O1091" s="64">
        <v>684.66</v>
      </c>
      <c r="P1091" s="65">
        <v>12</v>
      </c>
      <c r="Q1091" s="64">
        <v>82.16</v>
      </c>
      <c r="R1091" s="63">
        <v>0</v>
      </c>
      <c r="S1091" s="64">
        <v>0</v>
      </c>
    </row>
    <row r="1092" spans="1:19" ht="11.1" customHeight="1" x14ac:dyDescent="0.25">
      <c r="A1092" s="57">
        <v>113250</v>
      </c>
      <c r="B1092" s="53">
        <v>46132</v>
      </c>
      <c r="C1092" s="58">
        <v>46132</v>
      </c>
      <c r="D1092" s="59" t="s">
        <v>991</v>
      </c>
      <c r="E1092" s="50" t="s">
        <v>313</v>
      </c>
      <c r="F1092" s="57">
        <v>36</v>
      </c>
      <c r="G1092" s="60">
        <v>2</v>
      </c>
      <c r="H1092" s="61" t="s">
        <v>957</v>
      </c>
      <c r="I1092" s="50" t="s">
        <v>958</v>
      </c>
      <c r="J1092" s="50" t="s">
        <v>959</v>
      </c>
      <c r="K1092" s="62">
        <v>5102</v>
      </c>
      <c r="L1092" s="57">
        <v>205</v>
      </c>
      <c r="M1092" s="50" t="s">
        <v>26</v>
      </c>
      <c r="N1092" s="50" t="s">
        <v>317</v>
      </c>
      <c r="O1092" s="64">
        <v>7315.99</v>
      </c>
      <c r="P1092" s="65">
        <v>12</v>
      </c>
      <c r="Q1092" s="64">
        <v>877.91</v>
      </c>
      <c r="R1092" s="63">
        <v>0</v>
      </c>
      <c r="S1092" s="64">
        <v>0</v>
      </c>
    </row>
    <row r="1093" spans="1:19" ht="11.1" customHeight="1" x14ac:dyDescent="0.25">
      <c r="A1093" s="57">
        <v>113251</v>
      </c>
      <c r="B1093" s="53">
        <v>46132</v>
      </c>
      <c r="C1093" s="58">
        <v>46132</v>
      </c>
      <c r="D1093" s="59" t="s">
        <v>991</v>
      </c>
      <c r="E1093" s="50" t="s">
        <v>313</v>
      </c>
      <c r="F1093" s="57">
        <v>36</v>
      </c>
      <c r="G1093" s="60">
        <v>2</v>
      </c>
      <c r="H1093" s="61" t="s">
        <v>957</v>
      </c>
      <c r="I1093" s="50" t="s">
        <v>958</v>
      </c>
      <c r="J1093" s="50" t="s">
        <v>959</v>
      </c>
      <c r="K1093" s="62">
        <v>5403</v>
      </c>
      <c r="L1093" s="57">
        <v>207</v>
      </c>
      <c r="M1093" s="50" t="s">
        <v>26</v>
      </c>
      <c r="N1093" s="50" t="s">
        <v>317</v>
      </c>
      <c r="O1093" s="64">
        <v>9210.83</v>
      </c>
      <c r="P1093" s="65">
        <v>12</v>
      </c>
      <c r="Q1093" s="64">
        <v>1105.3</v>
      </c>
      <c r="R1093" s="63">
        <v>0</v>
      </c>
      <c r="S1093" s="64">
        <v>644.76</v>
      </c>
    </row>
    <row r="1094" spans="1:19" ht="11.1" customHeight="1" x14ac:dyDescent="0.25">
      <c r="N1094" s="50" t="s">
        <v>318</v>
      </c>
      <c r="O1094" s="64">
        <v>12434.61</v>
      </c>
      <c r="P1094" s="65">
        <v>20</v>
      </c>
      <c r="Q1094" s="64">
        <v>644.76</v>
      </c>
      <c r="R1094" s="63">
        <v>0</v>
      </c>
      <c r="S1094" s="64">
        <v>0</v>
      </c>
    </row>
    <row r="1095" spans="1:19" ht="11.1" customHeight="1" x14ac:dyDescent="0.25">
      <c r="A1095" s="57">
        <v>113293</v>
      </c>
      <c r="B1095" s="53">
        <v>46134</v>
      </c>
      <c r="C1095" s="58">
        <v>46134</v>
      </c>
      <c r="D1095" s="59" t="s">
        <v>992</v>
      </c>
      <c r="E1095" s="50" t="s">
        <v>313</v>
      </c>
      <c r="F1095" s="57">
        <v>36</v>
      </c>
      <c r="G1095" s="60">
        <v>2</v>
      </c>
      <c r="H1095" s="61" t="s">
        <v>957</v>
      </c>
      <c r="I1095" s="50" t="s">
        <v>958</v>
      </c>
      <c r="J1095" s="50" t="s">
        <v>959</v>
      </c>
      <c r="K1095" s="62">
        <v>5403</v>
      </c>
      <c r="L1095" s="57">
        <v>207</v>
      </c>
      <c r="M1095" s="50" t="s">
        <v>26</v>
      </c>
      <c r="N1095" s="50" t="s">
        <v>317</v>
      </c>
      <c r="O1095" s="64">
        <v>233.22</v>
      </c>
      <c r="P1095" s="65">
        <v>12</v>
      </c>
      <c r="Q1095" s="64">
        <v>27.99</v>
      </c>
      <c r="R1095" s="63">
        <v>0</v>
      </c>
      <c r="S1095" s="64">
        <v>16.329999999999998</v>
      </c>
    </row>
    <row r="1096" spans="1:19" ht="11.1" customHeight="1" x14ac:dyDescent="0.25">
      <c r="N1096" s="50" t="s">
        <v>318</v>
      </c>
      <c r="O1096" s="64">
        <v>314.85000000000002</v>
      </c>
      <c r="P1096" s="65">
        <v>20</v>
      </c>
      <c r="Q1096" s="64">
        <v>16.329999999999998</v>
      </c>
      <c r="R1096" s="63">
        <v>0</v>
      </c>
      <c r="S1096" s="64">
        <v>0</v>
      </c>
    </row>
    <row r="1097" spans="1:19" ht="11.1" customHeight="1" x14ac:dyDescent="0.25">
      <c r="A1097" s="57">
        <v>113295</v>
      </c>
      <c r="B1097" s="53">
        <v>46134</v>
      </c>
      <c r="C1097" s="58">
        <v>46134</v>
      </c>
      <c r="D1097" s="59" t="s">
        <v>993</v>
      </c>
      <c r="E1097" s="50" t="s">
        <v>313</v>
      </c>
      <c r="F1097" s="57">
        <v>36</v>
      </c>
      <c r="G1097" s="60">
        <v>2</v>
      </c>
      <c r="H1097" s="61" t="s">
        <v>957</v>
      </c>
      <c r="I1097" s="50" t="s">
        <v>958</v>
      </c>
      <c r="J1097" s="50" t="s">
        <v>959</v>
      </c>
      <c r="K1097" s="62">
        <v>5102</v>
      </c>
      <c r="L1097" s="57">
        <v>205</v>
      </c>
      <c r="M1097" s="50" t="s">
        <v>26</v>
      </c>
      <c r="N1097" s="50" t="s">
        <v>317</v>
      </c>
      <c r="O1097" s="64">
        <v>399</v>
      </c>
      <c r="P1097" s="65">
        <v>12</v>
      </c>
      <c r="Q1097" s="64">
        <v>47.88</v>
      </c>
      <c r="R1097" s="63">
        <v>0</v>
      </c>
      <c r="S1097" s="64">
        <v>0</v>
      </c>
    </row>
    <row r="1098" spans="1:19" ht="11.1" customHeight="1" x14ac:dyDescent="0.25">
      <c r="A1098" s="57">
        <v>113296</v>
      </c>
      <c r="B1098" s="53">
        <v>46134</v>
      </c>
      <c r="C1098" s="58">
        <v>46134</v>
      </c>
      <c r="D1098" s="59" t="s">
        <v>993</v>
      </c>
      <c r="E1098" s="50" t="s">
        <v>313</v>
      </c>
      <c r="F1098" s="57">
        <v>36</v>
      </c>
      <c r="G1098" s="60">
        <v>2</v>
      </c>
      <c r="H1098" s="61" t="s">
        <v>957</v>
      </c>
      <c r="I1098" s="50" t="s">
        <v>958</v>
      </c>
      <c r="J1098" s="50" t="s">
        <v>959</v>
      </c>
      <c r="K1098" s="62">
        <v>5403</v>
      </c>
      <c r="L1098" s="57">
        <v>207</v>
      </c>
      <c r="M1098" s="50" t="s">
        <v>26</v>
      </c>
      <c r="N1098" s="50" t="s">
        <v>317</v>
      </c>
      <c r="O1098" s="64">
        <v>252.87</v>
      </c>
      <c r="P1098" s="65">
        <v>12</v>
      </c>
      <c r="Q1098" s="64">
        <v>30.34</v>
      </c>
      <c r="R1098" s="63">
        <v>0</v>
      </c>
      <c r="S1098" s="64">
        <v>17.7</v>
      </c>
    </row>
    <row r="1099" spans="1:19" ht="11.1" customHeight="1" x14ac:dyDescent="0.25">
      <c r="N1099" s="50" t="s">
        <v>318</v>
      </c>
      <c r="O1099" s="64">
        <v>341.37</v>
      </c>
      <c r="P1099" s="65">
        <v>20</v>
      </c>
      <c r="Q1099" s="64">
        <v>17.7</v>
      </c>
      <c r="R1099" s="63">
        <v>0</v>
      </c>
      <c r="S1099" s="64">
        <v>0</v>
      </c>
    </row>
    <row r="1100" spans="1:19" ht="11.1" customHeight="1" x14ac:dyDescent="0.25">
      <c r="A1100" s="57">
        <v>113316</v>
      </c>
      <c r="B1100" s="53">
        <v>46135</v>
      </c>
      <c r="C1100" s="58">
        <v>46135</v>
      </c>
      <c r="D1100" s="59" t="s">
        <v>994</v>
      </c>
      <c r="E1100" s="50" t="s">
        <v>313</v>
      </c>
      <c r="F1100" s="57">
        <v>36</v>
      </c>
      <c r="G1100" s="60">
        <v>2</v>
      </c>
      <c r="H1100" s="61" t="s">
        <v>957</v>
      </c>
      <c r="I1100" s="50" t="s">
        <v>958</v>
      </c>
      <c r="J1100" s="50" t="s">
        <v>959</v>
      </c>
      <c r="K1100" s="62">
        <v>5403</v>
      </c>
      <c r="L1100" s="57">
        <v>207</v>
      </c>
      <c r="M1100" s="50" t="s">
        <v>26</v>
      </c>
      <c r="N1100" s="50" t="s">
        <v>317</v>
      </c>
      <c r="O1100" s="64">
        <v>169.86</v>
      </c>
      <c r="P1100" s="65">
        <v>12</v>
      </c>
      <c r="Q1100" s="64">
        <v>20.38</v>
      </c>
      <c r="R1100" s="63">
        <v>0</v>
      </c>
      <c r="S1100" s="64">
        <v>11.89</v>
      </c>
    </row>
    <row r="1101" spans="1:19" ht="11.1" customHeight="1" x14ac:dyDescent="0.25">
      <c r="N1101" s="50" t="s">
        <v>318</v>
      </c>
      <c r="O1101" s="64">
        <v>229.31</v>
      </c>
      <c r="P1101" s="65">
        <v>20</v>
      </c>
      <c r="Q1101" s="64">
        <v>11.89</v>
      </c>
      <c r="R1101" s="63">
        <v>0</v>
      </c>
      <c r="S1101" s="64">
        <v>0</v>
      </c>
    </row>
    <row r="1102" spans="1:19" ht="11.1" customHeight="1" x14ac:dyDescent="0.25">
      <c r="A1102" s="57">
        <v>113324</v>
      </c>
      <c r="B1102" s="53">
        <v>46135</v>
      </c>
      <c r="C1102" s="58">
        <v>46135</v>
      </c>
      <c r="D1102" s="59" t="s">
        <v>995</v>
      </c>
      <c r="E1102" s="50" t="s">
        <v>313</v>
      </c>
      <c r="F1102" s="57">
        <v>36</v>
      </c>
      <c r="G1102" s="60">
        <v>2</v>
      </c>
      <c r="H1102" s="61" t="s">
        <v>957</v>
      </c>
      <c r="I1102" s="50" t="s">
        <v>958</v>
      </c>
      <c r="J1102" s="50" t="s">
        <v>959</v>
      </c>
      <c r="K1102" s="62">
        <v>5102</v>
      </c>
      <c r="L1102" s="57">
        <v>205</v>
      </c>
      <c r="M1102" s="50" t="s">
        <v>26</v>
      </c>
      <c r="N1102" s="50" t="s">
        <v>317</v>
      </c>
      <c r="O1102" s="64">
        <v>351.32</v>
      </c>
      <c r="P1102" s="65">
        <v>12</v>
      </c>
      <c r="Q1102" s="64">
        <v>42.16</v>
      </c>
      <c r="R1102" s="63">
        <v>0</v>
      </c>
      <c r="S1102" s="64">
        <v>0</v>
      </c>
    </row>
    <row r="1103" spans="1:19" ht="11.1" customHeight="1" x14ac:dyDescent="0.25">
      <c r="A1103" s="57">
        <v>113327</v>
      </c>
      <c r="B1103" s="53">
        <v>46135</v>
      </c>
      <c r="C1103" s="58">
        <v>46135</v>
      </c>
      <c r="D1103" s="59" t="s">
        <v>996</v>
      </c>
      <c r="E1103" s="50" t="s">
        <v>313</v>
      </c>
      <c r="F1103" s="57">
        <v>36</v>
      </c>
      <c r="G1103" s="60">
        <v>2</v>
      </c>
      <c r="H1103" s="61" t="s">
        <v>957</v>
      </c>
      <c r="I1103" s="50" t="s">
        <v>958</v>
      </c>
      <c r="J1103" s="50" t="s">
        <v>959</v>
      </c>
      <c r="K1103" s="62">
        <v>5102</v>
      </c>
      <c r="L1103" s="57">
        <v>205</v>
      </c>
      <c r="M1103" s="50" t="s">
        <v>26</v>
      </c>
      <c r="N1103" s="50" t="s">
        <v>317</v>
      </c>
      <c r="O1103" s="64">
        <v>535.04999999999995</v>
      </c>
      <c r="P1103" s="65">
        <v>12</v>
      </c>
      <c r="Q1103" s="64">
        <v>64.209999999999994</v>
      </c>
      <c r="R1103" s="63">
        <v>0</v>
      </c>
      <c r="S1103" s="64">
        <v>0</v>
      </c>
    </row>
    <row r="1104" spans="1:19" ht="11.1" customHeight="1" x14ac:dyDescent="0.25">
      <c r="A1104" s="57">
        <v>113349</v>
      </c>
      <c r="B1104" s="53">
        <v>46135</v>
      </c>
      <c r="C1104" s="58">
        <v>46135</v>
      </c>
      <c r="D1104" s="59" t="s">
        <v>997</v>
      </c>
      <c r="E1104" s="50" t="s">
        <v>313</v>
      </c>
      <c r="F1104" s="57">
        <v>36</v>
      </c>
      <c r="G1104" s="60">
        <v>2</v>
      </c>
      <c r="H1104" s="61" t="s">
        <v>957</v>
      </c>
      <c r="I1104" s="50" t="s">
        <v>958</v>
      </c>
      <c r="J1104" s="50" t="s">
        <v>959</v>
      </c>
      <c r="K1104" s="62">
        <v>5102</v>
      </c>
      <c r="L1104" s="57">
        <v>205</v>
      </c>
      <c r="M1104" s="50" t="s">
        <v>26</v>
      </c>
      <c r="N1104" s="50" t="s">
        <v>317</v>
      </c>
      <c r="O1104" s="64">
        <v>792.64</v>
      </c>
      <c r="P1104" s="65">
        <v>12</v>
      </c>
      <c r="Q1104" s="64">
        <v>95.12</v>
      </c>
      <c r="R1104" s="63">
        <v>0</v>
      </c>
      <c r="S1104" s="64">
        <v>0</v>
      </c>
    </row>
    <row r="1105" spans="1:19" ht="11.1" customHeight="1" x14ac:dyDescent="0.25">
      <c r="A1105" s="57">
        <v>113382</v>
      </c>
      <c r="B1105" s="53">
        <v>46136</v>
      </c>
      <c r="C1105" s="58">
        <v>46136</v>
      </c>
      <c r="D1105" s="59" t="s">
        <v>998</v>
      </c>
      <c r="E1105" s="50" t="s">
        <v>313</v>
      </c>
      <c r="F1105" s="57">
        <v>36</v>
      </c>
      <c r="G1105" s="60">
        <v>2</v>
      </c>
      <c r="H1105" s="61" t="s">
        <v>957</v>
      </c>
      <c r="I1105" s="50" t="s">
        <v>958</v>
      </c>
      <c r="J1105" s="50" t="s">
        <v>959</v>
      </c>
      <c r="K1105" s="62">
        <v>5102</v>
      </c>
      <c r="L1105" s="57">
        <v>205</v>
      </c>
      <c r="M1105" s="50" t="s">
        <v>26</v>
      </c>
      <c r="N1105" s="50" t="s">
        <v>317</v>
      </c>
      <c r="O1105" s="64">
        <v>555.67999999999995</v>
      </c>
      <c r="P1105" s="65">
        <v>12</v>
      </c>
      <c r="Q1105" s="64">
        <v>66.69</v>
      </c>
      <c r="R1105" s="63">
        <v>0</v>
      </c>
      <c r="S1105" s="64">
        <v>0</v>
      </c>
    </row>
    <row r="1106" spans="1:19" ht="11.1" customHeight="1" x14ac:dyDescent="0.25">
      <c r="A1106" s="57">
        <v>113383</v>
      </c>
      <c r="B1106" s="53">
        <v>46136</v>
      </c>
      <c r="C1106" s="58">
        <v>46136</v>
      </c>
      <c r="D1106" s="59" t="s">
        <v>998</v>
      </c>
      <c r="E1106" s="50" t="s">
        <v>313</v>
      </c>
      <c r="F1106" s="57">
        <v>36</v>
      </c>
      <c r="G1106" s="60">
        <v>2</v>
      </c>
      <c r="H1106" s="61" t="s">
        <v>957</v>
      </c>
      <c r="I1106" s="50" t="s">
        <v>958</v>
      </c>
      <c r="J1106" s="50" t="s">
        <v>959</v>
      </c>
      <c r="K1106" s="62">
        <v>5403</v>
      </c>
      <c r="L1106" s="57">
        <v>207</v>
      </c>
      <c r="M1106" s="50" t="s">
        <v>26</v>
      </c>
      <c r="N1106" s="50" t="s">
        <v>317</v>
      </c>
      <c r="O1106" s="64">
        <v>426.6</v>
      </c>
      <c r="P1106" s="65">
        <v>12</v>
      </c>
      <c r="Q1106" s="64">
        <v>51.19</v>
      </c>
      <c r="R1106" s="63">
        <v>0</v>
      </c>
      <c r="S1106" s="64">
        <v>29.86</v>
      </c>
    </row>
    <row r="1107" spans="1:19" ht="11.1" customHeight="1" x14ac:dyDescent="0.25">
      <c r="N1107" s="50" t="s">
        <v>318</v>
      </c>
      <c r="O1107" s="64">
        <v>575.91</v>
      </c>
      <c r="P1107" s="65">
        <v>20</v>
      </c>
      <c r="Q1107" s="64">
        <v>29.86</v>
      </c>
      <c r="R1107" s="63">
        <v>0</v>
      </c>
      <c r="S1107" s="64">
        <v>0</v>
      </c>
    </row>
    <row r="1108" spans="1:19" ht="11.1" customHeight="1" x14ac:dyDescent="0.25">
      <c r="A1108" s="57">
        <v>113417</v>
      </c>
      <c r="B1108" s="53">
        <v>46136</v>
      </c>
      <c r="C1108" s="58">
        <v>46136</v>
      </c>
      <c r="D1108" s="59" t="s">
        <v>999</v>
      </c>
      <c r="E1108" s="50" t="s">
        <v>313</v>
      </c>
      <c r="F1108" s="57">
        <v>36</v>
      </c>
      <c r="G1108" s="60">
        <v>2</v>
      </c>
      <c r="H1108" s="61" t="s">
        <v>957</v>
      </c>
      <c r="I1108" s="50" t="s">
        <v>958</v>
      </c>
      <c r="J1108" s="50" t="s">
        <v>959</v>
      </c>
      <c r="K1108" s="62">
        <v>5403</v>
      </c>
      <c r="L1108" s="57">
        <v>207</v>
      </c>
      <c r="M1108" s="50" t="s">
        <v>26</v>
      </c>
      <c r="N1108" s="50" t="s">
        <v>317</v>
      </c>
      <c r="O1108" s="64">
        <v>437.01</v>
      </c>
      <c r="P1108" s="65">
        <v>12</v>
      </c>
      <c r="Q1108" s="64">
        <v>52.44</v>
      </c>
      <c r="R1108" s="63">
        <v>0</v>
      </c>
      <c r="S1108" s="64">
        <v>30.59</v>
      </c>
    </row>
    <row r="1109" spans="1:19" ht="11.1" customHeight="1" x14ac:dyDescent="0.25">
      <c r="N1109" s="50" t="s">
        <v>318</v>
      </c>
      <c r="O1109" s="64">
        <v>589.96</v>
      </c>
      <c r="P1109" s="65">
        <v>20</v>
      </c>
      <c r="Q1109" s="64">
        <v>30.59</v>
      </c>
      <c r="R1109" s="63">
        <v>0</v>
      </c>
      <c r="S1109" s="64">
        <v>0</v>
      </c>
    </row>
    <row r="1110" spans="1:19" ht="11.1" customHeight="1" x14ac:dyDescent="0.25">
      <c r="A1110" s="57">
        <v>113439</v>
      </c>
      <c r="B1110" s="53">
        <v>46139</v>
      </c>
      <c r="C1110" s="58">
        <v>46139</v>
      </c>
      <c r="D1110" s="59" t="s">
        <v>1000</v>
      </c>
      <c r="E1110" s="50" t="s">
        <v>313</v>
      </c>
      <c r="F1110" s="57">
        <v>36</v>
      </c>
      <c r="G1110" s="60">
        <v>2</v>
      </c>
      <c r="H1110" s="61" t="s">
        <v>957</v>
      </c>
      <c r="I1110" s="50" t="s">
        <v>958</v>
      </c>
      <c r="J1110" s="50" t="s">
        <v>959</v>
      </c>
      <c r="K1110" s="62">
        <v>5102</v>
      </c>
      <c r="L1110" s="57">
        <v>205</v>
      </c>
      <c r="M1110" s="50" t="s">
        <v>26</v>
      </c>
      <c r="N1110" s="50" t="s">
        <v>317</v>
      </c>
      <c r="O1110" s="64">
        <v>38</v>
      </c>
      <c r="P1110" s="65">
        <v>12</v>
      </c>
      <c r="Q1110" s="64">
        <v>4.5599999999999996</v>
      </c>
      <c r="R1110" s="63">
        <v>0</v>
      </c>
      <c r="S1110" s="64">
        <v>0</v>
      </c>
    </row>
    <row r="1111" spans="1:19" ht="11.1" customHeight="1" x14ac:dyDescent="0.25">
      <c r="A1111" s="57">
        <v>113440</v>
      </c>
      <c r="B1111" s="53">
        <v>46139</v>
      </c>
      <c r="C1111" s="58">
        <v>46139</v>
      </c>
      <c r="D1111" s="59" t="s">
        <v>1001</v>
      </c>
      <c r="E1111" s="50" t="s">
        <v>313</v>
      </c>
      <c r="F1111" s="57">
        <v>36</v>
      </c>
      <c r="G1111" s="60">
        <v>2</v>
      </c>
      <c r="H1111" s="61" t="s">
        <v>957</v>
      </c>
      <c r="I1111" s="50" t="s">
        <v>958</v>
      </c>
      <c r="J1111" s="50" t="s">
        <v>959</v>
      </c>
      <c r="K1111" s="62">
        <v>5102</v>
      </c>
      <c r="L1111" s="57">
        <v>205</v>
      </c>
      <c r="M1111" s="50" t="s">
        <v>26</v>
      </c>
      <c r="N1111" s="50" t="s">
        <v>317</v>
      </c>
      <c r="O1111" s="64">
        <v>856.08</v>
      </c>
      <c r="P1111" s="65">
        <v>12</v>
      </c>
      <c r="Q1111" s="64">
        <v>102.73</v>
      </c>
      <c r="R1111" s="63">
        <v>0</v>
      </c>
      <c r="S1111" s="64">
        <v>0</v>
      </c>
    </row>
    <row r="1112" spans="1:19" ht="11.1" customHeight="1" x14ac:dyDescent="0.25">
      <c r="A1112" s="57">
        <v>113441</v>
      </c>
      <c r="B1112" s="53">
        <v>46139</v>
      </c>
      <c r="C1112" s="58">
        <v>46139</v>
      </c>
      <c r="D1112" s="59" t="s">
        <v>1001</v>
      </c>
      <c r="E1112" s="50" t="s">
        <v>313</v>
      </c>
      <c r="F1112" s="57">
        <v>36</v>
      </c>
      <c r="G1112" s="60">
        <v>2</v>
      </c>
      <c r="H1112" s="61" t="s">
        <v>957</v>
      </c>
      <c r="I1112" s="50" t="s">
        <v>958</v>
      </c>
      <c r="J1112" s="50" t="s">
        <v>959</v>
      </c>
      <c r="K1112" s="62">
        <v>5403</v>
      </c>
      <c r="L1112" s="57">
        <v>207</v>
      </c>
      <c r="M1112" s="50" t="s">
        <v>26</v>
      </c>
      <c r="N1112" s="50" t="s">
        <v>317</v>
      </c>
      <c r="O1112" s="64">
        <v>295.3</v>
      </c>
      <c r="P1112" s="65">
        <v>12</v>
      </c>
      <c r="Q1112" s="64">
        <v>35.44</v>
      </c>
      <c r="R1112" s="63">
        <v>0</v>
      </c>
      <c r="S1112" s="64">
        <v>20.67</v>
      </c>
    </row>
    <row r="1113" spans="1:19" ht="11.1" customHeight="1" x14ac:dyDescent="0.25">
      <c r="N1113" s="50" t="s">
        <v>318</v>
      </c>
      <c r="O1113" s="64">
        <v>398.66</v>
      </c>
      <c r="P1113" s="65">
        <v>20</v>
      </c>
      <c r="Q1113" s="64">
        <v>20.67</v>
      </c>
      <c r="R1113" s="63">
        <v>0</v>
      </c>
      <c r="S1113" s="64">
        <v>0</v>
      </c>
    </row>
    <row r="1114" spans="1:19" ht="11.1" customHeight="1" x14ac:dyDescent="0.25">
      <c r="A1114" s="57">
        <v>113450</v>
      </c>
      <c r="B1114" s="53">
        <v>46139</v>
      </c>
      <c r="C1114" s="58">
        <v>46139</v>
      </c>
      <c r="D1114" s="59" t="s">
        <v>1002</v>
      </c>
      <c r="E1114" s="50" t="s">
        <v>313</v>
      </c>
      <c r="F1114" s="57">
        <v>36</v>
      </c>
      <c r="G1114" s="60">
        <v>2</v>
      </c>
      <c r="H1114" s="61" t="s">
        <v>957</v>
      </c>
      <c r="I1114" s="50" t="s">
        <v>958</v>
      </c>
      <c r="J1114" s="50" t="s">
        <v>959</v>
      </c>
      <c r="K1114" s="62">
        <v>5102</v>
      </c>
      <c r="L1114" s="57">
        <v>205</v>
      </c>
      <c r="M1114" s="50" t="s">
        <v>26</v>
      </c>
      <c r="N1114" s="50" t="s">
        <v>317</v>
      </c>
      <c r="O1114" s="64">
        <v>1041.1199999999999</v>
      </c>
      <c r="P1114" s="65">
        <v>12</v>
      </c>
      <c r="Q1114" s="64">
        <v>124.93</v>
      </c>
      <c r="R1114" s="63">
        <v>0</v>
      </c>
      <c r="S1114" s="64">
        <v>0</v>
      </c>
    </row>
    <row r="1115" spans="1:19" ht="11.1" customHeight="1" x14ac:dyDescent="0.25">
      <c r="A1115" s="57">
        <v>113451</v>
      </c>
      <c r="B1115" s="53">
        <v>46139</v>
      </c>
      <c r="C1115" s="58">
        <v>46139</v>
      </c>
      <c r="D1115" s="59" t="s">
        <v>1003</v>
      </c>
      <c r="E1115" s="50" t="s">
        <v>313</v>
      </c>
      <c r="F1115" s="57">
        <v>36</v>
      </c>
      <c r="G1115" s="60">
        <v>2</v>
      </c>
      <c r="H1115" s="61" t="s">
        <v>957</v>
      </c>
      <c r="I1115" s="50" t="s">
        <v>958</v>
      </c>
      <c r="J1115" s="50" t="s">
        <v>959</v>
      </c>
      <c r="K1115" s="62">
        <v>5102</v>
      </c>
      <c r="L1115" s="57">
        <v>205</v>
      </c>
      <c r="M1115" s="50" t="s">
        <v>26</v>
      </c>
      <c r="N1115" s="50" t="s">
        <v>317</v>
      </c>
      <c r="O1115" s="64">
        <v>715.08</v>
      </c>
      <c r="P1115" s="65">
        <v>12</v>
      </c>
      <c r="Q1115" s="64">
        <v>85.81</v>
      </c>
      <c r="R1115" s="63">
        <v>0</v>
      </c>
      <c r="S1115" s="64">
        <v>0</v>
      </c>
    </row>
    <row r="1116" spans="1:19" ht="11.1" customHeight="1" x14ac:dyDescent="0.25">
      <c r="A1116" s="57">
        <v>113452</v>
      </c>
      <c r="B1116" s="53">
        <v>46139</v>
      </c>
      <c r="C1116" s="58">
        <v>46139</v>
      </c>
      <c r="D1116" s="59" t="s">
        <v>1003</v>
      </c>
      <c r="E1116" s="50" t="s">
        <v>313</v>
      </c>
      <c r="F1116" s="57">
        <v>36</v>
      </c>
      <c r="G1116" s="60">
        <v>2</v>
      </c>
      <c r="H1116" s="61" t="s">
        <v>957</v>
      </c>
      <c r="I1116" s="50" t="s">
        <v>958</v>
      </c>
      <c r="J1116" s="50" t="s">
        <v>959</v>
      </c>
      <c r="K1116" s="62">
        <v>5403</v>
      </c>
      <c r="L1116" s="57">
        <v>207</v>
      </c>
      <c r="M1116" s="50" t="s">
        <v>26</v>
      </c>
      <c r="N1116" s="50" t="s">
        <v>317</v>
      </c>
      <c r="O1116" s="64">
        <v>432.24</v>
      </c>
      <c r="P1116" s="65">
        <v>12</v>
      </c>
      <c r="Q1116" s="64">
        <v>51.87</v>
      </c>
      <c r="R1116" s="63">
        <v>0</v>
      </c>
      <c r="S1116" s="64">
        <v>30.25</v>
      </c>
    </row>
    <row r="1117" spans="1:19" ht="11.1" customHeight="1" x14ac:dyDescent="0.25">
      <c r="N1117" s="50" t="s">
        <v>318</v>
      </c>
      <c r="O1117" s="64">
        <v>583.52</v>
      </c>
      <c r="P1117" s="65">
        <v>20</v>
      </c>
      <c r="Q1117" s="64">
        <v>30.25</v>
      </c>
      <c r="R1117" s="63">
        <v>0</v>
      </c>
      <c r="S1117" s="64">
        <v>0</v>
      </c>
    </row>
    <row r="1118" spans="1:19" ht="11.1" customHeight="1" x14ac:dyDescent="0.25">
      <c r="A1118" s="57">
        <v>113468</v>
      </c>
      <c r="B1118" s="53">
        <v>46139</v>
      </c>
      <c r="C1118" s="58">
        <v>46139</v>
      </c>
      <c r="D1118" s="59" t="s">
        <v>1004</v>
      </c>
      <c r="E1118" s="50" t="s">
        <v>313</v>
      </c>
      <c r="F1118" s="57">
        <v>36</v>
      </c>
      <c r="G1118" s="60">
        <v>2</v>
      </c>
      <c r="H1118" s="61" t="s">
        <v>957</v>
      </c>
      <c r="I1118" s="50" t="s">
        <v>958</v>
      </c>
      <c r="J1118" s="50" t="s">
        <v>959</v>
      </c>
      <c r="K1118" s="62">
        <v>5102</v>
      </c>
      <c r="L1118" s="57">
        <v>205</v>
      </c>
      <c r="M1118" s="50" t="s">
        <v>26</v>
      </c>
      <c r="N1118" s="50" t="s">
        <v>317</v>
      </c>
      <c r="O1118" s="64">
        <v>147.01</v>
      </c>
      <c r="P1118" s="65">
        <v>12</v>
      </c>
      <c r="Q1118" s="64">
        <v>17.64</v>
      </c>
      <c r="R1118" s="63">
        <v>0</v>
      </c>
      <c r="S1118" s="64">
        <v>0</v>
      </c>
    </row>
    <row r="1119" spans="1:19" ht="11.1" customHeight="1" x14ac:dyDescent="0.25">
      <c r="A1119" s="57">
        <v>113469</v>
      </c>
      <c r="B1119" s="53">
        <v>46139</v>
      </c>
      <c r="C1119" s="58">
        <v>46139</v>
      </c>
      <c r="D1119" s="59" t="s">
        <v>1004</v>
      </c>
      <c r="E1119" s="50" t="s">
        <v>313</v>
      </c>
      <c r="F1119" s="57">
        <v>36</v>
      </c>
      <c r="G1119" s="60">
        <v>2</v>
      </c>
      <c r="H1119" s="61" t="s">
        <v>957</v>
      </c>
      <c r="I1119" s="50" t="s">
        <v>958</v>
      </c>
      <c r="J1119" s="50" t="s">
        <v>959</v>
      </c>
      <c r="K1119" s="62">
        <v>5403</v>
      </c>
      <c r="L1119" s="57">
        <v>207</v>
      </c>
      <c r="M1119" s="50" t="s">
        <v>26</v>
      </c>
      <c r="N1119" s="50" t="s">
        <v>317</v>
      </c>
      <c r="O1119" s="64">
        <v>106.56</v>
      </c>
      <c r="P1119" s="65">
        <v>12</v>
      </c>
      <c r="Q1119" s="64">
        <v>12.79</v>
      </c>
      <c r="R1119" s="63">
        <v>0</v>
      </c>
      <c r="S1119" s="64">
        <v>7.46</v>
      </c>
    </row>
    <row r="1120" spans="1:19" ht="11.1" customHeight="1" x14ac:dyDescent="0.25">
      <c r="N1120" s="50" t="s">
        <v>318</v>
      </c>
      <c r="O1120" s="64">
        <v>143.86000000000001</v>
      </c>
      <c r="P1120" s="65">
        <v>20</v>
      </c>
      <c r="Q1120" s="64">
        <v>7.46</v>
      </c>
      <c r="R1120" s="63">
        <v>0</v>
      </c>
      <c r="S1120" s="64">
        <v>0</v>
      </c>
    </row>
    <row r="1121" spans="1:19" ht="11.1" customHeight="1" x14ac:dyDescent="0.25">
      <c r="A1121" s="57">
        <v>113488</v>
      </c>
      <c r="B1121" s="53">
        <v>46139</v>
      </c>
      <c r="C1121" s="58">
        <v>46139</v>
      </c>
      <c r="D1121" s="59" t="s">
        <v>1005</v>
      </c>
      <c r="E1121" s="50" t="s">
        <v>313</v>
      </c>
      <c r="F1121" s="57">
        <v>36</v>
      </c>
      <c r="G1121" s="60">
        <v>2</v>
      </c>
      <c r="H1121" s="61" t="s">
        <v>957</v>
      </c>
      <c r="I1121" s="50" t="s">
        <v>958</v>
      </c>
      <c r="J1121" s="50" t="s">
        <v>959</v>
      </c>
      <c r="K1121" s="62">
        <v>5102</v>
      </c>
      <c r="L1121" s="57">
        <v>205</v>
      </c>
      <c r="M1121" s="50" t="s">
        <v>26</v>
      </c>
      <c r="N1121" s="50" t="s">
        <v>317</v>
      </c>
      <c r="O1121" s="64">
        <v>13598.7</v>
      </c>
      <c r="P1121" s="65">
        <v>12</v>
      </c>
      <c r="Q1121" s="64">
        <v>1631.83</v>
      </c>
      <c r="R1121" s="63">
        <v>0</v>
      </c>
      <c r="S1121" s="64">
        <v>0</v>
      </c>
    </row>
    <row r="1122" spans="1:19" ht="11.1" customHeight="1" x14ac:dyDescent="0.25">
      <c r="A1122" s="57">
        <v>113489</v>
      </c>
      <c r="B1122" s="53">
        <v>46139</v>
      </c>
      <c r="C1122" s="58">
        <v>46139</v>
      </c>
      <c r="D1122" s="59" t="s">
        <v>1005</v>
      </c>
      <c r="E1122" s="50" t="s">
        <v>313</v>
      </c>
      <c r="F1122" s="57">
        <v>36</v>
      </c>
      <c r="G1122" s="60">
        <v>2</v>
      </c>
      <c r="H1122" s="61" t="s">
        <v>957</v>
      </c>
      <c r="I1122" s="50" t="s">
        <v>958</v>
      </c>
      <c r="J1122" s="50" t="s">
        <v>959</v>
      </c>
      <c r="K1122" s="62">
        <v>5403</v>
      </c>
      <c r="L1122" s="57">
        <v>207</v>
      </c>
      <c r="M1122" s="50" t="s">
        <v>26</v>
      </c>
      <c r="N1122" s="50" t="s">
        <v>317</v>
      </c>
      <c r="O1122" s="64">
        <v>10419.379999999999</v>
      </c>
      <c r="P1122" s="65">
        <v>12</v>
      </c>
      <c r="Q1122" s="64">
        <v>1250.32</v>
      </c>
      <c r="R1122" s="63">
        <v>0</v>
      </c>
      <c r="S1122" s="64">
        <v>729.32</v>
      </c>
    </row>
    <row r="1123" spans="1:19" ht="11.1" customHeight="1" x14ac:dyDescent="0.25">
      <c r="N1123" s="50" t="s">
        <v>318</v>
      </c>
      <c r="O1123" s="64">
        <v>14066.17</v>
      </c>
      <c r="P1123" s="65">
        <v>20</v>
      </c>
      <c r="Q1123" s="64">
        <v>729.32</v>
      </c>
      <c r="R1123" s="63">
        <v>0</v>
      </c>
      <c r="S1123" s="64">
        <v>0</v>
      </c>
    </row>
    <row r="1124" spans="1:19" ht="11.1" customHeight="1" x14ac:dyDescent="0.25">
      <c r="A1124" s="57">
        <v>113508</v>
      </c>
      <c r="B1124" s="53">
        <v>46140</v>
      </c>
      <c r="C1124" s="58">
        <v>46140</v>
      </c>
      <c r="D1124" s="59" t="s">
        <v>1006</v>
      </c>
      <c r="E1124" s="50" t="s">
        <v>313</v>
      </c>
      <c r="F1124" s="57">
        <v>36</v>
      </c>
      <c r="G1124" s="60">
        <v>2</v>
      </c>
      <c r="H1124" s="61" t="s">
        <v>957</v>
      </c>
      <c r="I1124" s="50" t="s">
        <v>958</v>
      </c>
      <c r="J1124" s="50" t="s">
        <v>959</v>
      </c>
      <c r="K1124" s="62">
        <v>5102</v>
      </c>
      <c r="L1124" s="57">
        <v>205</v>
      </c>
      <c r="M1124" s="50" t="s">
        <v>26</v>
      </c>
      <c r="N1124" s="50" t="s">
        <v>317</v>
      </c>
      <c r="O1124" s="64">
        <v>1021.84</v>
      </c>
      <c r="P1124" s="65">
        <v>12</v>
      </c>
      <c r="Q1124" s="64">
        <v>122.62</v>
      </c>
      <c r="R1124" s="63">
        <v>0</v>
      </c>
      <c r="S1124" s="64">
        <v>0</v>
      </c>
    </row>
    <row r="1125" spans="1:19" ht="11.1" customHeight="1" x14ac:dyDescent="0.25">
      <c r="A1125" s="57">
        <v>113509</v>
      </c>
      <c r="B1125" s="53">
        <v>46140</v>
      </c>
      <c r="C1125" s="58">
        <v>46140</v>
      </c>
      <c r="D1125" s="59" t="s">
        <v>1006</v>
      </c>
      <c r="E1125" s="50" t="s">
        <v>313</v>
      </c>
      <c r="F1125" s="57">
        <v>36</v>
      </c>
      <c r="G1125" s="60">
        <v>2</v>
      </c>
      <c r="H1125" s="61" t="s">
        <v>957</v>
      </c>
      <c r="I1125" s="50" t="s">
        <v>958</v>
      </c>
      <c r="J1125" s="50" t="s">
        <v>959</v>
      </c>
      <c r="K1125" s="62">
        <v>5403</v>
      </c>
      <c r="L1125" s="57">
        <v>207</v>
      </c>
      <c r="M1125" s="50" t="s">
        <v>26</v>
      </c>
      <c r="N1125" s="50" t="s">
        <v>317</v>
      </c>
      <c r="O1125" s="64">
        <v>2289.08</v>
      </c>
      <c r="P1125" s="65">
        <v>12</v>
      </c>
      <c r="Q1125" s="64">
        <v>274.69</v>
      </c>
      <c r="R1125" s="63">
        <v>0</v>
      </c>
      <c r="S1125" s="64">
        <v>160.22999999999999</v>
      </c>
    </row>
    <row r="1126" spans="1:19" ht="11.1" customHeight="1" x14ac:dyDescent="0.25">
      <c r="N1126" s="50" t="s">
        <v>318</v>
      </c>
      <c r="O1126" s="64">
        <v>3090.26</v>
      </c>
      <c r="P1126" s="65">
        <v>20</v>
      </c>
      <c r="Q1126" s="64">
        <v>160.22999999999999</v>
      </c>
      <c r="R1126" s="63">
        <v>0</v>
      </c>
      <c r="S1126" s="64">
        <v>0</v>
      </c>
    </row>
    <row r="1127" spans="1:19" ht="11.1" customHeight="1" x14ac:dyDescent="0.25">
      <c r="A1127" s="57">
        <v>113531</v>
      </c>
      <c r="B1127" s="53">
        <v>46140</v>
      </c>
      <c r="C1127" s="58">
        <v>46140</v>
      </c>
      <c r="D1127" s="59" t="s">
        <v>1007</v>
      </c>
      <c r="E1127" s="50" t="s">
        <v>313</v>
      </c>
      <c r="F1127" s="57">
        <v>36</v>
      </c>
      <c r="G1127" s="60">
        <v>2</v>
      </c>
      <c r="H1127" s="61" t="s">
        <v>957</v>
      </c>
      <c r="I1127" s="50" t="s">
        <v>958</v>
      </c>
      <c r="J1127" s="50" t="s">
        <v>959</v>
      </c>
      <c r="K1127" s="62">
        <v>5102</v>
      </c>
      <c r="L1127" s="57">
        <v>205</v>
      </c>
      <c r="M1127" s="50" t="s">
        <v>26</v>
      </c>
      <c r="N1127" s="50" t="s">
        <v>317</v>
      </c>
      <c r="O1127" s="64">
        <v>1391.8</v>
      </c>
      <c r="P1127" s="65">
        <v>12</v>
      </c>
      <c r="Q1127" s="64">
        <v>167.02</v>
      </c>
      <c r="R1127" s="63">
        <v>0</v>
      </c>
      <c r="S1127" s="64">
        <v>0</v>
      </c>
    </row>
    <row r="1128" spans="1:19" ht="11.1" customHeight="1" x14ac:dyDescent="0.25">
      <c r="A1128" s="57">
        <v>113532</v>
      </c>
      <c r="B1128" s="53">
        <v>46140</v>
      </c>
      <c r="C1128" s="58">
        <v>46140</v>
      </c>
      <c r="D1128" s="59" t="s">
        <v>1008</v>
      </c>
      <c r="E1128" s="50" t="s">
        <v>313</v>
      </c>
      <c r="F1128" s="57">
        <v>36</v>
      </c>
      <c r="G1128" s="60">
        <v>2</v>
      </c>
      <c r="H1128" s="61" t="s">
        <v>957</v>
      </c>
      <c r="I1128" s="50" t="s">
        <v>958</v>
      </c>
      <c r="J1128" s="50" t="s">
        <v>959</v>
      </c>
      <c r="K1128" s="62">
        <v>5403</v>
      </c>
      <c r="L1128" s="57">
        <v>207</v>
      </c>
      <c r="M1128" s="50" t="s">
        <v>26</v>
      </c>
      <c r="N1128" s="50" t="s">
        <v>317</v>
      </c>
      <c r="O1128" s="64">
        <v>1073.1199999999999</v>
      </c>
      <c r="P1128" s="65">
        <v>12</v>
      </c>
      <c r="Q1128" s="64">
        <v>128.77000000000001</v>
      </c>
      <c r="R1128" s="63">
        <v>0</v>
      </c>
      <c r="S1128" s="64">
        <v>75.12</v>
      </c>
    </row>
    <row r="1129" spans="1:19" ht="11.1" customHeight="1" x14ac:dyDescent="0.25">
      <c r="N1129" s="50" t="s">
        <v>318</v>
      </c>
      <c r="O1129" s="64">
        <v>1448.71</v>
      </c>
      <c r="P1129" s="65">
        <v>20</v>
      </c>
      <c r="Q1129" s="64">
        <v>75.12</v>
      </c>
      <c r="R1129" s="63">
        <v>0</v>
      </c>
      <c r="S1129" s="64">
        <v>0</v>
      </c>
    </row>
    <row r="1130" spans="1:19" ht="11.1" customHeight="1" x14ac:dyDescent="0.25">
      <c r="A1130" s="57">
        <v>113533</v>
      </c>
      <c r="B1130" s="53">
        <v>46140</v>
      </c>
      <c r="C1130" s="58">
        <v>46140</v>
      </c>
      <c r="D1130" s="59" t="s">
        <v>1009</v>
      </c>
      <c r="E1130" s="50" t="s">
        <v>313</v>
      </c>
      <c r="F1130" s="57">
        <v>36</v>
      </c>
      <c r="G1130" s="60">
        <v>2</v>
      </c>
      <c r="H1130" s="61" t="s">
        <v>957</v>
      </c>
      <c r="I1130" s="50" t="s">
        <v>958</v>
      </c>
      <c r="J1130" s="50" t="s">
        <v>959</v>
      </c>
      <c r="K1130" s="62">
        <v>5403</v>
      </c>
      <c r="L1130" s="57">
        <v>207</v>
      </c>
      <c r="M1130" s="50" t="s">
        <v>26</v>
      </c>
      <c r="N1130" s="50" t="s">
        <v>317</v>
      </c>
      <c r="O1130" s="64">
        <v>45.56</v>
      </c>
      <c r="P1130" s="65">
        <v>12</v>
      </c>
      <c r="Q1130" s="64">
        <v>5.47</v>
      </c>
      <c r="R1130" s="63">
        <v>0</v>
      </c>
      <c r="S1130" s="64">
        <v>3.19</v>
      </c>
    </row>
    <row r="1131" spans="1:19" ht="11.1" customHeight="1" x14ac:dyDescent="0.25">
      <c r="N1131" s="50" t="s">
        <v>318</v>
      </c>
      <c r="O1131" s="64">
        <v>61.51</v>
      </c>
      <c r="P1131" s="65">
        <v>20</v>
      </c>
      <c r="Q1131" s="64">
        <v>3.19</v>
      </c>
      <c r="R1131" s="63">
        <v>0</v>
      </c>
      <c r="S1131" s="64">
        <v>0</v>
      </c>
    </row>
    <row r="1132" spans="1:19" ht="11.1" customHeight="1" x14ac:dyDescent="0.25">
      <c r="A1132" s="57">
        <v>113548</v>
      </c>
      <c r="B1132" s="53">
        <v>46140</v>
      </c>
      <c r="C1132" s="58">
        <v>46140</v>
      </c>
      <c r="D1132" s="59" t="s">
        <v>1010</v>
      </c>
      <c r="E1132" s="50" t="s">
        <v>313</v>
      </c>
      <c r="F1132" s="57">
        <v>36</v>
      </c>
      <c r="G1132" s="60">
        <v>2</v>
      </c>
      <c r="H1132" s="61" t="s">
        <v>957</v>
      </c>
      <c r="I1132" s="50" t="s">
        <v>958</v>
      </c>
      <c r="J1132" s="50" t="s">
        <v>959</v>
      </c>
      <c r="K1132" s="62">
        <v>5403</v>
      </c>
      <c r="L1132" s="57">
        <v>207</v>
      </c>
      <c r="M1132" s="50" t="s">
        <v>26</v>
      </c>
      <c r="N1132" s="50" t="s">
        <v>317</v>
      </c>
      <c r="O1132" s="64">
        <v>272.04000000000002</v>
      </c>
      <c r="P1132" s="65">
        <v>12</v>
      </c>
      <c r="Q1132" s="64">
        <v>32.65</v>
      </c>
      <c r="R1132" s="63">
        <v>0</v>
      </c>
      <c r="S1132" s="64">
        <v>19.05</v>
      </c>
    </row>
    <row r="1133" spans="1:19" ht="11.1" customHeight="1" x14ac:dyDescent="0.25">
      <c r="N1133" s="50" t="s">
        <v>318</v>
      </c>
      <c r="O1133" s="64">
        <v>367.26</v>
      </c>
      <c r="P1133" s="65">
        <v>20</v>
      </c>
      <c r="Q1133" s="64">
        <v>19.05</v>
      </c>
      <c r="R1133" s="63">
        <v>0</v>
      </c>
      <c r="S1133" s="64">
        <v>0</v>
      </c>
    </row>
    <row r="1134" spans="1:19" ht="11.1" customHeight="1" x14ac:dyDescent="0.25">
      <c r="A1134" s="57">
        <v>113570</v>
      </c>
      <c r="B1134" s="53">
        <v>46141</v>
      </c>
      <c r="C1134" s="58">
        <v>46141</v>
      </c>
      <c r="D1134" s="59" t="s">
        <v>1011</v>
      </c>
      <c r="E1134" s="50" t="s">
        <v>313</v>
      </c>
      <c r="F1134" s="57">
        <v>36</v>
      </c>
      <c r="G1134" s="60">
        <v>2</v>
      </c>
      <c r="H1134" s="61" t="s">
        <v>957</v>
      </c>
      <c r="I1134" s="50" t="s">
        <v>958</v>
      </c>
      <c r="J1134" s="50" t="s">
        <v>959</v>
      </c>
      <c r="K1134" s="62">
        <v>5403</v>
      </c>
      <c r="L1134" s="57">
        <v>207</v>
      </c>
      <c r="M1134" s="50" t="s">
        <v>26</v>
      </c>
      <c r="N1134" s="50" t="s">
        <v>317</v>
      </c>
      <c r="O1134" s="64">
        <v>1864.72</v>
      </c>
      <c r="P1134" s="65">
        <v>12</v>
      </c>
      <c r="Q1134" s="64">
        <v>223.76</v>
      </c>
      <c r="R1134" s="63">
        <v>0</v>
      </c>
      <c r="S1134" s="64">
        <v>130.53</v>
      </c>
    </row>
    <row r="1135" spans="1:19" ht="11.1" customHeight="1" x14ac:dyDescent="0.25">
      <c r="N1135" s="50" t="s">
        <v>318</v>
      </c>
      <c r="O1135" s="64">
        <v>2517.37</v>
      </c>
      <c r="P1135" s="65">
        <v>20</v>
      </c>
      <c r="Q1135" s="64">
        <v>130.53</v>
      </c>
      <c r="R1135" s="63">
        <v>0</v>
      </c>
      <c r="S1135" s="64">
        <v>0</v>
      </c>
    </row>
    <row r="1136" spans="1:19" ht="11.1" customHeight="1" x14ac:dyDescent="0.25">
      <c r="A1136" s="57">
        <v>113577</v>
      </c>
      <c r="B1136" s="53">
        <v>46141</v>
      </c>
      <c r="C1136" s="58">
        <v>46141</v>
      </c>
      <c r="D1136" s="59" t="s">
        <v>1012</v>
      </c>
      <c r="E1136" s="50" t="s">
        <v>313</v>
      </c>
      <c r="F1136" s="57">
        <v>36</v>
      </c>
      <c r="G1136" s="60">
        <v>2</v>
      </c>
      <c r="H1136" s="61" t="s">
        <v>957</v>
      </c>
      <c r="I1136" s="50" t="s">
        <v>958</v>
      </c>
      <c r="J1136" s="50" t="s">
        <v>959</v>
      </c>
      <c r="K1136" s="62">
        <v>5403</v>
      </c>
      <c r="L1136" s="57">
        <v>207</v>
      </c>
      <c r="M1136" s="50" t="s">
        <v>26</v>
      </c>
      <c r="N1136" s="50" t="s">
        <v>317</v>
      </c>
      <c r="O1136" s="64">
        <v>477.18</v>
      </c>
      <c r="P1136" s="65">
        <v>12</v>
      </c>
      <c r="Q1136" s="64">
        <v>57.26</v>
      </c>
      <c r="R1136" s="63">
        <v>0</v>
      </c>
      <c r="S1136" s="64">
        <v>33.4</v>
      </c>
    </row>
    <row r="1137" spans="1:19" ht="11.1" customHeight="1" x14ac:dyDescent="0.25">
      <c r="N1137" s="50" t="s">
        <v>318</v>
      </c>
      <c r="O1137" s="64">
        <v>644.19000000000005</v>
      </c>
      <c r="P1137" s="65">
        <v>20</v>
      </c>
      <c r="Q1137" s="64">
        <v>33.4</v>
      </c>
      <c r="R1137" s="63">
        <v>0</v>
      </c>
      <c r="S1137" s="64">
        <v>0</v>
      </c>
    </row>
    <row r="1138" spans="1:19" ht="11.1" customHeight="1" x14ac:dyDescent="0.25">
      <c r="A1138" s="57">
        <v>113578</v>
      </c>
      <c r="B1138" s="53">
        <v>46141</v>
      </c>
      <c r="C1138" s="58">
        <v>46141</v>
      </c>
      <c r="D1138" s="59" t="s">
        <v>1013</v>
      </c>
      <c r="E1138" s="50" t="s">
        <v>313</v>
      </c>
      <c r="F1138" s="57">
        <v>36</v>
      </c>
      <c r="G1138" s="60">
        <v>2</v>
      </c>
      <c r="H1138" s="61" t="s">
        <v>957</v>
      </c>
      <c r="I1138" s="50" t="s">
        <v>958</v>
      </c>
      <c r="J1138" s="50" t="s">
        <v>959</v>
      </c>
      <c r="K1138" s="62">
        <v>5102</v>
      </c>
      <c r="L1138" s="57">
        <v>205</v>
      </c>
      <c r="M1138" s="50" t="s">
        <v>26</v>
      </c>
      <c r="N1138" s="50" t="s">
        <v>317</v>
      </c>
      <c r="O1138" s="64">
        <v>2132.64</v>
      </c>
      <c r="P1138" s="65">
        <v>12</v>
      </c>
      <c r="Q1138" s="64">
        <v>255.92</v>
      </c>
      <c r="R1138" s="63">
        <v>0</v>
      </c>
      <c r="S1138" s="64">
        <v>0</v>
      </c>
    </row>
    <row r="1139" spans="1:19" ht="11.1" customHeight="1" x14ac:dyDescent="0.25">
      <c r="A1139" s="57">
        <v>113589</v>
      </c>
      <c r="B1139" s="53">
        <v>46141</v>
      </c>
      <c r="C1139" s="58">
        <v>46141</v>
      </c>
      <c r="D1139" s="59" t="s">
        <v>1014</v>
      </c>
      <c r="E1139" s="50" t="s">
        <v>313</v>
      </c>
      <c r="F1139" s="57">
        <v>36</v>
      </c>
      <c r="G1139" s="60">
        <v>2</v>
      </c>
      <c r="H1139" s="61" t="s">
        <v>957</v>
      </c>
      <c r="I1139" s="50" t="s">
        <v>958</v>
      </c>
      <c r="J1139" s="50" t="s">
        <v>959</v>
      </c>
      <c r="K1139" s="62">
        <v>5403</v>
      </c>
      <c r="L1139" s="57">
        <v>207</v>
      </c>
      <c r="M1139" s="50" t="s">
        <v>26</v>
      </c>
      <c r="N1139" s="50" t="s">
        <v>317</v>
      </c>
      <c r="O1139" s="64">
        <v>846.44</v>
      </c>
      <c r="P1139" s="65">
        <v>12</v>
      </c>
      <c r="Q1139" s="64">
        <v>101.57</v>
      </c>
      <c r="R1139" s="63">
        <v>0</v>
      </c>
      <c r="S1139" s="64">
        <v>59.25</v>
      </c>
    </row>
    <row r="1140" spans="1:19" ht="11.1" customHeight="1" x14ac:dyDescent="0.25">
      <c r="N1140" s="50" t="s">
        <v>318</v>
      </c>
      <c r="O1140" s="64">
        <v>1142.69</v>
      </c>
      <c r="P1140" s="65">
        <v>20</v>
      </c>
      <c r="Q1140" s="64">
        <v>59.25</v>
      </c>
      <c r="R1140" s="63">
        <v>0</v>
      </c>
      <c r="S1140" s="64">
        <v>0</v>
      </c>
    </row>
    <row r="1141" spans="1:19" ht="11.1" customHeight="1" x14ac:dyDescent="0.25">
      <c r="A1141" s="57">
        <v>113595</v>
      </c>
      <c r="B1141" s="53">
        <v>46141</v>
      </c>
      <c r="C1141" s="58">
        <v>46141</v>
      </c>
      <c r="D1141" s="59" t="s">
        <v>1015</v>
      </c>
      <c r="E1141" s="50" t="s">
        <v>313</v>
      </c>
      <c r="F1141" s="57">
        <v>36</v>
      </c>
      <c r="G1141" s="60">
        <v>2</v>
      </c>
      <c r="H1141" s="61" t="s">
        <v>957</v>
      </c>
      <c r="I1141" s="50" t="s">
        <v>958</v>
      </c>
      <c r="J1141" s="50" t="s">
        <v>959</v>
      </c>
      <c r="K1141" s="62">
        <v>5102</v>
      </c>
      <c r="L1141" s="57">
        <v>205</v>
      </c>
      <c r="M1141" s="50" t="s">
        <v>26</v>
      </c>
      <c r="N1141" s="50" t="s">
        <v>317</v>
      </c>
      <c r="O1141" s="64">
        <v>123.15</v>
      </c>
      <c r="P1141" s="65">
        <v>12</v>
      </c>
      <c r="Q1141" s="64">
        <v>14.78</v>
      </c>
      <c r="R1141" s="63">
        <v>0</v>
      </c>
      <c r="S1141" s="64">
        <v>0</v>
      </c>
    </row>
    <row r="1142" spans="1:19" ht="11.1" customHeight="1" x14ac:dyDescent="0.25">
      <c r="A1142" s="57">
        <v>113624</v>
      </c>
      <c r="B1142" s="53">
        <v>46142</v>
      </c>
      <c r="C1142" s="58">
        <v>46142</v>
      </c>
      <c r="D1142" s="59" t="s">
        <v>1016</v>
      </c>
      <c r="E1142" s="50" t="s">
        <v>313</v>
      </c>
      <c r="F1142" s="57">
        <v>36</v>
      </c>
      <c r="G1142" s="60">
        <v>2</v>
      </c>
      <c r="H1142" s="61" t="s">
        <v>957</v>
      </c>
      <c r="I1142" s="50" t="s">
        <v>958</v>
      </c>
      <c r="J1142" s="50" t="s">
        <v>959</v>
      </c>
      <c r="K1142" s="62">
        <v>5102</v>
      </c>
      <c r="L1142" s="57">
        <v>205</v>
      </c>
      <c r="M1142" s="50" t="s">
        <v>26</v>
      </c>
      <c r="N1142" s="50" t="s">
        <v>317</v>
      </c>
      <c r="O1142" s="64">
        <v>290.63</v>
      </c>
      <c r="P1142" s="65">
        <v>12</v>
      </c>
      <c r="Q1142" s="64">
        <v>34.880000000000003</v>
      </c>
      <c r="R1142" s="63">
        <v>0</v>
      </c>
      <c r="S1142" s="64">
        <v>0</v>
      </c>
    </row>
    <row r="1143" spans="1:19" ht="11.1" customHeight="1" x14ac:dyDescent="0.25">
      <c r="A1143" s="57">
        <v>113628</v>
      </c>
      <c r="B1143" s="53">
        <v>46142</v>
      </c>
      <c r="C1143" s="58">
        <v>46142</v>
      </c>
      <c r="D1143" s="59" t="s">
        <v>1017</v>
      </c>
      <c r="E1143" s="50" t="s">
        <v>313</v>
      </c>
      <c r="F1143" s="57">
        <v>36</v>
      </c>
      <c r="G1143" s="60">
        <v>2</v>
      </c>
      <c r="H1143" s="61" t="s">
        <v>957</v>
      </c>
      <c r="I1143" s="50" t="s">
        <v>958</v>
      </c>
      <c r="J1143" s="50" t="s">
        <v>959</v>
      </c>
      <c r="K1143" s="62">
        <v>5102</v>
      </c>
      <c r="L1143" s="57">
        <v>205</v>
      </c>
      <c r="M1143" s="50" t="s">
        <v>26</v>
      </c>
      <c r="N1143" s="50" t="s">
        <v>317</v>
      </c>
      <c r="O1143" s="64">
        <v>95.86</v>
      </c>
      <c r="P1143" s="65">
        <v>12</v>
      </c>
      <c r="Q1143" s="64">
        <v>11.5</v>
      </c>
      <c r="R1143" s="63">
        <v>0</v>
      </c>
      <c r="S1143" s="64">
        <v>0</v>
      </c>
    </row>
    <row r="1144" spans="1:19" ht="11.1" customHeight="1" x14ac:dyDescent="0.25">
      <c r="A1144" s="57">
        <v>113629</v>
      </c>
      <c r="B1144" s="53">
        <v>46142</v>
      </c>
      <c r="C1144" s="58">
        <v>46142</v>
      </c>
      <c r="D1144" s="59" t="s">
        <v>1018</v>
      </c>
      <c r="E1144" s="50" t="s">
        <v>313</v>
      </c>
      <c r="F1144" s="57">
        <v>36</v>
      </c>
      <c r="G1144" s="60">
        <v>2</v>
      </c>
      <c r="H1144" s="61" t="s">
        <v>957</v>
      </c>
      <c r="I1144" s="50" t="s">
        <v>958</v>
      </c>
      <c r="J1144" s="50" t="s">
        <v>959</v>
      </c>
      <c r="K1144" s="62">
        <v>5102</v>
      </c>
      <c r="L1144" s="57">
        <v>205</v>
      </c>
      <c r="M1144" s="50" t="s">
        <v>26</v>
      </c>
      <c r="N1144" s="50" t="s">
        <v>317</v>
      </c>
      <c r="O1144" s="64">
        <v>352.82</v>
      </c>
      <c r="P1144" s="65">
        <v>12</v>
      </c>
      <c r="Q1144" s="64">
        <v>42.34</v>
      </c>
      <c r="R1144" s="63">
        <v>0</v>
      </c>
      <c r="S1144" s="64">
        <v>0</v>
      </c>
    </row>
    <row r="1145" spans="1:19" ht="11.1" customHeight="1" x14ac:dyDescent="0.25">
      <c r="A1145" s="57">
        <v>113630</v>
      </c>
      <c r="B1145" s="53">
        <v>46142</v>
      </c>
      <c r="C1145" s="58">
        <v>46142</v>
      </c>
      <c r="D1145" s="59" t="s">
        <v>1018</v>
      </c>
      <c r="E1145" s="50" t="s">
        <v>313</v>
      </c>
      <c r="F1145" s="57">
        <v>36</v>
      </c>
      <c r="G1145" s="60">
        <v>2</v>
      </c>
      <c r="H1145" s="61" t="s">
        <v>957</v>
      </c>
      <c r="I1145" s="50" t="s">
        <v>958</v>
      </c>
      <c r="J1145" s="50" t="s">
        <v>959</v>
      </c>
      <c r="K1145" s="62">
        <v>5403</v>
      </c>
      <c r="L1145" s="57">
        <v>207</v>
      </c>
      <c r="M1145" s="50" t="s">
        <v>26</v>
      </c>
      <c r="N1145" s="50" t="s">
        <v>317</v>
      </c>
      <c r="O1145" s="64">
        <v>359.58</v>
      </c>
      <c r="P1145" s="65">
        <v>12</v>
      </c>
      <c r="Q1145" s="64">
        <v>43.15</v>
      </c>
      <c r="R1145" s="63">
        <v>0</v>
      </c>
      <c r="S1145" s="64">
        <v>25.18</v>
      </c>
    </row>
    <row r="1146" spans="1:19" ht="11.1" customHeight="1" x14ac:dyDescent="0.25">
      <c r="N1146" s="50" t="s">
        <v>318</v>
      </c>
      <c r="O1146" s="64">
        <v>485.44</v>
      </c>
      <c r="P1146" s="65">
        <v>20</v>
      </c>
      <c r="Q1146" s="64">
        <v>25.18</v>
      </c>
      <c r="R1146" s="63">
        <v>0</v>
      </c>
      <c r="S1146" s="64">
        <v>0</v>
      </c>
    </row>
    <row r="1147" spans="1:19" ht="11.1" customHeight="1" x14ac:dyDescent="0.25">
      <c r="A1147" s="57">
        <v>113631</v>
      </c>
      <c r="B1147" s="53">
        <v>46142</v>
      </c>
      <c r="C1147" s="58">
        <v>46142</v>
      </c>
      <c r="D1147" s="59" t="s">
        <v>1019</v>
      </c>
      <c r="E1147" s="50" t="s">
        <v>313</v>
      </c>
      <c r="F1147" s="57">
        <v>36</v>
      </c>
      <c r="G1147" s="60">
        <v>2</v>
      </c>
      <c r="H1147" s="61" t="s">
        <v>957</v>
      </c>
      <c r="I1147" s="50" t="s">
        <v>958</v>
      </c>
      <c r="J1147" s="50" t="s">
        <v>959</v>
      </c>
      <c r="K1147" s="62">
        <v>5403</v>
      </c>
      <c r="L1147" s="57">
        <v>207</v>
      </c>
      <c r="M1147" s="50" t="s">
        <v>26</v>
      </c>
      <c r="N1147" s="50" t="s">
        <v>317</v>
      </c>
      <c r="O1147" s="64">
        <v>530.34</v>
      </c>
      <c r="P1147" s="65">
        <v>12</v>
      </c>
      <c r="Q1147" s="64">
        <v>63.64</v>
      </c>
      <c r="R1147" s="63">
        <v>0</v>
      </c>
      <c r="S1147" s="64">
        <v>37.119999999999997</v>
      </c>
    </row>
    <row r="1148" spans="1:19" ht="11.1" customHeight="1" x14ac:dyDescent="0.25">
      <c r="N1148" s="50" t="s">
        <v>318</v>
      </c>
      <c r="O1148" s="64">
        <v>715.96</v>
      </c>
      <c r="P1148" s="65">
        <v>20</v>
      </c>
      <c r="Q1148" s="64">
        <v>37.119999999999997</v>
      </c>
      <c r="R1148" s="63">
        <v>0</v>
      </c>
      <c r="S1148" s="64">
        <v>0</v>
      </c>
    </row>
    <row r="1149" spans="1:19" ht="11.1" customHeight="1" x14ac:dyDescent="0.25">
      <c r="A1149" s="57">
        <v>113649</v>
      </c>
      <c r="B1149" s="53">
        <v>46142</v>
      </c>
      <c r="C1149" s="58">
        <v>46142</v>
      </c>
      <c r="D1149" s="59" t="s">
        <v>1020</v>
      </c>
      <c r="E1149" s="50" t="s">
        <v>313</v>
      </c>
      <c r="F1149" s="57">
        <v>36</v>
      </c>
      <c r="G1149" s="60">
        <v>2</v>
      </c>
      <c r="H1149" s="61" t="s">
        <v>957</v>
      </c>
      <c r="I1149" s="50" t="s">
        <v>958</v>
      </c>
      <c r="J1149" s="50" t="s">
        <v>959</v>
      </c>
      <c r="K1149" s="62">
        <v>5102</v>
      </c>
      <c r="L1149" s="57">
        <v>205</v>
      </c>
      <c r="M1149" s="50" t="s">
        <v>26</v>
      </c>
      <c r="N1149" s="50" t="s">
        <v>317</v>
      </c>
      <c r="O1149" s="64">
        <v>47.93</v>
      </c>
      <c r="P1149" s="65">
        <v>12</v>
      </c>
      <c r="Q1149" s="64">
        <v>5.75</v>
      </c>
      <c r="R1149" s="63">
        <v>0</v>
      </c>
      <c r="S1149" s="64">
        <v>0</v>
      </c>
    </row>
    <row r="1150" spans="1:19" ht="11.1" customHeight="1" x14ac:dyDescent="0.25">
      <c r="A1150" s="57">
        <v>113652</v>
      </c>
      <c r="B1150" s="53">
        <v>46142</v>
      </c>
      <c r="C1150" s="58">
        <v>46142</v>
      </c>
      <c r="D1150" s="59" t="s">
        <v>1021</v>
      </c>
      <c r="E1150" s="50" t="s">
        <v>313</v>
      </c>
      <c r="F1150" s="57">
        <v>36</v>
      </c>
      <c r="G1150" s="60">
        <v>2</v>
      </c>
      <c r="H1150" s="61" t="s">
        <v>957</v>
      </c>
      <c r="I1150" s="50" t="s">
        <v>958</v>
      </c>
      <c r="J1150" s="50" t="s">
        <v>959</v>
      </c>
      <c r="K1150" s="62">
        <v>5102</v>
      </c>
      <c r="L1150" s="57">
        <v>205</v>
      </c>
      <c r="M1150" s="50" t="s">
        <v>26</v>
      </c>
      <c r="N1150" s="50" t="s">
        <v>317</v>
      </c>
      <c r="O1150" s="64">
        <v>443.6</v>
      </c>
      <c r="P1150" s="65">
        <v>12</v>
      </c>
      <c r="Q1150" s="64">
        <v>53.23</v>
      </c>
      <c r="R1150" s="63">
        <v>0</v>
      </c>
      <c r="S1150" s="64">
        <v>0</v>
      </c>
    </row>
    <row r="1151" spans="1:19" ht="11.1" customHeight="1" x14ac:dyDescent="0.25">
      <c r="A1151" s="57">
        <v>113653</v>
      </c>
      <c r="B1151" s="53">
        <v>46142</v>
      </c>
      <c r="C1151" s="58">
        <v>46142</v>
      </c>
      <c r="D1151" s="59" t="s">
        <v>1021</v>
      </c>
      <c r="E1151" s="50" t="s">
        <v>313</v>
      </c>
      <c r="F1151" s="57">
        <v>36</v>
      </c>
      <c r="G1151" s="60">
        <v>2</v>
      </c>
      <c r="H1151" s="61" t="s">
        <v>957</v>
      </c>
      <c r="I1151" s="50" t="s">
        <v>958</v>
      </c>
      <c r="J1151" s="50" t="s">
        <v>959</v>
      </c>
      <c r="K1151" s="62">
        <v>5403</v>
      </c>
      <c r="L1151" s="57">
        <v>207</v>
      </c>
      <c r="M1151" s="50" t="s">
        <v>26</v>
      </c>
      <c r="N1151" s="50" t="s">
        <v>317</v>
      </c>
      <c r="O1151" s="64">
        <v>184.08</v>
      </c>
      <c r="P1151" s="65">
        <v>12</v>
      </c>
      <c r="Q1151" s="64">
        <v>22.09</v>
      </c>
      <c r="R1151" s="63">
        <v>0</v>
      </c>
      <c r="S1151" s="64">
        <v>12.88</v>
      </c>
    </row>
    <row r="1152" spans="1:19" ht="11.1" customHeight="1" x14ac:dyDescent="0.25">
      <c r="N1152" s="50" t="s">
        <v>318</v>
      </c>
      <c r="O1152" s="64">
        <v>248.51</v>
      </c>
      <c r="P1152" s="65">
        <v>20</v>
      </c>
      <c r="Q1152" s="64">
        <v>12.88</v>
      </c>
      <c r="R1152" s="63">
        <v>0</v>
      </c>
      <c r="S1152" s="64">
        <v>0</v>
      </c>
    </row>
    <row r="1153" spans="1:19" ht="11.85" customHeight="1" x14ac:dyDescent="0.25">
      <c r="A1153" s="66" t="s">
        <v>320</v>
      </c>
      <c r="B1153" s="66"/>
      <c r="C1153" s="66"/>
      <c r="D1153" s="66"/>
      <c r="E1153" s="66"/>
      <c r="F1153" s="66"/>
      <c r="G1153" s="66"/>
      <c r="H1153" s="66"/>
    </row>
    <row r="1154" spans="1:19" ht="11.1" customHeight="1" x14ac:dyDescent="0.25">
      <c r="N1154" s="50" t="s">
        <v>317</v>
      </c>
      <c r="O1154" s="64">
        <v>111291.96</v>
      </c>
      <c r="Q1154" s="64">
        <v>13355.03</v>
      </c>
      <c r="R1154" s="63">
        <v>0</v>
      </c>
      <c r="S1154" s="64">
        <v>4203.66</v>
      </c>
    </row>
    <row r="1155" spans="1:19" ht="11.1" customHeight="1" x14ac:dyDescent="0.25">
      <c r="N1155" s="50" t="s">
        <v>318</v>
      </c>
      <c r="O1155" s="64">
        <v>70462.09</v>
      </c>
      <c r="Q1155" s="64">
        <v>3653.47</v>
      </c>
      <c r="R1155" s="63">
        <v>0</v>
      </c>
      <c r="S1155" s="64">
        <v>0</v>
      </c>
    </row>
    <row r="1156" spans="1:19" ht="11.1" customHeight="1" x14ac:dyDescent="0.25">
      <c r="A1156" s="57">
        <v>113236</v>
      </c>
      <c r="B1156" s="53">
        <v>46132</v>
      </c>
      <c r="C1156" s="58">
        <v>46132</v>
      </c>
      <c r="D1156" s="59" t="s">
        <v>1022</v>
      </c>
      <c r="E1156" s="50" t="s">
        <v>313</v>
      </c>
      <c r="F1156" s="57">
        <v>36</v>
      </c>
      <c r="G1156" s="60">
        <v>947</v>
      </c>
      <c r="H1156" s="61" t="s">
        <v>1023</v>
      </c>
      <c r="I1156" s="50" t="s">
        <v>1024</v>
      </c>
      <c r="J1156" s="50" t="s">
        <v>1025</v>
      </c>
      <c r="K1156" s="62">
        <v>5102</v>
      </c>
      <c r="L1156" s="57">
        <v>205</v>
      </c>
      <c r="M1156" s="50" t="s">
        <v>26</v>
      </c>
      <c r="N1156" s="50" t="s">
        <v>317</v>
      </c>
      <c r="O1156" s="64">
        <v>407.44</v>
      </c>
      <c r="P1156" s="65">
        <v>12</v>
      </c>
      <c r="Q1156" s="64">
        <v>48.89</v>
      </c>
      <c r="R1156" s="63">
        <v>0</v>
      </c>
      <c r="S1156" s="64">
        <v>0</v>
      </c>
    </row>
    <row r="1157" spans="1:19" ht="11.1" customHeight="1" x14ac:dyDescent="0.25">
      <c r="A1157" s="57">
        <v>113237</v>
      </c>
      <c r="B1157" s="53">
        <v>46132</v>
      </c>
      <c r="C1157" s="58">
        <v>46132</v>
      </c>
      <c r="D1157" s="59" t="s">
        <v>1022</v>
      </c>
      <c r="E1157" s="50" t="s">
        <v>313</v>
      </c>
      <c r="F1157" s="57">
        <v>36</v>
      </c>
      <c r="G1157" s="60">
        <v>947</v>
      </c>
      <c r="H1157" s="61" t="s">
        <v>1023</v>
      </c>
      <c r="I1157" s="50" t="s">
        <v>1024</v>
      </c>
      <c r="J1157" s="50" t="s">
        <v>1025</v>
      </c>
      <c r="K1157" s="62">
        <v>5403</v>
      </c>
      <c r="L1157" s="57">
        <v>207</v>
      </c>
      <c r="M1157" s="50" t="s">
        <v>26</v>
      </c>
      <c r="N1157" s="50" t="s">
        <v>317</v>
      </c>
      <c r="O1157" s="64">
        <v>185.43</v>
      </c>
      <c r="P1157" s="65">
        <v>12</v>
      </c>
      <c r="Q1157" s="64">
        <v>22.25</v>
      </c>
      <c r="R1157" s="63">
        <v>0</v>
      </c>
      <c r="S1157" s="64">
        <v>12.98</v>
      </c>
    </row>
    <row r="1158" spans="1:19" ht="11.1" customHeight="1" x14ac:dyDescent="0.25">
      <c r="N1158" s="50" t="s">
        <v>318</v>
      </c>
      <c r="O1158" s="64">
        <v>250.33</v>
      </c>
      <c r="P1158" s="65">
        <v>20</v>
      </c>
      <c r="Q1158" s="64">
        <v>12.98</v>
      </c>
      <c r="R1158" s="63">
        <v>0</v>
      </c>
      <c r="S1158" s="64">
        <v>0</v>
      </c>
    </row>
    <row r="1159" spans="1:19" ht="11.85" customHeight="1" x14ac:dyDescent="0.25">
      <c r="A1159" s="66" t="s">
        <v>320</v>
      </c>
      <c r="B1159" s="66"/>
      <c r="C1159" s="66"/>
      <c r="D1159" s="66"/>
      <c r="E1159" s="66"/>
      <c r="F1159" s="66"/>
      <c r="G1159" s="66"/>
      <c r="H1159" s="66"/>
    </row>
    <row r="1160" spans="1:19" ht="11.1" customHeight="1" x14ac:dyDescent="0.25">
      <c r="N1160" s="50" t="s">
        <v>317</v>
      </c>
      <c r="O1160" s="64">
        <v>592.87</v>
      </c>
      <c r="Q1160" s="64">
        <v>71.14</v>
      </c>
      <c r="R1160" s="63">
        <v>0</v>
      </c>
      <c r="S1160" s="64">
        <v>12.98</v>
      </c>
    </row>
    <row r="1161" spans="1:19" ht="11.1" customHeight="1" x14ac:dyDescent="0.25">
      <c r="N1161" s="50" t="s">
        <v>318</v>
      </c>
      <c r="O1161" s="64">
        <v>250.33</v>
      </c>
      <c r="Q1161" s="64">
        <v>12.98</v>
      </c>
      <c r="R1161" s="63">
        <v>0</v>
      </c>
      <c r="S1161" s="64">
        <v>0</v>
      </c>
    </row>
    <row r="1162" spans="1:19" ht="11.1" customHeight="1" x14ac:dyDescent="0.25">
      <c r="A1162" s="57">
        <v>112584</v>
      </c>
      <c r="B1162" s="53">
        <v>46118</v>
      </c>
      <c r="C1162" s="58">
        <v>46118</v>
      </c>
      <c r="D1162" s="59" t="s">
        <v>1026</v>
      </c>
      <c r="E1162" s="50" t="s">
        <v>313</v>
      </c>
      <c r="F1162" s="57">
        <v>36</v>
      </c>
      <c r="G1162" s="60">
        <v>573</v>
      </c>
      <c r="H1162" s="61" t="s">
        <v>1027</v>
      </c>
      <c r="I1162" s="50" t="s">
        <v>1028</v>
      </c>
      <c r="J1162" s="50" t="s">
        <v>75</v>
      </c>
      <c r="K1162" s="62">
        <v>6108</v>
      </c>
      <c r="L1162" s="57">
        <v>237</v>
      </c>
      <c r="M1162" s="50" t="s">
        <v>34</v>
      </c>
      <c r="N1162" s="50" t="s">
        <v>317</v>
      </c>
      <c r="O1162" s="64">
        <v>245.71</v>
      </c>
      <c r="P1162" s="65">
        <v>12</v>
      </c>
      <c r="Q1162" s="64">
        <v>29.5</v>
      </c>
      <c r="R1162" s="63">
        <v>0</v>
      </c>
      <c r="S1162" s="64">
        <v>0</v>
      </c>
    </row>
    <row r="1163" spans="1:19" ht="11.1" customHeight="1" x14ac:dyDescent="0.25">
      <c r="A1163" s="57">
        <v>112829</v>
      </c>
      <c r="B1163" s="53">
        <v>46121</v>
      </c>
      <c r="C1163" s="58">
        <v>46121</v>
      </c>
      <c r="D1163" s="59" t="s">
        <v>1029</v>
      </c>
      <c r="E1163" s="50" t="s">
        <v>313</v>
      </c>
      <c r="F1163" s="57">
        <v>36</v>
      </c>
      <c r="G1163" s="60">
        <v>573</v>
      </c>
      <c r="H1163" s="61" t="s">
        <v>1027</v>
      </c>
      <c r="I1163" s="50" t="s">
        <v>1028</v>
      </c>
      <c r="J1163" s="50" t="s">
        <v>75</v>
      </c>
      <c r="K1163" s="62">
        <v>6108</v>
      </c>
      <c r="L1163" s="57">
        <v>237</v>
      </c>
      <c r="M1163" s="50" t="s">
        <v>34</v>
      </c>
      <c r="N1163" s="50" t="s">
        <v>317</v>
      </c>
      <c r="O1163" s="64">
        <v>174.69</v>
      </c>
      <c r="P1163" s="65">
        <v>12</v>
      </c>
      <c r="Q1163" s="64">
        <v>20.96</v>
      </c>
      <c r="R1163" s="63">
        <v>0</v>
      </c>
      <c r="S1163" s="64">
        <v>0</v>
      </c>
    </row>
    <row r="1164" spans="1:19" ht="11.1" customHeight="1" x14ac:dyDescent="0.25">
      <c r="A1164" s="57">
        <v>112903</v>
      </c>
      <c r="B1164" s="53">
        <v>46122</v>
      </c>
      <c r="C1164" s="58">
        <v>46122</v>
      </c>
      <c r="D1164" s="59" t="s">
        <v>1030</v>
      </c>
      <c r="E1164" s="50" t="s">
        <v>313</v>
      </c>
      <c r="F1164" s="57">
        <v>36</v>
      </c>
      <c r="G1164" s="60">
        <v>573</v>
      </c>
      <c r="H1164" s="61" t="s">
        <v>1027</v>
      </c>
      <c r="I1164" s="50" t="s">
        <v>1028</v>
      </c>
      <c r="J1164" s="50" t="s">
        <v>75</v>
      </c>
      <c r="K1164" s="62">
        <v>6108</v>
      </c>
      <c r="L1164" s="57">
        <v>237</v>
      </c>
      <c r="M1164" s="50" t="s">
        <v>34</v>
      </c>
      <c r="N1164" s="50" t="s">
        <v>317</v>
      </c>
      <c r="O1164" s="64">
        <v>735.9</v>
      </c>
      <c r="P1164" s="65">
        <v>12</v>
      </c>
      <c r="Q1164" s="64">
        <v>88.31</v>
      </c>
      <c r="R1164" s="63">
        <v>0</v>
      </c>
      <c r="S1164" s="64">
        <v>0</v>
      </c>
    </row>
    <row r="1165" spans="1:19" ht="11.1" customHeight="1" x14ac:dyDescent="0.25">
      <c r="A1165" s="57">
        <v>113140</v>
      </c>
      <c r="B1165" s="53">
        <v>46128</v>
      </c>
      <c r="C1165" s="58">
        <v>46128</v>
      </c>
      <c r="D1165" s="59" t="s">
        <v>1031</v>
      </c>
      <c r="E1165" s="50" t="s">
        <v>313</v>
      </c>
      <c r="F1165" s="57">
        <v>36</v>
      </c>
      <c r="G1165" s="60">
        <v>573</v>
      </c>
      <c r="H1165" s="61" t="s">
        <v>1027</v>
      </c>
      <c r="I1165" s="50" t="s">
        <v>1028</v>
      </c>
      <c r="J1165" s="50" t="s">
        <v>75</v>
      </c>
      <c r="K1165" s="62">
        <v>6108</v>
      </c>
      <c r="L1165" s="57">
        <v>237</v>
      </c>
      <c r="M1165" s="50" t="s">
        <v>34</v>
      </c>
      <c r="N1165" s="50" t="s">
        <v>317</v>
      </c>
      <c r="O1165" s="64">
        <v>1014.85</v>
      </c>
      <c r="P1165" s="65">
        <v>12</v>
      </c>
      <c r="Q1165" s="64">
        <v>121.78</v>
      </c>
      <c r="R1165" s="63">
        <v>0</v>
      </c>
      <c r="S1165" s="64">
        <v>0</v>
      </c>
    </row>
    <row r="1166" spans="1:19" ht="11.85" customHeight="1" x14ac:dyDescent="0.25">
      <c r="A1166" s="66" t="s">
        <v>320</v>
      </c>
      <c r="B1166" s="66"/>
      <c r="C1166" s="66"/>
      <c r="D1166" s="66"/>
      <c r="E1166" s="66"/>
      <c r="F1166" s="66"/>
      <c r="G1166" s="66"/>
      <c r="H1166" s="66"/>
    </row>
    <row r="1167" spans="1:19" ht="11.1" customHeight="1" x14ac:dyDescent="0.25">
      <c r="N1167" s="50" t="s">
        <v>317</v>
      </c>
      <c r="O1167" s="64">
        <v>2171.15</v>
      </c>
      <c r="Q1167" s="64">
        <v>260.55</v>
      </c>
      <c r="R1167" s="63">
        <v>0</v>
      </c>
      <c r="S1167" s="64">
        <v>0</v>
      </c>
    </row>
    <row r="1168" spans="1:19" ht="11.1" customHeight="1" x14ac:dyDescent="0.25">
      <c r="A1168" s="57">
        <v>113500</v>
      </c>
      <c r="B1168" s="53">
        <v>46140</v>
      </c>
      <c r="C1168" s="58">
        <v>46140</v>
      </c>
      <c r="D1168" s="59" t="s">
        <v>1032</v>
      </c>
      <c r="E1168" s="50" t="s">
        <v>313</v>
      </c>
      <c r="F1168" s="57">
        <v>36</v>
      </c>
      <c r="G1168" s="60">
        <v>803</v>
      </c>
      <c r="H1168" s="61" t="s">
        <v>1033</v>
      </c>
      <c r="I1168" s="50" t="s">
        <v>1034</v>
      </c>
      <c r="J1168" s="50" t="s">
        <v>1035</v>
      </c>
      <c r="K1168" s="62">
        <v>5102</v>
      </c>
      <c r="L1168" s="57">
        <v>205</v>
      </c>
      <c r="M1168" s="50" t="s">
        <v>26</v>
      </c>
      <c r="N1168" s="50" t="s">
        <v>317</v>
      </c>
      <c r="O1168" s="64">
        <v>889.85</v>
      </c>
      <c r="P1168" s="65">
        <v>12</v>
      </c>
      <c r="Q1168" s="64">
        <v>106.8</v>
      </c>
      <c r="R1168" s="63">
        <v>0</v>
      </c>
      <c r="S1168" s="64">
        <v>0</v>
      </c>
    </row>
    <row r="1169" spans="1:19" ht="11.1" customHeight="1" x14ac:dyDescent="0.25">
      <c r="A1169" s="57">
        <v>113501</v>
      </c>
      <c r="B1169" s="53">
        <v>46140</v>
      </c>
      <c r="C1169" s="58">
        <v>46140</v>
      </c>
      <c r="D1169" s="59" t="s">
        <v>1032</v>
      </c>
      <c r="E1169" s="50" t="s">
        <v>313</v>
      </c>
      <c r="F1169" s="57">
        <v>36</v>
      </c>
      <c r="G1169" s="60">
        <v>803</v>
      </c>
      <c r="H1169" s="61" t="s">
        <v>1033</v>
      </c>
      <c r="I1169" s="50" t="s">
        <v>1034</v>
      </c>
      <c r="J1169" s="50" t="s">
        <v>1035</v>
      </c>
      <c r="K1169" s="62">
        <v>5403</v>
      </c>
      <c r="L1169" s="57">
        <v>207</v>
      </c>
      <c r="M1169" s="50" t="s">
        <v>26</v>
      </c>
      <c r="N1169" s="50" t="s">
        <v>317</v>
      </c>
      <c r="O1169" s="64">
        <v>560.34</v>
      </c>
      <c r="P1169" s="65">
        <v>12</v>
      </c>
      <c r="Q1169" s="64">
        <v>67.260000000000005</v>
      </c>
      <c r="R1169" s="63">
        <v>0</v>
      </c>
      <c r="S1169" s="64">
        <v>0</v>
      </c>
    </row>
    <row r="1170" spans="1:19" ht="11.85" customHeight="1" x14ac:dyDescent="0.25">
      <c r="A1170" s="66" t="s">
        <v>320</v>
      </c>
      <c r="B1170" s="66"/>
      <c r="C1170" s="66"/>
      <c r="D1170" s="66"/>
      <c r="E1170" s="66"/>
      <c r="F1170" s="66"/>
      <c r="G1170" s="66"/>
      <c r="H1170" s="66"/>
    </row>
    <row r="1171" spans="1:19" ht="11.1" customHeight="1" x14ac:dyDescent="0.25">
      <c r="N1171" s="50" t="s">
        <v>317</v>
      </c>
      <c r="O1171" s="64">
        <v>1450.19</v>
      </c>
      <c r="Q1171" s="64">
        <v>174.06</v>
      </c>
      <c r="R1171" s="63">
        <v>0</v>
      </c>
      <c r="S1171" s="64">
        <v>0</v>
      </c>
    </row>
    <row r="1172" spans="1:19" ht="11.1" customHeight="1" x14ac:dyDescent="0.25">
      <c r="A1172" s="57">
        <v>112490</v>
      </c>
      <c r="B1172" s="53">
        <v>46113</v>
      </c>
      <c r="C1172" s="58">
        <v>46113</v>
      </c>
      <c r="D1172" s="59" t="s">
        <v>1036</v>
      </c>
      <c r="E1172" s="50" t="s">
        <v>313</v>
      </c>
      <c r="F1172" s="57">
        <v>36</v>
      </c>
      <c r="G1172" s="60">
        <v>845</v>
      </c>
      <c r="H1172" s="61" t="s">
        <v>1037</v>
      </c>
      <c r="I1172" s="50" t="s">
        <v>1038</v>
      </c>
      <c r="J1172" s="50" t="s">
        <v>1039</v>
      </c>
      <c r="K1172" s="62">
        <v>6403</v>
      </c>
      <c r="L1172" s="57">
        <v>207</v>
      </c>
      <c r="M1172" s="50" t="s">
        <v>31</v>
      </c>
      <c r="N1172" s="50" t="s">
        <v>317</v>
      </c>
      <c r="O1172" s="64">
        <v>643.78</v>
      </c>
      <c r="P1172" s="65">
        <v>12</v>
      </c>
      <c r="Q1172" s="64">
        <v>77.260000000000005</v>
      </c>
      <c r="R1172" s="63">
        <v>0</v>
      </c>
      <c r="S1172" s="64">
        <v>116.31</v>
      </c>
    </row>
    <row r="1173" spans="1:19" ht="11.1" customHeight="1" x14ac:dyDescent="0.25">
      <c r="N1173" s="50" t="s">
        <v>318</v>
      </c>
      <c r="O1173" s="64">
        <v>944.24</v>
      </c>
      <c r="P1173" s="65">
        <v>20.5</v>
      </c>
      <c r="Q1173" s="64">
        <v>116.31</v>
      </c>
      <c r="R1173" s="63">
        <v>0</v>
      </c>
      <c r="S1173" s="64">
        <v>0</v>
      </c>
    </row>
    <row r="1174" spans="1:19" ht="11.1" customHeight="1" x14ac:dyDescent="0.25">
      <c r="A1174" s="57">
        <v>112491</v>
      </c>
      <c r="B1174" s="53">
        <v>46113</v>
      </c>
      <c r="C1174" s="58">
        <v>46113</v>
      </c>
      <c r="D1174" s="59" t="s">
        <v>1036</v>
      </c>
      <c r="E1174" s="50" t="s">
        <v>313</v>
      </c>
      <c r="F1174" s="57">
        <v>36</v>
      </c>
      <c r="G1174" s="60">
        <v>845</v>
      </c>
      <c r="H1174" s="61" t="s">
        <v>1037</v>
      </c>
      <c r="I1174" s="50" t="s">
        <v>1038</v>
      </c>
      <c r="J1174" s="50" t="s">
        <v>1039</v>
      </c>
      <c r="K1174" s="62">
        <v>6102</v>
      </c>
      <c r="L1174" s="57">
        <v>238</v>
      </c>
      <c r="M1174" s="50" t="s">
        <v>31</v>
      </c>
      <c r="N1174" s="50" t="s">
        <v>317</v>
      </c>
      <c r="O1174" s="64">
        <v>1926.26</v>
      </c>
      <c r="P1174" s="65">
        <v>12</v>
      </c>
      <c r="Q1174" s="64">
        <v>231.15</v>
      </c>
      <c r="R1174" s="63">
        <v>0</v>
      </c>
      <c r="S1174" s="64">
        <v>0</v>
      </c>
    </row>
    <row r="1175" spans="1:19" ht="11.85" customHeight="1" x14ac:dyDescent="0.25">
      <c r="A1175" s="66" t="s">
        <v>320</v>
      </c>
      <c r="B1175" s="66"/>
      <c r="C1175" s="66"/>
      <c r="D1175" s="66"/>
      <c r="E1175" s="66"/>
      <c r="F1175" s="66"/>
      <c r="G1175" s="66"/>
      <c r="H1175" s="66"/>
    </row>
    <row r="1176" spans="1:19" ht="11.1" customHeight="1" x14ac:dyDescent="0.25">
      <c r="N1176" s="50" t="s">
        <v>317</v>
      </c>
      <c r="O1176" s="64">
        <v>2570.04</v>
      </c>
      <c r="Q1176" s="64">
        <v>308.41000000000003</v>
      </c>
      <c r="R1176" s="63">
        <v>0</v>
      </c>
      <c r="S1176" s="64">
        <v>116.31</v>
      </c>
    </row>
    <row r="1177" spans="1:19" ht="11.1" customHeight="1" x14ac:dyDescent="0.25">
      <c r="N1177" s="50" t="s">
        <v>318</v>
      </c>
      <c r="O1177" s="64">
        <v>944.24</v>
      </c>
      <c r="Q1177" s="64">
        <v>116.31</v>
      </c>
      <c r="R1177" s="63">
        <v>0</v>
      </c>
      <c r="S1177" s="64">
        <v>0</v>
      </c>
    </row>
    <row r="1178" spans="1:19" ht="11.1" customHeight="1" x14ac:dyDescent="0.25">
      <c r="A1178" s="57">
        <v>113045</v>
      </c>
      <c r="B1178" s="53">
        <v>46126</v>
      </c>
      <c r="C1178" s="58">
        <v>46126</v>
      </c>
      <c r="D1178" s="59" t="s">
        <v>1040</v>
      </c>
      <c r="E1178" s="50" t="s">
        <v>313</v>
      </c>
      <c r="F1178" s="57">
        <v>36</v>
      </c>
      <c r="G1178" s="60">
        <v>535</v>
      </c>
      <c r="H1178" s="61" t="s">
        <v>1041</v>
      </c>
      <c r="I1178" s="50" t="s">
        <v>1042</v>
      </c>
      <c r="J1178" s="50" t="s">
        <v>1043</v>
      </c>
      <c r="K1178" s="62">
        <v>5102</v>
      </c>
      <c r="L1178" s="57">
        <v>205</v>
      </c>
      <c r="M1178" s="50" t="s">
        <v>26</v>
      </c>
      <c r="N1178" s="50" t="s">
        <v>317</v>
      </c>
      <c r="O1178" s="64">
        <v>2598</v>
      </c>
      <c r="P1178" s="65">
        <v>12</v>
      </c>
      <c r="Q1178" s="64">
        <v>311.76</v>
      </c>
      <c r="R1178" s="63">
        <v>0</v>
      </c>
      <c r="S1178" s="64">
        <v>0</v>
      </c>
    </row>
    <row r="1179" spans="1:19" ht="11.85" customHeight="1" x14ac:dyDescent="0.25">
      <c r="A1179" s="66" t="s">
        <v>320</v>
      </c>
      <c r="B1179" s="66"/>
      <c r="C1179" s="66"/>
      <c r="D1179" s="66"/>
      <c r="E1179" s="66"/>
      <c r="F1179" s="66"/>
      <c r="G1179" s="66"/>
      <c r="H1179" s="66"/>
    </row>
    <row r="1180" spans="1:19" ht="11.1" customHeight="1" x14ac:dyDescent="0.25">
      <c r="N1180" s="50" t="s">
        <v>317</v>
      </c>
      <c r="O1180" s="64">
        <v>2598</v>
      </c>
      <c r="Q1180" s="64">
        <v>311.76</v>
      </c>
      <c r="R1180" s="63">
        <v>0</v>
      </c>
      <c r="S1180" s="64">
        <v>0</v>
      </c>
    </row>
    <row r="1181" spans="1:19" ht="11.1" customHeight="1" x14ac:dyDescent="0.25">
      <c r="A1181" s="57">
        <v>113418</v>
      </c>
      <c r="B1181" s="53">
        <v>46136</v>
      </c>
      <c r="C1181" s="58">
        <v>46136</v>
      </c>
      <c r="D1181" s="59" t="s">
        <v>1044</v>
      </c>
      <c r="E1181" s="50" t="s">
        <v>313</v>
      </c>
      <c r="F1181" s="57">
        <v>36</v>
      </c>
      <c r="G1181" s="60">
        <v>974</v>
      </c>
      <c r="H1181" s="61" t="s">
        <v>1045</v>
      </c>
      <c r="I1181" s="50" t="s">
        <v>1046</v>
      </c>
      <c r="J1181" s="50" t="s">
        <v>1047</v>
      </c>
      <c r="K1181" s="62">
        <v>5102</v>
      </c>
      <c r="L1181" s="57">
        <v>205</v>
      </c>
      <c r="M1181" s="50" t="s">
        <v>26</v>
      </c>
      <c r="N1181" s="50" t="s">
        <v>317</v>
      </c>
      <c r="O1181" s="64">
        <v>433.8</v>
      </c>
      <c r="P1181" s="65">
        <v>12</v>
      </c>
      <c r="Q1181" s="64">
        <v>52.06</v>
      </c>
      <c r="R1181" s="63">
        <v>0</v>
      </c>
      <c r="S1181" s="64">
        <v>0</v>
      </c>
    </row>
    <row r="1182" spans="1:19" ht="11.1" customHeight="1" x14ac:dyDescent="0.25">
      <c r="A1182" s="57">
        <v>113419</v>
      </c>
      <c r="B1182" s="53">
        <v>46136</v>
      </c>
      <c r="C1182" s="58">
        <v>46136</v>
      </c>
      <c r="D1182" s="59" t="s">
        <v>1044</v>
      </c>
      <c r="E1182" s="50" t="s">
        <v>313</v>
      </c>
      <c r="F1182" s="57">
        <v>36</v>
      </c>
      <c r="G1182" s="60">
        <v>974</v>
      </c>
      <c r="H1182" s="61" t="s">
        <v>1045</v>
      </c>
      <c r="I1182" s="50" t="s">
        <v>1046</v>
      </c>
      <c r="J1182" s="50" t="s">
        <v>1047</v>
      </c>
      <c r="K1182" s="62">
        <v>5403</v>
      </c>
      <c r="L1182" s="57">
        <v>207</v>
      </c>
      <c r="M1182" s="50" t="s">
        <v>26</v>
      </c>
      <c r="N1182" s="50" t="s">
        <v>317</v>
      </c>
      <c r="O1182" s="64">
        <v>527.12</v>
      </c>
      <c r="P1182" s="65">
        <v>12</v>
      </c>
      <c r="Q1182" s="64">
        <v>63.25</v>
      </c>
      <c r="R1182" s="63">
        <v>0</v>
      </c>
      <c r="S1182" s="64">
        <v>36.9</v>
      </c>
    </row>
    <row r="1183" spans="1:19" ht="11.1" customHeight="1" x14ac:dyDescent="0.25">
      <c r="N1183" s="50" t="s">
        <v>318</v>
      </c>
      <c r="O1183" s="64">
        <v>711.61</v>
      </c>
      <c r="P1183" s="65">
        <v>20</v>
      </c>
      <c r="Q1183" s="64">
        <v>36.9</v>
      </c>
      <c r="R1183" s="63">
        <v>0</v>
      </c>
      <c r="S1183" s="64">
        <v>0</v>
      </c>
    </row>
    <row r="1184" spans="1:19" ht="11.85" customHeight="1" x14ac:dyDescent="0.25">
      <c r="A1184" s="66" t="s">
        <v>320</v>
      </c>
      <c r="B1184" s="66"/>
      <c r="C1184" s="66"/>
      <c r="D1184" s="66"/>
      <c r="E1184" s="66"/>
      <c r="F1184" s="66"/>
      <c r="G1184" s="66"/>
      <c r="H1184" s="66"/>
    </row>
    <row r="1185" spans="1:19" ht="11.1" customHeight="1" x14ac:dyDescent="0.25">
      <c r="N1185" s="50" t="s">
        <v>317</v>
      </c>
      <c r="O1185" s="64">
        <v>960.92</v>
      </c>
      <c r="Q1185" s="64">
        <v>115.31</v>
      </c>
      <c r="R1185" s="63">
        <v>0</v>
      </c>
      <c r="S1185" s="64">
        <v>36.9</v>
      </c>
    </row>
    <row r="1186" spans="1:19" ht="11.1" customHeight="1" x14ac:dyDescent="0.25">
      <c r="N1186" s="50" t="s">
        <v>318</v>
      </c>
      <c r="O1186" s="64">
        <v>711.61</v>
      </c>
      <c r="Q1186" s="64">
        <v>36.9</v>
      </c>
      <c r="R1186" s="63">
        <v>0</v>
      </c>
      <c r="S1186" s="64">
        <v>0</v>
      </c>
    </row>
    <row r="1187" spans="1:19" ht="11.1" customHeight="1" x14ac:dyDescent="0.25">
      <c r="A1187" s="57">
        <v>112508</v>
      </c>
      <c r="B1187" s="53">
        <v>46114</v>
      </c>
      <c r="C1187" s="58">
        <v>46114</v>
      </c>
      <c r="D1187" s="59" t="s">
        <v>1048</v>
      </c>
      <c r="E1187" s="50" t="s">
        <v>313</v>
      </c>
      <c r="F1187" s="57">
        <v>36</v>
      </c>
      <c r="G1187" s="60">
        <v>778</v>
      </c>
      <c r="H1187" s="61" t="s">
        <v>1049</v>
      </c>
      <c r="I1187" s="50" t="s">
        <v>1050</v>
      </c>
      <c r="J1187" s="50" t="s">
        <v>1051</v>
      </c>
      <c r="K1187" s="62">
        <v>5102</v>
      </c>
      <c r="L1187" s="57">
        <v>205</v>
      </c>
      <c r="M1187" s="50" t="s">
        <v>26</v>
      </c>
      <c r="N1187" s="50" t="s">
        <v>317</v>
      </c>
      <c r="O1187" s="64">
        <v>117.24</v>
      </c>
      <c r="P1187" s="65">
        <v>12</v>
      </c>
      <c r="Q1187" s="64">
        <v>14.07</v>
      </c>
      <c r="R1187" s="63">
        <v>0</v>
      </c>
      <c r="S1187" s="64">
        <v>0</v>
      </c>
    </row>
    <row r="1188" spans="1:19" ht="11.1" customHeight="1" x14ac:dyDescent="0.25">
      <c r="A1188" s="57">
        <v>113338</v>
      </c>
      <c r="B1188" s="53">
        <v>46135</v>
      </c>
      <c r="C1188" s="58">
        <v>46135</v>
      </c>
      <c r="D1188" s="59" t="s">
        <v>1052</v>
      </c>
      <c r="E1188" s="50" t="s">
        <v>313</v>
      </c>
      <c r="F1188" s="57">
        <v>36</v>
      </c>
      <c r="G1188" s="60">
        <v>778</v>
      </c>
      <c r="H1188" s="61" t="s">
        <v>1049</v>
      </c>
      <c r="I1188" s="50" t="s">
        <v>1050</v>
      </c>
      <c r="J1188" s="50" t="s">
        <v>1051</v>
      </c>
      <c r="K1188" s="62">
        <v>5102</v>
      </c>
      <c r="L1188" s="57">
        <v>205</v>
      </c>
      <c r="M1188" s="50" t="s">
        <v>26</v>
      </c>
      <c r="N1188" s="50" t="s">
        <v>317</v>
      </c>
      <c r="O1188" s="64">
        <v>144.97999999999999</v>
      </c>
      <c r="P1188" s="65">
        <v>12</v>
      </c>
      <c r="Q1188" s="64">
        <v>17.39</v>
      </c>
      <c r="R1188" s="63">
        <v>0</v>
      </c>
      <c r="S1188" s="64">
        <v>0</v>
      </c>
    </row>
    <row r="1189" spans="1:19" ht="11.85" customHeight="1" x14ac:dyDescent="0.25">
      <c r="A1189" s="66" t="s">
        <v>320</v>
      </c>
      <c r="B1189" s="66"/>
      <c r="C1189" s="66"/>
      <c r="D1189" s="66"/>
      <c r="E1189" s="66"/>
      <c r="F1189" s="66"/>
      <c r="G1189" s="66"/>
      <c r="H1189" s="66"/>
    </row>
    <row r="1190" spans="1:19" ht="11.1" customHeight="1" x14ac:dyDescent="0.25">
      <c r="N1190" s="50" t="s">
        <v>317</v>
      </c>
      <c r="O1190" s="64">
        <v>262.22000000000003</v>
      </c>
      <c r="Q1190" s="64">
        <v>31.46</v>
      </c>
      <c r="R1190" s="63">
        <v>0</v>
      </c>
      <c r="S1190" s="64">
        <v>0</v>
      </c>
    </row>
    <row r="1191" spans="1:19" ht="11.1" customHeight="1" x14ac:dyDescent="0.25">
      <c r="A1191" s="57">
        <v>113516</v>
      </c>
      <c r="B1191" s="53">
        <v>46140</v>
      </c>
      <c r="C1191" s="58">
        <v>46140</v>
      </c>
      <c r="D1191" s="59" t="s">
        <v>1053</v>
      </c>
      <c r="E1191" s="50" t="s">
        <v>313</v>
      </c>
      <c r="F1191" s="57">
        <v>36</v>
      </c>
      <c r="G1191" s="60">
        <v>369</v>
      </c>
      <c r="H1191" s="61" t="s">
        <v>1054</v>
      </c>
      <c r="I1191" s="50" t="s">
        <v>1055</v>
      </c>
      <c r="J1191" s="50" t="s">
        <v>1056</v>
      </c>
      <c r="K1191" s="62">
        <v>5102</v>
      </c>
      <c r="L1191" s="57">
        <v>205</v>
      </c>
      <c r="M1191" s="50" t="s">
        <v>26</v>
      </c>
      <c r="N1191" s="50" t="s">
        <v>317</v>
      </c>
      <c r="O1191" s="64">
        <v>204.3</v>
      </c>
      <c r="P1191" s="65">
        <v>12</v>
      </c>
      <c r="Q1191" s="64">
        <v>24.52</v>
      </c>
      <c r="R1191" s="63">
        <v>0</v>
      </c>
      <c r="S1191" s="64">
        <v>0</v>
      </c>
    </row>
    <row r="1192" spans="1:19" ht="11.85" customHeight="1" x14ac:dyDescent="0.25">
      <c r="A1192" s="66" t="s">
        <v>320</v>
      </c>
      <c r="B1192" s="66"/>
      <c r="C1192" s="66"/>
      <c r="D1192" s="66"/>
      <c r="E1192" s="66"/>
      <c r="F1192" s="66"/>
      <c r="G1192" s="66"/>
      <c r="H1192" s="66"/>
    </row>
    <row r="1193" spans="1:19" ht="11.1" customHeight="1" x14ac:dyDescent="0.25">
      <c r="N1193" s="50" t="s">
        <v>317</v>
      </c>
      <c r="O1193" s="64">
        <v>204.3</v>
      </c>
      <c r="Q1193" s="64">
        <v>24.52</v>
      </c>
      <c r="R1193" s="63">
        <v>0</v>
      </c>
      <c r="S1193" s="64">
        <v>0</v>
      </c>
    </row>
    <row r="1194" spans="1:19" ht="11.1" customHeight="1" x14ac:dyDescent="0.25">
      <c r="A1194" s="57">
        <v>113479</v>
      </c>
      <c r="B1194" s="53">
        <v>46139</v>
      </c>
      <c r="C1194" s="58">
        <v>46139</v>
      </c>
      <c r="D1194" s="59" t="s">
        <v>1057</v>
      </c>
      <c r="E1194" s="50" t="s">
        <v>313</v>
      </c>
      <c r="F1194" s="57">
        <v>36</v>
      </c>
      <c r="G1194" s="60">
        <v>684</v>
      </c>
      <c r="H1194" s="61" t="s">
        <v>1058</v>
      </c>
      <c r="I1194" s="50" t="s">
        <v>1059</v>
      </c>
      <c r="J1194" s="50" t="s">
        <v>1060</v>
      </c>
      <c r="K1194" s="62">
        <v>5102</v>
      </c>
      <c r="L1194" s="57">
        <v>205</v>
      </c>
      <c r="M1194" s="50" t="s">
        <v>26</v>
      </c>
      <c r="N1194" s="50" t="s">
        <v>317</v>
      </c>
      <c r="O1194" s="64">
        <v>38.72</v>
      </c>
      <c r="P1194" s="65">
        <v>12</v>
      </c>
      <c r="Q1194" s="64">
        <v>4.6399999999999997</v>
      </c>
      <c r="R1194" s="63">
        <v>0</v>
      </c>
      <c r="S1194" s="64">
        <v>0</v>
      </c>
    </row>
    <row r="1195" spans="1:19" ht="11.85" customHeight="1" x14ac:dyDescent="0.25">
      <c r="A1195" s="66" t="s">
        <v>320</v>
      </c>
      <c r="B1195" s="66"/>
      <c r="C1195" s="66"/>
      <c r="D1195" s="66"/>
      <c r="E1195" s="66"/>
      <c r="F1195" s="66"/>
      <c r="G1195" s="66"/>
      <c r="H1195" s="66"/>
    </row>
    <row r="1196" spans="1:19" ht="11.1" customHeight="1" x14ac:dyDescent="0.25">
      <c r="N1196" s="50" t="s">
        <v>317</v>
      </c>
      <c r="O1196" s="64">
        <v>38.72</v>
      </c>
      <c r="Q1196" s="64">
        <v>4.6399999999999997</v>
      </c>
      <c r="R1196" s="63">
        <v>0</v>
      </c>
      <c r="S1196" s="64">
        <v>0</v>
      </c>
    </row>
    <row r="1197" spans="1:19" ht="11.1" customHeight="1" x14ac:dyDescent="0.25">
      <c r="A1197" s="57">
        <v>112466</v>
      </c>
      <c r="B1197" s="53">
        <v>46113</v>
      </c>
      <c r="C1197" s="58">
        <v>46113</v>
      </c>
      <c r="D1197" s="59" t="s">
        <v>1061</v>
      </c>
      <c r="E1197" s="50" t="s">
        <v>313</v>
      </c>
      <c r="F1197" s="57">
        <v>36</v>
      </c>
      <c r="G1197" s="60">
        <v>7</v>
      </c>
      <c r="H1197" s="61" t="s">
        <v>1062</v>
      </c>
      <c r="I1197" s="50" t="s">
        <v>1063</v>
      </c>
      <c r="J1197" s="50" t="s">
        <v>1064</v>
      </c>
      <c r="K1197" s="62">
        <v>5102</v>
      </c>
      <c r="L1197" s="57">
        <v>205</v>
      </c>
      <c r="M1197" s="50" t="s">
        <v>26</v>
      </c>
      <c r="N1197" s="50" t="s">
        <v>317</v>
      </c>
      <c r="O1197" s="64">
        <v>357.9</v>
      </c>
      <c r="P1197" s="65">
        <v>12</v>
      </c>
      <c r="Q1197" s="64">
        <v>42.95</v>
      </c>
      <c r="R1197" s="63">
        <v>0</v>
      </c>
      <c r="S1197" s="64">
        <v>0</v>
      </c>
    </row>
    <row r="1198" spans="1:19" ht="11.1" customHeight="1" x14ac:dyDescent="0.25">
      <c r="A1198" s="57">
        <v>112478</v>
      </c>
      <c r="B1198" s="53">
        <v>46113</v>
      </c>
      <c r="C1198" s="58">
        <v>46113</v>
      </c>
      <c r="D1198" s="59" t="s">
        <v>1065</v>
      </c>
      <c r="E1198" s="50" t="s">
        <v>313</v>
      </c>
      <c r="F1198" s="57">
        <v>36</v>
      </c>
      <c r="G1198" s="60">
        <v>7</v>
      </c>
      <c r="H1198" s="61" t="s">
        <v>1062</v>
      </c>
      <c r="I1198" s="50" t="s">
        <v>1063</v>
      </c>
      <c r="J1198" s="50" t="s">
        <v>1064</v>
      </c>
      <c r="K1198" s="62">
        <v>5102</v>
      </c>
      <c r="L1198" s="57">
        <v>205</v>
      </c>
      <c r="M1198" s="50" t="s">
        <v>26</v>
      </c>
      <c r="N1198" s="50" t="s">
        <v>317</v>
      </c>
      <c r="O1198" s="64">
        <v>209.33</v>
      </c>
      <c r="P1198" s="65">
        <v>12</v>
      </c>
      <c r="Q1198" s="64">
        <v>25.12</v>
      </c>
      <c r="R1198" s="63">
        <v>0</v>
      </c>
      <c r="S1198" s="64">
        <v>0</v>
      </c>
    </row>
    <row r="1199" spans="1:19" ht="11.1" customHeight="1" x14ac:dyDescent="0.25">
      <c r="A1199" s="57">
        <v>112479</v>
      </c>
      <c r="B1199" s="53">
        <v>46113</v>
      </c>
      <c r="C1199" s="58">
        <v>46113</v>
      </c>
      <c r="D1199" s="59" t="s">
        <v>1065</v>
      </c>
      <c r="E1199" s="50" t="s">
        <v>313</v>
      </c>
      <c r="F1199" s="57">
        <v>36</v>
      </c>
      <c r="G1199" s="60">
        <v>7</v>
      </c>
      <c r="H1199" s="61" t="s">
        <v>1062</v>
      </c>
      <c r="I1199" s="50" t="s">
        <v>1063</v>
      </c>
      <c r="J1199" s="50" t="s">
        <v>1064</v>
      </c>
      <c r="K1199" s="62">
        <v>5403</v>
      </c>
      <c r="L1199" s="57">
        <v>207</v>
      </c>
      <c r="M1199" s="50" t="s">
        <v>26</v>
      </c>
      <c r="N1199" s="50" t="s">
        <v>317</v>
      </c>
      <c r="O1199" s="64">
        <v>394.7</v>
      </c>
      <c r="P1199" s="65">
        <v>12</v>
      </c>
      <c r="Q1199" s="64">
        <v>47.37</v>
      </c>
      <c r="R1199" s="63">
        <v>0</v>
      </c>
      <c r="S1199" s="64">
        <v>27.63</v>
      </c>
    </row>
    <row r="1200" spans="1:19" ht="11.1" customHeight="1" x14ac:dyDescent="0.25">
      <c r="N1200" s="50" t="s">
        <v>318</v>
      </c>
      <c r="O1200" s="64">
        <v>532.85</v>
      </c>
      <c r="P1200" s="65">
        <v>20</v>
      </c>
      <c r="Q1200" s="64">
        <v>27.63</v>
      </c>
      <c r="R1200" s="63">
        <v>0</v>
      </c>
      <c r="S1200" s="64">
        <v>0</v>
      </c>
    </row>
    <row r="1201" spans="1:19" ht="11.1" customHeight="1" x14ac:dyDescent="0.25">
      <c r="A1201" s="57">
        <v>112511</v>
      </c>
      <c r="B1201" s="53">
        <v>46114</v>
      </c>
      <c r="C1201" s="58">
        <v>46114</v>
      </c>
      <c r="D1201" s="59" t="s">
        <v>1066</v>
      </c>
      <c r="E1201" s="50" t="s">
        <v>313</v>
      </c>
      <c r="F1201" s="57">
        <v>36</v>
      </c>
      <c r="G1201" s="60">
        <v>7</v>
      </c>
      <c r="H1201" s="61" t="s">
        <v>1062</v>
      </c>
      <c r="I1201" s="50" t="s">
        <v>1063</v>
      </c>
      <c r="J1201" s="50" t="s">
        <v>1064</v>
      </c>
      <c r="K1201" s="62">
        <v>5102</v>
      </c>
      <c r="L1201" s="57">
        <v>205</v>
      </c>
      <c r="M1201" s="50" t="s">
        <v>26</v>
      </c>
      <c r="N1201" s="50" t="s">
        <v>317</v>
      </c>
      <c r="O1201" s="64">
        <v>31.45</v>
      </c>
      <c r="P1201" s="65">
        <v>12</v>
      </c>
      <c r="Q1201" s="64">
        <v>3.77</v>
      </c>
      <c r="R1201" s="63">
        <v>0</v>
      </c>
      <c r="S1201" s="64">
        <v>0</v>
      </c>
    </row>
    <row r="1202" spans="1:19" ht="11.1" customHeight="1" x14ac:dyDescent="0.25">
      <c r="A1202" s="57">
        <v>112625</v>
      </c>
      <c r="B1202" s="53">
        <v>46118</v>
      </c>
      <c r="C1202" s="58">
        <v>46118</v>
      </c>
      <c r="D1202" s="59" t="s">
        <v>1067</v>
      </c>
      <c r="E1202" s="50" t="s">
        <v>313</v>
      </c>
      <c r="F1202" s="57">
        <v>36</v>
      </c>
      <c r="G1202" s="60">
        <v>7</v>
      </c>
      <c r="H1202" s="61" t="s">
        <v>1062</v>
      </c>
      <c r="I1202" s="50" t="s">
        <v>1063</v>
      </c>
      <c r="J1202" s="50" t="s">
        <v>1064</v>
      </c>
      <c r="K1202" s="62">
        <v>5102</v>
      </c>
      <c r="L1202" s="57">
        <v>205</v>
      </c>
      <c r="M1202" s="50" t="s">
        <v>26</v>
      </c>
      <c r="N1202" s="50" t="s">
        <v>317</v>
      </c>
      <c r="O1202" s="64">
        <v>111</v>
      </c>
      <c r="P1202" s="65">
        <v>12</v>
      </c>
      <c r="Q1202" s="64">
        <v>13.32</v>
      </c>
      <c r="R1202" s="63">
        <v>0</v>
      </c>
      <c r="S1202" s="64">
        <v>0</v>
      </c>
    </row>
    <row r="1203" spans="1:19" ht="11.1" customHeight="1" x14ac:dyDescent="0.25">
      <c r="A1203" s="57">
        <v>112626</v>
      </c>
      <c r="B1203" s="53">
        <v>46118</v>
      </c>
      <c r="C1203" s="58">
        <v>46118</v>
      </c>
      <c r="D1203" s="59" t="s">
        <v>1067</v>
      </c>
      <c r="E1203" s="50" t="s">
        <v>313</v>
      </c>
      <c r="F1203" s="57">
        <v>36</v>
      </c>
      <c r="G1203" s="60">
        <v>7</v>
      </c>
      <c r="H1203" s="61" t="s">
        <v>1062</v>
      </c>
      <c r="I1203" s="50" t="s">
        <v>1063</v>
      </c>
      <c r="J1203" s="50" t="s">
        <v>1064</v>
      </c>
      <c r="K1203" s="62">
        <v>5403</v>
      </c>
      <c r="L1203" s="57">
        <v>207</v>
      </c>
      <c r="M1203" s="50" t="s">
        <v>26</v>
      </c>
      <c r="N1203" s="50" t="s">
        <v>317</v>
      </c>
      <c r="O1203" s="64">
        <v>244.5</v>
      </c>
      <c r="P1203" s="65">
        <v>12</v>
      </c>
      <c r="Q1203" s="64">
        <v>29.34</v>
      </c>
      <c r="R1203" s="63">
        <v>0</v>
      </c>
      <c r="S1203" s="64">
        <v>17.12</v>
      </c>
    </row>
    <row r="1204" spans="1:19" ht="11.1" customHeight="1" x14ac:dyDescent="0.25">
      <c r="N1204" s="50" t="s">
        <v>318</v>
      </c>
      <c r="O1204" s="64">
        <v>330.08</v>
      </c>
      <c r="P1204" s="65">
        <v>20</v>
      </c>
      <c r="Q1204" s="64">
        <v>17.12</v>
      </c>
      <c r="R1204" s="63">
        <v>0</v>
      </c>
      <c r="S1204" s="64">
        <v>0</v>
      </c>
    </row>
    <row r="1205" spans="1:19" ht="11.1" customHeight="1" x14ac:dyDescent="0.25">
      <c r="A1205" s="57">
        <v>112674</v>
      </c>
      <c r="B1205" s="53">
        <v>46119</v>
      </c>
      <c r="C1205" s="58">
        <v>46119</v>
      </c>
      <c r="D1205" s="59" t="s">
        <v>1068</v>
      </c>
      <c r="E1205" s="50" t="s">
        <v>313</v>
      </c>
      <c r="F1205" s="57">
        <v>36</v>
      </c>
      <c r="G1205" s="60">
        <v>7</v>
      </c>
      <c r="H1205" s="61" t="s">
        <v>1062</v>
      </c>
      <c r="I1205" s="50" t="s">
        <v>1063</v>
      </c>
      <c r="J1205" s="50" t="s">
        <v>1064</v>
      </c>
      <c r="K1205" s="62">
        <v>5102</v>
      </c>
      <c r="L1205" s="57">
        <v>205</v>
      </c>
      <c r="M1205" s="50" t="s">
        <v>26</v>
      </c>
      <c r="N1205" s="50" t="s">
        <v>317</v>
      </c>
      <c r="O1205" s="64">
        <v>207.84</v>
      </c>
      <c r="P1205" s="65">
        <v>12</v>
      </c>
      <c r="Q1205" s="64">
        <v>24.94</v>
      </c>
      <c r="R1205" s="63">
        <v>0</v>
      </c>
      <c r="S1205" s="64">
        <v>0</v>
      </c>
    </row>
    <row r="1206" spans="1:19" ht="11.1" customHeight="1" x14ac:dyDescent="0.25">
      <c r="A1206" s="57">
        <v>112675</v>
      </c>
      <c r="B1206" s="53">
        <v>46119</v>
      </c>
      <c r="C1206" s="58">
        <v>46119</v>
      </c>
      <c r="D1206" s="59" t="s">
        <v>1068</v>
      </c>
      <c r="E1206" s="50" t="s">
        <v>313</v>
      </c>
      <c r="F1206" s="57">
        <v>36</v>
      </c>
      <c r="G1206" s="60">
        <v>7</v>
      </c>
      <c r="H1206" s="61" t="s">
        <v>1062</v>
      </c>
      <c r="I1206" s="50" t="s">
        <v>1063</v>
      </c>
      <c r="J1206" s="50" t="s">
        <v>1064</v>
      </c>
      <c r="K1206" s="62">
        <v>5403</v>
      </c>
      <c r="L1206" s="57">
        <v>207</v>
      </c>
      <c r="M1206" s="50" t="s">
        <v>26</v>
      </c>
      <c r="N1206" s="50" t="s">
        <v>317</v>
      </c>
      <c r="O1206" s="64">
        <v>1051.81</v>
      </c>
      <c r="P1206" s="65">
        <v>12</v>
      </c>
      <c r="Q1206" s="64">
        <v>126.23</v>
      </c>
      <c r="R1206" s="63">
        <v>0</v>
      </c>
      <c r="S1206" s="64">
        <v>73.62</v>
      </c>
    </row>
    <row r="1207" spans="1:19" ht="11.1" customHeight="1" x14ac:dyDescent="0.25">
      <c r="N1207" s="50" t="s">
        <v>318</v>
      </c>
      <c r="O1207" s="64">
        <v>1419.94</v>
      </c>
      <c r="P1207" s="65">
        <v>20</v>
      </c>
      <c r="Q1207" s="64">
        <v>73.62</v>
      </c>
      <c r="R1207" s="63">
        <v>0</v>
      </c>
      <c r="S1207" s="64">
        <v>0</v>
      </c>
    </row>
    <row r="1208" spans="1:19" ht="11.1" customHeight="1" x14ac:dyDescent="0.25">
      <c r="A1208" s="57">
        <v>112690</v>
      </c>
      <c r="B1208" s="53">
        <v>46119</v>
      </c>
      <c r="C1208" s="58">
        <v>46119</v>
      </c>
      <c r="D1208" s="59" t="s">
        <v>1069</v>
      </c>
      <c r="E1208" s="50" t="s">
        <v>313</v>
      </c>
      <c r="F1208" s="57">
        <v>36</v>
      </c>
      <c r="G1208" s="60">
        <v>7</v>
      </c>
      <c r="H1208" s="61" t="s">
        <v>1062</v>
      </c>
      <c r="I1208" s="50" t="s">
        <v>1063</v>
      </c>
      <c r="J1208" s="50" t="s">
        <v>1064</v>
      </c>
      <c r="K1208" s="62">
        <v>5403</v>
      </c>
      <c r="L1208" s="57">
        <v>207</v>
      </c>
      <c r="M1208" s="50" t="s">
        <v>26</v>
      </c>
      <c r="N1208" s="50" t="s">
        <v>317</v>
      </c>
      <c r="O1208" s="64">
        <v>220.35</v>
      </c>
      <c r="P1208" s="65">
        <v>12</v>
      </c>
      <c r="Q1208" s="64">
        <v>26.44</v>
      </c>
      <c r="R1208" s="63">
        <v>0</v>
      </c>
      <c r="S1208" s="64">
        <v>15.42</v>
      </c>
    </row>
    <row r="1209" spans="1:19" ht="11.1" customHeight="1" x14ac:dyDescent="0.25">
      <c r="N1209" s="50" t="s">
        <v>318</v>
      </c>
      <c r="O1209" s="64">
        <v>297.47000000000003</v>
      </c>
      <c r="P1209" s="65">
        <v>20</v>
      </c>
      <c r="Q1209" s="64">
        <v>15.42</v>
      </c>
      <c r="R1209" s="63">
        <v>0</v>
      </c>
      <c r="S1209" s="64">
        <v>0</v>
      </c>
    </row>
    <row r="1210" spans="1:19" ht="11.1" customHeight="1" x14ac:dyDescent="0.25">
      <c r="A1210" s="57">
        <v>112697</v>
      </c>
      <c r="B1210" s="53">
        <v>46119</v>
      </c>
      <c r="C1210" s="58">
        <v>46119</v>
      </c>
      <c r="D1210" s="59" t="s">
        <v>1070</v>
      </c>
      <c r="E1210" s="50" t="s">
        <v>313</v>
      </c>
      <c r="F1210" s="57">
        <v>36</v>
      </c>
      <c r="G1210" s="60">
        <v>7</v>
      </c>
      <c r="H1210" s="61" t="s">
        <v>1062</v>
      </c>
      <c r="I1210" s="50" t="s">
        <v>1063</v>
      </c>
      <c r="J1210" s="50" t="s">
        <v>1064</v>
      </c>
      <c r="K1210" s="62">
        <v>5102</v>
      </c>
      <c r="L1210" s="57">
        <v>205</v>
      </c>
      <c r="M1210" s="50" t="s">
        <v>26</v>
      </c>
      <c r="N1210" s="50" t="s">
        <v>317</v>
      </c>
      <c r="O1210" s="64">
        <v>202.44</v>
      </c>
      <c r="P1210" s="65">
        <v>12</v>
      </c>
      <c r="Q1210" s="64">
        <v>24.3</v>
      </c>
      <c r="R1210" s="63">
        <v>0</v>
      </c>
      <c r="S1210" s="64">
        <v>0</v>
      </c>
    </row>
    <row r="1211" spans="1:19" ht="11.1" customHeight="1" x14ac:dyDescent="0.25">
      <c r="A1211" s="57">
        <v>112711</v>
      </c>
      <c r="B1211" s="53">
        <v>46119</v>
      </c>
      <c r="C1211" s="58">
        <v>46119</v>
      </c>
      <c r="D1211" s="59" t="s">
        <v>1071</v>
      </c>
      <c r="E1211" s="50" t="s">
        <v>313</v>
      </c>
      <c r="F1211" s="57">
        <v>36</v>
      </c>
      <c r="G1211" s="60">
        <v>7</v>
      </c>
      <c r="H1211" s="61" t="s">
        <v>1062</v>
      </c>
      <c r="I1211" s="50" t="s">
        <v>1063</v>
      </c>
      <c r="J1211" s="50" t="s">
        <v>1064</v>
      </c>
      <c r="K1211" s="62">
        <v>5102</v>
      </c>
      <c r="L1211" s="57">
        <v>205</v>
      </c>
      <c r="M1211" s="50" t="s">
        <v>26</v>
      </c>
      <c r="N1211" s="50" t="s">
        <v>317</v>
      </c>
      <c r="O1211" s="64">
        <v>8890.9</v>
      </c>
      <c r="P1211" s="65">
        <v>12</v>
      </c>
      <c r="Q1211" s="64">
        <v>1066.92</v>
      </c>
      <c r="R1211" s="63">
        <v>0</v>
      </c>
      <c r="S1211" s="64">
        <v>0</v>
      </c>
    </row>
    <row r="1212" spans="1:19" ht="11.1" customHeight="1" x14ac:dyDescent="0.25">
      <c r="A1212" s="57">
        <v>112712</v>
      </c>
      <c r="B1212" s="53">
        <v>46119</v>
      </c>
      <c r="C1212" s="58">
        <v>46119</v>
      </c>
      <c r="D1212" s="59" t="s">
        <v>1071</v>
      </c>
      <c r="E1212" s="50" t="s">
        <v>313</v>
      </c>
      <c r="F1212" s="57">
        <v>36</v>
      </c>
      <c r="G1212" s="60">
        <v>7</v>
      </c>
      <c r="H1212" s="61" t="s">
        <v>1062</v>
      </c>
      <c r="I1212" s="50" t="s">
        <v>1063</v>
      </c>
      <c r="J1212" s="50" t="s">
        <v>1064</v>
      </c>
      <c r="K1212" s="62">
        <v>5405</v>
      </c>
      <c r="L1212" s="57">
        <v>206</v>
      </c>
      <c r="M1212" s="50" t="s">
        <v>26</v>
      </c>
      <c r="N1212" s="50" t="s">
        <v>317</v>
      </c>
      <c r="O1212" s="64">
        <v>0</v>
      </c>
      <c r="P1212" s="65">
        <v>0</v>
      </c>
      <c r="Q1212" s="64">
        <v>0</v>
      </c>
      <c r="R1212" s="63">
        <v>0</v>
      </c>
      <c r="S1212" s="64">
        <v>283.12</v>
      </c>
    </row>
    <row r="1213" spans="1:19" ht="11.1" customHeight="1" x14ac:dyDescent="0.25">
      <c r="A1213" s="57">
        <v>112713</v>
      </c>
      <c r="B1213" s="53">
        <v>46119</v>
      </c>
      <c r="C1213" s="58">
        <v>46119</v>
      </c>
      <c r="D1213" s="59" t="s">
        <v>1071</v>
      </c>
      <c r="E1213" s="50" t="s">
        <v>313</v>
      </c>
      <c r="F1213" s="57">
        <v>36</v>
      </c>
      <c r="G1213" s="60">
        <v>7</v>
      </c>
      <c r="H1213" s="61" t="s">
        <v>1062</v>
      </c>
      <c r="I1213" s="50" t="s">
        <v>1063</v>
      </c>
      <c r="J1213" s="50" t="s">
        <v>1064</v>
      </c>
      <c r="K1213" s="62">
        <v>5403</v>
      </c>
      <c r="L1213" s="57">
        <v>207</v>
      </c>
      <c r="M1213" s="50" t="s">
        <v>26</v>
      </c>
      <c r="N1213" s="50" t="s">
        <v>317</v>
      </c>
      <c r="O1213" s="64">
        <v>15632.44</v>
      </c>
      <c r="P1213" s="65">
        <v>12</v>
      </c>
      <c r="Q1213" s="64">
        <v>1875.91</v>
      </c>
      <c r="R1213" s="63">
        <v>0</v>
      </c>
      <c r="S1213" s="64">
        <v>1094.28</v>
      </c>
    </row>
    <row r="1214" spans="1:19" ht="11.1" customHeight="1" x14ac:dyDescent="0.25">
      <c r="N1214" s="50" t="s">
        <v>318</v>
      </c>
      <c r="O1214" s="64">
        <v>21103.83</v>
      </c>
      <c r="P1214" s="65">
        <v>20</v>
      </c>
      <c r="Q1214" s="64">
        <v>1094.28</v>
      </c>
      <c r="R1214" s="63">
        <v>0</v>
      </c>
      <c r="S1214" s="64">
        <v>0</v>
      </c>
    </row>
    <row r="1215" spans="1:19" ht="11.1" customHeight="1" x14ac:dyDescent="0.25">
      <c r="A1215" s="57">
        <v>112725</v>
      </c>
      <c r="B1215" s="53">
        <v>46120</v>
      </c>
      <c r="C1215" s="58">
        <v>46120</v>
      </c>
      <c r="D1215" s="59" t="s">
        <v>1072</v>
      </c>
      <c r="E1215" s="50" t="s">
        <v>313</v>
      </c>
      <c r="F1215" s="57">
        <v>36</v>
      </c>
      <c r="G1215" s="60">
        <v>7</v>
      </c>
      <c r="H1215" s="61" t="s">
        <v>1062</v>
      </c>
      <c r="I1215" s="50" t="s">
        <v>1063</v>
      </c>
      <c r="J1215" s="50" t="s">
        <v>1064</v>
      </c>
      <c r="K1215" s="62">
        <v>5102</v>
      </c>
      <c r="L1215" s="57">
        <v>205</v>
      </c>
      <c r="M1215" s="50" t="s">
        <v>26</v>
      </c>
      <c r="N1215" s="50" t="s">
        <v>317</v>
      </c>
      <c r="O1215" s="64">
        <v>984.38</v>
      </c>
      <c r="P1215" s="65">
        <v>12</v>
      </c>
      <c r="Q1215" s="64">
        <v>118.12</v>
      </c>
      <c r="R1215" s="63">
        <v>0</v>
      </c>
      <c r="S1215" s="64">
        <v>0</v>
      </c>
    </row>
    <row r="1216" spans="1:19" ht="11.1" customHeight="1" x14ac:dyDescent="0.25">
      <c r="A1216" s="57">
        <v>112726</v>
      </c>
      <c r="B1216" s="53">
        <v>46120</v>
      </c>
      <c r="C1216" s="58">
        <v>46120</v>
      </c>
      <c r="D1216" s="59" t="s">
        <v>1072</v>
      </c>
      <c r="E1216" s="50" t="s">
        <v>313</v>
      </c>
      <c r="F1216" s="57">
        <v>36</v>
      </c>
      <c r="G1216" s="60">
        <v>7</v>
      </c>
      <c r="H1216" s="61" t="s">
        <v>1062</v>
      </c>
      <c r="I1216" s="50" t="s">
        <v>1063</v>
      </c>
      <c r="J1216" s="50" t="s">
        <v>1064</v>
      </c>
      <c r="K1216" s="62">
        <v>5403</v>
      </c>
      <c r="L1216" s="57">
        <v>207</v>
      </c>
      <c r="M1216" s="50" t="s">
        <v>26</v>
      </c>
      <c r="N1216" s="50" t="s">
        <v>317</v>
      </c>
      <c r="O1216" s="64">
        <v>210.28</v>
      </c>
      <c r="P1216" s="65">
        <v>12</v>
      </c>
      <c r="Q1216" s="64">
        <v>25.23</v>
      </c>
      <c r="R1216" s="63">
        <v>0</v>
      </c>
      <c r="S1216" s="64">
        <v>14.72</v>
      </c>
    </row>
    <row r="1217" spans="1:19" ht="11.1" customHeight="1" x14ac:dyDescent="0.25">
      <c r="N1217" s="50" t="s">
        <v>318</v>
      </c>
      <c r="O1217" s="64">
        <v>283.88</v>
      </c>
      <c r="P1217" s="65">
        <v>20</v>
      </c>
      <c r="Q1217" s="64">
        <v>14.72</v>
      </c>
      <c r="R1217" s="63">
        <v>0</v>
      </c>
      <c r="S1217" s="64">
        <v>0</v>
      </c>
    </row>
    <row r="1218" spans="1:19" ht="11.1" customHeight="1" x14ac:dyDescent="0.25">
      <c r="A1218" s="57">
        <v>112777</v>
      </c>
      <c r="B1218" s="53">
        <v>46120</v>
      </c>
      <c r="C1218" s="58">
        <v>46120</v>
      </c>
      <c r="D1218" s="59" t="s">
        <v>1073</v>
      </c>
      <c r="E1218" s="50" t="s">
        <v>313</v>
      </c>
      <c r="F1218" s="57">
        <v>36</v>
      </c>
      <c r="G1218" s="60">
        <v>7</v>
      </c>
      <c r="H1218" s="61" t="s">
        <v>1062</v>
      </c>
      <c r="I1218" s="50" t="s">
        <v>1063</v>
      </c>
      <c r="J1218" s="50" t="s">
        <v>1064</v>
      </c>
      <c r="K1218" s="62">
        <v>5403</v>
      </c>
      <c r="L1218" s="57">
        <v>207</v>
      </c>
      <c r="M1218" s="50" t="s">
        <v>26</v>
      </c>
      <c r="N1218" s="50" t="s">
        <v>317</v>
      </c>
      <c r="O1218" s="64">
        <v>203.4</v>
      </c>
      <c r="P1218" s="65">
        <v>12</v>
      </c>
      <c r="Q1218" s="64">
        <v>24.41</v>
      </c>
      <c r="R1218" s="63">
        <v>0</v>
      </c>
      <c r="S1218" s="64">
        <v>14.24</v>
      </c>
    </row>
    <row r="1219" spans="1:19" ht="11.1" customHeight="1" x14ac:dyDescent="0.25">
      <c r="N1219" s="50" t="s">
        <v>318</v>
      </c>
      <c r="O1219" s="64">
        <v>274.58999999999997</v>
      </c>
      <c r="P1219" s="65">
        <v>20</v>
      </c>
      <c r="Q1219" s="64">
        <v>14.24</v>
      </c>
      <c r="R1219" s="63">
        <v>0</v>
      </c>
      <c r="S1219" s="64">
        <v>0</v>
      </c>
    </row>
    <row r="1220" spans="1:19" ht="11.1" customHeight="1" x14ac:dyDescent="0.25">
      <c r="A1220" s="57">
        <v>112840</v>
      </c>
      <c r="B1220" s="53">
        <v>46121</v>
      </c>
      <c r="C1220" s="58">
        <v>46121</v>
      </c>
      <c r="D1220" s="59" t="s">
        <v>1074</v>
      </c>
      <c r="E1220" s="50" t="s">
        <v>313</v>
      </c>
      <c r="F1220" s="57">
        <v>36</v>
      </c>
      <c r="G1220" s="60">
        <v>7</v>
      </c>
      <c r="H1220" s="61" t="s">
        <v>1062</v>
      </c>
      <c r="I1220" s="50" t="s">
        <v>1063</v>
      </c>
      <c r="J1220" s="50" t="s">
        <v>1064</v>
      </c>
      <c r="K1220" s="62">
        <v>5102</v>
      </c>
      <c r="L1220" s="57">
        <v>205</v>
      </c>
      <c r="M1220" s="50" t="s">
        <v>26</v>
      </c>
      <c r="N1220" s="50" t="s">
        <v>317</v>
      </c>
      <c r="O1220" s="64">
        <v>341.69</v>
      </c>
      <c r="P1220" s="65">
        <v>12</v>
      </c>
      <c r="Q1220" s="64">
        <v>41</v>
      </c>
      <c r="R1220" s="63">
        <v>0</v>
      </c>
      <c r="S1220" s="64">
        <v>0</v>
      </c>
    </row>
    <row r="1221" spans="1:19" ht="11.1" customHeight="1" x14ac:dyDescent="0.25">
      <c r="A1221" s="57">
        <v>112900</v>
      </c>
      <c r="B1221" s="53">
        <v>46122</v>
      </c>
      <c r="C1221" s="58">
        <v>46122</v>
      </c>
      <c r="D1221" s="59" t="s">
        <v>1075</v>
      </c>
      <c r="E1221" s="50" t="s">
        <v>313</v>
      </c>
      <c r="F1221" s="57">
        <v>36</v>
      </c>
      <c r="G1221" s="60">
        <v>7</v>
      </c>
      <c r="H1221" s="61" t="s">
        <v>1062</v>
      </c>
      <c r="I1221" s="50" t="s">
        <v>1063</v>
      </c>
      <c r="J1221" s="50" t="s">
        <v>1064</v>
      </c>
      <c r="K1221" s="62">
        <v>5102</v>
      </c>
      <c r="L1221" s="57">
        <v>205</v>
      </c>
      <c r="M1221" s="50" t="s">
        <v>26</v>
      </c>
      <c r="N1221" s="50" t="s">
        <v>317</v>
      </c>
      <c r="O1221" s="64">
        <v>98.25</v>
      </c>
      <c r="P1221" s="65">
        <v>12</v>
      </c>
      <c r="Q1221" s="64">
        <v>11.79</v>
      </c>
      <c r="R1221" s="63">
        <v>0</v>
      </c>
      <c r="S1221" s="64">
        <v>0</v>
      </c>
    </row>
    <row r="1222" spans="1:19" ht="11.1" customHeight="1" x14ac:dyDescent="0.25">
      <c r="A1222" s="57">
        <v>112983</v>
      </c>
      <c r="B1222" s="53">
        <v>46125</v>
      </c>
      <c r="C1222" s="58">
        <v>46125</v>
      </c>
      <c r="D1222" s="59" t="s">
        <v>1076</v>
      </c>
      <c r="E1222" s="50" t="s">
        <v>313</v>
      </c>
      <c r="F1222" s="57">
        <v>36</v>
      </c>
      <c r="G1222" s="60">
        <v>7</v>
      </c>
      <c r="H1222" s="61" t="s">
        <v>1062</v>
      </c>
      <c r="I1222" s="50" t="s">
        <v>1063</v>
      </c>
      <c r="J1222" s="50" t="s">
        <v>1064</v>
      </c>
      <c r="K1222" s="62">
        <v>5102</v>
      </c>
      <c r="L1222" s="57">
        <v>205</v>
      </c>
      <c r="M1222" s="50" t="s">
        <v>26</v>
      </c>
      <c r="N1222" s="50" t="s">
        <v>317</v>
      </c>
      <c r="O1222" s="64">
        <v>8.3000000000000007</v>
      </c>
      <c r="P1222" s="65">
        <v>12</v>
      </c>
      <c r="Q1222" s="64">
        <v>1</v>
      </c>
      <c r="R1222" s="63">
        <v>0</v>
      </c>
      <c r="S1222" s="64">
        <v>0</v>
      </c>
    </row>
    <row r="1223" spans="1:19" ht="11.1" customHeight="1" x14ac:dyDescent="0.25">
      <c r="A1223" s="57">
        <v>113002</v>
      </c>
      <c r="B1223" s="53">
        <v>46126</v>
      </c>
      <c r="C1223" s="58">
        <v>46126</v>
      </c>
      <c r="D1223" s="59" t="s">
        <v>1077</v>
      </c>
      <c r="E1223" s="50" t="s">
        <v>313</v>
      </c>
      <c r="F1223" s="57">
        <v>36</v>
      </c>
      <c r="G1223" s="60">
        <v>7</v>
      </c>
      <c r="H1223" s="61" t="s">
        <v>1062</v>
      </c>
      <c r="I1223" s="50" t="s">
        <v>1063</v>
      </c>
      <c r="J1223" s="50" t="s">
        <v>1064</v>
      </c>
      <c r="K1223" s="62">
        <v>5102</v>
      </c>
      <c r="L1223" s="57">
        <v>205</v>
      </c>
      <c r="M1223" s="50" t="s">
        <v>26</v>
      </c>
      <c r="N1223" s="50" t="s">
        <v>317</v>
      </c>
      <c r="O1223" s="64">
        <v>79.8</v>
      </c>
      <c r="P1223" s="65">
        <v>12</v>
      </c>
      <c r="Q1223" s="64">
        <v>9.58</v>
      </c>
      <c r="R1223" s="63">
        <v>0</v>
      </c>
      <c r="S1223" s="64">
        <v>0</v>
      </c>
    </row>
    <row r="1224" spans="1:19" ht="11.1" customHeight="1" x14ac:dyDescent="0.25">
      <c r="A1224" s="57">
        <v>113010</v>
      </c>
      <c r="B1224" s="53">
        <v>46126</v>
      </c>
      <c r="C1224" s="58">
        <v>46126</v>
      </c>
      <c r="D1224" s="59" t="s">
        <v>1078</v>
      </c>
      <c r="E1224" s="50" t="s">
        <v>313</v>
      </c>
      <c r="F1224" s="57">
        <v>36</v>
      </c>
      <c r="G1224" s="60">
        <v>7</v>
      </c>
      <c r="H1224" s="61" t="s">
        <v>1062</v>
      </c>
      <c r="I1224" s="50" t="s">
        <v>1063</v>
      </c>
      <c r="J1224" s="50" t="s">
        <v>1064</v>
      </c>
      <c r="K1224" s="62">
        <v>5102</v>
      </c>
      <c r="L1224" s="57">
        <v>205</v>
      </c>
      <c r="M1224" s="50" t="s">
        <v>26</v>
      </c>
      <c r="N1224" s="50" t="s">
        <v>317</v>
      </c>
      <c r="O1224" s="64">
        <v>658.16</v>
      </c>
      <c r="P1224" s="65">
        <v>12</v>
      </c>
      <c r="Q1224" s="64">
        <v>78.98</v>
      </c>
      <c r="R1224" s="63">
        <v>0</v>
      </c>
      <c r="S1224" s="64">
        <v>0</v>
      </c>
    </row>
    <row r="1225" spans="1:19" ht="11.1" customHeight="1" x14ac:dyDescent="0.25">
      <c r="A1225" s="57">
        <v>113053</v>
      </c>
      <c r="B1225" s="53">
        <v>46126</v>
      </c>
      <c r="C1225" s="58">
        <v>46126</v>
      </c>
      <c r="D1225" s="59" t="s">
        <v>1079</v>
      </c>
      <c r="E1225" s="50" t="s">
        <v>313</v>
      </c>
      <c r="F1225" s="57">
        <v>36</v>
      </c>
      <c r="G1225" s="60">
        <v>7</v>
      </c>
      <c r="H1225" s="61" t="s">
        <v>1062</v>
      </c>
      <c r="I1225" s="50" t="s">
        <v>1063</v>
      </c>
      <c r="J1225" s="50" t="s">
        <v>1064</v>
      </c>
      <c r="K1225" s="62">
        <v>5102</v>
      </c>
      <c r="L1225" s="57">
        <v>205</v>
      </c>
      <c r="M1225" s="50" t="s">
        <v>26</v>
      </c>
      <c r="N1225" s="50" t="s">
        <v>317</v>
      </c>
      <c r="O1225" s="64">
        <v>6269.56</v>
      </c>
      <c r="P1225" s="65">
        <v>12</v>
      </c>
      <c r="Q1225" s="64">
        <v>752.34</v>
      </c>
      <c r="R1225" s="63">
        <v>0</v>
      </c>
      <c r="S1225" s="64">
        <v>0</v>
      </c>
    </row>
    <row r="1226" spans="1:19" ht="11.1" customHeight="1" x14ac:dyDescent="0.25">
      <c r="A1226" s="57">
        <v>113054</v>
      </c>
      <c r="B1226" s="53">
        <v>46126</v>
      </c>
      <c r="C1226" s="58">
        <v>46126</v>
      </c>
      <c r="D1226" s="59" t="s">
        <v>1079</v>
      </c>
      <c r="E1226" s="50" t="s">
        <v>313</v>
      </c>
      <c r="F1226" s="57">
        <v>36</v>
      </c>
      <c r="G1226" s="60">
        <v>7</v>
      </c>
      <c r="H1226" s="61" t="s">
        <v>1062</v>
      </c>
      <c r="I1226" s="50" t="s">
        <v>1063</v>
      </c>
      <c r="J1226" s="50" t="s">
        <v>1064</v>
      </c>
      <c r="K1226" s="62">
        <v>5405</v>
      </c>
      <c r="L1226" s="57">
        <v>206</v>
      </c>
      <c r="M1226" s="50" t="s">
        <v>26</v>
      </c>
      <c r="N1226" s="50" t="s">
        <v>317</v>
      </c>
      <c r="O1226" s="64">
        <v>0</v>
      </c>
      <c r="P1226" s="65">
        <v>0</v>
      </c>
      <c r="Q1226" s="64">
        <v>0</v>
      </c>
      <c r="R1226" s="63">
        <v>0</v>
      </c>
      <c r="S1226" s="64">
        <v>61.22</v>
      </c>
    </row>
    <row r="1227" spans="1:19" ht="11.1" customHeight="1" x14ac:dyDescent="0.25">
      <c r="A1227" s="57">
        <v>113055</v>
      </c>
      <c r="B1227" s="53">
        <v>46126</v>
      </c>
      <c r="C1227" s="58">
        <v>46126</v>
      </c>
      <c r="D1227" s="59" t="s">
        <v>1079</v>
      </c>
      <c r="E1227" s="50" t="s">
        <v>313</v>
      </c>
      <c r="F1227" s="57">
        <v>36</v>
      </c>
      <c r="G1227" s="60">
        <v>7</v>
      </c>
      <c r="H1227" s="61" t="s">
        <v>1062</v>
      </c>
      <c r="I1227" s="50" t="s">
        <v>1063</v>
      </c>
      <c r="J1227" s="50" t="s">
        <v>1064</v>
      </c>
      <c r="K1227" s="62">
        <v>5403</v>
      </c>
      <c r="L1227" s="57">
        <v>207</v>
      </c>
      <c r="M1227" s="50" t="s">
        <v>26</v>
      </c>
      <c r="N1227" s="50" t="s">
        <v>317</v>
      </c>
      <c r="O1227" s="64">
        <v>6804.56</v>
      </c>
      <c r="P1227" s="65">
        <v>12</v>
      </c>
      <c r="Q1227" s="64">
        <v>816.52</v>
      </c>
      <c r="R1227" s="63">
        <v>0</v>
      </c>
      <c r="S1227" s="64">
        <v>476.32</v>
      </c>
    </row>
    <row r="1228" spans="1:19" ht="11.1" customHeight="1" x14ac:dyDescent="0.25">
      <c r="N1228" s="50" t="s">
        <v>318</v>
      </c>
      <c r="O1228" s="64">
        <v>9186.17</v>
      </c>
      <c r="P1228" s="65">
        <v>20</v>
      </c>
      <c r="Q1228" s="64">
        <v>476.32</v>
      </c>
      <c r="R1228" s="63">
        <v>0</v>
      </c>
      <c r="S1228" s="64">
        <v>0</v>
      </c>
    </row>
    <row r="1229" spans="1:19" ht="11.1" customHeight="1" x14ac:dyDescent="0.25">
      <c r="A1229" s="57">
        <v>113177</v>
      </c>
      <c r="B1229" s="53">
        <v>46129</v>
      </c>
      <c r="C1229" s="58">
        <v>46129</v>
      </c>
      <c r="D1229" s="59" t="s">
        <v>1080</v>
      </c>
      <c r="E1229" s="50" t="s">
        <v>313</v>
      </c>
      <c r="F1229" s="57">
        <v>36</v>
      </c>
      <c r="G1229" s="60">
        <v>7</v>
      </c>
      <c r="H1229" s="61" t="s">
        <v>1062</v>
      </c>
      <c r="I1229" s="50" t="s">
        <v>1063</v>
      </c>
      <c r="J1229" s="50" t="s">
        <v>1064</v>
      </c>
      <c r="K1229" s="62">
        <v>5102</v>
      </c>
      <c r="L1229" s="57">
        <v>205</v>
      </c>
      <c r="M1229" s="50" t="s">
        <v>26</v>
      </c>
      <c r="N1229" s="50" t="s">
        <v>317</v>
      </c>
      <c r="O1229" s="64">
        <v>435.97</v>
      </c>
      <c r="P1229" s="65">
        <v>12</v>
      </c>
      <c r="Q1229" s="64">
        <v>52.32</v>
      </c>
      <c r="R1229" s="63">
        <v>0</v>
      </c>
      <c r="S1229" s="64">
        <v>0</v>
      </c>
    </row>
    <row r="1230" spans="1:19" ht="11.1" customHeight="1" x14ac:dyDescent="0.25">
      <c r="A1230" s="57">
        <v>113197</v>
      </c>
      <c r="B1230" s="53">
        <v>46129</v>
      </c>
      <c r="C1230" s="58">
        <v>46129</v>
      </c>
      <c r="D1230" s="59" t="s">
        <v>1081</v>
      </c>
      <c r="E1230" s="50" t="s">
        <v>313</v>
      </c>
      <c r="F1230" s="57">
        <v>36</v>
      </c>
      <c r="G1230" s="60">
        <v>7</v>
      </c>
      <c r="H1230" s="61" t="s">
        <v>1062</v>
      </c>
      <c r="I1230" s="50" t="s">
        <v>1063</v>
      </c>
      <c r="J1230" s="50" t="s">
        <v>1064</v>
      </c>
      <c r="K1230" s="62">
        <v>5102</v>
      </c>
      <c r="L1230" s="57">
        <v>205</v>
      </c>
      <c r="M1230" s="50" t="s">
        <v>26</v>
      </c>
      <c r="N1230" s="50" t="s">
        <v>317</v>
      </c>
      <c r="O1230" s="64">
        <v>911.76</v>
      </c>
      <c r="P1230" s="65">
        <v>12</v>
      </c>
      <c r="Q1230" s="64">
        <v>109.41</v>
      </c>
      <c r="R1230" s="63">
        <v>0</v>
      </c>
      <c r="S1230" s="64">
        <v>0</v>
      </c>
    </row>
    <row r="1231" spans="1:19" ht="11.1" customHeight="1" x14ac:dyDescent="0.25">
      <c r="A1231" s="57">
        <v>113331</v>
      </c>
      <c r="B1231" s="53">
        <v>46135</v>
      </c>
      <c r="C1231" s="58">
        <v>46135</v>
      </c>
      <c r="D1231" s="59" t="s">
        <v>1082</v>
      </c>
      <c r="E1231" s="50" t="s">
        <v>313</v>
      </c>
      <c r="F1231" s="57">
        <v>36</v>
      </c>
      <c r="G1231" s="60">
        <v>7</v>
      </c>
      <c r="H1231" s="61" t="s">
        <v>1062</v>
      </c>
      <c r="I1231" s="50" t="s">
        <v>1063</v>
      </c>
      <c r="J1231" s="50" t="s">
        <v>1064</v>
      </c>
      <c r="K1231" s="62">
        <v>5102</v>
      </c>
      <c r="L1231" s="57">
        <v>205</v>
      </c>
      <c r="M1231" s="50" t="s">
        <v>26</v>
      </c>
      <c r="N1231" s="50" t="s">
        <v>317</v>
      </c>
      <c r="O1231" s="64">
        <v>316.32</v>
      </c>
      <c r="P1231" s="65">
        <v>12</v>
      </c>
      <c r="Q1231" s="64">
        <v>37.96</v>
      </c>
      <c r="R1231" s="63">
        <v>0</v>
      </c>
      <c r="S1231" s="64">
        <v>0</v>
      </c>
    </row>
    <row r="1232" spans="1:19" ht="11.1" customHeight="1" x14ac:dyDescent="0.25">
      <c r="A1232" s="57">
        <v>113390</v>
      </c>
      <c r="B1232" s="53">
        <v>46136</v>
      </c>
      <c r="C1232" s="58">
        <v>46136</v>
      </c>
      <c r="D1232" s="59" t="s">
        <v>1083</v>
      </c>
      <c r="E1232" s="50" t="s">
        <v>313</v>
      </c>
      <c r="F1232" s="57">
        <v>36</v>
      </c>
      <c r="G1232" s="60">
        <v>7</v>
      </c>
      <c r="H1232" s="61" t="s">
        <v>1062</v>
      </c>
      <c r="I1232" s="50" t="s">
        <v>1063</v>
      </c>
      <c r="J1232" s="50" t="s">
        <v>1064</v>
      </c>
      <c r="K1232" s="62">
        <v>5102</v>
      </c>
      <c r="L1232" s="57">
        <v>205</v>
      </c>
      <c r="M1232" s="50" t="s">
        <v>26</v>
      </c>
      <c r="N1232" s="50" t="s">
        <v>317</v>
      </c>
      <c r="O1232" s="64">
        <v>66.790000000000006</v>
      </c>
      <c r="P1232" s="65">
        <v>12</v>
      </c>
      <c r="Q1232" s="64">
        <v>8.01</v>
      </c>
      <c r="R1232" s="63">
        <v>0</v>
      </c>
      <c r="S1232" s="64">
        <v>0</v>
      </c>
    </row>
    <row r="1233" spans="1:19" ht="11.1" customHeight="1" x14ac:dyDescent="0.25">
      <c r="A1233" s="57">
        <v>113408</v>
      </c>
      <c r="B1233" s="53">
        <v>46136</v>
      </c>
      <c r="C1233" s="58">
        <v>46136</v>
      </c>
      <c r="D1233" s="59" t="s">
        <v>1084</v>
      </c>
      <c r="E1233" s="50" t="s">
        <v>313</v>
      </c>
      <c r="F1233" s="57">
        <v>36</v>
      </c>
      <c r="G1233" s="60">
        <v>7</v>
      </c>
      <c r="H1233" s="61" t="s">
        <v>1062</v>
      </c>
      <c r="I1233" s="50" t="s">
        <v>1063</v>
      </c>
      <c r="J1233" s="50" t="s">
        <v>1064</v>
      </c>
      <c r="K1233" s="62">
        <v>5403</v>
      </c>
      <c r="L1233" s="57">
        <v>207</v>
      </c>
      <c r="M1233" s="50" t="s">
        <v>26</v>
      </c>
      <c r="N1233" s="50" t="s">
        <v>317</v>
      </c>
      <c r="O1233" s="64">
        <v>882.56</v>
      </c>
      <c r="P1233" s="65">
        <v>12</v>
      </c>
      <c r="Q1233" s="64">
        <v>105.91</v>
      </c>
      <c r="R1233" s="63">
        <v>0</v>
      </c>
      <c r="S1233" s="64">
        <v>61.78</v>
      </c>
    </row>
    <row r="1234" spans="1:19" ht="11.1" customHeight="1" x14ac:dyDescent="0.25">
      <c r="N1234" s="50" t="s">
        <v>318</v>
      </c>
      <c r="O1234" s="64">
        <v>1191.46</v>
      </c>
      <c r="P1234" s="65">
        <v>20</v>
      </c>
      <c r="Q1234" s="64">
        <v>61.78</v>
      </c>
      <c r="R1234" s="63">
        <v>0</v>
      </c>
      <c r="S1234" s="64">
        <v>0</v>
      </c>
    </row>
    <row r="1235" spans="1:19" ht="11.1" customHeight="1" x14ac:dyDescent="0.25">
      <c r="A1235" s="57">
        <v>113449</v>
      </c>
      <c r="B1235" s="53">
        <v>46139</v>
      </c>
      <c r="C1235" s="58">
        <v>46139</v>
      </c>
      <c r="D1235" s="59" t="s">
        <v>1085</v>
      </c>
      <c r="E1235" s="50" t="s">
        <v>313</v>
      </c>
      <c r="F1235" s="57">
        <v>36</v>
      </c>
      <c r="G1235" s="60">
        <v>7</v>
      </c>
      <c r="H1235" s="61" t="s">
        <v>1062</v>
      </c>
      <c r="I1235" s="50" t="s">
        <v>1063</v>
      </c>
      <c r="J1235" s="50" t="s">
        <v>1064</v>
      </c>
      <c r="K1235" s="62">
        <v>5403</v>
      </c>
      <c r="L1235" s="57">
        <v>207</v>
      </c>
      <c r="M1235" s="50" t="s">
        <v>26</v>
      </c>
      <c r="N1235" s="50" t="s">
        <v>317</v>
      </c>
      <c r="O1235" s="64">
        <v>76.62</v>
      </c>
      <c r="P1235" s="65">
        <v>12</v>
      </c>
      <c r="Q1235" s="64">
        <v>9.19</v>
      </c>
      <c r="R1235" s="63">
        <v>0</v>
      </c>
      <c r="S1235" s="64">
        <v>5.37</v>
      </c>
    </row>
    <row r="1236" spans="1:19" ht="11.1" customHeight="1" x14ac:dyDescent="0.25">
      <c r="N1236" s="50" t="s">
        <v>318</v>
      </c>
      <c r="O1236" s="64">
        <v>103.44</v>
      </c>
      <c r="P1236" s="65">
        <v>20</v>
      </c>
      <c r="Q1236" s="64">
        <v>5.37</v>
      </c>
      <c r="R1236" s="63">
        <v>0</v>
      </c>
      <c r="S1236" s="64">
        <v>0</v>
      </c>
    </row>
    <row r="1237" spans="1:19" ht="11.85" customHeight="1" x14ac:dyDescent="0.25">
      <c r="A1237" s="66" t="s">
        <v>320</v>
      </c>
      <c r="B1237" s="66"/>
      <c r="C1237" s="66"/>
      <c r="D1237" s="66"/>
      <c r="E1237" s="66"/>
      <c r="F1237" s="66"/>
      <c r="G1237" s="66"/>
      <c r="H1237" s="66"/>
    </row>
    <row r="1238" spans="1:19" ht="11.1" customHeight="1" x14ac:dyDescent="0.25">
      <c r="N1238" s="50" t="s">
        <v>317</v>
      </c>
      <c r="O1238" s="64">
        <v>45903.06</v>
      </c>
      <c r="Q1238" s="64">
        <v>5508.38</v>
      </c>
      <c r="R1238" s="63">
        <v>0</v>
      </c>
      <c r="S1238" s="64">
        <v>2144.84</v>
      </c>
    </row>
    <row r="1239" spans="1:19" ht="11.1" customHeight="1" x14ac:dyDescent="0.25">
      <c r="N1239" s="50" t="s">
        <v>318</v>
      </c>
      <c r="O1239" s="64">
        <v>34723.71</v>
      </c>
      <c r="Q1239" s="64">
        <v>1800.5</v>
      </c>
      <c r="R1239" s="63">
        <v>0</v>
      </c>
      <c r="S1239" s="64">
        <v>0</v>
      </c>
    </row>
    <row r="1240" spans="1:19" ht="11.1" customHeight="1" x14ac:dyDescent="0.25">
      <c r="A1240" s="57">
        <v>112855</v>
      </c>
      <c r="B1240" s="53">
        <v>46121</v>
      </c>
      <c r="C1240" s="58">
        <v>46121</v>
      </c>
      <c r="D1240" s="59" t="s">
        <v>1086</v>
      </c>
      <c r="E1240" s="50" t="s">
        <v>313</v>
      </c>
      <c r="F1240" s="57">
        <v>36</v>
      </c>
      <c r="G1240" s="60">
        <v>23</v>
      </c>
      <c r="H1240" s="61" t="s">
        <v>1087</v>
      </c>
      <c r="I1240" s="50" t="s">
        <v>1088</v>
      </c>
      <c r="J1240" s="50" t="s">
        <v>1089</v>
      </c>
      <c r="K1240" s="62">
        <v>6102</v>
      </c>
      <c r="L1240" s="57">
        <v>238</v>
      </c>
      <c r="M1240" s="50" t="s">
        <v>38</v>
      </c>
      <c r="N1240" s="50" t="s">
        <v>317</v>
      </c>
      <c r="O1240" s="64">
        <v>482.2</v>
      </c>
      <c r="P1240" s="65">
        <v>12</v>
      </c>
      <c r="Q1240" s="64">
        <v>57.86</v>
      </c>
      <c r="R1240" s="63">
        <v>0</v>
      </c>
      <c r="S1240" s="64">
        <v>0</v>
      </c>
    </row>
    <row r="1241" spans="1:19" ht="11.1" customHeight="1" x14ac:dyDescent="0.25">
      <c r="A1241" s="57">
        <v>112862</v>
      </c>
      <c r="B1241" s="53">
        <v>46121</v>
      </c>
      <c r="C1241" s="58">
        <v>46121</v>
      </c>
      <c r="D1241" s="59" t="s">
        <v>1090</v>
      </c>
      <c r="E1241" s="50" t="s">
        <v>313</v>
      </c>
      <c r="F1241" s="57">
        <v>36</v>
      </c>
      <c r="G1241" s="60">
        <v>23</v>
      </c>
      <c r="H1241" s="61" t="s">
        <v>1087</v>
      </c>
      <c r="I1241" s="50" t="s">
        <v>1088</v>
      </c>
      <c r="J1241" s="50" t="s">
        <v>1089</v>
      </c>
      <c r="K1241" s="62">
        <v>6403</v>
      </c>
      <c r="L1241" s="57">
        <v>207</v>
      </c>
      <c r="M1241" s="50" t="s">
        <v>38</v>
      </c>
      <c r="N1241" s="50" t="s">
        <v>317</v>
      </c>
      <c r="O1241" s="64">
        <v>13996.67</v>
      </c>
      <c r="P1241" s="65">
        <v>12</v>
      </c>
      <c r="Q1241" s="64">
        <v>1679.6</v>
      </c>
      <c r="R1241" s="63">
        <v>0</v>
      </c>
      <c r="S1241" s="64">
        <v>2754.54</v>
      </c>
    </row>
    <row r="1242" spans="1:19" ht="11.1" customHeight="1" x14ac:dyDescent="0.25">
      <c r="N1242" s="50" t="s">
        <v>318</v>
      </c>
      <c r="O1242" s="64">
        <v>24634.14</v>
      </c>
      <c r="P1242" s="65">
        <v>18</v>
      </c>
      <c r="Q1242" s="64">
        <v>2754.54</v>
      </c>
      <c r="R1242" s="63">
        <v>0</v>
      </c>
      <c r="S1242" s="64">
        <v>0</v>
      </c>
    </row>
    <row r="1243" spans="1:19" ht="11.1" customHeight="1" x14ac:dyDescent="0.25">
      <c r="A1243" s="57">
        <v>112863</v>
      </c>
      <c r="B1243" s="53">
        <v>46121</v>
      </c>
      <c r="C1243" s="58">
        <v>46121</v>
      </c>
      <c r="D1243" s="59" t="s">
        <v>1090</v>
      </c>
      <c r="E1243" s="50" t="s">
        <v>313</v>
      </c>
      <c r="F1243" s="57">
        <v>36</v>
      </c>
      <c r="G1243" s="60">
        <v>23</v>
      </c>
      <c r="H1243" s="61" t="s">
        <v>1087</v>
      </c>
      <c r="I1243" s="50" t="s">
        <v>1088</v>
      </c>
      <c r="J1243" s="50" t="s">
        <v>1089</v>
      </c>
      <c r="K1243" s="62">
        <v>6102</v>
      </c>
      <c r="L1243" s="57">
        <v>238</v>
      </c>
      <c r="M1243" s="50" t="s">
        <v>38</v>
      </c>
      <c r="N1243" s="50" t="s">
        <v>317</v>
      </c>
      <c r="O1243" s="64">
        <v>23278.68</v>
      </c>
      <c r="P1243" s="65">
        <v>12</v>
      </c>
      <c r="Q1243" s="64">
        <v>2793.45</v>
      </c>
      <c r="R1243" s="63">
        <v>0</v>
      </c>
      <c r="S1243" s="64">
        <v>0</v>
      </c>
    </row>
    <row r="1244" spans="1:19" ht="11.1" customHeight="1" x14ac:dyDescent="0.25">
      <c r="A1244" s="57">
        <v>112991</v>
      </c>
      <c r="B1244" s="53">
        <v>46125</v>
      </c>
      <c r="C1244" s="58">
        <v>46125</v>
      </c>
      <c r="D1244" s="59" t="s">
        <v>1091</v>
      </c>
      <c r="E1244" s="50" t="s">
        <v>313</v>
      </c>
      <c r="F1244" s="57">
        <v>36</v>
      </c>
      <c r="G1244" s="60">
        <v>23</v>
      </c>
      <c r="H1244" s="61" t="s">
        <v>1087</v>
      </c>
      <c r="I1244" s="50" t="s">
        <v>1088</v>
      </c>
      <c r="J1244" s="50" t="s">
        <v>1089</v>
      </c>
      <c r="K1244" s="62">
        <v>6403</v>
      </c>
      <c r="L1244" s="57">
        <v>207</v>
      </c>
      <c r="M1244" s="50" t="s">
        <v>38</v>
      </c>
      <c r="N1244" s="50" t="s">
        <v>317</v>
      </c>
      <c r="O1244" s="64">
        <v>20.68</v>
      </c>
      <c r="P1244" s="65">
        <v>12</v>
      </c>
      <c r="Q1244" s="64">
        <v>2.48</v>
      </c>
      <c r="R1244" s="63">
        <v>0</v>
      </c>
      <c r="S1244" s="64">
        <v>4.07</v>
      </c>
    </row>
    <row r="1245" spans="1:19" ht="11.1" customHeight="1" x14ac:dyDescent="0.25">
      <c r="N1245" s="50" t="s">
        <v>318</v>
      </c>
      <c r="O1245" s="64">
        <v>36.4</v>
      </c>
      <c r="P1245" s="65">
        <v>18</v>
      </c>
      <c r="Q1245" s="64">
        <v>4.07</v>
      </c>
      <c r="R1245" s="63">
        <v>0</v>
      </c>
      <c r="S1245" s="64">
        <v>0</v>
      </c>
    </row>
    <row r="1246" spans="1:19" ht="11.1" customHeight="1" x14ac:dyDescent="0.25">
      <c r="A1246" s="57">
        <v>112992</v>
      </c>
      <c r="B1246" s="53">
        <v>46125</v>
      </c>
      <c r="C1246" s="58">
        <v>46125</v>
      </c>
      <c r="D1246" s="59" t="s">
        <v>1091</v>
      </c>
      <c r="E1246" s="50" t="s">
        <v>313</v>
      </c>
      <c r="F1246" s="57">
        <v>36</v>
      </c>
      <c r="G1246" s="60">
        <v>23</v>
      </c>
      <c r="H1246" s="61" t="s">
        <v>1087</v>
      </c>
      <c r="I1246" s="50" t="s">
        <v>1088</v>
      </c>
      <c r="J1246" s="50" t="s">
        <v>1089</v>
      </c>
      <c r="K1246" s="62">
        <v>6102</v>
      </c>
      <c r="L1246" s="57">
        <v>238</v>
      </c>
      <c r="M1246" s="50" t="s">
        <v>38</v>
      </c>
      <c r="N1246" s="50" t="s">
        <v>317</v>
      </c>
      <c r="O1246" s="64">
        <v>256.13</v>
      </c>
      <c r="P1246" s="65">
        <v>12</v>
      </c>
      <c r="Q1246" s="64">
        <v>30.74</v>
      </c>
      <c r="R1246" s="63">
        <v>0</v>
      </c>
      <c r="S1246" s="64">
        <v>0</v>
      </c>
    </row>
    <row r="1247" spans="1:19" ht="11.1" customHeight="1" x14ac:dyDescent="0.25">
      <c r="A1247" s="57">
        <v>113161</v>
      </c>
      <c r="B1247" s="53">
        <v>46128</v>
      </c>
      <c r="C1247" s="58">
        <v>46128</v>
      </c>
      <c r="D1247" s="59" t="s">
        <v>1092</v>
      </c>
      <c r="E1247" s="50" t="s">
        <v>313</v>
      </c>
      <c r="F1247" s="57">
        <v>36</v>
      </c>
      <c r="G1247" s="60">
        <v>23</v>
      </c>
      <c r="H1247" s="61" t="s">
        <v>1087</v>
      </c>
      <c r="I1247" s="50" t="s">
        <v>1088</v>
      </c>
      <c r="J1247" s="50" t="s">
        <v>1089</v>
      </c>
      <c r="K1247" s="62">
        <v>6403</v>
      </c>
      <c r="L1247" s="57">
        <v>207</v>
      </c>
      <c r="M1247" s="50" t="s">
        <v>38</v>
      </c>
      <c r="N1247" s="50" t="s">
        <v>317</v>
      </c>
      <c r="O1247" s="64">
        <v>9408.59</v>
      </c>
      <c r="P1247" s="65">
        <v>12</v>
      </c>
      <c r="Q1247" s="64">
        <v>1129.05</v>
      </c>
      <c r="R1247" s="63">
        <v>0</v>
      </c>
      <c r="S1247" s="64">
        <v>1851.59</v>
      </c>
    </row>
    <row r="1248" spans="1:19" ht="11.1" customHeight="1" x14ac:dyDescent="0.25">
      <c r="N1248" s="50" t="s">
        <v>318</v>
      </c>
      <c r="O1248" s="64">
        <v>16559.12</v>
      </c>
      <c r="P1248" s="65">
        <v>18</v>
      </c>
      <c r="Q1248" s="64">
        <v>1851.59</v>
      </c>
      <c r="R1248" s="63">
        <v>0</v>
      </c>
      <c r="S1248" s="64">
        <v>0</v>
      </c>
    </row>
    <row r="1249" spans="1:19" ht="11.1" customHeight="1" x14ac:dyDescent="0.25">
      <c r="A1249" s="57">
        <v>113162</v>
      </c>
      <c r="B1249" s="53">
        <v>46128</v>
      </c>
      <c r="C1249" s="58">
        <v>46128</v>
      </c>
      <c r="D1249" s="59" t="s">
        <v>1092</v>
      </c>
      <c r="E1249" s="50" t="s">
        <v>313</v>
      </c>
      <c r="F1249" s="57">
        <v>36</v>
      </c>
      <c r="G1249" s="60">
        <v>23</v>
      </c>
      <c r="H1249" s="61" t="s">
        <v>1087</v>
      </c>
      <c r="I1249" s="50" t="s">
        <v>1088</v>
      </c>
      <c r="J1249" s="50" t="s">
        <v>1089</v>
      </c>
      <c r="K1249" s="62">
        <v>6102</v>
      </c>
      <c r="L1249" s="57">
        <v>238</v>
      </c>
      <c r="M1249" s="50" t="s">
        <v>38</v>
      </c>
      <c r="N1249" s="50" t="s">
        <v>317</v>
      </c>
      <c r="O1249" s="64">
        <v>14902.64</v>
      </c>
      <c r="P1249" s="65">
        <v>12</v>
      </c>
      <c r="Q1249" s="64">
        <v>1788.33</v>
      </c>
      <c r="R1249" s="63">
        <v>0</v>
      </c>
      <c r="S1249" s="64">
        <v>0</v>
      </c>
    </row>
    <row r="1250" spans="1:19" ht="11.1" customHeight="1" x14ac:dyDescent="0.25">
      <c r="A1250" s="57">
        <v>113356</v>
      </c>
      <c r="B1250" s="53">
        <v>46135</v>
      </c>
      <c r="C1250" s="58">
        <v>46135</v>
      </c>
      <c r="D1250" s="59" t="s">
        <v>1093</v>
      </c>
      <c r="E1250" s="50" t="s">
        <v>313</v>
      </c>
      <c r="F1250" s="57">
        <v>36</v>
      </c>
      <c r="G1250" s="60">
        <v>23</v>
      </c>
      <c r="H1250" s="61" t="s">
        <v>1087</v>
      </c>
      <c r="I1250" s="50" t="s">
        <v>1088</v>
      </c>
      <c r="J1250" s="50" t="s">
        <v>1089</v>
      </c>
      <c r="K1250" s="62">
        <v>6403</v>
      </c>
      <c r="L1250" s="57">
        <v>207</v>
      </c>
      <c r="M1250" s="50" t="s">
        <v>38</v>
      </c>
      <c r="N1250" s="50" t="s">
        <v>317</v>
      </c>
      <c r="O1250" s="64">
        <v>10225.82</v>
      </c>
      <c r="P1250" s="65">
        <v>12</v>
      </c>
      <c r="Q1250" s="64">
        <v>1227.0999999999999</v>
      </c>
      <c r="R1250" s="63">
        <v>0</v>
      </c>
      <c r="S1250" s="64">
        <v>1955.36</v>
      </c>
    </row>
    <row r="1251" spans="1:19" ht="11.1" customHeight="1" x14ac:dyDescent="0.25">
      <c r="N1251" s="50" t="s">
        <v>318</v>
      </c>
      <c r="O1251" s="64">
        <v>17487</v>
      </c>
      <c r="P1251" s="65">
        <v>18</v>
      </c>
      <c r="Q1251" s="64">
        <v>1955.36</v>
      </c>
      <c r="R1251" s="63">
        <v>0</v>
      </c>
      <c r="S1251" s="64">
        <v>0</v>
      </c>
    </row>
    <row r="1252" spans="1:19" ht="11.1" customHeight="1" x14ac:dyDescent="0.25">
      <c r="A1252" s="57">
        <v>113357</v>
      </c>
      <c r="B1252" s="53">
        <v>46135</v>
      </c>
      <c r="C1252" s="58">
        <v>46135</v>
      </c>
      <c r="D1252" s="59" t="s">
        <v>1093</v>
      </c>
      <c r="E1252" s="50" t="s">
        <v>313</v>
      </c>
      <c r="F1252" s="57">
        <v>36</v>
      </c>
      <c r="G1252" s="60">
        <v>23</v>
      </c>
      <c r="H1252" s="61" t="s">
        <v>1087</v>
      </c>
      <c r="I1252" s="50" t="s">
        <v>1088</v>
      </c>
      <c r="J1252" s="50" t="s">
        <v>1089</v>
      </c>
      <c r="K1252" s="62">
        <v>6102</v>
      </c>
      <c r="L1252" s="57">
        <v>238</v>
      </c>
      <c r="M1252" s="50" t="s">
        <v>38</v>
      </c>
      <c r="N1252" s="50" t="s">
        <v>317</v>
      </c>
      <c r="O1252" s="64">
        <v>10806.72</v>
      </c>
      <c r="P1252" s="65">
        <v>12</v>
      </c>
      <c r="Q1252" s="64">
        <v>1296.79</v>
      </c>
      <c r="R1252" s="63">
        <v>0</v>
      </c>
      <c r="S1252" s="64">
        <v>0</v>
      </c>
    </row>
    <row r="1253" spans="1:19" ht="11.1" customHeight="1" x14ac:dyDescent="0.25">
      <c r="A1253" s="57">
        <v>113360</v>
      </c>
      <c r="B1253" s="53">
        <v>46135</v>
      </c>
      <c r="C1253" s="58">
        <v>46135</v>
      </c>
      <c r="D1253" s="59" t="s">
        <v>1094</v>
      </c>
      <c r="E1253" s="50" t="s">
        <v>313</v>
      </c>
      <c r="F1253" s="57">
        <v>36</v>
      </c>
      <c r="G1253" s="60">
        <v>23</v>
      </c>
      <c r="H1253" s="61" t="s">
        <v>1087</v>
      </c>
      <c r="I1253" s="50" t="s">
        <v>1088</v>
      </c>
      <c r="J1253" s="50" t="s">
        <v>1089</v>
      </c>
      <c r="K1253" s="62">
        <v>6102</v>
      </c>
      <c r="L1253" s="57">
        <v>238</v>
      </c>
      <c r="M1253" s="50" t="s">
        <v>38</v>
      </c>
      <c r="N1253" s="50" t="s">
        <v>317</v>
      </c>
      <c r="O1253" s="64">
        <v>351.96</v>
      </c>
      <c r="P1253" s="65">
        <v>12</v>
      </c>
      <c r="Q1253" s="64">
        <v>42.24</v>
      </c>
      <c r="R1253" s="63">
        <v>0</v>
      </c>
      <c r="S1253" s="64">
        <v>0</v>
      </c>
    </row>
    <row r="1254" spans="1:19" ht="11.85" customHeight="1" x14ac:dyDescent="0.25">
      <c r="A1254" s="66" t="s">
        <v>320</v>
      </c>
      <c r="B1254" s="66"/>
      <c r="C1254" s="66"/>
      <c r="D1254" s="66"/>
      <c r="E1254" s="66"/>
      <c r="F1254" s="66"/>
      <c r="G1254" s="66"/>
      <c r="H1254" s="66"/>
    </row>
    <row r="1255" spans="1:19" ht="11.1" customHeight="1" x14ac:dyDescent="0.25">
      <c r="N1255" s="50" t="s">
        <v>317</v>
      </c>
      <c r="O1255" s="64">
        <v>83730.09</v>
      </c>
      <c r="Q1255" s="64">
        <v>10047.64</v>
      </c>
      <c r="R1255" s="63">
        <v>0</v>
      </c>
      <c r="S1255" s="64">
        <v>6565.56</v>
      </c>
    </row>
    <row r="1256" spans="1:19" ht="11.1" customHeight="1" x14ac:dyDescent="0.25">
      <c r="N1256" s="50" t="s">
        <v>318</v>
      </c>
      <c r="O1256" s="64">
        <v>58716.66</v>
      </c>
      <c r="Q1256" s="64">
        <v>6565.56</v>
      </c>
      <c r="R1256" s="63">
        <v>0</v>
      </c>
      <c r="S1256" s="64">
        <v>0</v>
      </c>
    </row>
    <row r="1257" spans="1:19" ht="11.1" customHeight="1" x14ac:dyDescent="0.25">
      <c r="A1257" s="57">
        <v>112448</v>
      </c>
      <c r="B1257" s="53">
        <v>46113</v>
      </c>
      <c r="C1257" s="58">
        <v>46113</v>
      </c>
      <c r="D1257" s="59" t="s">
        <v>1095</v>
      </c>
      <c r="E1257" s="50" t="s">
        <v>313</v>
      </c>
      <c r="F1257" s="57">
        <v>36</v>
      </c>
      <c r="G1257" s="60">
        <v>499</v>
      </c>
      <c r="H1257" s="61" t="s">
        <v>1096</v>
      </c>
      <c r="I1257" s="50" t="s">
        <v>1097</v>
      </c>
      <c r="J1257" s="50" t="s">
        <v>1098</v>
      </c>
      <c r="K1257" s="62">
        <v>5102</v>
      </c>
      <c r="L1257" s="57">
        <v>205</v>
      </c>
      <c r="M1257" s="50" t="s">
        <v>26</v>
      </c>
      <c r="N1257" s="50" t="s">
        <v>317</v>
      </c>
      <c r="O1257" s="64">
        <v>59.91</v>
      </c>
      <c r="P1257" s="65">
        <v>12</v>
      </c>
      <c r="Q1257" s="64">
        <v>7.19</v>
      </c>
      <c r="R1257" s="63">
        <v>0</v>
      </c>
      <c r="S1257" s="64">
        <v>0</v>
      </c>
    </row>
    <row r="1258" spans="1:19" ht="11.1" customHeight="1" x14ac:dyDescent="0.25">
      <c r="A1258" s="57">
        <v>112449</v>
      </c>
      <c r="B1258" s="53">
        <v>46113</v>
      </c>
      <c r="C1258" s="58">
        <v>46113</v>
      </c>
      <c r="D1258" s="59" t="s">
        <v>1095</v>
      </c>
      <c r="E1258" s="50" t="s">
        <v>313</v>
      </c>
      <c r="F1258" s="57">
        <v>36</v>
      </c>
      <c r="G1258" s="60">
        <v>499</v>
      </c>
      <c r="H1258" s="61" t="s">
        <v>1096</v>
      </c>
      <c r="I1258" s="50" t="s">
        <v>1097</v>
      </c>
      <c r="J1258" s="50" t="s">
        <v>1098</v>
      </c>
      <c r="K1258" s="62">
        <v>5403</v>
      </c>
      <c r="L1258" s="57">
        <v>207</v>
      </c>
      <c r="M1258" s="50" t="s">
        <v>26</v>
      </c>
      <c r="N1258" s="50" t="s">
        <v>317</v>
      </c>
      <c r="O1258" s="64">
        <v>85.14</v>
      </c>
      <c r="P1258" s="65">
        <v>12</v>
      </c>
      <c r="Q1258" s="64">
        <v>10.220000000000001</v>
      </c>
      <c r="R1258" s="63">
        <v>0</v>
      </c>
      <c r="S1258" s="64">
        <v>5.96</v>
      </c>
    </row>
    <row r="1259" spans="1:19" ht="11.1" customHeight="1" x14ac:dyDescent="0.25">
      <c r="N1259" s="50" t="s">
        <v>318</v>
      </c>
      <c r="O1259" s="64">
        <v>114.94</v>
      </c>
      <c r="P1259" s="65">
        <v>20</v>
      </c>
      <c r="Q1259" s="64">
        <v>5.96</v>
      </c>
      <c r="R1259" s="63">
        <v>0</v>
      </c>
      <c r="S1259" s="64">
        <v>0</v>
      </c>
    </row>
    <row r="1260" spans="1:19" ht="11.1" customHeight="1" x14ac:dyDescent="0.25">
      <c r="A1260" s="57">
        <v>112503</v>
      </c>
      <c r="B1260" s="53">
        <v>46114</v>
      </c>
      <c r="C1260" s="58">
        <v>46114</v>
      </c>
      <c r="D1260" s="59" t="s">
        <v>1099</v>
      </c>
      <c r="E1260" s="50" t="s">
        <v>313</v>
      </c>
      <c r="F1260" s="57">
        <v>36</v>
      </c>
      <c r="G1260" s="60">
        <v>499</v>
      </c>
      <c r="H1260" s="61" t="s">
        <v>1096</v>
      </c>
      <c r="I1260" s="50" t="s">
        <v>1097</v>
      </c>
      <c r="J1260" s="50" t="s">
        <v>1098</v>
      </c>
      <c r="K1260" s="62">
        <v>5102</v>
      </c>
      <c r="L1260" s="57">
        <v>205</v>
      </c>
      <c r="M1260" s="50" t="s">
        <v>26</v>
      </c>
      <c r="N1260" s="50" t="s">
        <v>317</v>
      </c>
      <c r="O1260" s="64">
        <v>36.24</v>
      </c>
      <c r="P1260" s="65">
        <v>12</v>
      </c>
      <c r="Q1260" s="64">
        <v>4.3499999999999996</v>
      </c>
      <c r="R1260" s="63">
        <v>0</v>
      </c>
      <c r="S1260" s="64">
        <v>0</v>
      </c>
    </row>
    <row r="1261" spans="1:19" ht="11.1" customHeight="1" x14ac:dyDescent="0.25">
      <c r="A1261" s="57">
        <v>112504</v>
      </c>
      <c r="B1261" s="53">
        <v>46114</v>
      </c>
      <c r="C1261" s="58">
        <v>46114</v>
      </c>
      <c r="D1261" s="59" t="s">
        <v>1099</v>
      </c>
      <c r="E1261" s="50" t="s">
        <v>313</v>
      </c>
      <c r="F1261" s="57">
        <v>36</v>
      </c>
      <c r="G1261" s="60">
        <v>499</v>
      </c>
      <c r="H1261" s="61" t="s">
        <v>1096</v>
      </c>
      <c r="I1261" s="50" t="s">
        <v>1097</v>
      </c>
      <c r="J1261" s="50" t="s">
        <v>1098</v>
      </c>
      <c r="K1261" s="62">
        <v>5403</v>
      </c>
      <c r="L1261" s="57">
        <v>207</v>
      </c>
      <c r="M1261" s="50" t="s">
        <v>26</v>
      </c>
      <c r="N1261" s="50" t="s">
        <v>317</v>
      </c>
      <c r="O1261" s="64">
        <v>203.46</v>
      </c>
      <c r="P1261" s="65">
        <v>12</v>
      </c>
      <c r="Q1261" s="64">
        <v>24.41</v>
      </c>
      <c r="R1261" s="63">
        <v>0</v>
      </c>
      <c r="S1261" s="64">
        <v>14.24</v>
      </c>
    </row>
    <row r="1262" spans="1:19" ht="11.1" customHeight="1" x14ac:dyDescent="0.25">
      <c r="N1262" s="50" t="s">
        <v>318</v>
      </c>
      <c r="O1262" s="64">
        <v>274.67</v>
      </c>
      <c r="P1262" s="65">
        <v>20</v>
      </c>
      <c r="Q1262" s="64">
        <v>14.24</v>
      </c>
      <c r="R1262" s="63">
        <v>0</v>
      </c>
      <c r="S1262" s="64">
        <v>0</v>
      </c>
    </row>
    <row r="1263" spans="1:19" ht="11.1" customHeight="1" x14ac:dyDescent="0.25">
      <c r="A1263" s="57">
        <v>112564</v>
      </c>
      <c r="B1263" s="53">
        <v>46118</v>
      </c>
      <c r="C1263" s="58">
        <v>46118</v>
      </c>
      <c r="D1263" s="59" t="s">
        <v>1100</v>
      </c>
      <c r="E1263" s="50" t="s">
        <v>313</v>
      </c>
      <c r="F1263" s="57">
        <v>36</v>
      </c>
      <c r="G1263" s="60">
        <v>499</v>
      </c>
      <c r="H1263" s="61" t="s">
        <v>1096</v>
      </c>
      <c r="I1263" s="50" t="s">
        <v>1097</v>
      </c>
      <c r="J1263" s="50" t="s">
        <v>1098</v>
      </c>
      <c r="K1263" s="62">
        <v>5102</v>
      </c>
      <c r="L1263" s="57">
        <v>205</v>
      </c>
      <c r="M1263" s="50" t="s">
        <v>26</v>
      </c>
      <c r="N1263" s="50" t="s">
        <v>317</v>
      </c>
      <c r="O1263" s="64">
        <v>268.76</v>
      </c>
      <c r="P1263" s="65">
        <v>12</v>
      </c>
      <c r="Q1263" s="64">
        <v>32.25</v>
      </c>
      <c r="R1263" s="63">
        <v>0</v>
      </c>
      <c r="S1263" s="64">
        <v>0</v>
      </c>
    </row>
    <row r="1264" spans="1:19" ht="11.1" customHeight="1" x14ac:dyDescent="0.25">
      <c r="A1264" s="57">
        <v>112734</v>
      </c>
      <c r="B1264" s="53">
        <v>46120</v>
      </c>
      <c r="C1264" s="58">
        <v>46120</v>
      </c>
      <c r="D1264" s="59" t="s">
        <v>1101</v>
      </c>
      <c r="E1264" s="50" t="s">
        <v>313</v>
      </c>
      <c r="F1264" s="57">
        <v>36</v>
      </c>
      <c r="G1264" s="60">
        <v>499</v>
      </c>
      <c r="H1264" s="61" t="s">
        <v>1096</v>
      </c>
      <c r="I1264" s="50" t="s">
        <v>1097</v>
      </c>
      <c r="J1264" s="50" t="s">
        <v>1098</v>
      </c>
      <c r="K1264" s="62">
        <v>5102</v>
      </c>
      <c r="L1264" s="57">
        <v>205</v>
      </c>
      <c r="M1264" s="50" t="s">
        <v>26</v>
      </c>
      <c r="N1264" s="50" t="s">
        <v>317</v>
      </c>
      <c r="O1264" s="64">
        <v>38.200000000000003</v>
      </c>
      <c r="P1264" s="65">
        <v>12</v>
      </c>
      <c r="Q1264" s="64">
        <v>4.58</v>
      </c>
      <c r="R1264" s="63">
        <v>0</v>
      </c>
      <c r="S1264" s="64">
        <v>0</v>
      </c>
    </row>
    <row r="1265" spans="1:19" ht="11.1" customHeight="1" x14ac:dyDescent="0.25">
      <c r="A1265" s="57">
        <v>112735</v>
      </c>
      <c r="B1265" s="53">
        <v>46120</v>
      </c>
      <c r="C1265" s="58">
        <v>46120</v>
      </c>
      <c r="D1265" s="59" t="s">
        <v>1101</v>
      </c>
      <c r="E1265" s="50" t="s">
        <v>313</v>
      </c>
      <c r="F1265" s="57">
        <v>36</v>
      </c>
      <c r="G1265" s="60">
        <v>499</v>
      </c>
      <c r="H1265" s="61" t="s">
        <v>1096</v>
      </c>
      <c r="I1265" s="50" t="s">
        <v>1097</v>
      </c>
      <c r="J1265" s="50" t="s">
        <v>1098</v>
      </c>
      <c r="K1265" s="62">
        <v>5403</v>
      </c>
      <c r="L1265" s="57">
        <v>207</v>
      </c>
      <c r="M1265" s="50" t="s">
        <v>26</v>
      </c>
      <c r="N1265" s="50" t="s">
        <v>317</v>
      </c>
      <c r="O1265" s="64">
        <v>85.14</v>
      </c>
      <c r="P1265" s="65">
        <v>12</v>
      </c>
      <c r="Q1265" s="64">
        <v>10.220000000000001</v>
      </c>
      <c r="R1265" s="63">
        <v>0</v>
      </c>
      <c r="S1265" s="64">
        <v>5.96</v>
      </c>
    </row>
    <row r="1266" spans="1:19" ht="11.1" customHeight="1" x14ac:dyDescent="0.25">
      <c r="N1266" s="50" t="s">
        <v>318</v>
      </c>
      <c r="O1266" s="64">
        <v>114.94</v>
      </c>
      <c r="P1266" s="65">
        <v>20</v>
      </c>
      <c r="Q1266" s="64">
        <v>5.96</v>
      </c>
      <c r="R1266" s="63">
        <v>0</v>
      </c>
      <c r="S1266" s="64">
        <v>0</v>
      </c>
    </row>
    <row r="1267" spans="1:19" ht="11.1" customHeight="1" x14ac:dyDescent="0.25">
      <c r="A1267" s="57">
        <v>113171</v>
      </c>
      <c r="B1267" s="53">
        <v>46129</v>
      </c>
      <c r="C1267" s="58">
        <v>46129</v>
      </c>
      <c r="D1267" s="59" t="s">
        <v>1102</v>
      </c>
      <c r="E1267" s="50" t="s">
        <v>313</v>
      </c>
      <c r="F1267" s="57">
        <v>36</v>
      </c>
      <c r="G1267" s="60">
        <v>499</v>
      </c>
      <c r="H1267" s="61" t="s">
        <v>1096</v>
      </c>
      <c r="I1267" s="50" t="s">
        <v>1097</v>
      </c>
      <c r="J1267" s="50" t="s">
        <v>1098</v>
      </c>
      <c r="K1267" s="62">
        <v>5102</v>
      </c>
      <c r="L1267" s="57">
        <v>205</v>
      </c>
      <c r="M1267" s="50" t="s">
        <v>26</v>
      </c>
      <c r="N1267" s="50" t="s">
        <v>317</v>
      </c>
      <c r="O1267" s="64">
        <v>260.44</v>
      </c>
      <c r="P1267" s="65">
        <v>12</v>
      </c>
      <c r="Q1267" s="64">
        <v>31.25</v>
      </c>
      <c r="R1267" s="63">
        <v>0</v>
      </c>
      <c r="S1267" s="64">
        <v>0</v>
      </c>
    </row>
    <row r="1268" spans="1:19" ht="11.1" customHeight="1" x14ac:dyDescent="0.25">
      <c r="A1268" s="57">
        <v>113172</v>
      </c>
      <c r="B1268" s="53">
        <v>46129</v>
      </c>
      <c r="C1268" s="58">
        <v>46129</v>
      </c>
      <c r="D1268" s="59" t="s">
        <v>1102</v>
      </c>
      <c r="E1268" s="50" t="s">
        <v>313</v>
      </c>
      <c r="F1268" s="57">
        <v>36</v>
      </c>
      <c r="G1268" s="60">
        <v>499</v>
      </c>
      <c r="H1268" s="61" t="s">
        <v>1096</v>
      </c>
      <c r="I1268" s="50" t="s">
        <v>1097</v>
      </c>
      <c r="J1268" s="50" t="s">
        <v>1098</v>
      </c>
      <c r="K1268" s="62">
        <v>5403</v>
      </c>
      <c r="L1268" s="57">
        <v>207</v>
      </c>
      <c r="M1268" s="50" t="s">
        <v>26</v>
      </c>
      <c r="N1268" s="50" t="s">
        <v>317</v>
      </c>
      <c r="O1268" s="64">
        <v>116.72</v>
      </c>
      <c r="P1268" s="65">
        <v>12</v>
      </c>
      <c r="Q1268" s="64">
        <v>14.01</v>
      </c>
      <c r="R1268" s="63">
        <v>0</v>
      </c>
      <c r="S1268" s="64">
        <v>8.18</v>
      </c>
    </row>
    <row r="1269" spans="1:19" ht="11.1" customHeight="1" x14ac:dyDescent="0.25">
      <c r="N1269" s="50" t="s">
        <v>318</v>
      </c>
      <c r="O1269" s="64">
        <v>157.58000000000001</v>
      </c>
      <c r="P1269" s="65">
        <v>20</v>
      </c>
      <c r="Q1269" s="64">
        <v>8.18</v>
      </c>
      <c r="R1269" s="63">
        <v>0</v>
      </c>
      <c r="S1269" s="64">
        <v>0</v>
      </c>
    </row>
    <row r="1270" spans="1:19" ht="11.1" customHeight="1" x14ac:dyDescent="0.25">
      <c r="A1270" s="57">
        <v>113260</v>
      </c>
      <c r="B1270" s="53">
        <v>46134</v>
      </c>
      <c r="C1270" s="58">
        <v>46134</v>
      </c>
      <c r="D1270" s="59" t="s">
        <v>1103</v>
      </c>
      <c r="E1270" s="50" t="s">
        <v>313</v>
      </c>
      <c r="F1270" s="57">
        <v>36</v>
      </c>
      <c r="G1270" s="60">
        <v>499</v>
      </c>
      <c r="H1270" s="61" t="s">
        <v>1096</v>
      </c>
      <c r="I1270" s="50" t="s">
        <v>1097</v>
      </c>
      <c r="J1270" s="50" t="s">
        <v>1098</v>
      </c>
      <c r="K1270" s="62">
        <v>5102</v>
      </c>
      <c r="L1270" s="57">
        <v>205</v>
      </c>
      <c r="M1270" s="50" t="s">
        <v>26</v>
      </c>
      <c r="N1270" s="50" t="s">
        <v>317</v>
      </c>
      <c r="O1270" s="64">
        <v>100.56</v>
      </c>
      <c r="P1270" s="65">
        <v>12</v>
      </c>
      <c r="Q1270" s="64">
        <v>12.07</v>
      </c>
      <c r="R1270" s="63">
        <v>0</v>
      </c>
      <c r="S1270" s="64">
        <v>0</v>
      </c>
    </row>
    <row r="1271" spans="1:19" ht="11.1" customHeight="1" x14ac:dyDescent="0.25">
      <c r="A1271" s="57">
        <v>113261</v>
      </c>
      <c r="B1271" s="53">
        <v>46134</v>
      </c>
      <c r="C1271" s="58">
        <v>46134</v>
      </c>
      <c r="D1271" s="59" t="s">
        <v>1103</v>
      </c>
      <c r="E1271" s="50" t="s">
        <v>313</v>
      </c>
      <c r="F1271" s="57">
        <v>36</v>
      </c>
      <c r="G1271" s="60">
        <v>499</v>
      </c>
      <c r="H1271" s="61" t="s">
        <v>1096</v>
      </c>
      <c r="I1271" s="50" t="s">
        <v>1097</v>
      </c>
      <c r="J1271" s="50" t="s">
        <v>1098</v>
      </c>
      <c r="K1271" s="62">
        <v>5403</v>
      </c>
      <c r="L1271" s="57">
        <v>207</v>
      </c>
      <c r="M1271" s="50" t="s">
        <v>26</v>
      </c>
      <c r="N1271" s="50" t="s">
        <v>317</v>
      </c>
      <c r="O1271" s="64">
        <v>56.76</v>
      </c>
      <c r="P1271" s="65">
        <v>12</v>
      </c>
      <c r="Q1271" s="64">
        <v>6.81</v>
      </c>
      <c r="R1271" s="63">
        <v>0</v>
      </c>
      <c r="S1271" s="64">
        <v>3.98</v>
      </c>
    </row>
    <row r="1272" spans="1:19" ht="11.1" customHeight="1" x14ac:dyDescent="0.25">
      <c r="N1272" s="50" t="s">
        <v>318</v>
      </c>
      <c r="O1272" s="64">
        <v>76.63</v>
      </c>
      <c r="P1272" s="65">
        <v>20</v>
      </c>
      <c r="Q1272" s="64">
        <v>3.98</v>
      </c>
      <c r="R1272" s="63">
        <v>0</v>
      </c>
      <c r="S1272" s="64">
        <v>0</v>
      </c>
    </row>
    <row r="1273" spans="1:19" ht="11.1" customHeight="1" x14ac:dyDescent="0.25">
      <c r="A1273" s="57">
        <v>113384</v>
      </c>
      <c r="B1273" s="53">
        <v>46136</v>
      </c>
      <c r="C1273" s="58">
        <v>46136</v>
      </c>
      <c r="D1273" s="59" t="s">
        <v>1104</v>
      </c>
      <c r="E1273" s="50" t="s">
        <v>313</v>
      </c>
      <c r="F1273" s="57">
        <v>36</v>
      </c>
      <c r="G1273" s="60">
        <v>499</v>
      </c>
      <c r="H1273" s="61" t="s">
        <v>1096</v>
      </c>
      <c r="I1273" s="50" t="s">
        <v>1097</v>
      </c>
      <c r="J1273" s="50" t="s">
        <v>1098</v>
      </c>
      <c r="K1273" s="62">
        <v>5102</v>
      </c>
      <c r="L1273" s="57">
        <v>205</v>
      </c>
      <c r="M1273" s="50" t="s">
        <v>26</v>
      </c>
      <c r="N1273" s="50" t="s">
        <v>317</v>
      </c>
      <c r="O1273" s="64">
        <v>300.79000000000002</v>
      </c>
      <c r="P1273" s="65">
        <v>12</v>
      </c>
      <c r="Q1273" s="64">
        <v>36.090000000000003</v>
      </c>
      <c r="R1273" s="63">
        <v>0</v>
      </c>
      <c r="S1273" s="64">
        <v>0</v>
      </c>
    </row>
    <row r="1274" spans="1:19" ht="11.1" customHeight="1" x14ac:dyDescent="0.25">
      <c r="A1274" s="57">
        <v>113385</v>
      </c>
      <c r="B1274" s="53">
        <v>46136</v>
      </c>
      <c r="C1274" s="58">
        <v>46136</v>
      </c>
      <c r="D1274" s="59" t="s">
        <v>1104</v>
      </c>
      <c r="E1274" s="50" t="s">
        <v>313</v>
      </c>
      <c r="F1274" s="57">
        <v>36</v>
      </c>
      <c r="G1274" s="60">
        <v>499</v>
      </c>
      <c r="H1274" s="61" t="s">
        <v>1096</v>
      </c>
      <c r="I1274" s="50" t="s">
        <v>1097</v>
      </c>
      <c r="J1274" s="50" t="s">
        <v>1098</v>
      </c>
      <c r="K1274" s="62">
        <v>5403</v>
      </c>
      <c r="L1274" s="57">
        <v>207</v>
      </c>
      <c r="M1274" s="50" t="s">
        <v>26</v>
      </c>
      <c r="N1274" s="50" t="s">
        <v>317</v>
      </c>
      <c r="O1274" s="64">
        <v>276.19</v>
      </c>
      <c r="P1274" s="65">
        <v>12</v>
      </c>
      <c r="Q1274" s="64">
        <v>33.14</v>
      </c>
      <c r="R1274" s="63">
        <v>0</v>
      </c>
      <c r="S1274" s="64">
        <v>19.350000000000001</v>
      </c>
    </row>
    <row r="1275" spans="1:19" ht="11.1" customHeight="1" x14ac:dyDescent="0.25">
      <c r="N1275" s="50" t="s">
        <v>318</v>
      </c>
      <c r="O1275" s="64">
        <v>372.86</v>
      </c>
      <c r="P1275" s="65">
        <v>20</v>
      </c>
      <c r="Q1275" s="64">
        <v>19.350000000000001</v>
      </c>
      <c r="R1275" s="63">
        <v>0</v>
      </c>
      <c r="S1275" s="64">
        <v>0</v>
      </c>
    </row>
    <row r="1276" spans="1:19" ht="11.1" customHeight="1" x14ac:dyDescent="0.25">
      <c r="A1276" s="57">
        <v>113539</v>
      </c>
      <c r="B1276" s="53">
        <v>46140</v>
      </c>
      <c r="C1276" s="58">
        <v>46140</v>
      </c>
      <c r="D1276" s="59" t="s">
        <v>1105</v>
      </c>
      <c r="E1276" s="50" t="s">
        <v>313</v>
      </c>
      <c r="F1276" s="57">
        <v>36</v>
      </c>
      <c r="G1276" s="60">
        <v>499</v>
      </c>
      <c r="H1276" s="61" t="s">
        <v>1096</v>
      </c>
      <c r="I1276" s="50" t="s">
        <v>1097</v>
      </c>
      <c r="J1276" s="50" t="s">
        <v>1098</v>
      </c>
      <c r="K1276" s="62">
        <v>5102</v>
      </c>
      <c r="L1276" s="57">
        <v>205</v>
      </c>
      <c r="M1276" s="50" t="s">
        <v>26</v>
      </c>
      <c r="N1276" s="50" t="s">
        <v>317</v>
      </c>
      <c r="O1276" s="64">
        <v>222.27</v>
      </c>
      <c r="P1276" s="65">
        <v>12</v>
      </c>
      <c r="Q1276" s="64">
        <v>26.67</v>
      </c>
      <c r="R1276" s="63">
        <v>0</v>
      </c>
      <c r="S1276" s="64">
        <v>0</v>
      </c>
    </row>
    <row r="1277" spans="1:19" ht="11.1" customHeight="1" x14ac:dyDescent="0.25">
      <c r="A1277" s="57">
        <v>113557</v>
      </c>
      <c r="B1277" s="53">
        <v>46140</v>
      </c>
      <c r="C1277" s="58">
        <v>46140</v>
      </c>
      <c r="D1277" s="59" t="s">
        <v>1106</v>
      </c>
      <c r="E1277" s="50" t="s">
        <v>313</v>
      </c>
      <c r="F1277" s="57">
        <v>36</v>
      </c>
      <c r="G1277" s="60">
        <v>499</v>
      </c>
      <c r="H1277" s="61" t="s">
        <v>1096</v>
      </c>
      <c r="I1277" s="50" t="s">
        <v>1097</v>
      </c>
      <c r="J1277" s="50" t="s">
        <v>1098</v>
      </c>
      <c r="K1277" s="62">
        <v>5102</v>
      </c>
      <c r="L1277" s="57">
        <v>205</v>
      </c>
      <c r="M1277" s="50" t="s">
        <v>26</v>
      </c>
      <c r="N1277" s="50" t="s">
        <v>317</v>
      </c>
      <c r="O1277" s="64">
        <v>133.52000000000001</v>
      </c>
      <c r="P1277" s="65">
        <v>12</v>
      </c>
      <c r="Q1277" s="64">
        <v>16.02</v>
      </c>
      <c r="R1277" s="63">
        <v>0</v>
      </c>
      <c r="S1277" s="64">
        <v>0</v>
      </c>
    </row>
    <row r="1278" spans="1:19" ht="11.85" customHeight="1" x14ac:dyDescent="0.25">
      <c r="A1278" s="66" t="s">
        <v>320</v>
      </c>
      <c r="B1278" s="66"/>
      <c r="C1278" s="66"/>
      <c r="D1278" s="66"/>
      <c r="E1278" s="66"/>
      <c r="F1278" s="66"/>
      <c r="G1278" s="66"/>
      <c r="H1278" s="66"/>
    </row>
    <row r="1279" spans="1:19" ht="11.1" customHeight="1" x14ac:dyDescent="0.25">
      <c r="N1279" s="50" t="s">
        <v>317</v>
      </c>
      <c r="O1279" s="64">
        <v>2244.1</v>
      </c>
      <c r="Q1279" s="64">
        <v>269.27999999999997</v>
      </c>
      <c r="R1279" s="63">
        <v>0</v>
      </c>
      <c r="S1279" s="64">
        <v>57.67</v>
      </c>
    </row>
    <row r="1280" spans="1:19" ht="11.1" customHeight="1" x14ac:dyDescent="0.25">
      <c r="N1280" s="50" t="s">
        <v>318</v>
      </c>
      <c r="O1280" s="64">
        <v>1111.6199999999999</v>
      </c>
      <c r="Q1280" s="64">
        <v>57.67</v>
      </c>
      <c r="R1280" s="63">
        <v>0</v>
      </c>
      <c r="S1280" s="64">
        <v>0</v>
      </c>
    </row>
    <row r="1281" spans="1:19" ht="11.1" customHeight="1" x14ac:dyDescent="0.25">
      <c r="A1281" s="57">
        <v>112827</v>
      </c>
      <c r="B1281" s="53">
        <v>46121</v>
      </c>
      <c r="C1281" s="58">
        <v>46121</v>
      </c>
      <c r="D1281" s="59" t="s">
        <v>1107</v>
      </c>
      <c r="E1281" s="50" t="s">
        <v>313</v>
      </c>
      <c r="F1281" s="57">
        <v>36</v>
      </c>
      <c r="G1281" s="60">
        <v>521</v>
      </c>
      <c r="H1281" s="61" t="s">
        <v>1108</v>
      </c>
      <c r="I1281" s="50" t="s">
        <v>1109</v>
      </c>
      <c r="J1281" s="50" t="s">
        <v>1110</v>
      </c>
      <c r="K1281" s="62">
        <v>5403</v>
      </c>
      <c r="L1281" s="57">
        <v>207</v>
      </c>
      <c r="M1281" s="50" t="s">
        <v>26</v>
      </c>
      <c r="N1281" s="50" t="s">
        <v>317</v>
      </c>
      <c r="O1281" s="64">
        <v>82.88</v>
      </c>
      <c r="P1281" s="65">
        <v>12</v>
      </c>
      <c r="Q1281" s="64">
        <v>9.9499999999999993</v>
      </c>
      <c r="R1281" s="63">
        <v>0</v>
      </c>
      <c r="S1281" s="64">
        <v>5.8</v>
      </c>
    </row>
    <row r="1282" spans="1:19" ht="11.1" customHeight="1" x14ac:dyDescent="0.25">
      <c r="N1282" s="50" t="s">
        <v>318</v>
      </c>
      <c r="O1282" s="64">
        <v>111.89</v>
      </c>
      <c r="P1282" s="65">
        <v>20</v>
      </c>
      <c r="Q1282" s="64">
        <v>5.8</v>
      </c>
      <c r="R1282" s="63">
        <v>0</v>
      </c>
      <c r="S1282" s="64">
        <v>0</v>
      </c>
    </row>
    <row r="1283" spans="1:19" ht="11.85" customHeight="1" x14ac:dyDescent="0.25">
      <c r="A1283" s="66" t="s">
        <v>320</v>
      </c>
      <c r="B1283" s="66"/>
      <c r="C1283" s="66"/>
      <c r="D1283" s="66"/>
      <c r="E1283" s="66"/>
      <c r="F1283" s="66"/>
      <c r="G1283" s="66"/>
      <c r="H1283" s="66"/>
    </row>
    <row r="1284" spans="1:19" ht="11.1" customHeight="1" x14ac:dyDescent="0.25">
      <c r="N1284" s="50" t="s">
        <v>317</v>
      </c>
      <c r="O1284" s="64">
        <v>82.88</v>
      </c>
      <c r="Q1284" s="64">
        <v>9.9499999999999993</v>
      </c>
      <c r="R1284" s="63">
        <v>0</v>
      </c>
      <c r="S1284" s="64">
        <v>5.8</v>
      </c>
    </row>
    <row r="1285" spans="1:19" ht="11.1" customHeight="1" x14ac:dyDescent="0.25">
      <c r="N1285" s="50" t="s">
        <v>318</v>
      </c>
      <c r="O1285" s="64">
        <v>111.89</v>
      </c>
      <c r="Q1285" s="64">
        <v>5.8</v>
      </c>
      <c r="R1285" s="63">
        <v>0</v>
      </c>
      <c r="S1285" s="64">
        <v>0</v>
      </c>
    </row>
    <row r="1286" spans="1:19" ht="11.1" customHeight="1" x14ac:dyDescent="0.25">
      <c r="A1286" s="57">
        <v>112810</v>
      </c>
      <c r="B1286" s="53">
        <v>46121</v>
      </c>
      <c r="C1286" s="58">
        <v>46121</v>
      </c>
      <c r="D1286" s="59" t="s">
        <v>1111</v>
      </c>
      <c r="E1286" s="50" t="s">
        <v>313</v>
      </c>
      <c r="F1286" s="57">
        <v>36</v>
      </c>
      <c r="G1286" s="60">
        <v>199</v>
      </c>
      <c r="H1286" s="61" t="s">
        <v>1112</v>
      </c>
      <c r="I1286" s="50" t="s">
        <v>1113</v>
      </c>
      <c r="J1286" s="50" t="s">
        <v>1114</v>
      </c>
      <c r="K1286" s="62">
        <v>5102</v>
      </c>
      <c r="L1286" s="57">
        <v>205</v>
      </c>
      <c r="M1286" s="50" t="s">
        <v>26</v>
      </c>
      <c r="N1286" s="50" t="s">
        <v>317</v>
      </c>
      <c r="O1286" s="64">
        <v>21.6</v>
      </c>
      <c r="P1286" s="65">
        <v>12</v>
      </c>
      <c r="Q1286" s="64">
        <v>2.59</v>
      </c>
      <c r="R1286" s="63">
        <v>0</v>
      </c>
      <c r="S1286" s="64">
        <v>0</v>
      </c>
    </row>
    <row r="1287" spans="1:19" ht="11.1" customHeight="1" x14ac:dyDescent="0.25">
      <c r="A1287" s="57">
        <v>112811</v>
      </c>
      <c r="B1287" s="53">
        <v>46121</v>
      </c>
      <c r="C1287" s="58">
        <v>46121</v>
      </c>
      <c r="D1287" s="59" t="s">
        <v>1111</v>
      </c>
      <c r="E1287" s="50" t="s">
        <v>313</v>
      </c>
      <c r="F1287" s="57">
        <v>36</v>
      </c>
      <c r="G1287" s="60">
        <v>199</v>
      </c>
      <c r="H1287" s="61" t="s">
        <v>1112</v>
      </c>
      <c r="I1287" s="50" t="s">
        <v>1113</v>
      </c>
      <c r="J1287" s="50" t="s">
        <v>1114</v>
      </c>
      <c r="K1287" s="62">
        <v>5403</v>
      </c>
      <c r="L1287" s="57">
        <v>207</v>
      </c>
      <c r="M1287" s="50" t="s">
        <v>26</v>
      </c>
      <c r="N1287" s="50" t="s">
        <v>317</v>
      </c>
      <c r="O1287" s="64">
        <v>247.8</v>
      </c>
      <c r="P1287" s="65">
        <v>12</v>
      </c>
      <c r="Q1287" s="64">
        <v>29.74</v>
      </c>
      <c r="R1287" s="63">
        <v>0</v>
      </c>
      <c r="S1287" s="64">
        <v>17.34</v>
      </c>
    </row>
    <row r="1288" spans="1:19" ht="11.1" customHeight="1" x14ac:dyDescent="0.25">
      <c r="N1288" s="50" t="s">
        <v>318</v>
      </c>
      <c r="O1288" s="64">
        <v>334.53</v>
      </c>
      <c r="P1288" s="65">
        <v>20</v>
      </c>
      <c r="Q1288" s="64">
        <v>17.34</v>
      </c>
      <c r="R1288" s="63">
        <v>0</v>
      </c>
      <c r="S1288" s="64">
        <v>0</v>
      </c>
    </row>
    <row r="1289" spans="1:19" ht="11.85" customHeight="1" x14ac:dyDescent="0.25">
      <c r="A1289" s="66" t="s">
        <v>320</v>
      </c>
      <c r="B1289" s="66"/>
      <c r="C1289" s="66"/>
      <c r="D1289" s="66"/>
      <c r="E1289" s="66"/>
      <c r="F1289" s="66"/>
      <c r="G1289" s="66"/>
      <c r="H1289" s="66"/>
    </row>
    <row r="1290" spans="1:19" ht="11.1" customHeight="1" x14ac:dyDescent="0.25">
      <c r="N1290" s="50" t="s">
        <v>317</v>
      </c>
      <c r="O1290" s="64">
        <v>269.39999999999998</v>
      </c>
      <c r="Q1290" s="64">
        <v>32.33</v>
      </c>
      <c r="R1290" s="63">
        <v>0</v>
      </c>
      <c r="S1290" s="64">
        <v>17.34</v>
      </c>
    </row>
    <row r="1291" spans="1:19" ht="11.1" customHeight="1" x14ac:dyDescent="0.25">
      <c r="N1291" s="50" t="s">
        <v>318</v>
      </c>
      <c r="O1291" s="64">
        <v>334.53</v>
      </c>
      <c r="Q1291" s="64">
        <v>17.34</v>
      </c>
      <c r="R1291" s="63">
        <v>0</v>
      </c>
      <c r="S1291" s="64">
        <v>0</v>
      </c>
    </row>
    <row r="1292" spans="1:19" ht="11.1" customHeight="1" x14ac:dyDescent="0.25">
      <c r="A1292" s="57">
        <v>112531</v>
      </c>
      <c r="B1292" s="53">
        <v>46114</v>
      </c>
      <c r="C1292" s="58">
        <v>46114</v>
      </c>
      <c r="D1292" s="59" t="s">
        <v>1115</v>
      </c>
      <c r="E1292" s="50" t="s">
        <v>313</v>
      </c>
      <c r="F1292" s="57">
        <v>36</v>
      </c>
      <c r="G1292" s="60">
        <v>492</v>
      </c>
      <c r="H1292" s="61" t="s">
        <v>1116</v>
      </c>
      <c r="I1292" s="50" t="s">
        <v>1117</v>
      </c>
      <c r="J1292" s="50" t="s">
        <v>1118</v>
      </c>
      <c r="K1292" s="62">
        <v>5102</v>
      </c>
      <c r="L1292" s="57">
        <v>205</v>
      </c>
      <c r="M1292" s="50" t="s">
        <v>26</v>
      </c>
      <c r="N1292" s="50" t="s">
        <v>317</v>
      </c>
      <c r="O1292" s="64">
        <v>109.46</v>
      </c>
      <c r="P1292" s="65">
        <v>12</v>
      </c>
      <c r="Q1292" s="64">
        <v>13.13</v>
      </c>
      <c r="R1292" s="63">
        <v>0</v>
      </c>
      <c r="S1292" s="64">
        <v>0</v>
      </c>
    </row>
    <row r="1293" spans="1:19" ht="11.1" customHeight="1" x14ac:dyDescent="0.25">
      <c r="A1293" s="57">
        <v>112532</v>
      </c>
      <c r="B1293" s="53">
        <v>46114</v>
      </c>
      <c r="C1293" s="58">
        <v>46114</v>
      </c>
      <c r="D1293" s="59" t="s">
        <v>1115</v>
      </c>
      <c r="E1293" s="50" t="s">
        <v>313</v>
      </c>
      <c r="F1293" s="57">
        <v>36</v>
      </c>
      <c r="G1293" s="60">
        <v>492</v>
      </c>
      <c r="H1293" s="61" t="s">
        <v>1116</v>
      </c>
      <c r="I1293" s="50" t="s">
        <v>1117</v>
      </c>
      <c r="J1293" s="50" t="s">
        <v>1118</v>
      </c>
      <c r="K1293" s="62">
        <v>5403</v>
      </c>
      <c r="L1293" s="57">
        <v>207</v>
      </c>
      <c r="M1293" s="50" t="s">
        <v>26</v>
      </c>
      <c r="N1293" s="50" t="s">
        <v>317</v>
      </c>
      <c r="O1293" s="64">
        <v>70.900000000000006</v>
      </c>
      <c r="P1293" s="65">
        <v>12</v>
      </c>
      <c r="Q1293" s="64">
        <v>8.51</v>
      </c>
      <c r="R1293" s="63">
        <v>0</v>
      </c>
      <c r="S1293" s="64">
        <v>4.96</v>
      </c>
    </row>
    <row r="1294" spans="1:19" ht="11.1" customHeight="1" x14ac:dyDescent="0.25">
      <c r="N1294" s="50" t="s">
        <v>318</v>
      </c>
      <c r="O1294" s="64">
        <v>95.72</v>
      </c>
      <c r="P1294" s="65">
        <v>20</v>
      </c>
      <c r="Q1294" s="64">
        <v>4.96</v>
      </c>
      <c r="R1294" s="63">
        <v>0</v>
      </c>
      <c r="S1294" s="64">
        <v>0</v>
      </c>
    </row>
    <row r="1295" spans="1:19" ht="11.1" customHeight="1" x14ac:dyDescent="0.25">
      <c r="A1295" s="57">
        <v>113087</v>
      </c>
      <c r="B1295" s="53">
        <v>46127</v>
      </c>
      <c r="C1295" s="58">
        <v>46127</v>
      </c>
      <c r="D1295" s="59" t="s">
        <v>1119</v>
      </c>
      <c r="E1295" s="50" t="s">
        <v>313</v>
      </c>
      <c r="F1295" s="57">
        <v>36</v>
      </c>
      <c r="G1295" s="60">
        <v>492</v>
      </c>
      <c r="H1295" s="61" t="s">
        <v>1116</v>
      </c>
      <c r="I1295" s="50" t="s">
        <v>1117</v>
      </c>
      <c r="J1295" s="50" t="s">
        <v>1118</v>
      </c>
      <c r="K1295" s="62">
        <v>5102</v>
      </c>
      <c r="L1295" s="57">
        <v>205</v>
      </c>
      <c r="M1295" s="50" t="s">
        <v>26</v>
      </c>
      <c r="N1295" s="50" t="s">
        <v>317</v>
      </c>
      <c r="O1295" s="64">
        <v>8.9</v>
      </c>
      <c r="P1295" s="65">
        <v>12</v>
      </c>
      <c r="Q1295" s="64">
        <v>1.07</v>
      </c>
      <c r="R1295" s="63">
        <v>0</v>
      </c>
      <c r="S1295" s="64">
        <v>0</v>
      </c>
    </row>
    <row r="1296" spans="1:19" ht="11.1" customHeight="1" x14ac:dyDescent="0.25">
      <c r="A1296" s="57">
        <v>113088</v>
      </c>
      <c r="B1296" s="53">
        <v>46127</v>
      </c>
      <c r="C1296" s="58">
        <v>46127</v>
      </c>
      <c r="D1296" s="59" t="s">
        <v>1119</v>
      </c>
      <c r="E1296" s="50" t="s">
        <v>313</v>
      </c>
      <c r="F1296" s="57">
        <v>36</v>
      </c>
      <c r="G1296" s="60">
        <v>492</v>
      </c>
      <c r="H1296" s="61" t="s">
        <v>1116</v>
      </c>
      <c r="I1296" s="50" t="s">
        <v>1117</v>
      </c>
      <c r="J1296" s="50" t="s">
        <v>1118</v>
      </c>
      <c r="K1296" s="62">
        <v>5403</v>
      </c>
      <c r="L1296" s="57">
        <v>207</v>
      </c>
      <c r="M1296" s="50" t="s">
        <v>26</v>
      </c>
      <c r="N1296" s="50" t="s">
        <v>317</v>
      </c>
      <c r="O1296" s="64">
        <v>171.52</v>
      </c>
      <c r="P1296" s="65">
        <v>12</v>
      </c>
      <c r="Q1296" s="64">
        <v>20.58</v>
      </c>
      <c r="R1296" s="63">
        <v>0</v>
      </c>
      <c r="S1296" s="64">
        <v>12.01</v>
      </c>
    </row>
    <row r="1297" spans="1:19" ht="11.1" customHeight="1" x14ac:dyDescent="0.25">
      <c r="N1297" s="50" t="s">
        <v>318</v>
      </c>
      <c r="O1297" s="64">
        <v>231.56</v>
      </c>
      <c r="P1297" s="65">
        <v>20</v>
      </c>
      <c r="Q1297" s="64">
        <v>12.01</v>
      </c>
      <c r="R1297" s="63">
        <v>0</v>
      </c>
      <c r="S1297" s="64">
        <v>0</v>
      </c>
    </row>
    <row r="1298" spans="1:19" ht="11.1" customHeight="1" x14ac:dyDescent="0.25">
      <c r="A1298" s="57">
        <v>113505</v>
      </c>
      <c r="B1298" s="53">
        <v>46140</v>
      </c>
      <c r="C1298" s="58">
        <v>46140</v>
      </c>
      <c r="D1298" s="59" t="s">
        <v>1120</v>
      </c>
      <c r="E1298" s="50" t="s">
        <v>313</v>
      </c>
      <c r="F1298" s="57">
        <v>36</v>
      </c>
      <c r="G1298" s="60">
        <v>492</v>
      </c>
      <c r="H1298" s="61" t="s">
        <v>1116</v>
      </c>
      <c r="I1298" s="50" t="s">
        <v>1117</v>
      </c>
      <c r="J1298" s="50" t="s">
        <v>1118</v>
      </c>
      <c r="K1298" s="62">
        <v>5403</v>
      </c>
      <c r="L1298" s="57">
        <v>207</v>
      </c>
      <c r="M1298" s="50" t="s">
        <v>26</v>
      </c>
      <c r="N1298" s="50" t="s">
        <v>317</v>
      </c>
      <c r="O1298" s="64">
        <v>447.89</v>
      </c>
      <c r="P1298" s="65">
        <v>12</v>
      </c>
      <c r="Q1298" s="64">
        <v>53.75</v>
      </c>
      <c r="R1298" s="63">
        <v>0</v>
      </c>
      <c r="S1298" s="64">
        <v>31.36</v>
      </c>
    </row>
    <row r="1299" spans="1:19" ht="11.1" customHeight="1" x14ac:dyDescent="0.25">
      <c r="N1299" s="50" t="s">
        <v>318</v>
      </c>
      <c r="O1299" s="64">
        <v>604.65</v>
      </c>
      <c r="P1299" s="65">
        <v>20</v>
      </c>
      <c r="Q1299" s="64">
        <v>31.36</v>
      </c>
      <c r="R1299" s="63">
        <v>0</v>
      </c>
      <c r="S1299" s="64">
        <v>0</v>
      </c>
    </row>
    <row r="1300" spans="1:19" ht="11.1" customHeight="1" x14ac:dyDescent="0.25">
      <c r="A1300" s="57">
        <v>113591</v>
      </c>
      <c r="B1300" s="53">
        <v>46141</v>
      </c>
      <c r="C1300" s="58">
        <v>46141</v>
      </c>
      <c r="D1300" s="59" t="s">
        <v>1121</v>
      </c>
      <c r="E1300" s="50" t="s">
        <v>313</v>
      </c>
      <c r="F1300" s="57">
        <v>36</v>
      </c>
      <c r="G1300" s="60">
        <v>492</v>
      </c>
      <c r="H1300" s="61" t="s">
        <v>1116</v>
      </c>
      <c r="I1300" s="50" t="s">
        <v>1117</v>
      </c>
      <c r="J1300" s="50" t="s">
        <v>1118</v>
      </c>
      <c r="K1300" s="62">
        <v>5102</v>
      </c>
      <c r="L1300" s="57">
        <v>205</v>
      </c>
      <c r="M1300" s="50" t="s">
        <v>26</v>
      </c>
      <c r="N1300" s="50" t="s">
        <v>317</v>
      </c>
      <c r="O1300" s="64">
        <v>62.31</v>
      </c>
      <c r="P1300" s="65">
        <v>12</v>
      </c>
      <c r="Q1300" s="64">
        <v>7.48</v>
      </c>
      <c r="R1300" s="63">
        <v>0</v>
      </c>
      <c r="S1300" s="64">
        <v>0</v>
      </c>
    </row>
    <row r="1301" spans="1:19" ht="11.1" customHeight="1" x14ac:dyDescent="0.25">
      <c r="A1301" s="57">
        <v>113592</v>
      </c>
      <c r="B1301" s="53">
        <v>46141</v>
      </c>
      <c r="C1301" s="58">
        <v>46141</v>
      </c>
      <c r="D1301" s="59" t="s">
        <v>1121</v>
      </c>
      <c r="E1301" s="50" t="s">
        <v>313</v>
      </c>
      <c r="F1301" s="57">
        <v>36</v>
      </c>
      <c r="G1301" s="60">
        <v>492</v>
      </c>
      <c r="H1301" s="61" t="s">
        <v>1116</v>
      </c>
      <c r="I1301" s="50" t="s">
        <v>1117</v>
      </c>
      <c r="J1301" s="50" t="s">
        <v>1118</v>
      </c>
      <c r="K1301" s="62">
        <v>5403</v>
      </c>
      <c r="L1301" s="57">
        <v>207</v>
      </c>
      <c r="M1301" s="50" t="s">
        <v>26</v>
      </c>
      <c r="N1301" s="50" t="s">
        <v>317</v>
      </c>
      <c r="O1301" s="64">
        <v>69.92</v>
      </c>
      <c r="P1301" s="65">
        <v>12</v>
      </c>
      <c r="Q1301" s="64">
        <v>8.39</v>
      </c>
      <c r="R1301" s="63">
        <v>0</v>
      </c>
      <c r="S1301" s="64">
        <v>4.9000000000000004</v>
      </c>
    </row>
    <row r="1302" spans="1:19" ht="11.1" customHeight="1" x14ac:dyDescent="0.25">
      <c r="N1302" s="50" t="s">
        <v>318</v>
      </c>
      <c r="O1302" s="64">
        <v>94.39</v>
      </c>
      <c r="P1302" s="65">
        <v>20</v>
      </c>
      <c r="Q1302" s="64">
        <v>4.9000000000000004</v>
      </c>
      <c r="R1302" s="63">
        <v>0</v>
      </c>
      <c r="S1302" s="64">
        <v>0</v>
      </c>
    </row>
    <row r="1303" spans="1:19" ht="11.85" customHeight="1" x14ac:dyDescent="0.25">
      <c r="A1303" s="66" t="s">
        <v>320</v>
      </c>
      <c r="B1303" s="66"/>
      <c r="C1303" s="66"/>
      <c r="D1303" s="66"/>
      <c r="E1303" s="66"/>
      <c r="F1303" s="66"/>
      <c r="G1303" s="66"/>
      <c r="H1303" s="66"/>
    </row>
    <row r="1304" spans="1:19" ht="11.1" customHeight="1" x14ac:dyDescent="0.25">
      <c r="N1304" s="50" t="s">
        <v>317</v>
      </c>
      <c r="O1304" s="64">
        <v>940.9</v>
      </c>
      <c r="Q1304" s="64">
        <v>112.91</v>
      </c>
      <c r="R1304" s="63">
        <v>0</v>
      </c>
      <c r="S1304" s="64">
        <v>53.23</v>
      </c>
    </row>
    <row r="1305" spans="1:19" ht="11.1" customHeight="1" x14ac:dyDescent="0.25">
      <c r="N1305" s="50" t="s">
        <v>318</v>
      </c>
      <c r="O1305" s="64">
        <v>1026.32</v>
      </c>
      <c r="Q1305" s="64">
        <v>53.23</v>
      </c>
      <c r="R1305" s="63">
        <v>0</v>
      </c>
      <c r="S1305" s="64">
        <v>0</v>
      </c>
    </row>
    <row r="1306" spans="1:19" ht="11.1" customHeight="1" x14ac:dyDescent="0.25">
      <c r="A1306" s="57">
        <v>112807</v>
      </c>
      <c r="B1306" s="53">
        <v>46121</v>
      </c>
      <c r="C1306" s="58">
        <v>46121</v>
      </c>
      <c r="D1306" s="59" t="s">
        <v>1122</v>
      </c>
      <c r="E1306" s="50" t="s">
        <v>313</v>
      </c>
      <c r="F1306" s="57">
        <v>36</v>
      </c>
      <c r="G1306" s="60">
        <v>62</v>
      </c>
      <c r="H1306" s="61" t="s">
        <v>1123</v>
      </c>
      <c r="I1306" s="50" t="s">
        <v>1124</v>
      </c>
      <c r="J1306" s="50" t="s">
        <v>1125</v>
      </c>
      <c r="K1306" s="62">
        <v>5102</v>
      </c>
      <c r="L1306" s="57">
        <v>205</v>
      </c>
      <c r="M1306" s="50" t="s">
        <v>26</v>
      </c>
      <c r="N1306" s="50" t="s">
        <v>317</v>
      </c>
      <c r="O1306" s="64">
        <v>614.09</v>
      </c>
      <c r="P1306" s="65">
        <v>12</v>
      </c>
      <c r="Q1306" s="64">
        <v>73.7</v>
      </c>
      <c r="R1306" s="63">
        <v>0</v>
      </c>
      <c r="S1306" s="64">
        <v>0</v>
      </c>
    </row>
    <row r="1307" spans="1:19" ht="11.1" customHeight="1" x14ac:dyDescent="0.25">
      <c r="A1307" s="57">
        <v>112808</v>
      </c>
      <c r="B1307" s="53">
        <v>46121</v>
      </c>
      <c r="C1307" s="58">
        <v>46121</v>
      </c>
      <c r="D1307" s="59" t="s">
        <v>1122</v>
      </c>
      <c r="E1307" s="50" t="s">
        <v>313</v>
      </c>
      <c r="F1307" s="57">
        <v>36</v>
      </c>
      <c r="G1307" s="60">
        <v>62</v>
      </c>
      <c r="H1307" s="61" t="s">
        <v>1123</v>
      </c>
      <c r="I1307" s="50" t="s">
        <v>1124</v>
      </c>
      <c r="J1307" s="50" t="s">
        <v>1125</v>
      </c>
      <c r="K1307" s="62">
        <v>5403</v>
      </c>
      <c r="L1307" s="57">
        <v>207</v>
      </c>
      <c r="M1307" s="50" t="s">
        <v>26</v>
      </c>
      <c r="N1307" s="50" t="s">
        <v>317</v>
      </c>
      <c r="O1307" s="64">
        <v>313.27999999999997</v>
      </c>
      <c r="P1307" s="65">
        <v>12</v>
      </c>
      <c r="Q1307" s="64">
        <v>37.6</v>
      </c>
      <c r="R1307" s="63">
        <v>0</v>
      </c>
      <c r="S1307" s="64">
        <v>21.94</v>
      </c>
    </row>
    <row r="1308" spans="1:19" ht="11.1" customHeight="1" x14ac:dyDescent="0.25">
      <c r="N1308" s="50" t="s">
        <v>318</v>
      </c>
      <c r="O1308" s="64">
        <v>422.93</v>
      </c>
      <c r="P1308" s="65">
        <v>20</v>
      </c>
      <c r="Q1308" s="64">
        <v>21.94</v>
      </c>
      <c r="R1308" s="63">
        <v>0</v>
      </c>
      <c r="S1308" s="64">
        <v>0</v>
      </c>
    </row>
    <row r="1309" spans="1:19" ht="11.85" customHeight="1" x14ac:dyDescent="0.25">
      <c r="A1309" s="66" t="s">
        <v>320</v>
      </c>
      <c r="B1309" s="66"/>
      <c r="C1309" s="66"/>
      <c r="D1309" s="66"/>
      <c r="E1309" s="66"/>
      <c r="F1309" s="66"/>
      <c r="G1309" s="66"/>
      <c r="H1309" s="66"/>
    </row>
    <row r="1310" spans="1:19" ht="11.1" customHeight="1" x14ac:dyDescent="0.25">
      <c r="N1310" s="50" t="s">
        <v>317</v>
      </c>
      <c r="O1310" s="64">
        <v>927.37</v>
      </c>
      <c r="Q1310" s="64">
        <v>111.3</v>
      </c>
      <c r="R1310" s="63">
        <v>0</v>
      </c>
      <c r="S1310" s="64">
        <v>21.94</v>
      </c>
    </row>
    <row r="1311" spans="1:19" ht="11.1" customHeight="1" x14ac:dyDescent="0.25">
      <c r="N1311" s="50" t="s">
        <v>318</v>
      </c>
      <c r="O1311" s="64">
        <v>422.93</v>
      </c>
      <c r="Q1311" s="64">
        <v>21.94</v>
      </c>
      <c r="R1311" s="63">
        <v>0</v>
      </c>
      <c r="S1311" s="64">
        <v>0</v>
      </c>
    </row>
    <row r="1312" spans="1:19" ht="11.1" customHeight="1" x14ac:dyDescent="0.25">
      <c r="A1312" s="57">
        <v>113598</v>
      </c>
      <c r="B1312" s="53">
        <v>46141</v>
      </c>
      <c r="C1312" s="58">
        <v>46141</v>
      </c>
      <c r="D1312" s="59" t="s">
        <v>1126</v>
      </c>
      <c r="E1312" s="50" t="s">
        <v>313</v>
      </c>
      <c r="F1312" s="57">
        <v>36</v>
      </c>
      <c r="G1312" s="60">
        <v>841</v>
      </c>
      <c r="H1312" s="61" t="s">
        <v>1127</v>
      </c>
      <c r="I1312" s="50" t="s">
        <v>1128</v>
      </c>
      <c r="J1312" s="50" t="s">
        <v>1129</v>
      </c>
      <c r="K1312" s="62">
        <v>5102</v>
      </c>
      <c r="L1312" s="57">
        <v>205</v>
      </c>
      <c r="M1312" s="50" t="s">
        <v>26</v>
      </c>
      <c r="N1312" s="50" t="s">
        <v>317</v>
      </c>
      <c r="O1312" s="64">
        <v>458.44</v>
      </c>
      <c r="P1312" s="65">
        <v>12</v>
      </c>
      <c r="Q1312" s="64">
        <v>55.01</v>
      </c>
      <c r="R1312" s="63">
        <v>0</v>
      </c>
      <c r="S1312" s="64">
        <v>0</v>
      </c>
    </row>
    <row r="1313" spans="1:19" ht="11.85" customHeight="1" x14ac:dyDescent="0.25">
      <c r="A1313" s="66" t="s">
        <v>320</v>
      </c>
      <c r="B1313" s="66"/>
      <c r="C1313" s="66"/>
      <c r="D1313" s="66"/>
      <c r="E1313" s="66"/>
      <c r="F1313" s="66"/>
      <c r="G1313" s="66"/>
      <c r="H1313" s="66"/>
    </row>
    <row r="1314" spans="1:19" ht="11.1" customHeight="1" x14ac:dyDescent="0.25">
      <c r="N1314" s="50" t="s">
        <v>317</v>
      </c>
      <c r="O1314" s="64">
        <v>458.44</v>
      </c>
      <c r="Q1314" s="64">
        <v>55.01</v>
      </c>
      <c r="R1314" s="63">
        <v>0</v>
      </c>
      <c r="S1314" s="64">
        <v>0</v>
      </c>
    </row>
    <row r="1315" spans="1:19" ht="11.1" customHeight="1" x14ac:dyDescent="0.25">
      <c r="A1315" s="57">
        <v>112631</v>
      </c>
      <c r="B1315" s="53">
        <v>46118</v>
      </c>
      <c r="C1315" s="58">
        <v>46118</v>
      </c>
      <c r="D1315" s="59" t="s">
        <v>1130</v>
      </c>
      <c r="E1315" s="50" t="s">
        <v>313</v>
      </c>
      <c r="F1315" s="57">
        <v>36</v>
      </c>
      <c r="G1315" s="60">
        <v>248</v>
      </c>
      <c r="H1315" s="61" t="s">
        <v>1131</v>
      </c>
      <c r="I1315" s="50" t="s">
        <v>1132</v>
      </c>
      <c r="J1315" s="50" t="s">
        <v>1133</v>
      </c>
      <c r="K1315" s="62">
        <v>5102</v>
      </c>
      <c r="L1315" s="57">
        <v>205</v>
      </c>
      <c r="M1315" s="50" t="s">
        <v>26</v>
      </c>
      <c r="N1315" s="50" t="s">
        <v>317</v>
      </c>
      <c r="O1315" s="64">
        <v>688.5</v>
      </c>
      <c r="P1315" s="65">
        <v>12</v>
      </c>
      <c r="Q1315" s="64">
        <v>82.62</v>
      </c>
      <c r="R1315" s="63">
        <v>0</v>
      </c>
      <c r="S1315" s="64">
        <v>0</v>
      </c>
    </row>
    <row r="1316" spans="1:19" ht="11.1" customHeight="1" x14ac:dyDescent="0.25">
      <c r="A1316" s="57">
        <v>112703</v>
      </c>
      <c r="B1316" s="53">
        <v>46119</v>
      </c>
      <c r="C1316" s="58">
        <v>46119</v>
      </c>
      <c r="D1316" s="59" t="s">
        <v>1134</v>
      </c>
      <c r="E1316" s="50" t="s">
        <v>313</v>
      </c>
      <c r="F1316" s="57">
        <v>36</v>
      </c>
      <c r="G1316" s="60">
        <v>248</v>
      </c>
      <c r="H1316" s="61" t="s">
        <v>1131</v>
      </c>
      <c r="I1316" s="50" t="s">
        <v>1132</v>
      </c>
      <c r="J1316" s="50" t="s">
        <v>1133</v>
      </c>
      <c r="K1316" s="62">
        <v>5102</v>
      </c>
      <c r="L1316" s="57">
        <v>205</v>
      </c>
      <c r="M1316" s="50" t="s">
        <v>26</v>
      </c>
      <c r="N1316" s="50" t="s">
        <v>317</v>
      </c>
      <c r="O1316" s="64">
        <v>144.96</v>
      </c>
      <c r="P1316" s="65">
        <v>12</v>
      </c>
      <c r="Q1316" s="64">
        <v>17.399999999999999</v>
      </c>
      <c r="R1316" s="63">
        <v>0</v>
      </c>
      <c r="S1316" s="64">
        <v>0</v>
      </c>
    </row>
    <row r="1317" spans="1:19" ht="11.1" customHeight="1" x14ac:dyDescent="0.25">
      <c r="A1317" s="57">
        <v>112704</v>
      </c>
      <c r="B1317" s="53">
        <v>46119</v>
      </c>
      <c r="C1317" s="58">
        <v>46119</v>
      </c>
      <c r="D1317" s="59" t="s">
        <v>1134</v>
      </c>
      <c r="E1317" s="50" t="s">
        <v>313</v>
      </c>
      <c r="F1317" s="57">
        <v>36</v>
      </c>
      <c r="G1317" s="60">
        <v>248</v>
      </c>
      <c r="H1317" s="61" t="s">
        <v>1131</v>
      </c>
      <c r="I1317" s="50" t="s">
        <v>1132</v>
      </c>
      <c r="J1317" s="50" t="s">
        <v>1133</v>
      </c>
      <c r="K1317" s="62">
        <v>5403</v>
      </c>
      <c r="L1317" s="57">
        <v>207</v>
      </c>
      <c r="M1317" s="50" t="s">
        <v>26</v>
      </c>
      <c r="N1317" s="50" t="s">
        <v>317</v>
      </c>
      <c r="O1317" s="64">
        <v>94.77</v>
      </c>
      <c r="P1317" s="65">
        <v>12</v>
      </c>
      <c r="Q1317" s="64">
        <v>11.37</v>
      </c>
      <c r="R1317" s="63">
        <v>0</v>
      </c>
      <c r="S1317" s="64">
        <v>6.64</v>
      </c>
    </row>
    <row r="1318" spans="1:19" ht="11.1" customHeight="1" x14ac:dyDescent="0.25">
      <c r="N1318" s="50" t="s">
        <v>318</v>
      </c>
      <c r="O1318" s="64">
        <v>127.94</v>
      </c>
      <c r="P1318" s="65">
        <v>20</v>
      </c>
      <c r="Q1318" s="64">
        <v>6.64</v>
      </c>
      <c r="R1318" s="63">
        <v>0</v>
      </c>
      <c r="S1318" s="64">
        <v>0</v>
      </c>
    </row>
    <row r="1319" spans="1:19" ht="11.1" customHeight="1" x14ac:dyDescent="0.25">
      <c r="A1319" s="57">
        <v>112794</v>
      </c>
      <c r="B1319" s="53">
        <v>46120</v>
      </c>
      <c r="C1319" s="58">
        <v>46120</v>
      </c>
      <c r="D1319" s="59" t="s">
        <v>1135</v>
      </c>
      <c r="E1319" s="50" t="s">
        <v>313</v>
      </c>
      <c r="F1319" s="57">
        <v>36</v>
      </c>
      <c r="G1319" s="60">
        <v>248</v>
      </c>
      <c r="H1319" s="61" t="s">
        <v>1131</v>
      </c>
      <c r="I1319" s="50" t="s">
        <v>1132</v>
      </c>
      <c r="J1319" s="50" t="s">
        <v>1133</v>
      </c>
      <c r="K1319" s="62">
        <v>5102</v>
      </c>
      <c r="L1319" s="57">
        <v>205</v>
      </c>
      <c r="M1319" s="50" t="s">
        <v>26</v>
      </c>
      <c r="N1319" s="50" t="s">
        <v>317</v>
      </c>
      <c r="O1319" s="64">
        <v>519.05999999999995</v>
      </c>
      <c r="P1319" s="65">
        <v>12</v>
      </c>
      <c r="Q1319" s="64">
        <v>62.29</v>
      </c>
      <c r="R1319" s="63">
        <v>0</v>
      </c>
      <c r="S1319" s="64">
        <v>0</v>
      </c>
    </row>
    <row r="1320" spans="1:19" ht="11.1" customHeight="1" x14ac:dyDescent="0.25">
      <c r="A1320" s="57">
        <v>113230</v>
      </c>
      <c r="B1320" s="53">
        <v>46132</v>
      </c>
      <c r="C1320" s="58">
        <v>46132</v>
      </c>
      <c r="D1320" s="59" t="s">
        <v>1136</v>
      </c>
      <c r="E1320" s="50" t="s">
        <v>313</v>
      </c>
      <c r="F1320" s="57">
        <v>36</v>
      </c>
      <c r="G1320" s="60">
        <v>248</v>
      </c>
      <c r="H1320" s="61" t="s">
        <v>1131</v>
      </c>
      <c r="I1320" s="50" t="s">
        <v>1132</v>
      </c>
      <c r="J1320" s="50" t="s">
        <v>1133</v>
      </c>
      <c r="K1320" s="62">
        <v>5102</v>
      </c>
      <c r="L1320" s="57">
        <v>205</v>
      </c>
      <c r="M1320" s="50" t="s">
        <v>26</v>
      </c>
      <c r="N1320" s="50" t="s">
        <v>317</v>
      </c>
      <c r="O1320" s="64">
        <v>190.34</v>
      </c>
      <c r="P1320" s="65">
        <v>12</v>
      </c>
      <c r="Q1320" s="64">
        <v>22.84</v>
      </c>
      <c r="R1320" s="63">
        <v>0</v>
      </c>
      <c r="S1320" s="64">
        <v>0</v>
      </c>
    </row>
    <row r="1321" spans="1:19" ht="11.1" customHeight="1" x14ac:dyDescent="0.25">
      <c r="A1321" s="57">
        <v>113231</v>
      </c>
      <c r="B1321" s="53">
        <v>46132</v>
      </c>
      <c r="C1321" s="58">
        <v>46132</v>
      </c>
      <c r="D1321" s="59" t="s">
        <v>1136</v>
      </c>
      <c r="E1321" s="50" t="s">
        <v>313</v>
      </c>
      <c r="F1321" s="57">
        <v>36</v>
      </c>
      <c r="G1321" s="60">
        <v>248</v>
      </c>
      <c r="H1321" s="61" t="s">
        <v>1131</v>
      </c>
      <c r="I1321" s="50" t="s">
        <v>1132</v>
      </c>
      <c r="J1321" s="50" t="s">
        <v>1133</v>
      </c>
      <c r="K1321" s="62">
        <v>5403</v>
      </c>
      <c r="L1321" s="57">
        <v>207</v>
      </c>
      <c r="M1321" s="50" t="s">
        <v>26</v>
      </c>
      <c r="N1321" s="50" t="s">
        <v>317</v>
      </c>
      <c r="O1321" s="64">
        <v>2220.54</v>
      </c>
      <c r="P1321" s="65">
        <v>12</v>
      </c>
      <c r="Q1321" s="64">
        <v>266.45999999999998</v>
      </c>
      <c r="R1321" s="63">
        <v>0</v>
      </c>
      <c r="S1321" s="64">
        <v>155.44</v>
      </c>
    </row>
    <row r="1322" spans="1:19" ht="11.1" customHeight="1" x14ac:dyDescent="0.25">
      <c r="N1322" s="50" t="s">
        <v>318</v>
      </c>
      <c r="O1322" s="64">
        <v>2997.73</v>
      </c>
      <c r="P1322" s="65">
        <v>20</v>
      </c>
      <c r="Q1322" s="64">
        <v>155.44</v>
      </c>
      <c r="R1322" s="63">
        <v>0</v>
      </c>
      <c r="S1322" s="64">
        <v>0</v>
      </c>
    </row>
    <row r="1323" spans="1:19" ht="11.1" customHeight="1" x14ac:dyDescent="0.25">
      <c r="A1323" s="57">
        <v>113280</v>
      </c>
      <c r="B1323" s="53">
        <v>46134</v>
      </c>
      <c r="C1323" s="58">
        <v>46134</v>
      </c>
      <c r="D1323" s="59" t="s">
        <v>1137</v>
      </c>
      <c r="E1323" s="50" t="s">
        <v>313</v>
      </c>
      <c r="F1323" s="57">
        <v>36</v>
      </c>
      <c r="G1323" s="60">
        <v>248</v>
      </c>
      <c r="H1323" s="61" t="s">
        <v>1131</v>
      </c>
      <c r="I1323" s="50" t="s">
        <v>1132</v>
      </c>
      <c r="J1323" s="50" t="s">
        <v>1133</v>
      </c>
      <c r="K1323" s="62">
        <v>5102</v>
      </c>
      <c r="L1323" s="57">
        <v>205</v>
      </c>
      <c r="M1323" s="50" t="s">
        <v>26</v>
      </c>
      <c r="N1323" s="50" t="s">
        <v>317</v>
      </c>
      <c r="O1323" s="64">
        <v>571</v>
      </c>
      <c r="P1323" s="65">
        <v>12</v>
      </c>
      <c r="Q1323" s="64">
        <v>68.52</v>
      </c>
      <c r="R1323" s="63">
        <v>0</v>
      </c>
      <c r="S1323" s="64">
        <v>0</v>
      </c>
    </row>
    <row r="1324" spans="1:19" ht="11.1" customHeight="1" x14ac:dyDescent="0.25">
      <c r="A1324" s="57">
        <v>113422</v>
      </c>
      <c r="B1324" s="53">
        <v>46136</v>
      </c>
      <c r="C1324" s="58">
        <v>46136</v>
      </c>
      <c r="D1324" s="59" t="s">
        <v>1138</v>
      </c>
      <c r="E1324" s="50" t="s">
        <v>313</v>
      </c>
      <c r="F1324" s="57">
        <v>36</v>
      </c>
      <c r="G1324" s="60">
        <v>248</v>
      </c>
      <c r="H1324" s="61" t="s">
        <v>1131</v>
      </c>
      <c r="I1324" s="50" t="s">
        <v>1132</v>
      </c>
      <c r="J1324" s="50" t="s">
        <v>1133</v>
      </c>
      <c r="K1324" s="62">
        <v>5102</v>
      </c>
      <c r="L1324" s="57">
        <v>205</v>
      </c>
      <c r="M1324" s="50" t="s">
        <v>26</v>
      </c>
      <c r="N1324" s="50" t="s">
        <v>317</v>
      </c>
      <c r="O1324" s="64">
        <v>551</v>
      </c>
      <c r="P1324" s="65">
        <v>12</v>
      </c>
      <c r="Q1324" s="64">
        <v>66.12</v>
      </c>
      <c r="R1324" s="63">
        <v>0</v>
      </c>
      <c r="S1324" s="64">
        <v>0</v>
      </c>
    </row>
    <row r="1325" spans="1:19" ht="11.1" customHeight="1" x14ac:dyDescent="0.25">
      <c r="A1325" s="57">
        <v>113470</v>
      </c>
      <c r="B1325" s="53">
        <v>46139</v>
      </c>
      <c r="C1325" s="58">
        <v>46139</v>
      </c>
      <c r="D1325" s="59" t="s">
        <v>1139</v>
      </c>
      <c r="E1325" s="50" t="s">
        <v>313</v>
      </c>
      <c r="F1325" s="57">
        <v>36</v>
      </c>
      <c r="G1325" s="60">
        <v>248</v>
      </c>
      <c r="H1325" s="61" t="s">
        <v>1131</v>
      </c>
      <c r="I1325" s="50" t="s">
        <v>1132</v>
      </c>
      <c r="J1325" s="50" t="s">
        <v>1133</v>
      </c>
      <c r="K1325" s="62">
        <v>5403</v>
      </c>
      <c r="L1325" s="57">
        <v>207</v>
      </c>
      <c r="M1325" s="50" t="s">
        <v>26</v>
      </c>
      <c r="N1325" s="50" t="s">
        <v>317</v>
      </c>
      <c r="O1325" s="64">
        <v>1110.27</v>
      </c>
      <c r="P1325" s="65">
        <v>12</v>
      </c>
      <c r="Q1325" s="64">
        <v>133.22999999999999</v>
      </c>
      <c r="R1325" s="63">
        <v>0</v>
      </c>
      <c r="S1325" s="64">
        <v>77.72</v>
      </c>
    </row>
    <row r="1326" spans="1:19" ht="11.1" customHeight="1" x14ac:dyDescent="0.25">
      <c r="N1326" s="50" t="s">
        <v>318</v>
      </c>
      <c r="O1326" s="64">
        <v>1498.86</v>
      </c>
      <c r="P1326" s="65">
        <v>20</v>
      </c>
      <c r="Q1326" s="64">
        <v>77.72</v>
      </c>
      <c r="R1326" s="63">
        <v>0</v>
      </c>
      <c r="S1326" s="64">
        <v>0</v>
      </c>
    </row>
    <row r="1327" spans="1:19" ht="11.1" customHeight="1" x14ac:dyDescent="0.25">
      <c r="A1327" s="57">
        <v>113558</v>
      </c>
      <c r="B1327" s="53">
        <v>46140</v>
      </c>
      <c r="C1327" s="58">
        <v>46140</v>
      </c>
      <c r="D1327" s="59" t="s">
        <v>1140</v>
      </c>
      <c r="E1327" s="50" t="s">
        <v>313</v>
      </c>
      <c r="F1327" s="57">
        <v>36</v>
      </c>
      <c r="G1327" s="60">
        <v>248</v>
      </c>
      <c r="H1327" s="61" t="s">
        <v>1131</v>
      </c>
      <c r="I1327" s="50" t="s">
        <v>1132</v>
      </c>
      <c r="J1327" s="50" t="s">
        <v>1133</v>
      </c>
      <c r="K1327" s="62">
        <v>5102</v>
      </c>
      <c r="L1327" s="57">
        <v>205</v>
      </c>
      <c r="M1327" s="50" t="s">
        <v>26</v>
      </c>
      <c r="N1327" s="50" t="s">
        <v>317</v>
      </c>
      <c r="O1327" s="64">
        <v>1108.8599999999999</v>
      </c>
      <c r="P1327" s="65">
        <v>12</v>
      </c>
      <c r="Q1327" s="64">
        <v>133.06</v>
      </c>
      <c r="R1327" s="63">
        <v>0</v>
      </c>
      <c r="S1327" s="64">
        <v>0</v>
      </c>
    </row>
    <row r="1328" spans="1:19" ht="11.1" customHeight="1" x14ac:dyDescent="0.25">
      <c r="A1328" s="57">
        <v>113683</v>
      </c>
      <c r="B1328" s="53">
        <v>46140</v>
      </c>
      <c r="C1328" s="58">
        <v>46140</v>
      </c>
      <c r="D1328" s="59" t="s">
        <v>1141</v>
      </c>
      <c r="E1328" s="50" t="s">
        <v>313</v>
      </c>
      <c r="F1328" s="57">
        <v>36</v>
      </c>
      <c r="G1328" s="60">
        <v>248</v>
      </c>
      <c r="H1328" s="61" t="s">
        <v>1131</v>
      </c>
      <c r="I1328" s="50" t="s">
        <v>1132</v>
      </c>
      <c r="J1328" s="50" t="s">
        <v>1133</v>
      </c>
      <c r="K1328" s="62">
        <v>5102</v>
      </c>
      <c r="L1328" s="57">
        <v>205</v>
      </c>
      <c r="M1328" s="50" t="s">
        <v>26</v>
      </c>
      <c r="N1328" s="50" t="s">
        <v>317</v>
      </c>
      <c r="O1328" s="64">
        <v>0</v>
      </c>
      <c r="P1328" s="65">
        <v>0</v>
      </c>
      <c r="Q1328" s="64">
        <v>0</v>
      </c>
      <c r="R1328" s="63">
        <v>0</v>
      </c>
      <c r="S1328" s="64">
        <v>0</v>
      </c>
    </row>
    <row r="1329" spans="1:19" ht="11.85" customHeight="1" x14ac:dyDescent="0.25">
      <c r="A1329" s="66" t="s">
        <v>320</v>
      </c>
      <c r="B1329" s="66"/>
      <c r="C1329" s="66"/>
      <c r="D1329" s="66"/>
      <c r="E1329" s="66"/>
      <c r="F1329" s="66"/>
      <c r="G1329" s="66"/>
      <c r="H1329" s="66"/>
    </row>
    <row r="1330" spans="1:19" ht="11.1" customHeight="1" x14ac:dyDescent="0.25">
      <c r="N1330" s="50" t="s">
        <v>317</v>
      </c>
      <c r="O1330" s="64">
        <v>7199.3</v>
      </c>
      <c r="Q1330" s="64">
        <v>863.91</v>
      </c>
      <c r="R1330" s="63">
        <v>0</v>
      </c>
      <c r="S1330" s="64">
        <v>239.8</v>
      </c>
    </row>
    <row r="1331" spans="1:19" ht="11.1" customHeight="1" x14ac:dyDescent="0.25">
      <c r="N1331" s="50" t="s">
        <v>318</v>
      </c>
      <c r="O1331" s="64">
        <v>4624.53</v>
      </c>
      <c r="Q1331" s="64">
        <v>239.8</v>
      </c>
      <c r="R1331" s="63">
        <v>0</v>
      </c>
      <c r="S1331" s="64">
        <v>0</v>
      </c>
    </row>
    <row r="1332" spans="1:19" ht="11.1" customHeight="1" x14ac:dyDescent="0.25">
      <c r="A1332" s="57">
        <v>113209</v>
      </c>
      <c r="B1332" s="53">
        <v>46129</v>
      </c>
      <c r="C1332" s="58">
        <v>46129</v>
      </c>
      <c r="D1332" s="59" t="s">
        <v>1142</v>
      </c>
      <c r="E1332" s="50" t="s">
        <v>313</v>
      </c>
      <c r="F1332" s="57">
        <v>36</v>
      </c>
      <c r="G1332" s="60">
        <v>975</v>
      </c>
      <c r="H1332" s="61" t="s">
        <v>1143</v>
      </c>
      <c r="I1332" s="50" t="s">
        <v>1144</v>
      </c>
      <c r="J1332" s="50" t="s">
        <v>1145</v>
      </c>
      <c r="K1332" s="62">
        <v>6403</v>
      </c>
      <c r="L1332" s="57">
        <v>207</v>
      </c>
      <c r="M1332" s="50" t="s">
        <v>31</v>
      </c>
      <c r="N1332" s="50" t="s">
        <v>317</v>
      </c>
      <c r="O1332" s="64">
        <v>793.94</v>
      </c>
      <c r="P1332" s="65">
        <v>12</v>
      </c>
      <c r="Q1332" s="64">
        <v>95.27</v>
      </c>
      <c r="R1332" s="63">
        <v>0</v>
      </c>
      <c r="S1332" s="64">
        <v>143.44999999999999</v>
      </c>
    </row>
    <row r="1333" spans="1:19" ht="11.1" customHeight="1" x14ac:dyDescent="0.25">
      <c r="N1333" s="50" t="s">
        <v>318</v>
      </c>
      <c r="O1333" s="64">
        <v>1164.47</v>
      </c>
      <c r="P1333" s="65">
        <v>20.5</v>
      </c>
      <c r="Q1333" s="64">
        <v>143.44999999999999</v>
      </c>
      <c r="R1333" s="63">
        <v>0</v>
      </c>
      <c r="S1333" s="64">
        <v>0</v>
      </c>
    </row>
    <row r="1334" spans="1:19" ht="11.1" customHeight="1" x14ac:dyDescent="0.25">
      <c r="A1334" s="57">
        <v>113210</v>
      </c>
      <c r="B1334" s="53">
        <v>46129</v>
      </c>
      <c r="C1334" s="58">
        <v>46129</v>
      </c>
      <c r="D1334" s="59" t="s">
        <v>1142</v>
      </c>
      <c r="E1334" s="50" t="s">
        <v>313</v>
      </c>
      <c r="F1334" s="57">
        <v>36</v>
      </c>
      <c r="G1334" s="60">
        <v>975</v>
      </c>
      <c r="H1334" s="61" t="s">
        <v>1143</v>
      </c>
      <c r="I1334" s="50" t="s">
        <v>1144</v>
      </c>
      <c r="J1334" s="50" t="s">
        <v>1145</v>
      </c>
      <c r="K1334" s="62">
        <v>6102</v>
      </c>
      <c r="L1334" s="57">
        <v>238</v>
      </c>
      <c r="M1334" s="50" t="s">
        <v>31</v>
      </c>
      <c r="N1334" s="50" t="s">
        <v>317</v>
      </c>
      <c r="O1334" s="64">
        <v>1542.59</v>
      </c>
      <c r="P1334" s="65">
        <v>12</v>
      </c>
      <c r="Q1334" s="64">
        <v>185.11</v>
      </c>
      <c r="R1334" s="63">
        <v>0</v>
      </c>
      <c r="S1334" s="64">
        <v>0</v>
      </c>
    </row>
    <row r="1335" spans="1:19" ht="11.85" customHeight="1" x14ac:dyDescent="0.25">
      <c r="A1335" s="66" t="s">
        <v>320</v>
      </c>
      <c r="B1335" s="66"/>
      <c r="C1335" s="66"/>
      <c r="D1335" s="66"/>
      <c r="E1335" s="66"/>
      <c r="F1335" s="66"/>
      <c r="G1335" s="66"/>
      <c r="H1335" s="66"/>
    </row>
    <row r="1336" spans="1:19" ht="11.1" customHeight="1" x14ac:dyDescent="0.25">
      <c r="N1336" s="50" t="s">
        <v>317</v>
      </c>
      <c r="O1336" s="64">
        <v>2336.5300000000002</v>
      </c>
      <c r="Q1336" s="64">
        <v>280.38</v>
      </c>
      <c r="R1336" s="63">
        <v>0</v>
      </c>
      <c r="S1336" s="64">
        <v>143.44999999999999</v>
      </c>
    </row>
    <row r="1337" spans="1:19" ht="11.1" customHeight="1" x14ac:dyDescent="0.25">
      <c r="N1337" s="50" t="s">
        <v>318</v>
      </c>
      <c r="O1337" s="64">
        <v>1164.47</v>
      </c>
      <c r="Q1337" s="64">
        <v>143.44999999999999</v>
      </c>
      <c r="R1337" s="63">
        <v>0</v>
      </c>
      <c r="S1337" s="64">
        <v>0</v>
      </c>
    </row>
    <row r="1338" spans="1:19" ht="11.1" customHeight="1" x14ac:dyDescent="0.25">
      <c r="A1338" s="57">
        <v>112623</v>
      </c>
      <c r="B1338" s="53">
        <v>46118</v>
      </c>
      <c r="C1338" s="58">
        <v>46118</v>
      </c>
      <c r="D1338" s="59" t="s">
        <v>1146</v>
      </c>
      <c r="E1338" s="50" t="s">
        <v>313</v>
      </c>
      <c r="F1338" s="57">
        <v>36</v>
      </c>
      <c r="G1338" s="60">
        <v>938</v>
      </c>
      <c r="H1338" s="61" t="s">
        <v>1147</v>
      </c>
      <c r="I1338" s="50" t="s">
        <v>1148</v>
      </c>
      <c r="J1338" s="50" t="s">
        <v>1149</v>
      </c>
      <c r="K1338" s="62">
        <v>5102</v>
      </c>
      <c r="L1338" s="57">
        <v>205</v>
      </c>
      <c r="M1338" s="50" t="s">
        <v>26</v>
      </c>
      <c r="N1338" s="50" t="s">
        <v>317</v>
      </c>
      <c r="O1338" s="64">
        <v>80.42</v>
      </c>
      <c r="P1338" s="65">
        <v>12</v>
      </c>
      <c r="Q1338" s="64">
        <v>9.65</v>
      </c>
      <c r="R1338" s="63">
        <v>0</v>
      </c>
      <c r="S1338" s="64">
        <v>0</v>
      </c>
    </row>
    <row r="1339" spans="1:19" ht="11.1" customHeight="1" x14ac:dyDescent="0.25">
      <c r="A1339" s="57">
        <v>112624</v>
      </c>
      <c r="B1339" s="53">
        <v>46118</v>
      </c>
      <c r="C1339" s="58">
        <v>46118</v>
      </c>
      <c r="D1339" s="59" t="s">
        <v>1146</v>
      </c>
      <c r="E1339" s="50" t="s">
        <v>313</v>
      </c>
      <c r="F1339" s="57">
        <v>36</v>
      </c>
      <c r="G1339" s="60">
        <v>938</v>
      </c>
      <c r="H1339" s="61" t="s">
        <v>1147</v>
      </c>
      <c r="I1339" s="50" t="s">
        <v>1148</v>
      </c>
      <c r="J1339" s="50" t="s">
        <v>1149</v>
      </c>
      <c r="K1339" s="62">
        <v>5403</v>
      </c>
      <c r="L1339" s="57">
        <v>207</v>
      </c>
      <c r="M1339" s="50" t="s">
        <v>26</v>
      </c>
      <c r="N1339" s="50" t="s">
        <v>317</v>
      </c>
      <c r="O1339" s="64">
        <v>654.92999999999995</v>
      </c>
      <c r="P1339" s="65">
        <v>12</v>
      </c>
      <c r="Q1339" s="64">
        <v>78.59</v>
      </c>
      <c r="R1339" s="63">
        <v>0</v>
      </c>
      <c r="S1339" s="64">
        <v>0</v>
      </c>
    </row>
    <row r="1340" spans="1:19" ht="11.1" customHeight="1" x14ac:dyDescent="0.25">
      <c r="A1340" s="57">
        <v>112672</v>
      </c>
      <c r="B1340" s="53">
        <v>46119</v>
      </c>
      <c r="C1340" s="58">
        <v>46119</v>
      </c>
      <c r="D1340" s="59" t="s">
        <v>1150</v>
      </c>
      <c r="E1340" s="50" t="s">
        <v>313</v>
      </c>
      <c r="F1340" s="57">
        <v>36</v>
      </c>
      <c r="G1340" s="60">
        <v>938</v>
      </c>
      <c r="H1340" s="61" t="s">
        <v>1147</v>
      </c>
      <c r="I1340" s="50" t="s">
        <v>1148</v>
      </c>
      <c r="J1340" s="50" t="s">
        <v>1149</v>
      </c>
      <c r="K1340" s="62">
        <v>5102</v>
      </c>
      <c r="L1340" s="57">
        <v>205</v>
      </c>
      <c r="M1340" s="50" t="s">
        <v>26</v>
      </c>
      <c r="N1340" s="50" t="s">
        <v>317</v>
      </c>
      <c r="O1340" s="64">
        <v>281.38</v>
      </c>
      <c r="P1340" s="65">
        <v>12</v>
      </c>
      <c r="Q1340" s="64">
        <v>33.770000000000003</v>
      </c>
      <c r="R1340" s="63">
        <v>0</v>
      </c>
      <c r="S1340" s="64">
        <v>0</v>
      </c>
    </row>
    <row r="1341" spans="1:19" ht="11.1" customHeight="1" x14ac:dyDescent="0.25">
      <c r="A1341" s="57">
        <v>112673</v>
      </c>
      <c r="B1341" s="53">
        <v>46119</v>
      </c>
      <c r="C1341" s="58">
        <v>46119</v>
      </c>
      <c r="D1341" s="59" t="s">
        <v>1150</v>
      </c>
      <c r="E1341" s="50" t="s">
        <v>313</v>
      </c>
      <c r="F1341" s="57">
        <v>36</v>
      </c>
      <c r="G1341" s="60">
        <v>938</v>
      </c>
      <c r="H1341" s="61" t="s">
        <v>1147</v>
      </c>
      <c r="I1341" s="50" t="s">
        <v>1148</v>
      </c>
      <c r="J1341" s="50" t="s">
        <v>1149</v>
      </c>
      <c r="K1341" s="62">
        <v>5403</v>
      </c>
      <c r="L1341" s="57">
        <v>207</v>
      </c>
      <c r="M1341" s="50" t="s">
        <v>26</v>
      </c>
      <c r="N1341" s="50" t="s">
        <v>317</v>
      </c>
      <c r="O1341" s="64">
        <v>16.98</v>
      </c>
      <c r="P1341" s="65">
        <v>12</v>
      </c>
      <c r="Q1341" s="64">
        <v>2.04</v>
      </c>
      <c r="R1341" s="63">
        <v>0</v>
      </c>
      <c r="S1341" s="64">
        <v>0</v>
      </c>
    </row>
    <row r="1342" spans="1:19" ht="11.1" customHeight="1" x14ac:dyDescent="0.25">
      <c r="A1342" s="57">
        <v>112858</v>
      </c>
      <c r="B1342" s="53">
        <v>46121</v>
      </c>
      <c r="C1342" s="58">
        <v>46121</v>
      </c>
      <c r="D1342" s="59" t="s">
        <v>1151</v>
      </c>
      <c r="E1342" s="50" t="s">
        <v>313</v>
      </c>
      <c r="F1342" s="57">
        <v>36</v>
      </c>
      <c r="G1342" s="60">
        <v>938</v>
      </c>
      <c r="H1342" s="61" t="s">
        <v>1147</v>
      </c>
      <c r="I1342" s="50" t="s">
        <v>1148</v>
      </c>
      <c r="J1342" s="50" t="s">
        <v>1149</v>
      </c>
      <c r="K1342" s="62">
        <v>5102</v>
      </c>
      <c r="L1342" s="57">
        <v>205</v>
      </c>
      <c r="M1342" s="50" t="s">
        <v>26</v>
      </c>
      <c r="N1342" s="50" t="s">
        <v>317</v>
      </c>
      <c r="O1342" s="64">
        <v>5.0199999999999996</v>
      </c>
      <c r="P1342" s="65">
        <v>12</v>
      </c>
      <c r="Q1342" s="64">
        <v>0.6</v>
      </c>
      <c r="R1342" s="63">
        <v>0</v>
      </c>
      <c r="S1342" s="64">
        <v>0</v>
      </c>
    </row>
    <row r="1343" spans="1:19" ht="11.1" customHeight="1" x14ac:dyDescent="0.25">
      <c r="A1343" s="57">
        <v>112859</v>
      </c>
      <c r="B1343" s="53">
        <v>46121</v>
      </c>
      <c r="C1343" s="58">
        <v>46121</v>
      </c>
      <c r="D1343" s="59" t="s">
        <v>1151</v>
      </c>
      <c r="E1343" s="50" t="s">
        <v>313</v>
      </c>
      <c r="F1343" s="57">
        <v>36</v>
      </c>
      <c r="G1343" s="60">
        <v>938</v>
      </c>
      <c r="H1343" s="61" t="s">
        <v>1147</v>
      </c>
      <c r="I1343" s="50" t="s">
        <v>1148</v>
      </c>
      <c r="J1343" s="50" t="s">
        <v>1149</v>
      </c>
      <c r="K1343" s="62">
        <v>5403</v>
      </c>
      <c r="L1343" s="57">
        <v>207</v>
      </c>
      <c r="M1343" s="50" t="s">
        <v>26</v>
      </c>
      <c r="N1343" s="50" t="s">
        <v>317</v>
      </c>
      <c r="O1343" s="64">
        <v>211.57</v>
      </c>
      <c r="P1343" s="65">
        <v>12</v>
      </c>
      <c r="Q1343" s="64">
        <v>25.39</v>
      </c>
      <c r="R1343" s="63">
        <v>0</v>
      </c>
      <c r="S1343" s="64">
        <v>0</v>
      </c>
    </row>
    <row r="1344" spans="1:19" ht="11.1" customHeight="1" x14ac:dyDescent="0.25">
      <c r="A1344" s="57">
        <v>112939</v>
      </c>
      <c r="B1344" s="53">
        <v>46125</v>
      </c>
      <c r="C1344" s="58">
        <v>46125</v>
      </c>
      <c r="D1344" s="59" t="s">
        <v>1152</v>
      </c>
      <c r="E1344" s="50" t="s">
        <v>313</v>
      </c>
      <c r="F1344" s="57">
        <v>36</v>
      </c>
      <c r="G1344" s="60">
        <v>938</v>
      </c>
      <c r="H1344" s="61" t="s">
        <v>1147</v>
      </c>
      <c r="I1344" s="50" t="s">
        <v>1148</v>
      </c>
      <c r="J1344" s="50" t="s">
        <v>1149</v>
      </c>
      <c r="K1344" s="62">
        <v>5403</v>
      </c>
      <c r="L1344" s="57">
        <v>207</v>
      </c>
      <c r="M1344" s="50" t="s">
        <v>26</v>
      </c>
      <c r="N1344" s="50" t="s">
        <v>317</v>
      </c>
      <c r="O1344" s="64">
        <v>290.88</v>
      </c>
      <c r="P1344" s="65">
        <v>12</v>
      </c>
      <c r="Q1344" s="64">
        <v>34.909999999999997</v>
      </c>
      <c r="R1344" s="63">
        <v>0</v>
      </c>
      <c r="S1344" s="64">
        <v>0</v>
      </c>
    </row>
    <row r="1345" spans="1:19" ht="11.1" customHeight="1" x14ac:dyDescent="0.25">
      <c r="A1345" s="57">
        <v>113345</v>
      </c>
      <c r="B1345" s="53">
        <v>46135</v>
      </c>
      <c r="C1345" s="58">
        <v>46135</v>
      </c>
      <c r="D1345" s="59" t="s">
        <v>1153</v>
      </c>
      <c r="E1345" s="50" t="s">
        <v>313</v>
      </c>
      <c r="F1345" s="57">
        <v>36</v>
      </c>
      <c r="G1345" s="60">
        <v>938</v>
      </c>
      <c r="H1345" s="61" t="s">
        <v>1147</v>
      </c>
      <c r="I1345" s="50" t="s">
        <v>1148</v>
      </c>
      <c r="J1345" s="50" t="s">
        <v>1149</v>
      </c>
      <c r="K1345" s="62">
        <v>5102</v>
      </c>
      <c r="L1345" s="57">
        <v>205</v>
      </c>
      <c r="M1345" s="50" t="s">
        <v>26</v>
      </c>
      <c r="N1345" s="50" t="s">
        <v>317</v>
      </c>
      <c r="O1345" s="64">
        <v>1442.5</v>
      </c>
      <c r="P1345" s="65">
        <v>12</v>
      </c>
      <c r="Q1345" s="64">
        <v>173.1</v>
      </c>
      <c r="R1345" s="63">
        <v>0</v>
      </c>
      <c r="S1345" s="64">
        <v>0</v>
      </c>
    </row>
    <row r="1346" spans="1:19" ht="11.1" customHeight="1" x14ac:dyDescent="0.25">
      <c r="A1346" s="57">
        <v>113346</v>
      </c>
      <c r="B1346" s="53">
        <v>46135</v>
      </c>
      <c r="C1346" s="58">
        <v>46135</v>
      </c>
      <c r="D1346" s="59" t="s">
        <v>1153</v>
      </c>
      <c r="E1346" s="50" t="s">
        <v>313</v>
      </c>
      <c r="F1346" s="57">
        <v>36</v>
      </c>
      <c r="G1346" s="60">
        <v>938</v>
      </c>
      <c r="H1346" s="61" t="s">
        <v>1147</v>
      </c>
      <c r="I1346" s="50" t="s">
        <v>1148</v>
      </c>
      <c r="J1346" s="50" t="s">
        <v>1149</v>
      </c>
      <c r="K1346" s="62">
        <v>5403</v>
      </c>
      <c r="L1346" s="57">
        <v>207</v>
      </c>
      <c r="M1346" s="50" t="s">
        <v>26</v>
      </c>
      <c r="N1346" s="50" t="s">
        <v>317</v>
      </c>
      <c r="O1346" s="64">
        <v>6637.3</v>
      </c>
      <c r="P1346" s="65">
        <v>12</v>
      </c>
      <c r="Q1346" s="64">
        <v>796.48</v>
      </c>
      <c r="R1346" s="63">
        <v>0</v>
      </c>
      <c r="S1346" s="64">
        <v>0</v>
      </c>
    </row>
    <row r="1347" spans="1:19" ht="11.1" customHeight="1" x14ac:dyDescent="0.25">
      <c r="A1347" s="57">
        <v>113635</v>
      </c>
      <c r="B1347" s="53">
        <v>46142</v>
      </c>
      <c r="C1347" s="58">
        <v>46142</v>
      </c>
      <c r="D1347" s="59" t="s">
        <v>1154</v>
      </c>
      <c r="E1347" s="50" t="s">
        <v>313</v>
      </c>
      <c r="F1347" s="57">
        <v>36</v>
      </c>
      <c r="G1347" s="60">
        <v>938</v>
      </c>
      <c r="H1347" s="61" t="s">
        <v>1147</v>
      </c>
      <c r="I1347" s="50" t="s">
        <v>1148</v>
      </c>
      <c r="J1347" s="50" t="s">
        <v>1149</v>
      </c>
      <c r="K1347" s="62">
        <v>5102</v>
      </c>
      <c r="L1347" s="57">
        <v>205</v>
      </c>
      <c r="M1347" s="50" t="s">
        <v>26</v>
      </c>
      <c r="N1347" s="50" t="s">
        <v>317</v>
      </c>
      <c r="O1347" s="64">
        <v>799.17</v>
      </c>
      <c r="P1347" s="65">
        <v>12</v>
      </c>
      <c r="Q1347" s="64">
        <v>95.89</v>
      </c>
      <c r="R1347" s="63">
        <v>0</v>
      </c>
      <c r="S1347" s="64">
        <v>0</v>
      </c>
    </row>
    <row r="1348" spans="1:19" ht="11.85" customHeight="1" x14ac:dyDescent="0.25">
      <c r="A1348" s="66" t="s">
        <v>320</v>
      </c>
      <c r="B1348" s="66"/>
      <c r="C1348" s="66"/>
      <c r="D1348" s="66"/>
      <c r="E1348" s="66"/>
      <c r="F1348" s="66"/>
      <c r="G1348" s="66"/>
      <c r="H1348" s="66"/>
    </row>
    <row r="1349" spans="1:19" ht="11.1" customHeight="1" x14ac:dyDescent="0.25">
      <c r="N1349" s="50" t="s">
        <v>317</v>
      </c>
      <c r="O1349" s="64">
        <v>10420.15</v>
      </c>
      <c r="Q1349" s="64">
        <v>1250.42</v>
      </c>
      <c r="R1349" s="63">
        <v>0</v>
      </c>
      <c r="S1349" s="64">
        <v>0</v>
      </c>
    </row>
    <row r="1350" spans="1:19" ht="11.1" customHeight="1" x14ac:dyDescent="0.25">
      <c r="A1350" s="57">
        <v>112489</v>
      </c>
      <c r="B1350" s="53">
        <v>46113</v>
      </c>
      <c r="C1350" s="58">
        <v>46113</v>
      </c>
      <c r="D1350" s="59" t="s">
        <v>1155</v>
      </c>
      <c r="E1350" s="50" t="s">
        <v>313</v>
      </c>
      <c r="F1350" s="57">
        <v>36</v>
      </c>
      <c r="G1350" s="60">
        <v>191</v>
      </c>
      <c r="H1350" s="61" t="s">
        <v>1156</v>
      </c>
      <c r="I1350" s="50" t="s">
        <v>1157</v>
      </c>
      <c r="J1350" s="50" t="s">
        <v>1158</v>
      </c>
      <c r="K1350" s="62">
        <v>5102</v>
      </c>
      <c r="L1350" s="57">
        <v>205</v>
      </c>
      <c r="M1350" s="50" t="s">
        <v>26</v>
      </c>
      <c r="N1350" s="50" t="s">
        <v>317</v>
      </c>
      <c r="O1350" s="64">
        <v>1079.46</v>
      </c>
      <c r="P1350" s="65">
        <v>12</v>
      </c>
      <c r="Q1350" s="64">
        <v>129.54</v>
      </c>
      <c r="R1350" s="63">
        <v>0</v>
      </c>
      <c r="S1350" s="64">
        <v>0</v>
      </c>
    </row>
    <row r="1351" spans="1:19" ht="11.85" customHeight="1" x14ac:dyDescent="0.25">
      <c r="A1351" s="66" t="s">
        <v>320</v>
      </c>
      <c r="B1351" s="66"/>
      <c r="C1351" s="66"/>
      <c r="D1351" s="66"/>
      <c r="E1351" s="66"/>
      <c r="F1351" s="66"/>
      <c r="G1351" s="66"/>
      <c r="H1351" s="66"/>
    </row>
    <row r="1352" spans="1:19" ht="11.1" customHeight="1" x14ac:dyDescent="0.25">
      <c r="N1352" s="50" t="s">
        <v>317</v>
      </c>
      <c r="O1352" s="64">
        <v>1079.46</v>
      </c>
      <c r="Q1352" s="64">
        <v>129.54</v>
      </c>
      <c r="R1352" s="63">
        <v>0</v>
      </c>
      <c r="S1352" s="64">
        <v>0</v>
      </c>
    </row>
    <row r="1353" spans="1:19" ht="11.1" customHeight="1" x14ac:dyDescent="0.25">
      <c r="A1353" s="57">
        <v>112766</v>
      </c>
      <c r="B1353" s="53">
        <v>46120</v>
      </c>
      <c r="C1353" s="58">
        <v>46120</v>
      </c>
      <c r="D1353" s="59" t="s">
        <v>1159</v>
      </c>
      <c r="E1353" s="50" t="s">
        <v>313</v>
      </c>
      <c r="F1353" s="57">
        <v>36</v>
      </c>
      <c r="G1353" s="60">
        <v>564</v>
      </c>
      <c r="H1353" s="61" t="s">
        <v>1160</v>
      </c>
      <c r="I1353" s="50" t="s">
        <v>1161</v>
      </c>
      <c r="J1353" s="50" t="s">
        <v>1162</v>
      </c>
      <c r="K1353" s="62">
        <v>6102</v>
      </c>
      <c r="L1353" s="57">
        <v>238</v>
      </c>
      <c r="M1353" s="50" t="s">
        <v>38</v>
      </c>
      <c r="N1353" s="50" t="s">
        <v>317</v>
      </c>
      <c r="O1353" s="64">
        <v>541.9</v>
      </c>
      <c r="P1353" s="65">
        <v>12</v>
      </c>
      <c r="Q1353" s="64">
        <v>65.03</v>
      </c>
      <c r="R1353" s="63">
        <v>0</v>
      </c>
      <c r="S1353" s="64">
        <v>0</v>
      </c>
    </row>
    <row r="1354" spans="1:19" ht="11.85" customHeight="1" x14ac:dyDescent="0.25">
      <c r="A1354" s="66" t="s">
        <v>320</v>
      </c>
      <c r="B1354" s="66"/>
      <c r="C1354" s="66"/>
      <c r="D1354" s="66"/>
      <c r="E1354" s="66"/>
      <c r="F1354" s="66"/>
      <c r="G1354" s="66"/>
      <c r="H1354" s="66"/>
    </row>
    <row r="1355" spans="1:19" ht="11.1" customHeight="1" x14ac:dyDescent="0.25">
      <c r="N1355" s="50" t="s">
        <v>317</v>
      </c>
      <c r="O1355" s="64">
        <v>541.9</v>
      </c>
      <c r="Q1355" s="64">
        <v>65.03</v>
      </c>
      <c r="R1355" s="63">
        <v>0</v>
      </c>
      <c r="S1355" s="64">
        <v>0</v>
      </c>
    </row>
    <row r="1356" spans="1:19" ht="11.1" customHeight="1" x14ac:dyDescent="0.25">
      <c r="A1356" s="57">
        <v>113480</v>
      </c>
      <c r="B1356" s="53">
        <v>46139</v>
      </c>
      <c r="C1356" s="58">
        <v>46139</v>
      </c>
      <c r="D1356" s="59" t="s">
        <v>1163</v>
      </c>
      <c r="E1356" s="50" t="s">
        <v>313</v>
      </c>
      <c r="F1356" s="57">
        <v>36</v>
      </c>
      <c r="G1356" s="60">
        <v>224</v>
      </c>
      <c r="H1356" s="61" t="s">
        <v>1164</v>
      </c>
      <c r="I1356" s="50" t="s">
        <v>1165</v>
      </c>
      <c r="J1356" s="50" t="s">
        <v>1166</v>
      </c>
      <c r="K1356" s="62">
        <v>5102</v>
      </c>
      <c r="L1356" s="57">
        <v>205</v>
      </c>
      <c r="M1356" s="50" t="s">
        <v>26</v>
      </c>
      <c r="N1356" s="50" t="s">
        <v>317</v>
      </c>
      <c r="O1356" s="64">
        <v>2896.4</v>
      </c>
      <c r="P1356" s="65">
        <v>12</v>
      </c>
      <c r="Q1356" s="64">
        <v>347.57</v>
      </c>
      <c r="R1356" s="63">
        <v>0</v>
      </c>
      <c r="S1356" s="64">
        <v>0</v>
      </c>
    </row>
    <row r="1357" spans="1:19" ht="11.1" customHeight="1" x14ac:dyDescent="0.25">
      <c r="A1357" s="57">
        <v>113481</v>
      </c>
      <c r="B1357" s="53">
        <v>46139</v>
      </c>
      <c r="C1357" s="58">
        <v>46139</v>
      </c>
      <c r="D1357" s="59" t="s">
        <v>1163</v>
      </c>
      <c r="E1357" s="50" t="s">
        <v>313</v>
      </c>
      <c r="F1357" s="57">
        <v>36</v>
      </c>
      <c r="G1357" s="60">
        <v>224</v>
      </c>
      <c r="H1357" s="61" t="s">
        <v>1164</v>
      </c>
      <c r="I1357" s="50" t="s">
        <v>1165</v>
      </c>
      <c r="J1357" s="50" t="s">
        <v>1166</v>
      </c>
      <c r="K1357" s="62">
        <v>5403</v>
      </c>
      <c r="L1357" s="57">
        <v>207</v>
      </c>
      <c r="M1357" s="50" t="s">
        <v>26</v>
      </c>
      <c r="N1357" s="50" t="s">
        <v>317</v>
      </c>
      <c r="O1357" s="64">
        <v>267.04000000000002</v>
      </c>
      <c r="P1357" s="65">
        <v>12</v>
      </c>
      <c r="Q1357" s="64">
        <v>32.04</v>
      </c>
      <c r="R1357" s="63">
        <v>0</v>
      </c>
      <c r="S1357" s="64">
        <v>18.690000000000001</v>
      </c>
    </row>
    <row r="1358" spans="1:19" ht="11.1" customHeight="1" x14ac:dyDescent="0.25">
      <c r="N1358" s="50" t="s">
        <v>318</v>
      </c>
      <c r="O1358" s="64">
        <v>360.5</v>
      </c>
      <c r="P1358" s="65">
        <v>20</v>
      </c>
      <c r="Q1358" s="64">
        <v>18.690000000000001</v>
      </c>
      <c r="R1358" s="63">
        <v>0</v>
      </c>
      <c r="S1358" s="64">
        <v>0</v>
      </c>
    </row>
    <row r="1359" spans="1:19" ht="11.85" customHeight="1" x14ac:dyDescent="0.25">
      <c r="A1359" s="66" t="s">
        <v>320</v>
      </c>
      <c r="B1359" s="66"/>
      <c r="C1359" s="66"/>
      <c r="D1359" s="66"/>
      <c r="E1359" s="66"/>
      <c r="F1359" s="66"/>
      <c r="G1359" s="66"/>
      <c r="H1359" s="66"/>
    </row>
    <row r="1360" spans="1:19" ht="11.1" customHeight="1" x14ac:dyDescent="0.25">
      <c r="N1360" s="50" t="s">
        <v>317</v>
      </c>
      <c r="O1360" s="64">
        <v>3163.44</v>
      </c>
      <c r="Q1360" s="64">
        <v>379.61</v>
      </c>
      <c r="R1360" s="63">
        <v>0</v>
      </c>
      <c r="S1360" s="64">
        <v>18.690000000000001</v>
      </c>
    </row>
    <row r="1361" spans="1:19" ht="11.1" customHeight="1" x14ac:dyDescent="0.25">
      <c r="N1361" s="50" t="s">
        <v>318</v>
      </c>
      <c r="O1361" s="64">
        <v>360.5</v>
      </c>
      <c r="Q1361" s="64">
        <v>18.690000000000001</v>
      </c>
      <c r="R1361" s="63">
        <v>0</v>
      </c>
      <c r="S1361" s="64">
        <v>0</v>
      </c>
    </row>
    <row r="1362" spans="1:19" ht="11.1" customHeight="1" x14ac:dyDescent="0.25">
      <c r="A1362" s="57">
        <v>113617</v>
      </c>
      <c r="B1362" s="53">
        <v>46142</v>
      </c>
      <c r="C1362" s="58">
        <v>46142</v>
      </c>
      <c r="D1362" s="59" t="s">
        <v>1167</v>
      </c>
      <c r="E1362" s="50" t="s">
        <v>313</v>
      </c>
      <c r="F1362" s="57">
        <v>36</v>
      </c>
      <c r="G1362" s="60">
        <v>991</v>
      </c>
      <c r="H1362" s="61" t="s">
        <v>1168</v>
      </c>
      <c r="I1362" s="50" t="s">
        <v>1169</v>
      </c>
      <c r="J1362" s="50" t="s">
        <v>1170</v>
      </c>
      <c r="K1362" s="62">
        <v>5102</v>
      </c>
      <c r="L1362" s="57">
        <v>205</v>
      </c>
      <c r="M1362" s="50" t="s">
        <v>26</v>
      </c>
      <c r="N1362" s="50" t="s">
        <v>317</v>
      </c>
      <c r="O1362" s="64">
        <v>689.16</v>
      </c>
      <c r="P1362" s="65">
        <v>12</v>
      </c>
      <c r="Q1362" s="64">
        <v>82.7</v>
      </c>
      <c r="R1362" s="63">
        <v>0</v>
      </c>
      <c r="S1362" s="64">
        <v>0</v>
      </c>
    </row>
    <row r="1363" spans="1:19" ht="11.1" customHeight="1" x14ac:dyDescent="0.25">
      <c r="A1363" s="57">
        <v>113618</v>
      </c>
      <c r="B1363" s="53">
        <v>46142</v>
      </c>
      <c r="C1363" s="58">
        <v>46142</v>
      </c>
      <c r="D1363" s="59" t="s">
        <v>1167</v>
      </c>
      <c r="E1363" s="50" t="s">
        <v>313</v>
      </c>
      <c r="F1363" s="57">
        <v>36</v>
      </c>
      <c r="G1363" s="60">
        <v>991</v>
      </c>
      <c r="H1363" s="61" t="s">
        <v>1168</v>
      </c>
      <c r="I1363" s="50" t="s">
        <v>1169</v>
      </c>
      <c r="J1363" s="50" t="s">
        <v>1170</v>
      </c>
      <c r="K1363" s="62">
        <v>5403</v>
      </c>
      <c r="L1363" s="57">
        <v>207</v>
      </c>
      <c r="M1363" s="50" t="s">
        <v>26</v>
      </c>
      <c r="N1363" s="50" t="s">
        <v>317</v>
      </c>
      <c r="O1363" s="64">
        <v>1328.16</v>
      </c>
      <c r="P1363" s="65">
        <v>12</v>
      </c>
      <c r="Q1363" s="64">
        <v>159.38</v>
      </c>
      <c r="R1363" s="63">
        <v>0</v>
      </c>
      <c r="S1363" s="64">
        <v>0</v>
      </c>
    </row>
    <row r="1364" spans="1:19" ht="11.85" customHeight="1" x14ac:dyDescent="0.25">
      <c r="A1364" s="66" t="s">
        <v>320</v>
      </c>
      <c r="B1364" s="66"/>
      <c r="C1364" s="66"/>
      <c r="D1364" s="66"/>
      <c r="E1364" s="66"/>
      <c r="F1364" s="66"/>
      <c r="G1364" s="66"/>
      <c r="H1364" s="66"/>
    </row>
    <row r="1365" spans="1:19" ht="11.1" customHeight="1" x14ac:dyDescent="0.25">
      <c r="N1365" s="50" t="s">
        <v>317</v>
      </c>
      <c r="O1365" s="64">
        <v>2017.32</v>
      </c>
      <c r="Q1365" s="64">
        <v>242.08</v>
      </c>
      <c r="R1365" s="63">
        <v>0</v>
      </c>
      <c r="S1365" s="64">
        <v>0</v>
      </c>
    </row>
    <row r="1366" spans="1:19" ht="11.1" customHeight="1" x14ac:dyDescent="0.25">
      <c r="A1366" s="57">
        <v>113351</v>
      </c>
      <c r="B1366" s="53">
        <v>46135</v>
      </c>
      <c r="C1366" s="58">
        <v>46135</v>
      </c>
      <c r="D1366" s="59" t="s">
        <v>1171</v>
      </c>
      <c r="E1366" s="50" t="s">
        <v>313</v>
      </c>
      <c r="F1366" s="57">
        <v>36</v>
      </c>
      <c r="G1366" s="60">
        <v>770</v>
      </c>
      <c r="H1366" s="61" t="s">
        <v>1172</v>
      </c>
      <c r="I1366" s="50" t="s">
        <v>1173</v>
      </c>
      <c r="J1366" s="50" t="s">
        <v>1174</v>
      </c>
      <c r="K1366" s="62">
        <v>5102</v>
      </c>
      <c r="L1366" s="57">
        <v>205</v>
      </c>
      <c r="M1366" s="50" t="s">
        <v>26</v>
      </c>
      <c r="N1366" s="50" t="s">
        <v>317</v>
      </c>
      <c r="O1366" s="64">
        <v>369.82</v>
      </c>
      <c r="P1366" s="65">
        <v>12</v>
      </c>
      <c r="Q1366" s="64">
        <v>44.38</v>
      </c>
      <c r="R1366" s="63">
        <v>0</v>
      </c>
      <c r="S1366" s="64">
        <v>0</v>
      </c>
    </row>
    <row r="1367" spans="1:19" ht="11.1" customHeight="1" x14ac:dyDescent="0.25">
      <c r="A1367" s="57">
        <v>113352</v>
      </c>
      <c r="B1367" s="53">
        <v>46135</v>
      </c>
      <c r="C1367" s="58">
        <v>46135</v>
      </c>
      <c r="D1367" s="59" t="s">
        <v>1171</v>
      </c>
      <c r="E1367" s="50" t="s">
        <v>313</v>
      </c>
      <c r="F1367" s="57">
        <v>36</v>
      </c>
      <c r="G1367" s="60">
        <v>770</v>
      </c>
      <c r="H1367" s="61" t="s">
        <v>1172</v>
      </c>
      <c r="I1367" s="50" t="s">
        <v>1173</v>
      </c>
      <c r="J1367" s="50" t="s">
        <v>1174</v>
      </c>
      <c r="K1367" s="62">
        <v>5403</v>
      </c>
      <c r="L1367" s="57">
        <v>207</v>
      </c>
      <c r="M1367" s="50" t="s">
        <v>26</v>
      </c>
      <c r="N1367" s="50" t="s">
        <v>317</v>
      </c>
      <c r="O1367" s="64">
        <v>834.68</v>
      </c>
      <c r="P1367" s="65">
        <v>12</v>
      </c>
      <c r="Q1367" s="64">
        <v>100.16</v>
      </c>
      <c r="R1367" s="63">
        <v>0</v>
      </c>
      <c r="S1367" s="64">
        <v>58.42</v>
      </c>
    </row>
    <row r="1368" spans="1:19" ht="11.1" customHeight="1" x14ac:dyDescent="0.25">
      <c r="N1368" s="50" t="s">
        <v>318</v>
      </c>
      <c r="O1368" s="64">
        <v>1126.82</v>
      </c>
      <c r="P1368" s="65">
        <v>20</v>
      </c>
      <c r="Q1368" s="64">
        <v>58.42</v>
      </c>
      <c r="R1368" s="63">
        <v>0</v>
      </c>
      <c r="S1368" s="64">
        <v>0</v>
      </c>
    </row>
    <row r="1369" spans="1:19" ht="11.85" customHeight="1" x14ac:dyDescent="0.25">
      <c r="A1369" s="66" t="s">
        <v>320</v>
      </c>
      <c r="B1369" s="66"/>
      <c r="C1369" s="66"/>
      <c r="D1369" s="66"/>
      <c r="E1369" s="66"/>
      <c r="F1369" s="66"/>
      <c r="G1369" s="66"/>
      <c r="H1369" s="66"/>
    </row>
    <row r="1370" spans="1:19" ht="11.1" customHeight="1" x14ac:dyDescent="0.25">
      <c r="N1370" s="50" t="s">
        <v>317</v>
      </c>
      <c r="O1370" s="64">
        <v>1204.5</v>
      </c>
      <c r="Q1370" s="64">
        <v>144.54</v>
      </c>
      <c r="R1370" s="63">
        <v>0</v>
      </c>
      <c r="S1370" s="64">
        <v>58.42</v>
      </c>
    </row>
    <row r="1371" spans="1:19" ht="11.1" customHeight="1" x14ac:dyDescent="0.25">
      <c r="N1371" s="50" t="s">
        <v>318</v>
      </c>
      <c r="O1371" s="64">
        <v>1126.82</v>
      </c>
      <c r="Q1371" s="64">
        <v>58.42</v>
      </c>
      <c r="R1371" s="63">
        <v>0</v>
      </c>
      <c r="S1371" s="64">
        <v>0</v>
      </c>
    </row>
    <row r="1372" spans="1:19" ht="11.1" customHeight="1" x14ac:dyDescent="0.25">
      <c r="A1372" s="57">
        <v>113540</v>
      </c>
      <c r="B1372" s="53">
        <v>46140</v>
      </c>
      <c r="C1372" s="58">
        <v>46140</v>
      </c>
      <c r="D1372" s="59" t="s">
        <v>1175</v>
      </c>
      <c r="E1372" s="50" t="s">
        <v>313</v>
      </c>
      <c r="F1372" s="57">
        <v>36</v>
      </c>
      <c r="G1372" s="60">
        <v>961</v>
      </c>
      <c r="H1372" s="61" t="s">
        <v>1176</v>
      </c>
      <c r="I1372" s="50" t="s">
        <v>1177</v>
      </c>
      <c r="J1372" s="50" t="s">
        <v>1178</v>
      </c>
      <c r="K1372" s="62">
        <v>5403</v>
      </c>
      <c r="L1372" s="57">
        <v>207</v>
      </c>
      <c r="M1372" s="50" t="s">
        <v>26</v>
      </c>
      <c r="N1372" s="50" t="s">
        <v>317</v>
      </c>
      <c r="O1372" s="64">
        <v>218.78</v>
      </c>
      <c r="P1372" s="65">
        <v>12</v>
      </c>
      <c r="Q1372" s="64">
        <v>26.25</v>
      </c>
      <c r="R1372" s="63">
        <v>0</v>
      </c>
      <c r="S1372" s="64">
        <v>0</v>
      </c>
    </row>
    <row r="1373" spans="1:19" ht="11.85" customHeight="1" x14ac:dyDescent="0.25">
      <c r="A1373" s="66" t="s">
        <v>320</v>
      </c>
      <c r="B1373" s="66"/>
      <c r="C1373" s="66"/>
      <c r="D1373" s="66"/>
      <c r="E1373" s="66"/>
      <c r="F1373" s="66"/>
      <c r="G1373" s="66"/>
      <c r="H1373" s="66"/>
    </row>
    <row r="1374" spans="1:19" ht="11.1" customHeight="1" x14ac:dyDescent="0.25">
      <c r="N1374" s="50" t="s">
        <v>317</v>
      </c>
      <c r="O1374" s="64">
        <v>218.78</v>
      </c>
      <c r="Q1374" s="64">
        <v>26.25</v>
      </c>
      <c r="R1374" s="63">
        <v>0</v>
      </c>
      <c r="S1374" s="64">
        <v>0</v>
      </c>
    </row>
    <row r="1375" spans="1:19" ht="11.1" customHeight="1" x14ac:dyDescent="0.25">
      <c r="A1375" s="57">
        <v>112548</v>
      </c>
      <c r="B1375" s="53">
        <v>46114</v>
      </c>
      <c r="C1375" s="58">
        <v>46114</v>
      </c>
      <c r="D1375" s="59" t="s">
        <v>1179</v>
      </c>
      <c r="E1375" s="50" t="s">
        <v>313</v>
      </c>
      <c r="F1375" s="57">
        <v>36</v>
      </c>
      <c r="G1375" s="60">
        <v>791</v>
      </c>
      <c r="H1375" s="61" t="s">
        <v>1180</v>
      </c>
      <c r="I1375" s="50" t="s">
        <v>1181</v>
      </c>
      <c r="J1375" s="50" t="s">
        <v>1182</v>
      </c>
      <c r="K1375" s="62">
        <v>5102</v>
      </c>
      <c r="L1375" s="57">
        <v>205</v>
      </c>
      <c r="M1375" s="50" t="s">
        <v>26</v>
      </c>
      <c r="N1375" s="50" t="s">
        <v>317</v>
      </c>
      <c r="O1375" s="64">
        <v>1511</v>
      </c>
      <c r="P1375" s="65">
        <v>12</v>
      </c>
      <c r="Q1375" s="64">
        <v>181.31</v>
      </c>
      <c r="R1375" s="63">
        <v>0</v>
      </c>
      <c r="S1375" s="64">
        <v>0</v>
      </c>
    </row>
    <row r="1376" spans="1:19" ht="11.1" customHeight="1" x14ac:dyDescent="0.25">
      <c r="A1376" s="57">
        <v>112985</v>
      </c>
      <c r="B1376" s="53">
        <v>46125</v>
      </c>
      <c r="C1376" s="58">
        <v>46125</v>
      </c>
      <c r="D1376" s="59" t="s">
        <v>1183</v>
      </c>
      <c r="E1376" s="50" t="s">
        <v>313</v>
      </c>
      <c r="F1376" s="57">
        <v>36</v>
      </c>
      <c r="G1376" s="60">
        <v>791</v>
      </c>
      <c r="H1376" s="61" t="s">
        <v>1180</v>
      </c>
      <c r="I1376" s="50" t="s">
        <v>1181</v>
      </c>
      <c r="J1376" s="50" t="s">
        <v>1182</v>
      </c>
      <c r="K1376" s="62">
        <v>5102</v>
      </c>
      <c r="L1376" s="57">
        <v>205</v>
      </c>
      <c r="M1376" s="50" t="s">
        <v>26</v>
      </c>
      <c r="N1376" s="50" t="s">
        <v>317</v>
      </c>
      <c r="O1376" s="64">
        <v>475</v>
      </c>
      <c r="P1376" s="65">
        <v>12</v>
      </c>
      <c r="Q1376" s="64">
        <v>57</v>
      </c>
      <c r="R1376" s="63">
        <v>0</v>
      </c>
      <c r="S1376" s="64">
        <v>0</v>
      </c>
    </row>
    <row r="1377" spans="1:19" ht="11.1" customHeight="1" x14ac:dyDescent="0.25">
      <c r="A1377" s="57">
        <v>113153</v>
      </c>
      <c r="B1377" s="53">
        <v>46128</v>
      </c>
      <c r="C1377" s="58">
        <v>46128</v>
      </c>
      <c r="D1377" s="59" t="s">
        <v>1184</v>
      </c>
      <c r="E1377" s="50" t="s">
        <v>313</v>
      </c>
      <c r="F1377" s="57">
        <v>36</v>
      </c>
      <c r="G1377" s="60">
        <v>791</v>
      </c>
      <c r="H1377" s="61" t="s">
        <v>1180</v>
      </c>
      <c r="I1377" s="50" t="s">
        <v>1181</v>
      </c>
      <c r="J1377" s="50" t="s">
        <v>1182</v>
      </c>
      <c r="K1377" s="62">
        <v>5102</v>
      </c>
      <c r="L1377" s="57">
        <v>205</v>
      </c>
      <c r="M1377" s="50" t="s">
        <v>26</v>
      </c>
      <c r="N1377" s="50" t="s">
        <v>317</v>
      </c>
      <c r="O1377" s="64">
        <v>781.05</v>
      </c>
      <c r="P1377" s="65">
        <v>12</v>
      </c>
      <c r="Q1377" s="64">
        <v>93.73</v>
      </c>
      <c r="R1377" s="63">
        <v>0</v>
      </c>
      <c r="S1377" s="64">
        <v>0</v>
      </c>
    </row>
    <row r="1378" spans="1:19" ht="11.85" customHeight="1" x14ac:dyDescent="0.25">
      <c r="A1378" s="66" t="s">
        <v>320</v>
      </c>
      <c r="B1378" s="66"/>
      <c r="C1378" s="66"/>
      <c r="D1378" s="66"/>
      <c r="E1378" s="66"/>
      <c r="F1378" s="66"/>
      <c r="G1378" s="66"/>
      <c r="H1378" s="66"/>
    </row>
    <row r="1379" spans="1:19" ht="11.1" customHeight="1" x14ac:dyDescent="0.25">
      <c r="N1379" s="50" t="s">
        <v>317</v>
      </c>
      <c r="O1379" s="64">
        <v>2767.05</v>
      </c>
      <c r="Q1379" s="64">
        <v>332.04</v>
      </c>
      <c r="R1379" s="63">
        <v>0</v>
      </c>
      <c r="S1379" s="64">
        <v>0</v>
      </c>
    </row>
    <row r="1380" spans="1:19" ht="11.1" customHeight="1" x14ac:dyDescent="0.25">
      <c r="A1380" s="57">
        <v>113156</v>
      </c>
      <c r="B1380" s="53">
        <v>46128</v>
      </c>
      <c r="C1380" s="58">
        <v>46128</v>
      </c>
      <c r="D1380" s="59" t="s">
        <v>1185</v>
      </c>
      <c r="E1380" s="50" t="s">
        <v>313</v>
      </c>
      <c r="F1380" s="57">
        <v>36</v>
      </c>
      <c r="G1380" s="60">
        <v>820</v>
      </c>
      <c r="H1380" s="61" t="s">
        <v>1186</v>
      </c>
      <c r="I1380" s="50" t="s">
        <v>1187</v>
      </c>
      <c r="J1380" s="50" t="s">
        <v>1188</v>
      </c>
      <c r="K1380" s="62">
        <v>5102</v>
      </c>
      <c r="L1380" s="57">
        <v>205</v>
      </c>
      <c r="M1380" s="50" t="s">
        <v>26</v>
      </c>
      <c r="N1380" s="50" t="s">
        <v>317</v>
      </c>
      <c r="O1380" s="64">
        <v>1130</v>
      </c>
      <c r="P1380" s="65">
        <v>12</v>
      </c>
      <c r="Q1380" s="64">
        <v>135.6</v>
      </c>
      <c r="R1380" s="63">
        <v>0</v>
      </c>
      <c r="S1380" s="64">
        <v>0</v>
      </c>
    </row>
    <row r="1381" spans="1:19" ht="11.1" customHeight="1" x14ac:dyDescent="0.25">
      <c r="A1381" s="57">
        <v>113157</v>
      </c>
      <c r="B1381" s="53">
        <v>46128</v>
      </c>
      <c r="C1381" s="58">
        <v>46128</v>
      </c>
      <c r="D1381" s="59" t="s">
        <v>1185</v>
      </c>
      <c r="E1381" s="50" t="s">
        <v>313</v>
      </c>
      <c r="F1381" s="57">
        <v>36</v>
      </c>
      <c r="G1381" s="60">
        <v>820</v>
      </c>
      <c r="H1381" s="61" t="s">
        <v>1186</v>
      </c>
      <c r="I1381" s="50" t="s">
        <v>1187</v>
      </c>
      <c r="J1381" s="50" t="s">
        <v>1188</v>
      </c>
      <c r="K1381" s="62">
        <v>5403</v>
      </c>
      <c r="L1381" s="57">
        <v>207</v>
      </c>
      <c r="M1381" s="50" t="s">
        <v>26</v>
      </c>
      <c r="N1381" s="50" t="s">
        <v>317</v>
      </c>
      <c r="O1381" s="64">
        <v>400.14</v>
      </c>
      <c r="P1381" s="65">
        <v>12</v>
      </c>
      <c r="Q1381" s="64">
        <v>48.02</v>
      </c>
      <c r="R1381" s="63">
        <v>0</v>
      </c>
      <c r="S1381" s="64">
        <v>28.01</v>
      </c>
    </row>
    <row r="1382" spans="1:19" ht="11.1" customHeight="1" x14ac:dyDescent="0.25">
      <c r="N1382" s="50" t="s">
        <v>318</v>
      </c>
      <c r="O1382" s="64">
        <v>540.19000000000005</v>
      </c>
      <c r="P1382" s="65">
        <v>20</v>
      </c>
      <c r="Q1382" s="64">
        <v>28.01</v>
      </c>
      <c r="R1382" s="63">
        <v>0</v>
      </c>
      <c r="S1382" s="64">
        <v>0</v>
      </c>
    </row>
    <row r="1383" spans="1:19" ht="11.85" customHeight="1" x14ac:dyDescent="0.25">
      <c r="A1383" s="66" t="s">
        <v>320</v>
      </c>
      <c r="B1383" s="66"/>
      <c r="C1383" s="66"/>
      <c r="D1383" s="66"/>
      <c r="E1383" s="66"/>
      <c r="F1383" s="66"/>
      <c r="G1383" s="66"/>
      <c r="H1383" s="66"/>
    </row>
    <row r="1384" spans="1:19" ht="11.1" customHeight="1" x14ac:dyDescent="0.25">
      <c r="N1384" s="50" t="s">
        <v>317</v>
      </c>
      <c r="O1384" s="64">
        <v>1530.14</v>
      </c>
      <c r="Q1384" s="64">
        <v>183.62</v>
      </c>
      <c r="R1384" s="63">
        <v>0</v>
      </c>
      <c r="S1384" s="64">
        <v>28.01</v>
      </c>
    </row>
    <row r="1385" spans="1:19" ht="11.1" customHeight="1" x14ac:dyDescent="0.25">
      <c r="N1385" s="50" t="s">
        <v>318</v>
      </c>
      <c r="O1385" s="64">
        <v>540.19000000000005</v>
      </c>
      <c r="Q1385" s="64">
        <v>28.01</v>
      </c>
      <c r="R1385" s="63">
        <v>0</v>
      </c>
      <c r="S1385" s="64">
        <v>0</v>
      </c>
    </row>
    <row r="1386" spans="1:19" ht="11.1" customHeight="1" x14ac:dyDescent="0.25">
      <c r="A1386" s="57">
        <v>113188</v>
      </c>
      <c r="B1386" s="53">
        <v>46129</v>
      </c>
      <c r="C1386" s="58">
        <v>46129</v>
      </c>
      <c r="D1386" s="59" t="s">
        <v>1189</v>
      </c>
      <c r="E1386" s="50" t="s">
        <v>313</v>
      </c>
      <c r="F1386" s="57">
        <v>36</v>
      </c>
      <c r="G1386" s="60">
        <v>874</v>
      </c>
      <c r="H1386" s="61" t="s">
        <v>1190</v>
      </c>
      <c r="I1386" s="50" t="s">
        <v>1191</v>
      </c>
      <c r="J1386" s="50" t="s">
        <v>75</v>
      </c>
      <c r="K1386" s="62">
        <v>5102</v>
      </c>
      <c r="L1386" s="57">
        <v>205</v>
      </c>
      <c r="M1386" s="50" t="s">
        <v>26</v>
      </c>
      <c r="N1386" s="50" t="s">
        <v>317</v>
      </c>
      <c r="O1386" s="64">
        <v>179.05</v>
      </c>
      <c r="P1386" s="65">
        <v>12</v>
      </c>
      <c r="Q1386" s="64">
        <v>21.49</v>
      </c>
      <c r="R1386" s="63">
        <v>0</v>
      </c>
      <c r="S1386" s="64">
        <v>0</v>
      </c>
    </row>
    <row r="1387" spans="1:19" ht="11.85" customHeight="1" x14ac:dyDescent="0.25">
      <c r="A1387" s="66" t="s">
        <v>320</v>
      </c>
      <c r="B1387" s="66"/>
      <c r="C1387" s="66"/>
      <c r="D1387" s="66"/>
      <c r="E1387" s="66"/>
      <c r="F1387" s="66"/>
      <c r="G1387" s="66"/>
      <c r="H1387" s="66"/>
    </row>
    <row r="1388" spans="1:19" ht="11.1" customHeight="1" x14ac:dyDescent="0.25">
      <c r="N1388" s="50" t="s">
        <v>317</v>
      </c>
      <c r="O1388" s="64">
        <v>179.05</v>
      </c>
      <c r="Q1388" s="64">
        <v>21.49</v>
      </c>
      <c r="R1388" s="63">
        <v>0</v>
      </c>
      <c r="S1388" s="64">
        <v>0</v>
      </c>
    </row>
    <row r="1389" spans="1:19" ht="11.1" customHeight="1" x14ac:dyDescent="0.25">
      <c r="A1389" s="57">
        <v>113271</v>
      </c>
      <c r="B1389" s="53">
        <v>46134</v>
      </c>
      <c r="C1389" s="58">
        <v>46134</v>
      </c>
      <c r="D1389" s="59" t="s">
        <v>1192</v>
      </c>
      <c r="E1389" s="50" t="s">
        <v>313</v>
      </c>
      <c r="F1389" s="57">
        <v>36</v>
      </c>
      <c r="G1389" s="60">
        <v>879</v>
      </c>
      <c r="H1389" s="61" t="s">
        <v>1193</v>
      </c>
      <c r="I1389" s="50" t="s">
        <v>1194</v>
      </c>
      <c r="J1389" s="50" t="s">
        <v>1195</v>
      </c>
      <c r="K1389" s="62">
        <v>6102</v>
      </c>
      <c r="L1389" s="57">
        <v>238</v>
      </c>
      <c r="M1389" s="50" t="s">
        <v>34</v>
      </c>
      <c r="N1389" s="50" t="s">
        <v>317</v>
      </c>
      <c r="O1389" s="64">
        <v>1484.48</v>
      </c>
      <c r="P1389" s="65">
        <v>12</v>
      </c>
      <c r="Q1389" s="64">
        <v>178.14</v>
      </c>
      <c r="R1389" s="63">
        <v>0</v>
      </c>
      <c r="S1389" s="64">
        <v>0</v>
      </c>
    </row>
    <row r="1390" spans="1:19" ht="11.85" customHeight="1" x14ac:dyDescent="0.25">
      <c r="A1390" s="66" t="s">
        <v>320</v>
      </c>
      <c r="B1390" s="66"/>
      <c r="C1390" s="66"/>
      <c r="D1390" s="66"/>
      <c r="E1390" s="66"/>
      <c r="F1390" s="66"/>
      <c r="G1390" s="66"/>
      <c r="H1390" s="66"/>
    </row>
    <row r="1391" spans="1:19" ht="11.1" customHeight="1" x14ac:dyDescent="0.25">
      <c r="N1391" s="50" t="s">
        <v>317</v>
      </c>
      <c r="O1391" s="64">
        <v>1484.48</v>
      </c>
      <c r="Q1391" s="64">
        <v>178.14</v>
      </c>
      <c r="R1391" s="63">
        <v>0</v>
      </c>
      <c r="S1391" s="64">
        <v>0</v>
      </c>
    </row>
    <row r="1392" spans="1:19" ht="11.1" customHeight="1" x14ac:dyDescent="0.25">
      <c r="A1392" s="57">
        <v>113651</v>
      </c>
      <c r="B1392" s="53">
        <v>46142</v>
      </c>
      <c r="C1392" s="58">
        <v>46142</v>
      </c>
      <c r="D1392" s="59" t="s">
        <v>1196</v>
      </c>
      <c r="E1392" s="50" t="s">
        <v>313</v>
      </c>
      <c r="F1392" s="57">
        <v>36</v>
      </c>
      <c r="G1392" s="60">
        <v>992</v>
      </c>
      <c r="H1392" s="61" t="s">
        <v>1197</v>
      </c>
      <c r="I1392" s="50" t="s">
        <v>1198</v>
      </c>
      <c r="J1392" s="50" t="s">
        <v>1199</v>
      </c>
      <c r="K1392" s="62">
        <v>5102</v>
      </c>
      <c r="L1392" s="57">
        <v>205</v>
      </c>
      <c r="M1392" s="50" t="s">
        <v>26</v>
      </c>
      <c r="N1392" s="50" t="s">
        <v>317</v>
      </c>
      <c r="O1392" s="64">
        <v>426.1</v>
      </c>
      <c r="P1392" s="65">
        <v>12</v>
      </c>
      <c r="Q1392" s="64">
        <v>51.13</v>
      </c>
      <c r="R1392" s="63">
        <v>0</v>
      </c>
      <c r="S1392" s="64">
        <v>0</v>
      </c>
    </row>
    <row r="1393" spans="1:19" ht="11.85" customHeight="1" x14ac:dyDescent="0.25">
      <c r="A1393" s="66" t="s">
        <v>320</v>
      </c>
      <c r="B1393" s="66"/>
      <c r="C1393" s="66"/>
      <c r="D1393" s="66"/>
      <c r="E1393" s="66"/>
      <c r="F1393" s="66"/>
      <c r="G1393" s="66"/>
      <c r="H1393" s="66"/>
    </row>
    <row r="1394" spans="1:19" ht="11.1" customHeight="1" x14ac:dyDescent="0.25">
      <c r="N1394" s="50" t="s">
        <v>317</v>
      </c>
      <c r="O1394" s="64">
        <v>426.1</v>
      </c>
      <c r="Q1394" s="64">
        <v>51.13</v>
      </c>
      <c r="R1394" s="63">
        <v>0</v>
      </c>
      <c r="S1394" s="64">
        <v>0</v>
      </c>
    </row>
    <row r="1395" spans="1:19" ht="11.1" customHeight="1" x14ac:dyDescent="0.25">
      <c r="A1395" s="57">
        <v>112442</v>
      </c>
      <c r="B1395" s="53">
        <v>46113</v>
      </c>
      <c r="C1395" s="58">
        <v>46113</v>
      </c>
      <c r="D1395" s="59" t="s">
        <v>1200</v>
      </c>
      <c r="E1395" s="50" t="s">
        <v>313</v>
      </c>
      <c r="F1395" s="57">
        <v>36</v>
      </c>
      <c r="G1395" s="60">
        <v>364</v>
      </c>
      <c r="H1395" s="61" t="s">
        <v>1201</v>
      </c>
      <c r="I1395" s="50" t="s">
        <v>1202</v>
      </c>
      <c r="J1395" s="50" t="s">
        <v>1203</v>
      </c>
      <c r="K1395" s="62">
        <v>5403</v>
      </c>
      <c r="L1395" s="57">
        <v>207</v>
      </c>
      <c r="M1395" s="50" t="s">
        <v>26</v>
      </c>
      <c r="N1395" s="50" t="s">
        <v>317</v>
      </c>
      <c r="O1395" s="64">
        <v>3434.56</v>
      </c>
      <c r="P1395" s="65">
        <v>12</v>
      </c>
      <c r="Q1395" s="64">
        <v>412.13</v>
      </c>
      <c r="R1395" s="63">
        <v>0</v>
      </c>
      <c r="S1395" s="64">
        <v>240.41</v>
      </c>
    </row>
    <row r="1396" spans="1:19" ht="11.1" customHeight="1" x14ac:dyDescent="0.25">
      <c r="N1396" s="50" t="s">
        <v>318</v>
      </c>
      <c r="O1396" s="64">
        <v>4636.66</v>
      </c>
      <c r="P1396" s="65">
        <v>20</v>
      </c>
      <c r="Q1396" s="64">
        <v>240.41</v>
      </c>
      <c r="R1396" s="63">
        <v>0</v>
      </c>
      <c r="S1396" s="64">
        <v>0</v>
      </c>
    </row>
    <row r="1397" spans="1:19" ht="11.1" customHeight="1" x14ac:dyDescent="0.25">
      <c r="A1397" s="57">
        <v>112586</v>
      </c>
      <c r="B1397" s="53">
        <v>46118</v>
      </c>
      <c r="C1397" s="58">
        <v>46118</v>
      </c>
      <c r="D1397" s="59" t="s">
        <v>1204</v>
      </c>
      <c r="E1397" s="50" t="s">
        <v>313</v>
      </c>
      <c r="F1397" s="57">
        <v>36</v>
      </c>
      <c r="G1397" s="60">
        <v>364</v>
      </c>
      <c r="H1397" s="61" t="s">
        <v>1201</v>
      </c>
      <c r="I1397" s="50" t="s">
        <v>1202</v>
      </c>
      <c r="J1397" s="50" t="s">
        <v>1203</v>
      </c>
      <c r="K1397" s="62">
        <v>5403</v>
      </c>
      <c r="L1397" s="57">
        <v>207</v>
      </c>
      <c r="M1397" s="50" t="s">
        <v>26</v>
      </c>
      <c r="N1397" s="50" t="s">
        <v>317</v>
      </c>
      <c r="O1397" s="64">
        <v>634.4</v>
      </c>
      <c r="P1397" s="65">
        <v>12</v>
      </c>
      <c r="Q1397" s="64">
        <v>76.13</v>
      </c>
      <c r="R1397" s="63">
        <v>0</v>
      </c>
      <c r="S1397" s="64">
        <v>44.41</v>
      </c>
    </row>
    <row r="1398" spans="1:19" ht="11.1" customHeight="1" x14ac:dyDescent="0.25">
      <c r="N1398" s="50" t="s">
        <v>318</v>
      </c>
      <c r="O1398" s="64">
        <v>856.44</v>
      </c>
      <c r="P1398" s="65">
        <v>20</v>
      </c>
      <c r="Q1398" s="64">
        <v>44.41</v>
      </c>
      <c r="R1398" s="63">
        <v>0</v>
      </c>
      <c r="S1398" s="64">
        <v>0</v>
      </c>
    </row>
    <row r="1399" spans="1:19" ht="11.1" customHeight="1" x14ac:dyDescent="0.25">
      <c r="A1399" s="57">
        <v>112679</v>
      </c>
      <c r="B1399" s="53">
        <v>46119</v>
      </c>
      <c r="C1399" s="58">
        <v>46119</v>
      </c>
      <c r="D1399" s="59" t="s">
        <v>1205</v>
      </c>
      <c r="E1399" s="50" t="s">
        <v>313</v>
      </c>
      <c r="F1399" s="57">
        <v>36</v>
      </c>
      <c r="G1399" s="60">
        <v>364</v>
      </c>
      <c r="H1399" s="61" t="s">
        <v>1201</v>
      </c>
      <c r="I1399" s="50" t="s">
        <v>1202</v>
      </c>
      <c r="J1399" s="50" t="s">
        <v>1203</v>
      </c>
      <c r="K1399" s="62">
        <v>5403</v>
      </c>
      <c r="L1399" s="57">
        <v>207</v>
      </c>
      <c r="M1399" s="50" t="s">
        <v>26</v>
      </c>
      <c r="N1399" s="50" t="s">
        <v>317</v>
      </c>
      <c r="O1399" s="64">
        <v>317.2</v>
      </c>
      <c r="P1399" s="65">
        <v>12</v>
      </c>
      <c r="Q1399" s="64">
        <v>38.06</v>
      </c>
      <c r="R1399" s="63">
        <v>0</v>
      </c>
      <c r="S1399" s="64">
        <v>22.2</v>
      </c>
    </row>
    <row r="1400" spans="1:19" ht="11.1" customHeight="1" x14ac:dyDescent="0.25">
      <c r="N1400" s="50" t="s">
        <v>318</v>
      </c>
      <c r="O1400" s="64">
        <v>428.22</v>
      </c>
      <c r="P1400" s="65">
        <v>20</v>
      </c>
      <c r="Q1400" s="64">
        <v>22.2</v>
      </c>
      <c r="R1400" s="63">
        <v>0</v>
      </c>
      <c r="S1400" s="64">
        <v>0</v>
      </c>
    </row>
    <row r="1401" spans="1:19" ht="11.1" customHeight="1" x14ac:dyDescent="0.25">
      <c r="A1401" s="57">
        <v>112681</v>
      </c>
      <c r="B1401" s="53">
        <v>46119</v>
      </c>
      <c r="C1401" s="58">
        <v>46119</v>
      </c>
      <c r="D1401" s="59" t="s">
        <v>1206</v>
      </c>
      <c r="E1401" s="50" t="s">
        <v>313</v>
      </c>
      <c r="F1401" s="57">
        <v>36</v>
      </c>
      <c r="G1401" s="60">
        <v>364</v>
      </c>
      <c r="H1401" s="61" t="s">
        <v>1201</v>
      </c>
      <c r="I1401" s="50" t="s">
        <v>1202</v>
      </c>
      <c r="J1401" s="50" t="s">
        <v>1203</v>
      </c>
      <c r="K1401" s="62">
        <v>5102</v>
      </c>
      <c r="L1401" s="57">
        <v>205</v>
      </c>
      <c r="M1401" s="50" t="s">
        <v>26</v>
      </c>
      <c r="N1401" s="50" t="s">
        <v>317</v>
      </c>
      <c r="O1401" s="64">
        <v>468.08</v>
      </c>
      <c r="P1401" s="65">
        <v>12</v>
      </c>
      <c r="Q1401" s="64">
        <v>56.17</v>
      </c>
      <c r="R1401" s="63">
        <v>0</v>
      </c>
      <c r="S1401" s="64">
        <v>0</v>
      </c>
    </row>
    <row r="1402" spans="1:19" ht="11.1" customHeight="1" x14ac:dyDescent="0.25">
      <c r="A1402" s="57">
        <v>112727</v>
      </c>
      <c r="B1402" s="53">
        <v>46120</v>
      </c>
      <c r="C1402" s="58">
        <v>46120</v>
      </c>
      <c r="D1402" s="59" t="s">
        <v>1207</v>
      </c>
      <c r="E1402" s="50" t="s">
        <v>313</v>
      </c>
      <c r="F1402" s="57">
        <v>36</v>
      </c>
      <c r="G1402" s="60">
        <v>364</v>
      </c>
      <c r="H1402" s="61" t="s">
        <v>1201</v>
      </c>
      <c r="I1402" s="50" t="s">
        <v>1202</v>
      </c>
      <c r="J1402" s="50" t="s">
        <v>1203</v>
      </c>
      <c r="K1402" s="62">
        <v>5403</v>
      </c>
      <c r="L1402" s="57">
        <v>207</v>
      </c>
      <c r="M1402" s="50" t="s">
        <v>26</v>
      </c>
      <c r="N1402" s="50" t="s">
        <v>317</v>
      </c>
      <c r="O1402" s="64">
        <v>465.61</v>
      </c>
      <c r="P1402" s="65">
        <v>12</v>
      </c>
      <c r="Q1402" s="64">
        <v>55.88</v>
      </c>
      <c r="R1402" s="63">
        <v>0</v>
      </c>
      <c r="S1402" s="64">
        <v>32.590000000000003</v>
      </c>
    </row>
    <row r="1403" spans="1:19" ht="11.1" customHeight="1" x14ac:dyDescent="0.25">
      <c r="N1403" s="50" t="s">
        <v>318</v>
      </c>
      <c r="O1403" s="64">
        <v>628.58000000000004</v>
      </c>
      <c r="P1403" s="65">
        <v>20</v>
      </c>
      <c r="Q1403" s="64">
        <v>32.590000000000003</v>
      </c>
      <c r="R1403" s="63">
        <v>0</v>
      </c>
      <c r="S1403" s="64">
        <v>0</v>
      </c>
    </row>
    <row r="1404" spans="1:19" ht="11.1" customHeight="1" x14ac:dyDescent="0.25">
      <c r="A1404" s="57">
        <v>112873</v>
      </c>
      <c r="B1404" s="53">
        <v>46121</v>
      </c>
      <c r="C1404" s="58">
        <v>46121</v>
      </c>
      <c r="D1404" s="59" t="s">
        <v>1208</v>
      </c>
      <c r="E1404" s="50" t="s">
        <v>313</v>
      </c>
      <c r="F1404" s="57">
        <v>36</v>
      </c>
      <c r="G1404" s="60">
        <v>364</v>
      </c>
      <c r="H1404" s="61" t="s">
        <v>1201</v>
      </c>
      <c r="I1404" s="50" t="s">
        <v>1202</v>
      </c>
      <c r="J1404" s="50" t="s">
        <v>1203</v>
      </c>
      <c r="K1404" s="62">
        <v>5403</v>
      </c>
      <c r="L1404" s="57">
        <v>207</v>
      </c>
      <c r="M1404" s="50" t="s">
        <v>26</v>
      </c>
      <c r="N1404" s="50" t="s">
        <v>317</v>
      </c>
      <c r="O1404" s="64">
        <v>158.6</v>
      </c>
      <c r="P1404" s="65">
        <v>12</v>
      </c>
      <c r="Q1404" s="64">
        <v>19.03</v>
      </c>
      <c r="R1404" s="63">
        <v>0</v>
      </c>
      <c r="S1404" s="64">
        <v>11.1</v>
      </c>
    </row>
    <row r="1405" spans="1:19" ht="11.1" customHeight="1" x14ac:dyDescent="0.25">
      <c r="N1405" s="50" t="s">
        <v>318</v>
      </c>
      <c r="O1405" s="64">
        <v>214.11</v>
      </c>
      <c r="P1405" s="65">
        <v>20</v>
      </c>
      <c r="Q1405" s="64">
        <v>11.1</v>
      </c>
      <c r="R1405" s="63">
        <v>0</v>
      </c>
      <c r="S1405" s="64">
        <v>0</v>
      </c>
    </row>
    <row r="1406" spans="1:19" ht="11.85" customHeight="1" x14ac:dyDescent="0.25">
      <c r="A1406" s="66" t="s">
        <v>320</v>
      </c>
      <c r="B1406" s="66"/>
      <c r="C1406" s="66"/>
      <c r="D1406" s="66"/>
      <c r="E1406" s="66"/>
      <c r="F1406" s="66"/>
      <c r="G1406" s="66"/>
      <c r="H1406" s="66"/>
    </row>
    <row r="1407" spans="1:19" ht="11.1" customHeight="1" x14ac:dyDescent="0.25">
      <c r="N1407" s="50" t="s">
        <v>317</v>
      </c>
      <c r="O1407" s="64">
        <v>5478.45</v>
      </c>
      <c r="Q1407" s="64">
        <v>657.4</v>
      </c>
      <c r="R1407" s="63">
        <v>0</v>
      </c>
      <c r="S1407" s="64">
        <v>350.71</v>
      </c>
    </row>
    <row r="1408" spans="1:19" ht="11.1" customHeight="1" x14ac:dyDescent="0.25">
      <c r="N1408" s="50" t="s">
        <v>318</v>
      </c>
      <c r="O1408" s="64">
        <v>6764.01</v>
      </c>
      <c r="Q1408" s="64">
        <v>350.71</v>
      </c>
      <c r="R1408" s="63">
        <v>0</v>
      </c>
      <c r="S1408" s="64">
        <v>0</v>
      </c>
    </row>
    <row r="1409" spans="1:19" ht="11.1" customHeight="1" x14ac:dyDescent="0.25">
      <c r="A1409" s="57">
        <v>112870</v>
      </c>
      <c r="B1409" s="53">
        <v>46121</v>
      </c>
      <c r="C1409" s="58">
        <v>46121</v>
      </c>
      <c r="D1409" s="59" t="s">
        <v>1209</v>
      </c>
      <c r="E1409" s="50" t="s">
        <v>313</v>
      </c>
      <c r="F1409" s="57">
        <v>36</v>
      </c>
      <c r="G1409" s="60">
        <v>317</v>
      </c>
      <c r="H1409" s="61" t="s">
        <v>1210</v>
      </c>
      <c r="I1409" s="50" t="s">
        <v>1211</v>
      </c>
      <c r="J1409" s="50" t="s">
        <v>1212</v>
      </c>
      <c r="K1409" s="62">
        <v>6102</v>
      </c>
      <c r="L1409" s="57">
        <v>238</v>
      </c>
      <c r="M1409" s="50" t="s">
        <v>34</v>
      </c>
      <c r="N1409" s="50" t="s">
        <v>317</v>
      </c>
      <c r="O1409" s="64">
        <v>1001.26</v>
      </c>
      <c r="P1409" s="65">
        <v>12</v>
      </c>
      <c r="Q1409" s="64">
        <v>120.15</v>
      </c>
      <c r="R1409" s="63">
        <v>0</v>
      </c>
      <c r="S1409" s="64">
        <v>0</v>
      </c>
    </row>
    <row r="1410" spans="1:19" ht="11.1" customHeight="1" x14ac:dyDescent="0.25">
      <c r="A1410" s="57">
        <v>113428</v>
      </c>
      <c r="B1410" s="53">
        <v>46136</v>
      </c>
      <c r="C1410" s="58">
        <v>46136</v>
      </c>
      <c r="D1410" s="59" t="s">
        <v>1213</v>
      </c>
      <c r="E1410" s="50" t="s">
        <v>313</v>
      </c>
      <c r="F1410" s="57">
        <v>36</v>
      </c>
      <c r="G1410" s="60">
        <v>317</v>
      </c>
      <c r="H1410" s="61" t="s">
        <v>1210</v>
      </c>
      <c r="I1410" s="50" t="s">
        <v>1211</v>
      </c>
      <c r="J1410" s="50" t="s">
        <v>1212</v>
      </c>
      <c r="K1410" s="62">
        <v>6102</v>
      </c>
      <c r="L1410" s="57">
        <v>238</v>
      </c>
      <c r="M1410" s="50" t="s">
        <v>34</v>
      </c>
      <c r="N1410" s="50" t="s">
        <v>317</v>
      </c>
      <c r="O1410" s="64">
        <v>1086.72</v>
      </c>
      <c r="P1410" s="65">
        <v>12</v>
      </c>
      <c r="Q1410" s="64">
        <v>130.4</v>
      </c>
      <c r="R1410" s="63">
        <v>0</v>
      </c>
      <c r="S1410" s="64">
        <v>0</v>
      </c>
    </row>
    <row r="1411" spans="1:19" ht="11.1" customHeight="1" x14ac:dyDescent="0.25">
      <c r="A1411" s="57">
        <v>113530</v>
      </c>
      <c r="B1411" s="53">
        <v>46140</v>
      </c>
      <c r="C1411" s="58">
        <v>46140</v>
      </c>
      <c r="D1411" s="59" t="s">
        <v>1214</v>
      </c>
      <c r="E1411" s="50" t="s">
        <v>313</v>
      </c>
      <c r="F1411" s="57">
        <v>36</v>
      </c>
      <c r="G1411" s="60">
        <v>317</v>
      </c>
      <c r="H1411" s="61" t="s">
        <v>1210</v>
      </c>
      <c r="I1411" s="50" t="s">
        <v>1211</v>
      </c>
      <c r="J1411" s="50" t="s">
        <v>1212</v>
      </c>
      <c r="K1411" s="62">
        <v>6102</v>
      </c>
      <c r="L1411" s="57">
        <v>238</v>
      </c>
      <c r="M1411" s="50" t="s">
        <v>34</v>
      </c>
      <c r="N1411" s="50" t="s">
        <v>317</v>
      </c>
      <c r="O1411" s="64">
        <v>4269</v>
      </c>
      <c r="P1411" s="65">
        <v>12</v>
      </c>
      <c r="Q1411" s="64">
        <v>512.28</v>
      </c>
      <c r="R1411" s="63">
        <v>0</v>
      </c>
      <c r="S1411" s="64">
        <v>0</v>
      </c>
    </row>
    <row r="1412" spans="1:19" ht="11.85" customHeight="1" x14ac:dyDescent="0.25">
      <c r="A1412" s="66" t="s">
        <v>320</v>
      </c>
      <c r="B1412" s="66"/>
      <c r="C1412" s="66"/>
      <c r="D1412" s="66"/>
      <c r="E1412" s="66"/>
      <c r="F1412" s="66"/>
      <c r="G1412" s="66"/>
      <c r="H1412" s="66"/>
    </row>
    <row r="1413" spans="1:19" ht="11.1" customHeight="1" x14ac:dyDescent="0.25">
      <c r="N1413" s="50" t="s">
        <v>317</v>
      </c>
      <c r="O1413" s="64">
        <v>6356.98</v>
      </c>
      <c r="Q1413" s="64">
        <v>762.83</v>
      </c>
      <c r="R1413" s="63">
        <v>0</v>
      </c>
      <c r="S1413" s="64">
        <v>0</v>
      </c>
    </row>
    <row r="1414" spans="1:19" ht="11.1" customHeight="1" x14ac:dyDescent="0.25">
      <c r="A1414" s="57">
        <v>113080</v>
      </c>
      <c r="B1414" s="53">
        <v>46127</v>
      </c>
      <c r="C1414" s="58">
        <v>46127</v>
      </c>
      <c r="D1414" s="59" t="s">
        <v>1215</v>
      </c>
      <c r="E1414" s="50" t="s">
        <v>313</v>
      </c>
      <c r="F1414" s="57">
        <v>36</v>
      </c>
      <c r="G1414" s="60">
        <v>434</v>
      </c>
      <c r="H1414" s="61" t="s">
        <v>1216</v>
      </c>
      <c r="I1414" s="50" t="s">
        <v>1217</v>
      </c>
      <c r="J1414" s="50" t="s">
        <v>1218</v>
      </c>
      <c r="K1414" s="62">
        <v>5403</v>
      </c>
      <c r="L1414" s="57">
        <v>207</v>
      </c>
      <c r="M1414" s="50" t="s">
        <v>26</v>
      </c>
      <c r="N1414" s="50" t="s">
        <v>317</v>
      </c>
      <c r="O1414" s="64">
        <v>241</v>
      </c>
      <c r="P1414" s="65">
        <v>12</v>
      </c>
      <c r="Q1414" s="64">
        <v>28.92</v>
      </c>
      <c r="R1414" s="63">
        <v>0</v>
      </c>
      <c r="S1414" s="64">
        <v>13.73</v>
      </c>
    </row>
    <row r="1415" spans="1:19" ht="11.1" customHeight="1" x14ac:dyDescent="0.25">
      <c r="N1415" s="50" t="s">
        <v>318</v>
      </c>
      <c r="O1415" s="64">
        <v>309.66000000000003</v>
      </c>
      <c r="P1415" s="65">
        <v>20</v>
      </c>
      <c r="Q1415" s="64">
        <v>13.73</v>
      </c>
      <c r="R1415" s="63">
        <v>0</v>
      </c>
      <c r="S1415" s="64">
        <v>0</v>
      </c>
    </row>
    <row r="1416" spans="1:19" ht="11.85" customHeight="1" x14ac:dyDescent="0.25">
      <c r="A1416" s="66" t="s">
        <v>320</v>
      </c>
      <c r="B1416" s="66"/>
      <c r="C1416" s="66"/>
      <c r="D1416" s="66"/>
      <c r="E1416" s="66"/>
      <c r="F1416" s="66"/>
      <c r="G1416" s="66"/>
      <c r="H1416" s="66"/>
    </row>
    <row r="1417" spans="1:19" ht="11.1" customHeight="1" x14ac:dyDescent="0.25">
      <c r="N1417" s="50" t="s">
        <v>317</v>
      </c>
      <c r="O1417" s="64">
        <v>241</v>
      </c>
      <c r="Q1417" s="64">
        <v>28.92</v>
      </c>
      <c r="R1417" s="63">
        <v>0</v>
      </c>
      <c r="S1417" s="64">
        <v>13.73</v>
      </c>
    </row>
    <row r="1418" spans="1:19" ht="11.1" customHeight="1" x14ac:dyDescent="0.25">
      <c r="N1418" s="50" t="s">
        <v>318</v>
      </c>
      <c r="O1418" s="64">
        <v>309.66000000000003</v>
      </c>
      <c r="Q1418" s="64">
        <v>13.73</v>
      </c>
      <c r="R1418" s="63">
        <v>0</v>
      </c>
      <c r="S1418" s="64">
        <v>0</v>
      </c>
    </row>
    <row r="1419" spans="1:19" ht="11.1" customHeight="1" x14ac:dyDescent="0.25">
      <c r="A1419" s="57">
        <v>113282</v>
      </c>
      <c r="B1419" s="53">
        <v>46134</v>
      </c>
      <c r="C1419" s="58">
        <v>46134</v>
      </c>
      <c r="D1419" s="59" t="s">
        <v>1219</v>
      </c>
      <c r="E1419" s="50" t="s">
        <v>313</v>
      </c>
      <c r="F1419" s="57">
        <v>36</v>
      </c>
      <c r="G1419" s="60">
        <v>247</v>
      </c>
      <c r="H1419" s="61" t="s">
        <v>1220</v>
      </c>
      <c r="I1419" s="50" t="s">
        <v>1221</v>
      </c>
      <c r="J1419" s="50" t="s">
        <v>1222</v>
      </c>
      <c r="K1419" s="62">
        <v>5102</v>
      </c>
      <c r="L1419" s="57">
        <v>205</v>
      </c>
      <c r="M1419" s="50" t="s">
        <v>26</v>
      </c>
      <c r="N1419" s="50" t="s">
        <v>317</v>
      </c>
      <c r="O1419" s="64">
        <v>3962.9</v>
      </c>
      <c r="P1419" s="65">
        <v>12</v>
      </c>
      <c r="Q1419" s="64">
        <v>475.55</v>
      </c>
      <c r="R1419" s="63">
        <v>0</v>
      </c>
      <c r="S1419" s="64">
        <v>0</v>
      </c>
    </row>
    <row r="1420" spans="1:19" ht="11.85" customHeight="1" x14ac:dyDescent="0.25">
      <c r="A1420" s="66" t="s">
        <v>320</v>
      </c>
      <c r="B1420" s="66"/>
      <c r="C1420" s="66"/>
      <c r="D1420" s="66"/>
      <c r="E1420" s="66"/>
      <c r="F1420" s="66"/>
      <c r="G1420" s="66"/>
      <c r="H1420" s="66"/>
    </row>
    <row r="1421" spans="1:19" ht="11.1" customHeight="1" x14ac:dyDescent="0.25">
      <c r="N1421" s="50" t="s">
        <v>317</v>
      </c>
      <c r="O1421" s="64">
        <v>3962.9</v>
      </c>
      <c r="Q1421" s="64">
        <v>475.55</v>
      </c>
      <c r="R1421" s="63">
        <v>0</v>
      </c>
      <c r="S1421" s="64">
        <v>0</v>
      </c>
    </row>
    <row r="1422" spans="1:19" ht="11.1" customHeight="1" x14ac:dyDescent="0.25">
      <c r="A1422" s="57">
        <v>113375</v>
      </c>
      <c r="B1422" s="53">
        <v>46135</v>
      </c>
      <c r="C1422" s="58">
        <v>46135</v>
      </c>
      <c r="D1422" s="59" t="s">
        <v>1223</v>
      </c>
      <c r="E1422" s="50" t="s">
        <v>313</v>
      </c>
      <c r="F1422" s="57">
        <v>36</v>
      </c>
      <c r="G1422" s="60">
        <v>623</v>
      </c>
      <c r="H1422" s="61" t="s">
        <v>1224</v>
      </c>
      <c r="I1422" s="50" t="s">
        <v>1225</v>
      </c>
      <c r="J1422" s="50" t="s">
        <v>1226</v>
      </c>
      <c r="K1422" s="62">
        <v>5102</v>
      </c>
      <c r="L1422" s="57">
        <v>205</v>
      </c>
      <c r="M1422" s="50" t="s">
        <v>26</v>
      </c>
      <c r="N1422" s="50" t="s">
        <v>317</v>
      </c>
      <c r="O1422" s="64">
        <v>614.84</v>
      </c>
      <c r="P1422" s="65">
        <v>12</v>
      </c>
      <c r="Q1422" s="64">
        <v>73.78</v>
      </c>
      <c r="R1422" s="63">
        <v>0</v>
      </c>
      <c r="S1422" s="64">
        <v>0</v>
      </c>
    </row>
    <row r="1423" spans="1:19" ht="11.1" customHeight="1" x14ac:dyDescent="0.25">
      <c r="A1423" s="57">
        <v>113376</v>
      </c>
      <c r="B1423" s="53">
        <v>46135</v>
      </c>
      <c r="C1423" s="58">
        <v>46135</v>
      </c>
      <c r="D1423" s="59" t="s">
        <v>1223</v>
      </c>
      <c r="E1423" s="50" t="s">
        <v>313</v>
      </c>
      <c r="F1423" s="57">
        <v>36</v>
      </c>
      <c r="G1423" s="60">
        <v>623</v>
      </c>
      <c r="H1423" s="61" t="s">
        <v>1224</v>
      </c>
      <c r="I1423" s="50" t="s">
        <v>1225</v>
      </c>
      <c r="J1423" s="50" t="s">
        <v>1226</v>
      </c>
      <c r="K1423" s="62">
        <v>5403</v>
      </c>
      <c r="L1423" s="57">
        <v>207</v>
      </c>
      <c r="M1423" s="50" t="s">
        <v>26</v>
      </c>
      <c r="N1423" s="50" t="s">
        <v>317</v>
      </c>
      <c r="O1423" s="64">
        <v>125.4</v>
      </c>
      <c r="P1423" s="65">
        <v>12</v>
      </c>
      <c r="Q1423" s="64">
        <v>15.05</v>
      </c>
      <c r="R1423" s="63">
        <v>0</v>
      </c>
      <c r="S1423" s="64">
        <v>8.7799999999999994</v>
      </c>
    </row>
    <row r="1424" spans="1:19" ht="11.1" customHeight="1" x14ac:dyDescent="0.25">
      <c r="N1424" s="50" t="s">
        <v>318</v>
      </c>
      <c r="O1424" s="64">
        <v>169.29</v>
      </c>
      <c r="P1424" s="65">
        <v>20</v>
      </c>
      <c r="Q1424" s="64">
        <v>8.7799999999999994</v>
      </c>
      <c r="R1424" s="63">
        <v>0</v>
      </c>
      <c r="S1424" s="64">
        <v>0</v>
      </c>
    </row>
    <row r="1425" spans="1:19" ht="11.85" customHeight="1" x14ac:dyDescent="0.25">
      <c r="A1425" s="66" t="s">
        <v>320</v>
      </c>
      <c r="B1425" s="66"/>
      <c r="C1425" s="66"/>
      <c r="D1425" s="66"/>
      <c r="E1425" s="66"/>
      <c r="F1425" s="66"/>
      <c r="G1425" s="66"/>
      <c r="H1425" s="66"/>
    </row>
    <row r="1426" spans="1:19" ht="11.1" customHeight="1" x14ac:dyDescent="0.25">
      <c r="N1426" s="50" t="s">
        <v>317</v>
      </c>
      <c r="O1426" s="64">
        <v>740.24</v>
      </c>
      <c r="Q1426" s="64">
        <v>88.83</v>
      </c>
      <c r="R1426" s="63">
        <v>0</v>
      </c>
      <c r="S1426" s="64">
        <v>8.7799999999999994</v>
      </c>
    </row>
    <row r="1427" spans="1:19" ht="11.1" customHeight="1" x14ac:dyDescent="0.25">
      <c r="N1427" s="50" t="s">
        <v>318</v>
      </c>
      <c r="O1427" s="64">
        <v>169.29</v>
      </c>
      <c r="Q1427" s="64">
        <v>8.7799999999999994</v>
      </c>
      <c r="R1427" s="63">
        <v>0</v>
      </c>
      <c r="S1427" s="64">
        <v>0</v>
      </c>
    </row>
    <row r="1428" spans="1:19" ht="11.1" customHeight="1" x14ac:dyDescent="0.25">
      <c r="A1428" s="57">
        <v>113542</v>
      </c>
      <c r="B1428" s="53">
        <v>46140</v>
      </c>
      <c r="C1428" s="58">
        <v>46140</v>
      </c>
      <c r="D1428" s="59" t="s">
        <v>1227</v>
      </c>
      <c r="E1428" s="50" t="s">
        <v>313</v>
      </c>
      <c r="F1428" s="57">
        <v>36</v>
      </c>
      <c r="G1428" s="60">
        <v>989</v>
      </c>
      <c r="H1428" s="61" t="s">
        <v>1228</v>
      </c>
      <c r="I1428" s="50" t="s">
        <v>1229</v>
      </c>
      <c r="J1428" s="50" t="s">
        <v>1230</v>
      </c>
      <c r="K1428" s="62">
        <v>5102</v>
      </c>
      <c r="L1428" s="57">
        <v>205</v>
      </c>
      <c r="M1428" s="50" t="s">
        <v>26</v>
      </c>
      <c r="N1428" s="50" t="s">
        <v>317</v>
      </c>
      <c r="O1428" s="64">
        <v>737.89</v>
      </c>
      <c r="P1428" s="65">
        <v>12</v>
      </c>
      <c r="Q1428" s="64">
        <v>88.55</v>
      </c>
      <c r="R1428" s="63">
        <v>0</v>
      </c>
      <c r="S1428" s="64">
        <v>0</v>
      </c>
    </row>
    <row r="1429" spans="1:19" ht="11.85" customHeight="1" x14ac:dyDescent="0.25">
      <c r="A1429" s="66" t="s">
        <v>320</v>
      </c>
      <c r="B1429" s="66"/>
      <c r="C1429" s="66"/>
      <c r="D1429" s="66"/>
      <c r="E1429" s="66"/>
      <c r="F1429" s="66"/>
      <c r="G1429" s="66"/>
      <c r="H1429" s="66"/>
    </row>
    <row r="1430" spans="1:19" ht="11.1" customHeight="1" x14ac:dyDescent="0.25">
      <c r="N1430" s="50" t="s">
        <v>317</v>
      </c>
      <c r="O1430" s="64">
        <v>737.89</v>
      </c>
      <c r="Q1430" s="64">
        <v>88.55</v>
      </c>
      <c r="R1430" s="63">
        <v>0</v>
      </c>
      <c r="S1430" s="64">
        <v>0</v>
      </c>
    </row>
    <row r="1431" spans="1:19" ht="11.1" customHeight="1" x14ac:dyDescent="0.25">
      <c r="A1431" s="57">
        <v>112747</v>
      </c>
      <c r="B1431" s="53">
        <v>46120</v>
      </c>
      <c r="C1431" s="58">
        <v>46120</v>
      </c>
      <c r="D1431" s="59" t="s">
        <v>1231</v>
      </c>
      <c r="E1431" s="50" t="s">
        <v>313</v>
      </c>
      <c r="F1431" s="57">
        <v>36</v>
      </c>
      <c r="G1431" s="60">
        <v>980</v>
      </c>
      <c r="H1431" s="61" t="s">
        <v>1232</v>
      </c>
      <c r="I1431" s="50" t="s">
        <v>1233</v>
      </c>
      <c r="J1431" s="50" t="s">
        <v>1234</v>
      </c>
      <c r="K1431" s="62">
        <v>5102</v>
      </c>
      <c r="L1431" s="57">
        <v>205</v>
      </c>
      <c r="M1431" s="50" t="s">
        <v>26</v>
      </c>
      <c r="N1431" s="50" t="s">
        <v>317</v>
      </c>
      <c r="O1431" s="64">
        <v>164.01</v>
      </c>
      <c r="P1431" s="65">
        <v>12</v>
      </c>
      <c r="Q1431" s="64">
        <v>19.68</v>
      </c>
      <c r="R1431" s="63">
        <v>0</v>
      </c>
      <c r="S1431" s="64">
        <v>0</v>
      </c>
    </row>
    <row r="1432" spans="1:19" ht="11.1" customHeight="1" x14ac:dyDescent="0.25">
      <c r="A1432" s="57">
        <v>112748</v>
      </c>
      <c r="B1432" s="53">
        <v>46120</v>
      </c>
      <c r="C1432" s="58">
        <v>46120</v>
      </c>
      <c r="D1432" s="59" t="s">
        <v>1231</v>
      </c>
      <c r="E1432" s="50" t="s">
        <v>313</v>
      </c>
      <c r="F1432" s="57">
        <v>36</v>
      </c>
      <c r="G1432" s="60">
        <v>980</v>
      </c>
      <c r="H1432" s="61" t="s">
        <v>1232</v>
      </c>
      <c r="I1432" s="50" t="s">
        <v>1233</v>
      </c>
      <c r="J1432" s="50" t="s">
        <v>1234</v>
      </c>
      <c r="K1432" s="62">
        <v>5403</v>
      </c>
      <c r="L1432" s="57">
        <v>207</v>
      </c>
      <c r="M1432" s="50" t="s">
        <v>26</v>
      </c>
      <c r="N1432" s="50" t="s">
        <v>317</v>
      </c>
      <c r="O1432" s="64">
        <v>205.93</v>
      </c>
      <c r="P1432" s="65">
        <v>12</v>
      </c>
      <c r="Q1432" s="64">
        <v>24.71</v>
      </c>
      <c r="R1432" s="63">
        <v>0</v>
      </c>
      <c r="S1432" s="64">
        <v>14.41</v>
      </c>
    </row>
    <row r="1433" spans="1:19" ht="11.1" customHeight="1" x14ac:dyDescent="0.25">
      <c r="N1433" s="50" t="s">
        <v>318</v>
      </c>
      <c r="O1433" s="64">
        <v>278.01</v>
      </c>
      <c r="P1433" s="65">
        <v>20</v>
      </c>
      <c r="Q1433" s="64">
        <v>14.41</v>
      </c>
      <c r="R1433" s="63">
        <v>0</v>
      </c>
      <c r="S1433" s="64">
        <v>0</v>
      </c>
    </row>
    <row r="1434" spans="1:19" ht="11.85" customHeight="1" x14ac:dyDescent="0.25">
      <c r="A1434" s="66" t="s">
        <v>320</v>
      </c>
      <c r="B1434" s="66"/>
      <c r="C1434" s="66"/>
      <c r="D1434" s="66"/>
      <c r="E1434" s="66"/>
      <c r="F1434" s="66"/>
      <c r="G1434" s="66"/>
      <c r="H1434" s="66"/>
    </row>
    <row r="1435" spans="1:19" ht="11.1" customHeight="1" x14ac:dyDescent="0.25">
      <c r="N1435" s="50" t="s">
        <v>317</v>
      </c>
      <c r="O1435" s="64">
        <v>369.94</v>
      </c>
      <c r="Q1435" s="64">
        <v>44.39</v>
      </c>
      <c r="R1435" s="63">
        <v>0</v>
      </c>
      <c r="S1435" s="64">
        <v>14.41</v>
      </c>
    </row>
    <row r="1436" spans="1:19" ht="11.1" customHeight="1" x14ac:dyDescent="0.25">
      <c r="N1436" s="50" t="s">
        <v>318</v>
      </c>
      <c r="O1436" s="64">
        <v>278.01</v>
      </c>
      <c r="Q1436" s="64">
        <v>14.41</v>
      </c>
      <c r="R1436" s="63">
        <v>0</v>
      </c>
      <c r="S1436" s="64">
        <v>0</v>
      </c>
    </row>
    <row r="1437" spans="1:19" ht="11.1" customHeight="1" x14ac:dyDescent="0.25">
      <c r="A1437" s="57">
        <v>112856</v>
      </c>
      <c r="B1437" s="53">
        <v>46121</v>
      </c>
      <c r="C1437" s="58">
        <v>46121</v>
      </c>
      <c r="D1437" s="59" t="s">
        <v>1235</v>
      </c>
      <c r="E1437" s="50" t="s">
        <v>313</v>
      </c>
      <c r="F1437" s="57">
        <v>36</v>
      </c>
      <c r="G1437" s="60">
        <v>222</v>
      </c>
      <c r="H1437" s="61" t="s">
        <v>1236</v>
      </c>
      <c r="I1437" s="50" t="s">
        <v>1237</v>
      </c>
      <c r="J1437" s="50" t="s">
        <v>1238</v>
      </c>
      <c r="K1437" s="62">
        <v>6403</v>
      </c>
      <c r="L1437" s="57">
        <v>207</v>
      </c>
      <c r="M1437" s="50" t="s">
        <v>38</v>
      </c>
      <c r="N1437" s="50" t="s">
        <v>317</v>
      </c>
      <c r="O1437" s="64">
        <v>203.34</v>
      </c>
      <c r="P1437" s="65">
        <v>12</v>
      </c>
      <c r="Q1437" s="64">
        <v>24.4</v>
      </c>
      <c r="R1437" s="63">
        <v>0</v>
      </c>
      <c r="S1437" s="64">
        <v>40.020000000000003</v>
      </c>
    </row>
    <row r="1438" spans="1:19" ht="11.1" customHeight="1" x14ac:dyDescent="0.25">
      <c r="N1438" s="50" t="s">
        <v>318</v>
      </c>
      <c r="O1438" s="64">
        <v>357.88</v>
      </c>
      <c r="P1438" s="65">
        <v>18</v>
      </c>
      <c r="Q1438" s="64">
        <v>40.020000000000003</v>
      </c>
      <c r="R1438" s="63">
        <v>0</v>
      </c>
      <c r="S1438" s="64">
        <v>0</v>
      </c>
    </row>
    <row r="1439" spans="1:19" ht="11.1" customHeight="1" x14ac:dyDescent="0.25">
      <c r="A1439" s="57">
        <v>112857</v>
      </c>
      <c r="B1439" s="53">
        <v>46121</v>
      </c>
      <c r="C1439" s="58">
        <v>46121</v>
      </c>
      <c r="D1439" s="59" t="s">
        <v>1235</v>
      </c>
      <c r="E1439" s="50" t="s">
        <v>313</v>
      </c>
      <c r="F1439" s="57">
        <v>36</v>
      </c>
      <c r="G1439" s="60">
        <v>222</v>
      </c>
      <c r="H1439" s="61" t="s">
        <v>1236</v>
      </c>
      <c r="I1439" s="50" t="s">
        <v>1237</v>
      </c>
      <c r="J1439" s="50" t="s">
        <v>1238</v>
      </c>
      <c r="K1439" s="62">
        <v>6102</v>
      </c>
      <c r="L1439" s="57">
        <v>238</v>
      </c>
      <c r="M1439" s="50" t="s">
        <v>38</v>
      </c>
      <c r="N1439" s="50" t="s">
        <v>317</v>
      </c>
      <c r="O1439" s="64">
        <v>1232.06</v>
      </c>
      <c r="P1439" s="65">
        <v>12</v>
      </c>
      <c r="Q1439" s="64">
        <v>147.86000000000001</v>
      </c>
      <c r="R1439" s="63">
        <v>0</v>
      </c>
      <c r="S1439" s="64">
        <v>0</v>
      </c>
    </row>
    <row r="1440" spans="1:19" ht="11.85" customHeight="1" x14ac:dyDescent="0.25">
      <c r="A1440" s="66" t="s">
        <v>320</v>
      </c>
      <c r="B1440" s="66"/>
      <c r="C1440" s="66"/>
      <c r="D1440" s="66"/>
      <c r="E1440" s="66"/>
      <c r="F1440" s="66"/>
      <c r="G1440" s="66"/>
      <c r="H1440" s="66"/>
    </row>
    <row r="1441" spans="1:19" ht="11.1" customHeight="1" x14ac:dyDescent="0.25">
      <c r="N1441" s="50" t="s">
        <v>317</v>
      </c>
      <c r="O1441" s="64">
        <v>1435.4</v>
      </c>
      <c r="Q1441" s="64">
        <v>172.26</v>
      </c>
      <c r="R1441" s="63">
        <v>0</v>
      </c>
      <c r="S1441" s="64">
        <v>40.020000000000003</v>
      </c>
    </row>
    <row r="1442" spans="1:19" ht="11.1" customHeight="1" x14ac:dyDescent="0.25">
      <c r="N1442" s="50" t="s">
        <v>318</v>
      </c>
      <c r="O1442" s="64">
        <v>357.88</v>
      </c>
      <c r="Q1442" s="64">
        <v>40.020000000000003</v>
      </c>
      <c r="R1442" s="63">
        <v>0</v>
      </c>
      <c r="S1442" s="64">
        <v>0</v>
      </c>
    </row>
    <row r="1443" spans="1:19" ht="11.1" customHeight="1" x14ac:dyDescent="0.25">
      <c r="A1443" s="57">
        <v>112607</v>
      </c>
      <c r="B1443" s="53">
        <v>46118</v>
      </c>
      <c r="C1443" s="58">
        <v>46118</v>
      </c>
      <c r="D1443" s="59" t="s">
        <v>1239</v>
      </c>
      <c r="E1443" s="50" t="s">
        <v>313</v>
      </c>
      <c r="F1443" s="57">
        <v>36</v>
      </c>
      <c r="G1443" s="60">
        <v>46</v>
      </c>
      <c r="H1443" s="61" t="s">
        <v>1240</v>
      </c>
      <c r="I1443" s="50" t="s">
        <v>1241</v>
      </c>
      <c r="J1443" s="50" t="s">
        <v>1242</v>
      </c>
      <c r="K1443" s="62">
        <v>5102</v>
      </c>
      <c r="L1443" s="57">
        <v>205</v>
      </c>
      <c r="M1443" s="50" t="s">
        <v>26</v>
      </c>
      <c r="N1443" s="50" t="s">
        <v>317</v>
      </c>
      <c r="O1443" s="64">
        <v>2953.25</v>
      </c>
      <c r="P1443" s="65">
        <v>12</v>
      </c>
      <c r="Q1443" s="64">
        <v>354.37</v>
      </c>
      <c r="R1443" s="63">
        <v>0</v>
      </c>
      <c r="S1443" s="64">
        <v>0</v>
      </c>
    </row>
    <row r="1444" spans="1:19" ht="11.1" customHeight="1" x14ac:dyDescent="0.25">
      <c r="A1444" s="57">
        <v>113358</v>
      </c>
      <c r="B1444" s="53">
        <v>46135</v>
      </c>
      <c r="C1444" s="58">
        <v>46135</v>
      </c>
      <c r="D1444" s="59" t="s">
        <v>1243</v>
      </c>
      <c r="E1444" s="50" t="s">
        <v>313</v>
      </c>
      <c r="F1444" s="57">
        <v>36</v>
      </c>
      <c r="G1444" s="60">
        <v>46</v>
      </c>
      <c r="H1444" s="61" t="s">
        <v>1240</v>
      </c>
      <c r="I1444" s="50" t="s">
        <v>1241</v>
      </c>
      <c r="J1444" s="50" t="s">
        <v>1242</v>
      </c>
      <c r="K1444" s="62">
        <v>5102</v>
      </c>
      <c r="L1444" s="57">
        <v>205</v>
      </c>
      <c r="M1444" s="50" t="s">
        <v>26</v>
      </c>
      <c r="N1444" s="50" t="s">
        <v>317</v>
      </c>
      <c r="O1444" s="64">
        <v>3696</v>
      </c>
      <c r="P1444" s="65">
        <v>12</v>
      </c>
      <c r="Q1444" s="64">
        <v>443.52</v>
      </c>
      <c r="R1444" s="63">
        <v>0</v>
      </c>
      <c r="S1444" s="64">
        <v>0</v>
      </c>
    </row>
    <row r="1445" spans="1:19" ht="11.1" customHeight="1" x14ac:dyDescent="0.25">
      <c r="A1445" s="57">
        <v>113359</v>
      </c>
      <c r="B1445" s="53">
        <v>46135</v>
      </c>
      <c r="C1445" s="58">
        <v>46135</v>
      </c>
      <c r="D1445" s="59" t="s">
        <v>1243</v>
      </c>
      <c r="E1445" s="50" t="s">
        <v>313</v>
      </c>
      <c r="F1445" s="57">
        <v>36</v>
      </c>
      <c r="G1445" s="60">
        <v>46</v>
      </c>
      <c r="H1445" s="61" t="s">
        <v>1240</v>
      </c>
      <c r="I1445" s="50" t="s">
        <v>1241</v>
      </c>
      <c r="J1445" s="50" t="s">
        <v>1242</v>
      </c>
      <c r="K1445" s="62">
        <v>5403</v>
      </c>
      <c r="L1445" s="57">
        <v>207</v>
      </c>
      <c r="M1445" s="50" t="s">
        <v>26</v>
      </c>
      <c r="N1445" s="50" t="s">
        <v>317</v>
      </c>
      <c r="O1445" s="64">
        <v>225.93</v>
      </c>
      <c r="P1445" s="65">
        <v>12</v>
      </c>
      <c r="Q1445" s="64">
        <v>27.11</v>
      </c>
      <c r="R1445" s="63">
        <v>0</v>
      </c>
      <c r="S1445" s="64">
        <v>15.81</v>
      </c>
    </row>
    <row r="1446" spans="1:19" ht="11.1" customHeight="1" x14ac:dyDescent="0.25">
      <c r="N1446" s="50" t="s">
        <v>318</v>
      </c>
      <c r="O1446" s="64">
        <v>305.01</v>
      </c>
      <c r="P1446" s="65">
        <v>20</v>
      </c>
      <c r="Q1446" s="64">
        <v>15.81</v>
      </c>
      <c r="R1446" s="63">
        <v>0</v>
      </c>
      <c r="S1446" s="64">
        <v>0</v>
      </c>
    </row>
    <row r="1447" spans="1:19" ht="11.85" customHeight="1" x14ac:dyDescent="0.25">
      <c r="A1447" s="66" t="s">
        <v>320</v>
      </c>
      <c r="B1447" s="66"/>
      <c r="C1447" s="66"/>
      <c r="D1447" s="66"/>
      <c r="E1447" s="66"/>
      <c r="F1447" s="66"/>
      <c r="G1447" s="66"/>
      <c r="H1447" s="66"/>
    </row>
    <row r="1448" spans="1:19" ht="11.1" customHeight="1" x14ac:dyDescent="0.25">
      <c r="N1448" s="50" t="s">
        <v>317</v>
      </c>
      <c r="O1448" s="64">
        <v>6875.18</v>
      </c>
      <c r="Q1448" s="64">
        <v>825</v>
      </c>
      <c r="R1448" s="63">
        <v>0</v>
      </c>
      <c r="S1448" s="64">
        <v>15.81</v>
      </c>
    </row>
    <row r="1449" spans="1:19" ht="11.1" customHeight="1" x14ac:dyDescent="0.25">
      <c r="N1449" s="50" t="s">
        <v>318</v>
      </c>
      <c r="O1449" s="64">
        <v>305.01</v>
      </c>
      <c r="Q1449" s="64">
        <v>15.81</v>
      </c>
      <c r="R1449" s="63">
        <v>0</v>
      </c>
      <c r="S1449" s="64">
        <v>0</v>
      </c>
    </row>
    <row r="1450" spans="1:19" ht="11.1" customHeight="1" x14ac:dyDescent="0.25">
      <c r="A1450" s="57">
        <v>113551</v>
      </c>
      <c r="B1450" s="53">
        <v>46140</v>
      </c>
      <c r="C1450" s="58">
        <v>46140</v>
      </c>
      <c r="D1450" s="59" t="s">
        <v>1244</v>
      </c>
      <c r="E1450" s="50" t="s">
        <v>313</v>
      </c>
      <c r="F1450" s="57">
        <v>36</v>
      </c>
      <c r="G1450" s="60">
        <v>990</v>
      </c>
      <c r="H1450" s="61" t="s">
        <v>1245</v>
      </c>
      <c r="I1450" s="50" t="s">
        <v>1246</v>
      </c>
      <c r="J1450" s="50" t="s">
        <v>1247</v>
      </c>
      <c r="K1450" s="62">
        <v>5102</v>
      </c>
      <c r="L1450" s="57">
        <v>205</v>
      </c>
      <c r="M1450" s="50" t="s">
        <v>26</v>
      </c>
      <c r="N1450" s="50" t="s">
        <v>317</v>
      </c>
      <c r="O1450" s="64">
        <v>699</v>
      </c>
      <c r="P1450" s="65">
        <v>12</v>
      </c>
      <c r="Q1450" s="64">
        <v>83.88</v>
      </c>
      <c r="R1450" s="63">
        <v>0</v>
      </c>
      <c r="S1450" s="64">
        <v>0</v>
      </c>
    </row>
    <row r="1451" spans="1:19" ht="11.85" customHeight="1" x14ac:dyDescent="0.25">
      <c r="A1451" s="66" t="s">
        <v>320</v>
      </c>
      <c r="B1451" s="66"/>
      <c r="C1451" s="66"/>
      <c r="D1451" s="66"/>
      <c r="E1451" s="66"/>
      <c r="F1451" s="66"/>
      <c r="G1451" s="66"/>
      <c r="H1451" s="66"/>
    </row>
    <row r="1452" spans="1:19" ht="11.1" customHeight="1" x14ac:dyDescent="0.25">
      <c r="N1452" s="50" t="s">
        <v>317</v>
      </c>
      <c r="O1452" s="64">
        <v>699</v>
      </c>
      <c r="Q1452" s="64">
        <v>83.88</v>
      </c>
      <c r="R1452" s="63">
        <v>0</v>
      </c>
      <c r="S1452" s="64">
        <v>0</v>
      </c>
    </row>
    <row r="1453" spans="1:19" ht="11.1" customHeight="1" x14ac:dyDescent="0.25">
      <c r="A1453" s="57">
        <v>113056</v>
      </c>
      <c r="B1453" s="53">
        <v>46126</v>
      </c>
      <c r="C1453" s="58">
        <v>46126</v>
      </c>
      <c r="D1453" s="59" t="s">
        <v>1248</v>
      </c>
      <c r="E1453" s="50" t="s">
        <v>313</v>
      </c>
      <c r="F1453" s="57">
        <v>36</v>
      </c>
      <c r="G1453" s="60">
        <v>868</v>
      </c>
      <c r="H1453" s="61" t="s">
        <v>1249</v>
      </c>
      <c r="I1453" s="50" t="s">
        <v>1250</v>
      </c>
      <c r="J1453" s="50" t="s">
        <v>1251</v>
      </c>
      <c r="K1453" s="62">
        <v>6102</v>
      </c>
      <c r="L1453" s="57">
        <v>238</v>
      </c>
      <c r="M1453" s="50" t="s">
        <v>34</v>
      </c>
      <c r="N1453" s="50" t="s">
        <v>317</v>
      </c>
      <c r="O1453" s="64">
        <v>812.71</v>
      </c>
      <c r="P1453" s="65">
        <v>12</v>
      </c>
      <c r="Q1453" s="64">
        <v>97.53</v>
      </c>
      <c r="R1453" s="63">
        <v>0</v>
      </c>
      <c r="S1453" s="64">
        <v>0</v>
      </c>
    </row>
    <row r="1454" spans="1:19" ht="11.1" customHeight="1" x14ac:dyDescent="0.25">
      <c r="A1454" s="57">
        <v>113141</v>
      </c>
      <c r="B1454" s="53">
        <v>46128</v>
      </c>
      <c r="C1454" s="58">
        <v>46128</v>
      </c>
      <c r="D1454" s="59" t="s">
        <v>1252</v>
      </c>
      <c r="E1454" s="50" t="s">
        <v>313</v>
      </c>
      <c r="F1454" s="57">
        <v>36</v>
      </c>
      <c r="G1454" s="60">
        <v>868</v>
      </c>
      <c r="H1454" s="61" t="s">
        <v>1249</v>
      </c>
      <c r="I1454" s="50" t="s">
        <v>1250</v>
      </c>
      <c r="J1454" s="50" t="s">
        <v>1251</v>
      </c>
      <c r="K1454" s="62">
        <v>6102</v>
      </c>
      <c r="L1454" s="57">
        <v>238</v>
      </c>
      <c r="M1454" s="50" t="s">
        <v>34</v>
      </c>
      <c r="N1454" s="50" t="s">
        <v>317</v>
      </c>
      <c r="O1454" s="64">
        <v>569.72</v>
      </c>
      <c r="P1454" s="65">
        <v>12</v>
      </c>
      <c r="Q1454" s="64">
        <v>68.37</v>
      </c>
      <c r="R1454" s="63">
        <v>0</v>
      </c>
      <c r="S1454" s="64">
        <v>0</v>
      </c>
    </row>
    <row r="1455" spans="1:19" ht="11.85" customHeight="1" x14ac:dyDescent="0.25">
      <c r="A1455" s="66" t="s">
        <v>320</v>
      </c>
      <c r="B1455" s="66"/>
      <c r="C1455" s="66"/>
      <c r="D1455" s="66"/>
      <c r="E1455" s="66"/>
      <c r="F1455" s="66"/>
      <c r="G1455" s="66"/>
      <c r="H1455" s="66"/>
    </row>
    <row r="1456" spans="1:19" ht="11.1" customHeight="1" x14ac:dyDescent="0.25">
      <c r="N1456" s="50" t="s">
        <v>317</v>
      </c>
      <c r="O1456" s="64">
        <v>1382.43</v>
      </c>
      <c r="Q1456" s="64">
        <v>165.9</v>
      </c>
      <c r="R1456" s="63">
        <v>0</v>
      </c>
      <c r="S1456" s="64">
        <v>0</v>
      </c>
    </row>
    <row r="1457" spans="1:19" ht="11.1" customHeight="1" x14ac:dyDescent="0.25">
      <c r="A1457" s="57">
        <v>113065</v>
      </c>
      <c r="B1457" s="53">
        <v>46127</v>
      </c>
      <c r="C1457" s="58">
        <v>46127</v>
      </c>
      <c r="D1457" s="59" t="s">
        <v>1253</v>
      </c>
      <c r="E1457" s="50" t="s">
        <v>313</v>
      </c>
      <c r="F1457" s="57">
        <v>36</v>
      </c>
      <c r="G1457" s="60">
        <v>611</v>
      </c>
      <c r="H1457" s="61" t="s">
        <v>1254</v>
      </c>
      <c r="I1457" s="50" t="s">
        <v>1255</v>
      </c>
      <c r="J1457" s="50" t="s">
        <v>1256</v>
      </c>
      <c r="K1457" s="62">
        <v>5102</v>
      </c>
      <c r="L1457" s="57">
        <v>205</v>
      </c>
      <c r="M1457" s="50" t="s">
        <v>26</v>
      </c>
      <c r="N1457" s="50" t="s">
        <v>317</v>
      </c>
      <c r="O1457" s="64">
        <v>1500.73</v>
      </c>
      <c r="P1457" s="65">
        <v>12</v>
      </c>
      <c r="Q1457" s="64">
        <v>180.09</v>
      </c>
      <c r="R1457" s="63">
        <v>0</v>
      </c>
      <c r="S1457" s="64">
        <v>0</v>
      </c>
    </row>
    <row r="1458" spans="1:19" ht="11.1" customHeight="1" x14ac:dyDescent="0.25">
      <c r="A1458" s="57">
        <v>113066</v>
      </c>
      <c r="B1458" s="53">
        <v>46127</v>
      </c>
      <c r="C1458" s="58">
        <v>46127</v>
      </c>
      <c r="D1458" s="59" t="s">
        <v>1253</v>
      </c>
      <c r="E1458" s="50" t="s">
        <v>313</v>
      </c>
      <c r="F1458" s="57">
        <v>36</v>
      </c>
      <c r="G1458" s="60">
        <v>611</v>
      </c>
      <c r="H1458" s="61" t="s">
        <v>1254</v>
      </c>
      <c r="I1458" s="50" t="s">
        <v>1255</v>
      </c>
      <c r="J1458" s="50" t="s">
        <v>1256</v>
      </c>
      <c r="K1458" s="62">
        <v>5403</v>
      </c>
      <c r="L1458" s="57">
        <v>207</v>
      </c>
      <c r="M1458" s="50" t="s">
        <v>26</v>
      </c>
      <c r="N1458" s="50" t="s">
        <v>317</v>
      </c>
      <c r="O1458" s="64">
        <v>886.08</v>
      </c>
      <c r="P1458" s="65">
        <v>12</v>
      </c>
      <c r="Q1458" s="64">
        <v>106.33</v>
      </c>
      <c r="R1458" s="63">
        <v>0</v>
      </c>
      <c r="S1458" s="64">
        <v>62.02</v>
      </c>
    </row>
    <row r="1459" spans="1:19" ht="11.1" customHeight="1" x14ac:dyDescent="0.25">
      <c r="N1459" s="50" t="s">
        <v>318</v>
      </c>
      <c r="O1459" s="64">
        <v>1196.21</v>
      </c>
      <c r="P1459" s="65">
        <v>20</v>
      </c>
      <c r="Q1459" s="64">
        <v>62.02</v>
      </c>
      <c r="R1459" s="63">
        <v>0</v>
      </c>
      <c r="S1459" s="64">
        <v>0</v>
      </c>
    </row>
    <row r="1460" spans="1:19" ht="11.85" customHeight="1" x14ac:dyDescent="0.25">
      <c r="A1460" s="66" t="s">
        <v>320</v>
      </c>
      <c r="B1460" s="66"/>
      <c r="C1460" s="66"/>
      <c r="D1460" s="66"/>
      <c r="E1460" s="66"/>
      <c r="F1460" s="66"/>
      <c r="G1460" s="66"/>
      <c r="H1460" s="66"/>
    </row>
    <row r="1461" spans="1:19" ht="11.1" customHeight="1" x14ac:dyDescent="0.25">
      <c r="N1461" s="50" t="s">
        <v>317</v>
      </c>
      <c r="O1461" s="64">
        <v>2386.81</v>
      </c>
      <c r="Q1461" s="64">
        <v>286.42</v>
      </c>
      <c r="R1461" s="63">
        <v>0</v>
      </c>
      <c r="S1461" s="64">
        <v>62.02</v>
      </c>
    </row>
    <row r="1462" spans="1:19" ht="11.1" customHeight="1" x14ac:dyDescent="0.25">
      <c r="N1462" s="50" t="s">
        <v>318</v>
      </c>
      <c r="O1462" s="64">
        <v>1196.21</v>
      </c>
      <c r="Q1462" s="64">
        <v>62.02</v>
      </c>
      <c r="R1462" s="63">
        <v>0</v>
      </c>
      <c r="S1462" s="64">
        <v>0</v>
      </c>
    </row>
    <row r="1463" spans="1:19" ht="11.1" customHeight="1" x14ac:dyDescent="0.25">
      <c r="A1463" s="57">
        <v>113372</v>
      </c>
      <c r="B1463" s="53">
        <v>46135</v>
      </c>
      <c r="C1463" s="58">
        <v>46135</v>
      </c>
      <c r="D1463" s="59" t="s">
        <v>1257</v>
      </c>
      <c r="E1463" s="50" t="s">
        <v>313</v>
      </c>
      <c r="F1463" s="57">
        <v>36</v>
      </c>
      <c r="G1463" s="60">
        <v>846</v>
      </c>
      <c r="H1463" s="61" t="s">
        <v>1258</v>
      </c>
      <c r="I1463" s="50" t="s">
        <v>1259</v>
      </c>
      <c r="J1463" s="50" t="s">
        <v>1260</v>
      </c>
      <c r="K1463" s="62">
        <v>5403</v>
      </c>
      <c r="L1463" s="57">
        <v>207</v>
      </c>
      <c r="M1463" s="50" t="s">
        <v>26</v>
      </c>
      <c r="N1463" s="50" t="s">
        <v>317</v>
      </c>
      <c r="O1463" s="64">
        <v>211.57</v>
      </c>
      <c r="P1463" s="65">
        <v>12</v>
      </c>
      <c r="Q1463" s="64">
        <v>25.39</v>
      </c>
      <c r="R1463" s="63">
        <v>0</v>
      </c>
      <c r="S1463" s="64">
        <v>14.81</v>
      </c>
    </row>
    <row r="1464" spans="1:19" ht="11.1" customHeight="1" x14ac:dyDescent="0.25">
      <c r="N1464" s="50" t="s">
        <v>318</v>
      </c>
      <c r="O1464" s="64">
        <v>285.62</v>
      </c>
      <c r="P1464" s="65">
        <v>20</v>
      </c>
      <c r="Q1464" s="64">
        <v>14.81</v>
      </c>
      <c r="R1464" s="63">
        <v>0</v>
      </c>
      <c r="S1464" s="64">
        <v>0</v>
      </c>
    </row>
    <row r="1465" spans="1:19" ht="11.1" customHeight="1" x14ac:dyDescent="0.25">
      <c r="A1465" s="57">
        <v>113378</v>
      </c>
      <c r="B1465" s="53">
        <v>46135</v>
      </c>
      <c r="C1465" s="58">
        <v>46135</v>
      </c>
      <c r="D1465" s="59" t="s">
        <v>1261</v>
      </c>
      <c r="E1465" s="50" t="s">
        <v>313</v>
      </c>
      <c r="F1465" s="57">
        <v>36</v>
      </c>
      <c r="G1465" s="60">
        <v>846</v>
      </c>
      <c r="H1465" s="61" t="s">
        <v>1258</v>
      </c>
      <c r="I1465" s="50" t="s">
        <v>1259</v>
      </c>
      <c r="J1465" s="50" t="s">
        <v>1260</v>
      </c>
      <c r="K1465" s="62">
        <v>5102</v>
      </c>
      <c r="L1465" s="57">
        <v>205</v>
      </c>
      <c r="M1465" s="50" t="s">
        <v>26</v>
      </c>
      <c r="N1465" s="50" t="s">
        <v>317</v>
      </c>
      <c r="O1465" s="64">
        <v>95.8</v>
      </c>
      <c r="P1465" s="65">
        <v>12</v>
      </c>
      <c r="Q1465" s="64">
        <v>11.5</v>
      </c>
      <c r="R1465" s="63">
        <v>0</v>
      </c>
      <c r="S1465" s="64">
        <v>0</v>
      </c>
    </row>
    <row r="1466" spans="1:19" ht="11.85" customHeight="1" x14ac:dyDescent="0.25">
      <c r="A1466" s="66" t="s">
        <v>320</v>
      </c>
      <c r="B1466" s="66"/>
      <c r="C1466" s="66"/>
      <c r="D1466" s="66"/>
      <c r="E1466" s="66"/>
      <c r="F1466" s="66"/>
      <c r="G1466" s="66"/>
      <c r="H1466" s="66"/>
    </row>
    <row r="1467" spans="1:19" ht="11.1" customHeight="1" x14ac:dyDescent="0.25">
      <c r="N1467" s="50" t="s">
        <v>317</v>
      </c>
      <c r="O1467" s="64">
        <v>307.37</v>
      </c>
      <c r="Q1467" s="64">
        <v>36.89</v>
      </c>
      <c r="R1467" s="63">
        <v>0</v>
      </c>
      <c r="S1467" s="64">
        <v>14.81</v>
      </c>
    </row>
    <row r="1468" spans="1:19" ht="11.1" customHeight="1" x14ac:dyDescent="0.25">
      <c r="N1468" s="50" t="s">
        <v>318</v>
      </c>
      <c r="O1468" s="64">
        <v>285.62</v>
      </c>
      <c r="Q1468" s="64">
        <v>14.81</v>
      </c>
      <c r="R1468" s="63">
        <v>0</v>
      </c>
      <c r="S1468" s="64">
        <v>0</v>
      </c>
    </row>
    <row r="1469" spans="1:19" ht="11.1" customHeight="1" x14ac:dyDescent="0.25">
      <c r="A1469" s="57">
        <v>113297</v>
      </c>
      <c r="B1469" s="53">
        <v>46134</v>
      </c>
      <c r="C1469" s="58">
        <v>46134</v>
      </c>
      <c r="D1469" s="59" t="s">
        <v>1262</v>
      </c>
      <c r="E1469" s="50" t="s">
        <v>313</v>
      </c>
      <c r="F1469" s="57">
        <v>36</v>
      </c>
      <c r="G1469" s="60">
        <v>986</v>
      </c>
      <c r="H1469" s="61" t="s">
        <v>1263</v>
      </c>
      <c r="I1469" s="50" t="s">
        <v>1264</v>
      </c>
      <c r="J1469" s="50" t="s">
        <v>1265</v>
      </c>
      <c r="K1469" s="62">
        <v>5102</v>
      </c>
      <c r="L1469" s="57">
        <v>205</v>
      </c>
      <c r="M1469" s="50" t="s">
        <v>26</v>
      </c>
      <c r="N1469" s="50" t="s">
        <v>317</v>
      </c>
      <c r="O1469" s="64">
        <v>534.08000000000004</v>
      </c>
      <c r="P1469" s="65">
        <v>12</v>
      </c>
      <c r="Q1469" s="64">
        <v>64.09</v>
      </c>
      <c r="R1469" s="63">
        <v>0</v>
      </c>
      <c r="S1469" s="64">
        <v>0</v>
      </c>
    </row>
    <row r="1470" spans="1:19" ht="11.1" customHeight="1" x14ac:dyDescent="0.25">
      <c r="A1470" s="57">
        <v>113298</v>
      </c>
      <c r="B1470" s="53">
        <v>46134</v>
      </c>
      <c r="C1470" s="58">
        <v>46134</v>
      </c>
      <c r="D1470" s="59" t="s">
        <v>1262</v>
      </c>
      <c r="E1470" s="50" t="s">
        <v>313</v>
      </c>
      <c r="F1470" s="57">
        <v>36</v>
      </c>
      <c r="G1470" s="60">
        <v>986</v>
      </c>
      <c r="H1470" s="61" t="s">
        <v>1263</v>
      </c>
      <c r="I1470" s="50" t="s">
        <v>1264</v>
      </c>
      <c r="J1470" s="50" t="s">
        <v>1265</v>
      </c>
      <c r="K1470" s="62">
        <v>5403</v>
      </c>
      <c r="L1470" s="57">
        <v>207</v>
      </c>
      <c r="M1470" s="50" t="s">
        <v>26</v>
      </c>
      <c r="N1470" s="50" t="s">
        <v>317</v>
      </c>
      <c r="O1470" s="64">
        <v>945.03</v>
      </c>
      <c r="P1470" s="65">
        <v>12</v>
      </c>
      <c r="Q1470" s="64">
        <v>113.4</v>
      </c>
      <c r="R1470" s="63">
        <v>0</v>
      </c>
      <c r="S1470" s="64">
        <v>66.150000000000006</v>
      </c>
    </row>
    <row r="1471" spans="1:19" ht="11.1" customHeight="1" x14ac:dyDescent="0.25">
      <c r="N1471" s="50" t="s">
        <v>318</v>
      </c>
      <c r="O1471" s="64">
        <v>1275.8</v>
      </c>
      <c r="P1471" s="65">
        <v>20</v>
      </c>
      <c r="Q1471" s="64">
        <v>66.150000000000006</v>
      </c>
      <c r="R1471" s="63">
        <v>0</v>
      </c>
      <c r="S1471" s="64">
        <v>0</v>
      </c>
    </row>
    <row r="1472" spans="1:19" ht="11.85" customHeight="1" x14ac:dyDescent="0.25">
      <c r="A1472" s="66" t="s">
        <v>320</v>
      </c>
      <c r="B1472" s="66"/>
      <c r="C1472" s="66"/>
      <c r="D1472" s="66"/>
      <c r="E1472" s="66"/>
      <c r="F1472" s="66"/>
      <c r="G1472" s="66"/>
      <c r="H1472" s="66"/>
    </row>
    <row r="1473" spans="1:19" ht="11.1" customHeight="1" x14ac:dyDescent="0.25">
      <c r="N1473" s="50" t="s">
        <v>317</v>
      </c>
      <c r="O1473" s="64">
        <v>1479.11</v>
      </c>
      <c r="Q1473" s="64">
        <v>177.49</v>
      </c>
      <c r="R1473" s="63">
        <v>0</v>
      </c>
      <c r="S1473" s="64">
        <v>66.150000000000006</v>
      </c>
    </row>
    <row r="1474" spans="1:19" ht="11.1" customHeight="1" x14ac:dyDescent="0.25">
      <c r="N1474" s="50" t="s">
        <v>318</v>
      </c>
      <c r="O1474" s="64">
        <v>1275.8</v>
      </c>
      <c r="Q1474" s="64">
        <v>66.150000000000006</v>
      </c>
      <c r="R1474" s="63">
        <v>0</v>
      </c>
      <c r="S1474" s="64">
        <v>0</v>
      </c>
    </row>
    <row r="1475" spans="1:19" ht="11.1" customHeight="1" x14ac:dyDescent="0.25">
      <c r="A1475" s="57">
        <v>113096</v>
      </c>
      <c r="B1475" s="53">
        <v>46127</v>
      </c>
      <c r="C1475" s="58">
        <v>46127</v>
      </c>
      <c r="D1475" s="59" t="s">
        <v>1266</v>
      </c>
      <c r="E1475" s="50" t="s">
        <v>313</v>
      </c>
      <c r="F1475" s="57">
        <v>36</v>
      </c>
      <c r="G1475" s="60">
        <v>984</v>
      </c>
      <c r="H1475" s="61" t="s">
        <v>1267</v>
      </c>
      <c r="I1475" s="50" t="s">
        <v>1268</v>
      </c>
      <c r="J1475" s="50" t="s">
        <v>1269</v>
      </c>
      <c r="K1475" s="62">
        <v>5403</v>
      </c>
      <c r="L1475" s="57">
        <v>207</v>
      </c>
      <c r="M1475" s="50" t="s">
        <v>26</v>
      </c>
      <c r="N1475" s="50" t="s">
        <v>317</v>
      </c>
      <c r="O1475" s="64">
        <v>477.76</v>
      </c>
      <c r="P1475" s="65">
        <v>12</v>
      </c>
      <c r="Q1475" s="64">
        <v>57.34</v>
      </c>
      <c r="R1475" s="63">
        <v>0</v>
      </c>
      <c r="S1475" s="64">
        <v>33.43</v>
      </c>
    </row>
    <row r="1476" spans="1:19" ht="11.1" customHeight="1" x14ac:dyDescent="0.25">
      <c r="N1476" s="50" t="s">
        <v>318</v>
      </c>
      <c r="O1476" s="64">
        <v>644.99</v>
      </c>
      <c r="P1476" s="65">
        <v>20</v>
      </c>
      <c r="Q1476" s="64">
        <v>33.43</v>
      </c>
      <c r="R1476" s="63">
        <v>0</v>
      </c>
      <c r="S1476" s="64">
        <v>0</v>
      </c>
    </row>
    <row r="1477" spans="1:19" ht="11.85" customHeight="1" x14ac:dyDescent="0.25">
      <c r="A1477" s="66" t="s">
        <v>320</v>
      </c>
      <c r="B1477" s="66"/>
      <c r="C1477" s="66"/>
      <c r="D1477" s="66"/>
      <c r="E1477" s="66"/>
      <c r="F1477" s="66"/>
      <c r="G1477" s="66"/>
      <c r="H1477" s="66"/>
    </row>
    <row r="1478" spans="1:19" ht="11.1" customHeight="1" x14ac:dyDescent="0.25">
      <c r="N1478" s="50" t="s">
        <v>317</v>
      </c>
      <c r="O1478" s="64">
        <v>477.76</v>
      </c>
      <c r="Q1478" s="64">
        <v>57.34</v>
      </c>
      <c r="R1478" s="63">
        <v>0</v>
      </c>
      <c r="S1478" s="64">
        <v>33.43</v>
      </c>
    </row>
    <row r="1479" spans="1:19" ht="11.1" customHeight="1" x14ac:dyDescent="0.25">
      <c r="N1479" s="50" t="s">
        <v>318</v>
      </c>
      <c r="O1479" s="64">
        <v>644.99</v>
      </c>
      <c r="Q1479" s="64">
        <v>33.43</v>
      </c>
      <c r="R1479" s="63">
        <v>0</v>
      </c>
      <c r="S1479" s="64">
        <v>0</v>
      </c>
    </row>
    <row r="1480" spans="1:19" ht="11.1" customHeight="1" x14ac:dyDescent="0.25">
      <c r="A1480" s="57">
        <v>112702</v>
      </c>
      <c r="B1480" s="53">
        <v>46119</v>
      </c>
      <c r="C1480" s="58">
        <v>46119</v>
      </c>
      <c r="D1480" s="59" t="s">
        <v>1270</v>
      </c>
      <c r="E1480" s="50" t="s">
        <v>313</v>
      </c>
      <c r="F1480" s="57">
        <v>36</v>
      </c>
      <c r="G1480" s="60">
        <v>796</v>
      </c>
      <c r="H1480" s="61" t="s">
        <v>1271</v>
      </c>
      <c r="I1480" s="50" t="s">
        <v>1272</v>
      </c>
      <c r="J1480" s="50" t="s">
        <v>1273</v>
      </c>
      <c r="K1480" s="62">
        <v>5102</v>
      </c>
      <c r="L1480" s="57">
        <v>205</v>
      </c>
      <c r="M1480" s="50" t="s">
        <v>26</v>
      </c>
      <c r="N1480" s="50" t="s">
        <v>317</v>
      </c>
      <c r="O1480" s="64">
        <v>283.5</v>
      </c>
      <c r="P1480" s="65">
        <v>12</v>
      </c>
      <c r="Q1480" s="64">
        <v>34.020000000000003</v>
      </c>
      <c r="R1480" s="63">
        <v>0</v>
      </c>
      <c r="S1480" s="64">
        <v>0</v>
      </c>
    </row>
    <row r="1481" spans="1:19" ht="11.1" customHeight="1" x14ac:dyDescent="0.25">
      <c r="A1481" s="57">
        <v>113047</v>
      </c>
      <c r="B1481" s="53">
        <v>46126</v>
      </c>
      <c r="C1481" s="58">
        <v>46126</v>
      </c>
      <c r="D1481" s="59" t="s">
        <v>1274</v>
      </c>
      <c r="E1481" s="50" t="s">
        <v>313</v>
      </c>
      <c r="F1481" s="57">
        <v>36</v>
      </c>
      <c r="G1481" s="60">
        <v>796</v>
      </c>
      <c r="H1481" s="61" t="s">
        <v>1271</v>
      </c>
      <c r="I1481" s="50" t="s">
        <v>1272</v>
      </c>
      <c r="J1481" s="50" t="s">
        <v>1273</v>
      </c>
      <c r="K1481" s="62">
        <v>5102</v>
      </c>
      <c r="L1481" s="57">
        <v>205</v>
      </c>
      <c r="M1481" s="50" t="s">
        <v>26</v>
      </c>
      <c r="N1481" s="50" t="s">
        <v>317</v>
      </c>
      <c r="O1481" s="64">
        <v>353.05</v>
      </c>
      <c r="P1481" s="65">
        <v>12</v>
      </c>
      <c r="Q1481" s="64">
        <v>42.37</v>
      </c>
      <c r="R1481" s="63">
        <v>0</v>
      </c>
      <c r="S1481" s="64">
        <v>0</v>
      </c>
    </row>
    <row r="1482" spans="1:19" ht="11.85" customHeight="1" x14ac:dyDescent="0.25">
      <c r="A1482" s="66" t="s">
        <v>320</v>
      </c>
      <c r="B1482" s="66"/>
      <c r="C1482" s="66"/>
      <c r="D1482" s="66"/>
      <c r="E1482" s="66"/>
      <c r="F1482" s="66"/>
      <c r="G1482" s="66"/>
      <c r="H1482" s="66"/>
    </row>
    <row r="1483" spans="1:19" ht="11.1" customHeight="1" x14ac:dyDescent="0.25">
      <c r="N1483" s="50" t="s">
        <v>317</v>
      </c>
      <c r="O1483" s="64">
        <v>636.54999999999995</v>
      </c>
      <c r="Q1483" s="64">
        <v>76.39</v>
      </c>
      <c r="R1483" s="63">
        <v>0</v>
      </c>
      <c r="S1483" s="64">
        <v>0</v>
      </c>
    </row>
    <row r="1484" spans="1:19" ht="11.1" customHeight="1" x14ac:dyDescent="0.25">
      <c r="A1484" s="57">
        <v>112898</v>
      </c>
      <c r="B1484" s="53">
        <v>46122</v>
      </c>
      <c r="C1484" s="58">
        <v>46122</v>
      </c>
      <c r="D1484" s="59" t="s">
        <v>1275</v>
      </c>
      <c r="E1484" s="50" t="s">
        <v>313</v>
      </c>
      <c r="F1484" s="57">
        <v>36</v>
      </c>
      <c r="G1484" s="60">
        <v>906</v>
      </c>
      <c r="H1484" s="61" t="s">
        <v>1276</v>
      </c>
      <c r="I1484" s="50" t="s">
        <v>1277</v>
      </c>
      <c r="J1484" s="50" t="s">
        <v>1278</v>
      </c>
      <c r="K1484" s="62">
        <v>5102</v>
      </c>
      <c r="L1484" s="57">
        <v>205</v>
      </c>
      <c r="M1484" s="50" t="s">
        <v>26</v>
      </c>
      <c r="N1484" s="50" t="s">
        <v>317</v>
      </c>
      <c r="O1484" s="64">
        <v>852.86</v>
      </c>
      <c r="P1484" s="65">
        <v>12</v>
      </c>
      <c r="Q1484" s="64">
        <v>102.34</v>
      </c>
      <c r="R1484" s="63">
        <v>0</v>
      </c>
      <c r="S1484" s="64">
        <v>0</v>
      </c>
    </row>
    <row r="1485" spans="1:19" ht="11.85" customHeight="1" x14ac:dyDescent="0.25">
      <c r="A1485" s="66" t="s">
        <v>320</v>
      </c>
      <c r="B1485" s="66"/>
      <c r="C1485" s="66"/>
      <c r="D1485" s="66"/>
      <c r="E1485" s="66"/>
      <c r="F1485" s="66"/>
      <c r="G1485" s="66"/>
      <c r="H1485" s="66"/>
    </row>
    <row r="1486" spans="1:19" ht="11.1" customHeight="1" x14ac:dyDescent="0.25">
      <c r="N1486" s="50" t="s">
        <v>317</v>
      </c>
      <c r="O1486" s="64">
        <v>852.86</v>
      </c>
      <c r="Q1486" s="64">
        <v>102.34</v>
      </c>
      <c r="R1486" s="63">
        <v>0</v>
      </c>
      <c r="S1486" s="64">
        <v>0</v>
      </c>
    </row>
    <row r="1487" spans="1:19" ht="11.1" customHeight="1" x14ac:dyDescent="0.25">
      <c r="A1487" s="57">
        <v>112680</v>
      </c>
      <c r="B1487" s="53">
        <v>46119</v>
      </c>
      <c r="C1487" s="58">
        <v>46119</v>
      </c>
      <c r="D1487" s="59" t="s">
        <v>1279</v>
      </c>
      <c r="E1487" s="50" t="s">
        <v>313</v>
      </c>
      <c r="F1487" s="57">
        <v>36</v>
      </c>
      <c r="G1487" s="60">
        <v>489</v>
      </c>
      <c r="H1487" s="61" t="s">
        <v>1280</v>
      </c>
      <c r="I1487" s="50" t="s">
        <v>1281</v>
      </c>
      <c r="J1487" s="50" t="s">
        <v>1282</v>
      </c>
      <c r="K1487" s="62">
        <v>5102</v>
      </c>
      <c r="L1487" s="57">
        <v>205</v>
      </c>
      <c r="M1487" s="50" t="s">
        <v>26</v>
      </c>
      <c r="N1487" s="50" t="s">
        <v>317</v>
      </c>
      <c r="O1487" s="64">
        <v>852.86</v>
      </c>
      <c r="P1487" s="65">
        <v>12</v>
      </c>
      <c r="Q1487" s="64">
        <v>102.34</v>
      </c>
      <c r="R1487" s="63">
        <v>0</v>
      </c>
      <c r="S1487" s="64">
        <v>0</v>
      </c>
    </row>
    <row r="1488" spans="1:19" ht="11.1" customHeight="1" x14ac:dyDescent="0.25">
      <c r="A1488" s="57">
        <v>112945</v>
      </c>
      <c r="B1488" s="53">
        <v>46125</v>
      </c>
      <c r="C1488" s="58">
        <v>46125</v>
      </c>
      <c r="D1488" s="59" t="s">
        <v>1283</v>
      </c>
      <c r="E1488" s="50" t="s">
        <v>313</v>
      </c>
      <c r="F1488" s="57">
        <v>36</v>
      </c>
      <c r="G1488" s="60">
        <v>489</v>
      </c>
      <c r="H1488" s="61" t="s">
        <v>1280</v>
      </c>
      <c r="I1488" s="50" t="s">
        <v>1281</v>
      </c>
      <c r="J1488" s="50" t="s">
        <v>1282</v>
      </c>
      <c r="K1488" s="62">
        <v>5102</v>
      </c>
      <c r="L1488" s="57">
        <v>205</v>
      </c>
      <c r="M1488" s="50" t="s">
        <v>26</v>
      </c>
      <c r="N1488" s="50" t="s">
        <v>317</v>
      </c>
      <c r="O1488" s="64">
        <v>768.93</v>
      </c>
      <c r="P1488" s="65">
        <v>12</v>
      </c>
      <c r="Q1488" s="64">
        <v>92.27</v>
      </c>
      <c r="R1488" s="63">
        <v>0</v>
      </c>
      <c r="S1488" s="64">
        <v>0</v>
      </c>
    </row>
    <row r="1489" spans="1:19" ht="11.1" customHeight="1" x14ac:dyDescent="0.25">
      <c r="A1489" s="57">
        <v>113253</v>
      </c>
      <c r="B1489" s="53">
        <v>46134</v>
      </c>
      <c r="C1489" s="58">
        <v>46134</v>
      </c>
      <c r="D1489" s="59" t="s">
        <v>1284</v>
      </c>
      <c r="E1489" s="50" t="s">
        <v>313</v>
      </c>
      <c r="F1489" s="57">
        <v>36</v>
      </c>
      <c r="G1489" s="60">
        <v>489</v>
      </c>
      <c r="H1489" s="61" t="s">
        <v>1280</v>
      </c>
      <c r="I1489" s="50" t="s">
        <v>1281</v>
      </c>
      <c r="J1489" s="50" t="s">
        <v>1282</v>
      </c>
      <c r="K1489" s="62">
        <v>5102</v>
      </c>
      <c r="L1489" s="57">
        <v>205</v>
      </c>
      <c r="M1489" s="50" t="s">
        <v>26</v>
      </c>
      <c r="N1489" s="50" t="s">
        <v>317</v>
      </c>
      <c r="O1489" s="64">
        <v>919.62</v>
      </c>
      <c r="P1489" s="65">
        <v>12</v>
      </c>
      <c r="Q1489" s="64">
        <v>110.35</v>
      </c>
      <c r="R1489" s="63">
        <v>0</v>
      </c>
      <c r="S1489" s="64">
        <v>0</v>
      </c>
    </row>
    <row r="1490" spans="1:19" ht="11.1" customHeight="1" x14ac:dyDescent="0.25">
      <c r="A1490" s="57">
        <v>113636</v>
      </c>
      <c r="B1490" s="53">
        <v>46142</v>
      </c>
      <c r="C1490" s="58">
        <v>46142</v>
      </c>
      <c r="D1490" s="59" t="s">
        <v>1285</v>
      </c>
      <c r="E1490" s="50" t="s">
        <v>313</v>
      </c>
      <c r="F1490" s="57">
        <v>36</v>
      </c>
      <c r="G1490" s="60">
        <v>489</v>
      </c>
      <c r="H1490" s="61" t="s">
        <v>1280</v>
      </c>
      <c r="I1490" s="50" t="s">
        <v>1281</v>
      </c>
      <c r="J1490" s="50" t="s">
        <v>1282</v>
      </c>
      <c r="K1490" s="62">
        <v>5102</v>
      </c>
      <c r="L1490" s="57">
        <v>205</v>
      </c>
      <c r="M1490" s="50" t="s">
        <v>26</v>
      </c>
      <c r="N1490" s="50" t="s">
        <v>317</v>
      </c>
      <c r="O1490" s="64">
        <v>852.86</v>
      </c>
      <c r="P1490" s="65">
        <v>12</v>
      </c>
      <c r="Q1490" s="64">
        <v>102.34</v>
      </c>
      <c r="R1490" s="63">
        <v>0</v>
      </c>
      <c r="S1490" s="64">
        <v>0</v>
      </c>
    </row>
    <row r="1491" spans="1:19" ht="11.85" customHeight="1" x14ac:dyDescent="0.25">
      <c r="A1491" s="66" t="s">
        <v>320</v>
      </c>
      <c r="B1491" s="66"/>
      <c r="C1491" s="66"/>
      <c r="D1491" s="66"/>
      <c r="E1491" s="66"/>
      <c r="F1491" s="66"/>
      <c r="G1491" s="66"/>
      <c r="H1491" s="66"/>
    </row>
    <row r="1492" spans="1:19" ht="11.1" customHeight="1" x14ac:dyDescent="0.25">
      <c r="N1492" s="50" t="s">
        <v>317</v>
      </c>
      <c r="O1492" s="64">
        <v>3394.27</v>
      </c>
      <c r="Q1492" s="64">
        <v>407.3</v>
      </c>
      <c r="R1492" s="63">
        <v>0</v>
      </c>
      <c r="S1492" s="64">
        <v>0</v>
      </c>
    </row>
    <row r="1493" spans="1:19" ht="11.1" customHeight="1" x14ac:dyDescent="0.25">
      <c r="A1493" s="57">
        <v>112470</v>
      </c>
      <c r="B1493" s="53">
        <v>46113</v>
      </c>
      <c r="C1493" s="58">
        <v>46113</v>
      </c>
      <c r="D1493" s="59" t="s">
        <v>1286</v>
      </c>
      <c r="E1493" s="50" t="s">
        <v>313</v>
      </c>
      <c r="F1493" s="57">
        <v>36</v>
      </c>
      <c r="G1493" s="60">
        <v>680</v>
      </c>
      <c r="H1493" s="61" t="s">
        <v>1287</v>
      </c>
      <c r="I1493" s="50" t="s">
        <v>1288</v>
      </c>
      <c r="J1493" s="50" t="s">
        <v>1289</v>
      </c>
      <c r="K1493" s="62">
        <v>5403</v>
      </c>
      <c r="L1493" s="57">
        <v>207</v>
      </c>
      <c r="M1493" s="50" t="s">
        <v>26</v>
      </c>
      <c r="N1493" s="50" t="s">
        <v>317</v>
      </c>
      <c r="O1493" s="64">
        <v>330.07</v>
      </c>
      <c r="P1493" s="65">
        <v>12</v>
      </c>
      <c r="Q1493" s="64">
        <v>39.61</v>
      </c>
      <c r="R1493" s="63">
        <v>0</v>
      </c>
      <c r="S1493" s="64">
        <v>23.1</v>
      </c>
    </row>
    <row r="1494" spans="1:19" ht="11.1" customHeight="1" x14ac:dyDescent="0.25">
      <c r="N1494" s="50" t="s">
        <v>318</v>
      </c>
      <c r="O1494" s="64">
        <v>445.6</v>
      </c>
      <c r="P1494" s="65">
        <v>20</v>
      </c>
      <c r="Q1494" s="64">
        <v>23.1</v>
      </c>
      <c r="R1494" s="63">
        <v>0</v>
      </c>
      <c r="S1494" s="64">
        <v>0</v>
      </c>
    </row>
    <row r="1495" spans="1:19" ht="11.1" customHeight="1" x14ac:dyDescent="0.25">
      <c r="A1495" s="57">
        <v>112683</v>
      </c>
      <c r="B1495" s="53">
        <v>46119</v>
      </c>
      <c r="C1495" s="58">
        <v>46119</v>
      </c>
      <c r="D1495" s="59" t="s">
        <v>1290</v>
      </c>
      <c r="E1495" s="50" t="s">
        <v>313</v>
      </c>
      <c r="F1495" s="57">
        <v>36</v>
      </c>
      <c r="G1495" s="60">
        <v>680</v>
      </c>
      <c r="H1495" s="61" t="s">
        <v>1287</v>
      </c>
      <c r="I1495" s="50" t="s">
        <v>1288</v>
      </c>
      <c r="J1495" s="50" t="s">
        <v>1289</v>
      </c>
      <c r="K1495" s="62">
        <v>5403</v>
      </c>
      <c r="L1495" s="57">
        <v>207</v>
      </c>
      <c r="M1495" s="50" t="s">
        <v>26</v>
      </c>
      <c r="N1495" s="50" t="s">
        <v>317</v>
      </c>
      <c r="O1495" s="64">
        <v>169.39</v>
      </c>
      <c r="P1495" s="65">
        <v>12</v>
      </c>
      <c r="Q1495" s="64">
        <v>20.329999999999998</v>
      </c>
      <c r="R1495" s="63">
        <v>0</v>
      </c>
      <c r="S1495" s="64">
        <v>11.86</v>
      </c>
    </row>
    <row r="1496" spans="1:19" ht="11.1" customHeight="1" x14ac:dyDescent="0.25">
      <c r="N1496" s="50" t="s">
        <v>318</v>
      </c>
      <c r="O1496" s="64">
        <v>228.68</v>
      </c>
      <c r="P1496" s="65">
        <v>20</v>
      </c>
      <c r="Q1496" s="64">
        <v>11.86</v>
      </c>
      <c r="R1496" s="63">
        <v>0</v>
      </c>
      <c r="S1496" s="64">
        <v>0</v>
      </c>
    </row>
    <row r="1497" spans="1:19" ht="11.1" customHeight="1" x14ac:dyDescent="0.25">
      <c r="A1497" s="57">
        <v>112720</v>
      </c>
      <c r="B1497" s="53">
        <v>46120</v>
      </c>
      <c r="C1497" s="58">
        <v>46120</v>
      </c>
      <c r="D1497" s="59" t="s">
        <v>1291</v>
      </c>
      <c r="E1497" s="50" t="s">
        <v>313</v>
      </c>
      <c r="F1497" s="57">
        <v>36</v>
      </c>
      <c r="G1497" s="60">
        <v>680</v>
      </c>
      <c r="H1497" s="61" t="s">
        <v>1287</v>
      </c>
      <c r="I1497" s="50" t="s">
        <v>1288</v>
      </c>
      <c r="J1497" s="50" t="s">
        <v>1289</v>
      </c>
      <c r="K1497" s="62">
        <v>5102</v>
      </c>
      <c r="L1497" s="57">
        <v>205</v>
      </c>
      <c r="M1497" s="50" t="s">
        <v>26</v>
      </c>
      <c r="N1497" s="50" t="s">
        <v>317</v>
      </c>
      <c r="O1497" s="64">
        <v>53.42</v>
      </c>
      <c r="P1497" s="65">
        <v>12</v>
      </c>
      <c r="Q1497" s="64">
        <v>6.41</v>
      </c>
      <c r="R1497" s="63">
        <v>0</v>
      </c>
      <c r="S1497" s="64">
        <v>0</v>
      </c>
    </row>
    <row r="1498" spans="1:19" ht="11.1" customHeight="1" x14ac:dyDescent="0.25">
      <c r="A1498" s="57">
        <v>112721</v>
      </c>
      <c r="B1498" s="53">
        <v>46120</v>
      </c>
      <c r="C1498" s="58">
        <v>46120</v>
      </c>
      <c r="D1498" s="59" t="s">
        <v>1291</v>
      </c>
      <c r="E1498" s="50" t="s">
        <v>313</v>
      </c>
      <c r="F1498" s="57">
        <v>36</v>
      </c>
      <c r="G1498" s="60">
        <v>680</v>
      </c>
      <c r="H1498" s="61" t="s">
        <v>1287</v>
      </c>
      <c r="I1498" s="50" t="s">
        <v>1288</v>
      </c>
      <c r="J1498" s="50" t="s">
        <v>1289</v>
      </c>
      <c r="K1498" s="62">
        <v>5403</v>
      </c>
      <c r="L1498" s="57">
        <v>207</v>
      </c>
      <c r="M1498" s="50" t="s">
        <v>26</v>
      </c>
      <c r="N1498" s="50" t="s">
        <v>317</v>
      </c>
      <c r="O1498" s="64">
        <v>134.13</v>
      </c>
      <c r="P1498" s="65">
        <v>12</v>
      </c>
      <c r="Q1498" s="64">
        <v>16.100000000000001</v>
      </c>
      <c r="R1498" s="63">
        <v>0</v>
      </c>
      <c r="S1498" s="64">
        <v>9.39</v>
      </c>
    </row>
    <row r="1499" spans="1:19" ht="11.1" customHeight="1" x14ac:dyDescent="0.25">
      <c r="N1499" s="50" t="s">
        <v>318</v>
      </c>
      <c r="O1499" s="64">
        <v>181.08</v>
      </c>
      <c r="P1499" s="65">
        <v>20</v>
      </c>
      <c r="Q1499" s="64">
        <v>9.39</v>
      </c>
      <c r="R1499" s="63">
        <v>0</v>
      </c>
      <c r="S1499" s="64">
        <v>0</v>
      </c>
    </row>
    <row r="1500" spans="1:19" ht="11.1" customHeight="1" x14ac:dyDescent="0.25">
      <c r="A1500" s="57">
        <v>112984</v>
      </c>
      <c r="B1500" s="53">
        <v>46125</v>
      </c>
      <c r="C1500" s="58">
        <v>46125</v>
      </c>
      <c r="D1500" s="59" t="s">
        <v>1292</v>
      </c>
      <c r="E1500" s="50" t="s">
        <v>313</v>
      </c>
      <c r="F1500" s="57">
        <v>36</v>
      </c>
      <c r="G1500" s="60">
        <v>680</v>
      </c>
      <c r="H1500" s="61" t="s">
        <v>1287</v>
      </c>
      <c r="I1500" s="50" t="s">
        <v>1288</v>
      </c>
      <c r="J1500" s="50" t="s">
        <v>1289</v>
      </c>
      <c r="K1500" s="62">
        <v>5403</v>
      </c>
      <c r="L1500" s="57">
        <v>207</v>
      </c>
      <c r="M1500" s="50" t="s">
        <v>26</v>
      </c>
      <c r="N1500" s="50" t="s">
        <v>317</v>
      </c>
      <c r="O1500" s="64">
        <v>86.36</v>
      </c>
      <c r="P1500" s="65">
        <v>12</v>
      </c>
      <c r="Q1500" s="64">
        <v>10.36</v>
      </c>
      <c r="R1500" s="63">
        <v>0</v>
      </c>
      <c r="S1500" s="64">
        <v>6.05</v>
      </c>
    </row>
    <row r="1501" spans="1:19" ht="11.1" customHeight="1" x14ac:dyDescent="0.25">
      <c r="N1501" s="50" t="s">
        <v>318</v>
      </c>
      <c r="O1501" s="64">
        <v>116.59</v>
      </c>
      <c r="P1501" s="65">
        <v>20</v>
      </c>
      <c r="Q1501" s="64">
        <v>6.05</v>
      </c>
      <c r="R1501" s="63">
        <v>0</v>
      </c>
      <c r="S1501" s="64">
        <v>0</v>
      </c>
    </row>
    <row r="1502" spans="1:19" ht="11.1" customHeight="1" x14ac:dyDescent="0.25">
      <c r="A1502" s="57">
        <v>113044</v>
      </c>
      <c r="B1502" s="53">
        <v>46126</v>
      </c>
      <c r="C1502" s="58">
        <v>46126</v>
      </c>
      <c r="D1502" s="59" t="s">
        <v>1293</v>
      </c>
      <c r="E1502" s="50" t="s">
        <v>313</v>
      </c>
      <c r="F1502" s="57">
        <v>36</v>
      </c>
      <c r="G1502" s="60">
        <v>680</v>
      </c>
      <c r="H1502" s="61" t="s">
        <v>1287</v>
      </c>
      <c r="I1502" s="50" t="s">
        <v>1288</v>
      </c>
      <c r="J1502" s="50" t="s">
        <v>1289</v>
      </c>
      <c r="K1502" s="62">
        <v>5403</v>
      </c>
      <c r="L1502" s="57">
        <v>207</v>
      </c>
      <c r="M1502" s="50" t="s">
        <v>26</v>
      </c>
      <c r="N1502" s="50" t="s">
        <v>317</v>
      </c>
      <c r="O1502" s="64">
        <v>151.28</v>
      </c>
      <c r="P1502" s="65">
        <v>12</v>
      </c>
      <c r="Q1502" s="64">
        <v>18.149999999999999</v>
      </c>
      <c r="R1502" s="63">
        <v>0</v>
      </c>
      <c r="S1502" s="64">
        <v>10.58</v>
      </c>
    </row>
    <row r="1503" spans="1:19" ht="11.1" customHeight="1" x14ac:dyDescent="0.25">
      <c r="N1503" s="50" t="s">
        <v>318</v>
      </c>
      <c r="O1503" s="64">
        <v>204.23</v>
      </c>
      <c r="P1503" s="65">
        <v>20</v>
      </c>
      <c r="Q1503" s="64">
        <v>10.58</v>
      </c>
      <c r="R1503" s="63">
        <v>0</v>
      </c>
      <c r="S1503" s="64">
        <v>0</v>
      </c>
    </row>
    <row r="1504" spans="1:19" ht="11.1" customHeight="1" x14ac:dyDescent="0.25">
      <c r="A1504" s="57">
        <v>113283</v>
      </c>
      <c r="B1504" s="53">
        <v>46134</v>
      </c>
      <c r="C1504" s="58">
        <v>46134</v>
      </c>
      <c r="D1504" s="59" t="s">
        <v>1294</v>
      </c>
      <c r="E1504" s="50" t="s">
        <v>313</v>
      </c>
      <c r="F1504" s="57">
        <v>36</v>
      </c>
      <c r="G1504" s="60">
        <v>680</v>
      </c>
      <c r="H1504" s="61" t="s">
        <v>1287</v>
      </c>
      <c r="I1504" s="50" t="s">
        <v>1288</v>
      </c>
      <c r="J1504" s="50" t="s">
        <v>1289</v>
      </c>
      <c r="K1504" s="62">
        <v>5403</v>
      </c>
      <c r="L1504" s="57">
        <v>207</v>
      </c>
      <c r="M1504" s="50" t="s">
        <v>26</v>
      </c>
      <c r="N1504" s="50" t="s">
        <v>317</v>
      </c>
      <c r="O1504" s="64">
        <v>727.73</v>
      </c>
      <c r="P1504" s="65">
        <v>12</v>
      </c>
      <c r="Q1504" s="64">
        <v>87.33</v>
      </c>
      <c r="R1504" s="63">
        <v>0</v>
      </c>
      <c r="S1504" s="64">
        <v>50.93</v>
      </c>
    </row>
    <row r="1505" spans="1:19" ht="11.1" customHeight="1" x14ac:dyDescent="0.25">
      <c r="N1505" s="50" t="s">
        <v>318</v>
      </c>
      <c r="O1505" s="64">
        <v>982.45</v>
      </c>
      <c r="P1505" s="65">
        <v>20</v>
      </c>
      <c r="Q1505" s="64">
        <v>50.93</v>
      </c>
      <c r="R1505" s="63">
        <v>0</v>
      </c>
      <c r="S1505" s="64">
        <v>0</v>
      </c>
    </row>
    <row r="1506" spans="1:19" ht="11.1" customHeight="1" x14ac:dyDescent="0.25">
      <c r="A1506" s="57">
        <v>113414</v>
      </c>
      <c r="B1506" s="53">
        <v>46136</v>
      </c>
      <c r="C1506" s="58">
        <v>46136</v>
      </c>
      <c r="D1506" s="59" t="s">
        <v>1295</v>
      </c>
      <c r="E1506" s="50" t="s">
        <v>313</v>
      </c>
      <c r="F1506" s="57">
        <v>36</v>
      </c>
      <c r="G1506" s="60">
        <v>680</v>
      </c>
      <c r="H1506" s="61" t="s">
        <v>1287</v>
      </c>
      <c r="I1506" s="50" t="s">
        <v>1288</v>
      </c>
      <c r="J1506" s="50" t="s">
        <v>1289</v>
      </c>
      <c r="K1506" s="62">
        <v>5403</v>
      </c>
      <c r="L1506" s="57">
        <v>207</v>
      </c>
      <c r="M1506" s="50" t="s">
        <v>26</v>
      </c>
      <c r="N1506" s="50" t="s">
        <v>317</v>
      </c>
      <c r="O1506" s="64">
        <v>3592.2</v>
      </c>
      <c r="P1506" s="65">
        <v>12</v>
      </c>
      <c r="Q1506" s="64">
        <v>431.07</v>
      </c>
      <c r="R1506" s="63">
        <v>0</v>
      </c>
      <c r="S1506" s="64">
        <v>251.45</v>
      </c>
    </row>
    <row r="1507" spans="1:19" ht="11.1" customHeight="1" x14ac:dyDescent="0.25">
      <c r="N1507" s="50" t="s">
        <v>318</v>
      </c>
      <c r="O1507" s="64">
        <v>4849.47</v>
      </c>
      <c r="P1507" s="65">
        <v>20</v>
      </c>
      <c r="Q1507" s="64">
        <v>251.45</v>
      </c>
      <c r="R1507" s="63">
        <v>0</v>
      </c>
      <c r="S1507" s="64">
        <v>0</v>
      </c>
    </row>
    <row r="1508" spans="1:19" ht="11.1" customHeight="1" x14ac:dyDescent="0.25">
      <c r="A1508" s="57">
        <v>113472</v>
      </c>
      <c r="B1508" s="53">
        <v>46139</v>
      </c>
      <c r="C1508" s="58">
        <v>46139</v>
      </c>
      <c r="D1508" s="59" t="s">
        <v>1296</v>
      </c>
      <c r="E1508" s="50" t="s">
        <v>313</v>
      </c>
      <c r="F1508" s="57">
        <v>36</v>
      </c>
      <c r="G1508" s="60">
        <v>680</v>
      </c>
      <c r="H1508" s="61" t="s">
        <v>1287</v>
      </c>
      <c r="I1508" s="50" t="s">
        <v>1288</v>
      </c>
      <c r="J1508" s="50" t="s">
        <v>1289</v>
      </c>
      <c r="K1508" s="62">
        <v>5403</v>
      </c>
      <c r="L1508" s="57">
        <v>207</v>
      </c>
      <c r="M1508" s="50" t="s">
        <v>26</v>
      </c>
      <c r="N1508" s="50" t="s">
        <v>317</v>
      </c>
      <c r="O1508" s="64">
        <v>3420.98</v>
      </c>
      <c r="P1508" s="65">
        <v>12</v>
      </c>
      <c r="Q1508" s="64">
        <v>410.52</v>
      </c>
      <c r="R1508" s="63">
        <v>0</v>
      </c>
      <c r="S1508" s="64">
        <v>239.46</v>
      </c>
    </row>
    <row r="1509" spans="1:19" ht="11.1" customHeight="1" x14ac:dyDescent="0.25">
      <c r="N1509" s="50" t="s">
        <v>318</v>
      </c>
      <c r="O1509" s="64">
        <v>4618.34</v>
      </c>
      <c r="P1509" s="65">
        <v>20</v>
      </c>
      <c r="Q1509" s="64">
        <v>239.46</v>
      </c>
      <c r="R1509" s="63">
        <v>0</v>
      </c>
      <c r="S1509" s="64">
        <v>0</v>
      </c>
    </row>
    <row r="1510" spans="1:19" ht="11.1" customHeight="1" x14ac:dyDescent="0.25">
      <c r="A1510" s="57">
        <v>113546</v>
      </c>
      <c r="B1510" s="53">
        <v>46140</v>
      </c>
      <c r="C1510" s="58">
        <v>46140</v>
      </c>
      <c r="D1510" s="59" t="s">
        <v>1297</v>
      </c>
      <c r="E1510" s="50" t="s">
        <v>313</v>
      </c>
      <c r="F1510" s="57">
        <v>36</v>
      </c>
      <c r="G1510" s="60">
        <v>680</v>
      </c>
      <c r="H1510" s="61" t="s">
        <v>1287</v>
      </c>
      <c r="I1510" s="50" t="s">
        <v>1288</v>
      </c>
      <c r="J1510" s="50" t="s">
        <v>1289</v>
      </c>
      <c r="K1510" s="62">
        <v>5403</v>
      </c>
      <c r="L1510" s="57">
        <v>207</v>
      </c>
      <c r="M1510" s="50" t="s">
        <v>26</v>
      </c>
      <c r="N1510" s="50" t="s">
        <v>317</v>
      </c>
      <c r="O1510" s="64">
        <v>1147.27</v>
      </c>
      <c r="P1510" s="65">
        <v>12</v>
      </c>
      <c r="Q1510" s="64">
        <v>137.66999999999999</v>
      </c>
      <c r="R1510" s="63">
        <v>0</v>
      </c>
      <c r="S1510" s="64">
        <v>80.31</v>
      </c>
    </row>
    <row r="1511" spans="1:19" ht="11.1" customHeight="1" x14ac:dyDescent="0.25">
      <c r="N1511" s="50" t="s">
        <v>318</v>
      </c>
      <c r="O1511" s="64">
        <v>1548.82</v>
      </c>
      <c r="P1511" s="65">
        <v>20</v>
      </c>
      <c r="Q1511" s="64">
        <v>80.31</v>
      </c>
      <c r="R1511" s="63">
        <v>0</v>
      </c>
      <c r="S1511" s="64">
        <v>0</v>
      </c>
    </row>
    <row r="1512" spans="1:19" ht="11.1" customHeight="1" x14ac:dyDescent="0.25">
      <c r="A1512" s="57">
        <v>113568</v>
      </c>
      <c r="B1512" s="53">
        <v>46141</v>
      </c>
      <c r="C1512" s="58">
        <v>46141</v>
      </c>
      <c r="D1512" s="59" t="s">
        <v>1298</v>
      </c>
      <c r="E1512" s="50" t="s">
        <v>313</v>
      </c>
      <c r="F1512" s="57">
        <v>36</v>
      </c>
      <c r="G1512" s="60">
        <v>680</v>
      </c>
      <c r="H1512" s="61" t="s">
        <v>1287</v>
      </c>
      <c r="I1512" s="50" t="s">
        <v>1288</v>
      </c>
      <c r="J1512" s="50" t="s">
        <v>1289</v>
      </c>
      <c r="K1512" s="62">
        <v>5403</v>
      </c>
      <c r="L1512" s="57">
        <v>207</v>
      </c>
      <c r="M1512" s="50" t="s">
        <v>26</v>
      </c>
      <c r="N1512" s="50" t="s">
        <v>317</v>
      </c>
      <c r="O1512" s="64">
        <v>176.09</v>
      </c>
      <c r="P1512" s="65">
        <v>12</v>
      </c>
      <c r="Q1512" s="64">
        <v>21.13</v>
      </c>
      <c r="R1512" s="63">
        <v>0</v>
      </c>
      <c r="S1512" s="64">
        <v>12.32</v>
      </c>
    </row>
    <row r="1513" spans="1:19" ht="11.1" customHeight="1" x14ac:dyDescent="0.25">
      <c r="N1513" s="50" t="s">
        <v>318</v>
      </c>
      <c r="O1513" s="64">
        <v>237.72</v>
      </c>
      <c r="P1513" s="65">
        <v>20</v>
      </c>
      <c r="Q1513" s="64">
        <v>12.32</v>
      </c>
      <c r="R1513" s="63">
        <v>0</v>
      </c>
      <c r="S1513" s="64">
        <v>0</v>
      </c>
    </row>
    <row r="1514" spans="1:19" ht="11.1" customHeight="1" x14ac:dyDescent="0.25">
      <c r="A1514" s="57">
        <v>113682</v>
      </c>
      <c r="B1514" s="53">
        <v>46139</v>
      </c>
      <c r="C1514" s="58">
        <v>46139</v>
      </c>
      <c r="D1514" s="59" t="s">
        <v>1299</v>
      </c>
      <c r="E1514" s="50" t="s">
        <v>313</v>
      </c>
      <c r="F1514" s="57">
        <v>36</v>
      </c>
      <c r="G1514" s="60">
        <v>680</v>
      </c>
      <c r="H1514" s="61" t="s">
        <v>1287</v>
      </c>
      <c r="I1514" s="50" t="s">
        <v>1288</v>
      </c>
      <c r="J1514" s="50" t="s">
        <v>1289</v>
      </c>
      <c r="K1514" s="62">
        <v>5403</v>
      </c>
      <c r="L1514" s="57">
        <v>207</v>
      </c>
      <c r="M1514" s="50" t="s">
        <v>26</v>
      </c>
      <c r="N1514" s="50" t="s">
        <v>317</v>
      </c>
      <c r="O1514" s="64">
        <v>0</v>
      </c>
      <c r="P1514" s="65">
        <v>0</v>
      </c>
      <c r="Q1514" s="64">
        <v>0</v>
      </c>
      <c r="R1514" s="63">
        <v>0</v>
      </c>
      <c r="S1514" s="64">
        <v>0</v>
      </c>
    </row>
    <row r="1515" spans="1:19" ht="11.1" customHeight="1" x14ac:dyDescent="0.25">
      <c r="N1515" s="50" t="s">
        <v>318</v>
      </c>
      <c r="O1515" s="64">
        <v>0</v>
      </c>
      <c r="P1515" s="65">
        <v>0</v>
      </c>
      <c r="Q1515" s="64">
        <v>0</v>
      </c>
      <c r="R1515" s="63">
        <v>0</v>
      </c>
      <c r="S1515" s="64">
        <v>0</v>
      </c>
    </row>
    <row r="1516" spans="1:19" ht="11.85" customHeight="1" x14ac:dyDescent="0.25">
      <c r="A1516" s="66" t="s">
        <v>320</v>
      </c>
      <c r="B1516" s="66"/>
      <c r="C1516" s="66"/>
      <c r="D1516" s="66"/>
      <c r="E1516" s="66"/>
      <c r="F1516" s="66"/>
      <c r="G1516" s="66"/>
      <c r="H1516" s="66"/>
    </row>
    <row r="1517" spans="1:19" ht="11.1" customHeight="1" x14ac:dyDescent="0.25">
      <c r="N1517" s="50" t="s">
        <v>317</v>
      </c>
      <c r="O1517" s="64">
        <v>9988.92</v>
      </c>
      <c r="Q1517" s="64">
        <v>1198.68</v>
      </c>
      <c r="R1517" s="63">
        <v>0</v>
      </c>
      <c r="S1517" s="64">
        <v>695.45</v>
      </c>
    </row>
    <row r="1518" spans="1:19" ht="11.1" customHeight="1" x14ac:dyDescent="0.25">
      <c r="N1518" s="50" t="s">
        <v>318</v>
      </c>
      <c r="O1518" s="64">
        <v>13412.98</v>
      </c>
      <c r="Q1518" s="64">
        <v>695.45</v>
      </c>
      <c r="R1518" s="63">
        <v>0</v>
      </c>
      <c r="S1518" s="64">
        <v>0</v>
      </c>
    </row>
    <row r="1519" spans="1:19" ht="11.1" customHeight="1" x14ac:dyDescent="0.25">
      <c r="A1519" s="57">
        <v>112830</v>
      </c>
      <c r="B1519" s="53">
        <v>46121</v>
      </c>
      <c r="C1519" s="58">
        <v>46121</v>
      </c>
      <c r="D1519" s="59" t="s">
        <v>1300</v>
      </c>
      <c r="E1519" s="50" t="s">
        <v>313</v>
      </c>
      <c r="F1519" s="57">
        <v>36</v>
      </c>
      <c r="G1519" s="60">
        <v>776</v>
      </c>
      <c r="H1519" s="61" t="s">
        <v>1301</v>
      </c>
      <c r="I1519" s="50" t="s">
        <v>1302</v>
      </c>
      <c r="J1519" s="50" t="s">
        <v>1303</v>
      </c>
      <c r="K1519" s="62">
        <v>5102</v>
      </c>
      <c r="L1519" s="57">
        <v>205</v>
      </c>
      <c r="M1519" s="50" t="s">
        <v>26</v>
      </c>
      <c r="N1519" s="50" t="s">
        <v>317</v>
      </c>
      <c r="O1519" s="64">
        <v>737.89</v>
      </c>
      <c r="P1519" s="65">
        <v>12</v>
      </c>
      <c r="Q1519" s="64">
        <v>88.55</v>
      </c>
      <c r="R1519" s="63">
        <v>0</v>
      </c>
      <c r="S1519" s="64">
        <v>0</v>
      </c>
    </row>
    <row r="1520" spans="1:19" ht="11.85" customHeight="1" x14ac:dyDescent="0.25">
      <c r="A1520" s="66" t="s">
        <v>320</v>
      </c>
      <c r="B1520" s="66"/>
      <c r="C1520" s="66"/>
      <c r="D1520" s="66"/>
      <c r="E1520" s="66"/>
      <c r="F1520" s="66"/>
      <c r="G1520" s="66"/>
      <c r="H1520" s="66"/>
    </row>
    <row r="1521" spans="1:19" ht="11.1" customHeight="1" x14ac:dyDescent="0.25">
      <c r="N1521" s="50" t="s">
        <v>317</v>
      </c>
      <c r="O1521" s="64">
        <v>737.89</v>
      </c>
      <c r="Q1521" s="64">
        <v>88.55</v>
      </c>
      <c r="R1521" s="63">
        <v>0</v>
      </c>
      <c r="S1521" s="64">
        <v>0</v>
      </c>
    </row>
    <row r="1522" spans="1:19" ht="11.1" customHeight="1" x14ac:dyDescent="0.25">
      <c r="A1522" s="57">
        <v>113639</v>
      </c>
      <c r="B1522" s="53">
        <v>46142</v>
      </c>
      <c r="C1522" s="58">
        <v>46142</v>
      </c>
      <c r="D1522" s="59" t="s">
        <v>1304</v>
      </c>
      <c r="E1522" s="50" t="s">
        <v>313</v>
      </c>
      <c r="F1522" s="57">
        <v>36</v>
      </c>
      <c r="G1522" s="60">
        <v>533</v>
      </c>
      <c r="H1522" s="61" t="s">
        <v>1305</v>
      </c>
      <c r="I1522" s="50" t="s">
        <v>1306</v>
      </c>
      <c r="J1522" s="50" t="s">
        <v>1307</v>
      </c>
      <c r="K1522" s="62">
        <v>5102</v>
      </c>
      <c r="L1522" s="57">
        <v>205</v>
      </c>
      <c r="M1522" s="50" t="s">
        <v>26</v>
      </c>
      <c r="N1522" s="50" t="s">
        <v>317</v>
      </c>
      <c r="O1522" s="64">
        <v>942.99</v>
      </c>
      <c r="P1522" s="65">
        <v>12</v>
      </c>
      <c r="Q1522" s="64">
        <v>113.15</v>
      </c>
      <c r="R1522" s="63">
        <v>0</v>
      </c>
      <c r="S1522" s="64">
        <v>0</v>
      </c>
    </row>
    <row r="1523" spans="1:19" ht="11.85" customHeight="1" x14ac:dyDescent="0.25">
      <c r="A1523" s="66" t="s">
        <v>320</v>
      </c>
      <c r="B1523" s="66"/>
      <c r="C1523" s="66"/>
      <c r="D1523" s="66"/>
      <c r="E1523" s="66"/>
      <c r="F1523" s="66"/>
      <c r="G1523" s="66"/>
      <c r="H1523" s="66"/>
    </row>
    <row r="1524" spans="1:19" ht="11.1" customHeight="1" x14ac:dyDescent="0.25">
      <c r="N1524" s="50" t="s">
        <v>317</v>
      </c>
      <c r="O1524" s="64">
        <v>942.99</v>
      </c>
      <c r="Q1524" s="64">
        <v>113.15</v>
      </c>
      <c r="R1524" s="63">
        <v>0</v>
      </c>
      <c r="S1524" s="64">
        <v>0</v>
      </c>
    </row>
    <row r="1525" spans="1:19" ht="11.1" customHeight="1" x14ac:dyDescent="0.25">
      <c r="A1525" s="57">
        <v>112730</v>
      </c>
      <c r="B1525" s="53">
        <v>46120</v>
      </c>
      <c r="C1525" s="58">
        <v>46120</v>
      </c>
      <c r="D1525" s="59" t="s">
        <v>1308</v>
      </c>
      <c r="E1525" s="50" t="s">
        <v>313</v>
      </c>
      <c r="F1525" s="57">
        <v>36</v>
      </c>
      <c r="G1525" s="60">
        <v>916</v>
      </c>
      <c r="H1525" s="61" t="s">
        <v>1309</v>
      </c>
      <c r="I1525" s="50" t="s">
        <v>1310</v>
      </c>
      <c r="J1525" s="50" t="s">
        <v>1311</v>
      </c>
      <c r="K1525" s="62">
        <v>5102</v>
      </c>
      <c r="L1525" s="57">
        <v>205</v>
      </c>
      <c r="M1525" s="50" t="s">
        <v>26</v>
      </c>
      <c r="N1525" s="50" t="s">
        <v>317</v>
      </c>
      <c r="O1525" s="64">
        <v>554.63</v>
      </c>
      <c r="P1525" s="65">
        <v>12</v>
      </c>
      <c r="Q1525" s="64">
        <v>66.56</v>
      </c>
      <c r="R1525" s="63">
        <v>0</v>
      </c>
      <c r="S1525" s="64">
        <v>0</v>
      </c>
    </row>
    <row r="1526" spans="1:19" ht="11.1" customHeight="1" x14ac:dyDescent="0.25">
      <c r="A1526" s="57">
        <v>113182</v>
      </c>
      <c r="B1526" s="53">
        <v>46129</v>
      </c>
      <c r="C1526" s="58">
        <v>46129</v>
      </c>
      <c r="D1526" s="59" t="s">
        <v>1312</v>
      </c>
      <c r="E1526" s="50" t="s">
        <v>313</v>
      </c>
      <c r="F1526" s="57">
        <v>36</v>
      </c>
      <c r="G1526" s="60">
        <v>916</v>
      </c>
      <c r="H1526" s="61" t="s">
        <v>1309</v>
      </c>
      <c r="I1526" s="50" t="s">
        <v>1310</v>
      </c>
      <c r="J1526" s="50" t="s">
        <v>1311</v>
      </c>
      <c r="K1526" s="62">
        <v>5102</v>
      </c>
      <c r="L1526" s="57">
        <v>205</v>
      </c>
      <c r="M1526" s="50" t="s">
        <v>26</v>
      </c>
      <c r="N1526" s="50" t="s">
        <v>317</v>
      </c>
      <c r="O1526" s="64">
        <v>554.63</v>
      </c>
      <c r="P1526" s="65">
        <v>12</v>
      </c>
      <c r="Q1526" s="64">
        <v>66.56</v>
      </c>
      <c r="R1526" s="63">
        <v>0</v>
      </c>
      <c r="S1526" s="64">
        <v>0</v>
      </c>
    </row>
    <row r="1527" spans="1:19" ht="11.1" customHeight="1" x14ac:dyDescent="0.25">
      <c r="A1527" s="57">
        <v>113522</v>
      </c>
      <c r="B1527" s="53">
        <v>46140</v>
      </c>
      <c r="C1527" s="58">
        <v>46140</v>
      </c>
      <c r="D1527" s="59" t="s">
        <v>1313</v>
      </c>
      <c r="E1527" s="50" t="s">
        <v>313</v>
      </c>
      <c r="F1527" s="57">
        <v>36</v>
      </c>
      <c r="G1527" s="60">
        <v>916</v>
      </c>
      <c r="H1527" s="61" t="s">
        <v>1309</v>
      </c>
      <c r="I1527" s="50" t="s">
        <v>1310</v>
      </c>
      <c r="J1527" s="50" t="s">
        <v>1311</v>
      </c>
      <c r="K1527" s="62">
        <v>5102</v>
      </c>
      <c r="L1527" s="57">
        <v>205</v>
      </c>
      <c r="M1527" s="50" t="s">
        <v>26</v>
      </c>
      <c r="N1527" s="50" t="s">
        <v>317</v>
      </c>
      <c r="O1527" s="64">
        <v>554.63</v>
      </c>
      <c r="P1527" s="65">
        <v>12</v>
      </c>
      <c r="Q1527" s="64">
        <v>66.56</v>
      </c>
      <c r="R1527" s="63">
        <v>0</v>
      </c>
      <c r="S1527" s="64">
        <v>0</v>
      </c>
    </row>
    <row r="1528" spans="1:19" ht="11.85" customHeight="1" x14ac:dyDescent="0.25">
      <c r="A1528" s="66" t="s">
        <v>320</v>
      </c>
      <c r="B1528" s="66"/>
      <c r="C1528" s="66"/>
      <c r="D1528" s="66"/>
      <c r="E1528" s="66"/>
      <c r="F1528" s="66"/>
      <c r="G1528" s="66"/>
      <c r="H1528" s="66"/>
    </row>
    <row r="1529" spans="1:19" ht="11.1" customHeight="1" x14ac:dyDescent="0.25">
      <c r="N1529" s="50" t="s">
        <v>317</v>
      </c>
      <c r="O1529" s="64">
        <v>1663.89</v>
      </c>
      <c r="Q1529" s="64">
        <v>199.68</v>
      </c>
      <c r="R1529" s="63">
        <v>0</v>
      </c>
      <c r="S1529" s="64">
        <v>0</v>
      </c>
    </row>
    <row r="1530" spans="1:19" ht="11.1" customHeight="1" x14ac:dyDescent="0.25">
      <c r="A1530" s="57">
        <v>112645</v>
      </c>
      <c r="B1530" s="53">
        <v>46119</v>
      </c>
      <c r="C1530" s="58">
        <v>46119</v>
      </c>
      <c r="D1530" s="59" t="s">
        <v>1314</v>
      </c>
      <c r="E1530" s="50" t="s">
        <v>313</v>
      </c>
      <c r="F1530" s="57">
        <v>36</v>
      </c>
      <c r="G1530" s="60">
        <v>28</v>
      </c>
      <c r="H1530" s="61" t="s">
        <v>1315</v>
      </c>
      <c r="I1530" s="50" t="s">
        <v>1316</v>
      </c>
      <c r="J1530" s="50" t="s">
        <v>1317</v>
      </c>
      <c r="K1530" s="62">
        <v>5102</v>
      </c>
      <c r="L1530" s="57">
        <v>205</v>
      </c>
      <c r="M1530" s="50" t="s">
        <v>26</v>
      </c>
      <c r="N1530" s="50" t="s">
        <v>317</v>
      </c>
      <c r="O1530" s="64">
        <v>2602.65</v>
      </c>
      <c r="P1530" s="65">
        <v>12</v>
      </c>
      <c r="Q1530" s="64">
        <v>312.32</v>
      </c>
      <c r="R1530" s="63">
        <v>0</v>
      </c>
      <c r="S1530" s="64">
        <v>0</v>
      </c>
    </row>
    <row r="1531" spans="1:19" ht="11.1" customHeight="1" x14ac:dyDescent="0.25">
      <c r="A1531" s="57">
        <v>112805</v>
      </c>
      <c r="B1531" s="53">
        <v>46121</v>
      </c>
      <c r="C1531" s="58">
        <v>46121</v>
      </c>
      <c r="D1531" s="59" t="s">
        <v>1318</v>
      </c>
      <c r="E1531" s="50" t="s">
        <v>313</v>
      </c>
      <c r="F1531" s="57">
        <v>36</v>
      </c>
      <c r="G1531" s="60">
        <v>28</v>
      </c>
      <c r="H1531" s="61" t="s">
        <v>1315</v>
      </c>
      <c r="I1531" s="50" t="s">
        <v>1316</v>
      </c>
      <c r="J1531" s="50" t="s">
        <v>1317</v>
      </c>
      <c r="K1531" s="62">
        <v>5102</v>
      </c>
      <c r="L1531" s="57">
        <v>205</v>
      </c>
      <c r="M1531" s="50" t="s">
        <v>26</v>
      </c>
      <c r="N1531" s="50" t="s">
        <v>317</v>
      </c>
      <c r="O1531" s="64">
        <v>3016.61</v>
      </c>
      <c r="P1531" s="65">
        <v>12</v>
      </c>
      <c r="Q1531" s="64">
        <v>361.99</v>
      </c>
      <c r="R1531" s="63">
        <v>0</v>
      </c>
      <c r="S1531" s="64">
        <v>0</v>
      </c>
    </row>
    <row r="1532" spans="1:19" ht="11.1" customHeight="1" x14ac:dyDescent="0.25">
      <c r="A1532" s="57">
        <v>113433</v>
      </c>
      <c r="B1532" s="53">
        <v>46139</v>
      </c>
      <c r="C1532" s="58">
        <v>46139</v>
      </c>
      <c r="D1532" s="59" t="s">
        <v>1319</v>
      </c>
      <c r="E1532" s="50" t="s">
        <v>313</v>
      </c>
      <c r="F1532" s="57">
        <v>36</v>
      </c>
      <c r="G1532" s="60">
        <v>28</v>
      </c>
      <c r="H1532" s="61" t="s">
        <v>1315</v>
      </c>
      <c r="I1532" s="50" t="s">
        <v>1316</v>
      </c>
      <c r="J1532" s="50" t="s">
        <v>1317</v>
      </c>
      <c r="K1532" s="62">
        <v>5102</v>
      </c>
      <c r="L1532" s="57">
        <v>205</v>
      </c>
      <c r="M1532" s="50" t="s">
        <v>26</v>
      </c>
      <c r="N1532" s="50" t="s">
        <v>317</v>
      </c>
      <c r="O1532" s="64">
        <v>3899.31</v>
      </c>
      <c r="P1532" s="65">
        <v>12</v>
      </c>
      <c r="Q1532" s="64">
        <v>467.93</v>
      </c>
      <c r="R1532" s="63">
        <v>0</v>
      </c>
      <c r="S1532" s="64">
        <v>0</v>
      </c>
    </row>
    <row r="1533" spans="1:19" ht="11.85" customHeight="1" x14ac:dyDescent="0.25">
      <c r="A1533" s="66" t="s">
        <v>320</v>
      </c>
      <c r="B1533" s="66"/>
      <c r="C1533" s="66"/>
      <c r="D1533" s="66"/>
      <c r="E1533" s="66"/>
      <c r="F1533" s="66"/>
      <c r="G1533" s="66"/>
      <c r="H1533" s="66"/>
    </row>
    <row r="1534" spans="1:19" ht="11.1" customHeight="1" x14ac:dyDescent="0.25">
      <c r="N1534" s="50" t="s">
        <v>317</v>
      </c>
      <c r="O1534" s="64">
        <v>9518.57</v>
      </c>
      <c r="Q1534" s="64">
        <v>1142.24</v>
      </c>
      <c r="R1534" s="63">
        <v>0</v>
      </c>
      <c r="S1534" s="64">
        <v>0</v>
      </c>
    </row>
    <row r="1535" spans="1:19" ht="11.1" customHeight="1" x14ac:dyDescent="0.25">
      <c r="A1535" s="57">
        <v>112450</v>
      </c>
      <c r="B1535" s="53">
        <v>46113</v>
      </c>
      <c r="C1535" s="58">
        <v>46113</v>
      </c>
      <c r="D1535" s="59" t="s">
        <v>1320</v>
      </c>
      <c r="E1535" s="50" t="s">
        <v>313</v>
      </c>
      <c r="F1535" s="57">
        <v>36</v>
      </c>
      <c r="G1535" s="60">
        <v>665</v>
      </c>
      <c r="H1535" s="61" t="s">
        <v>1321</v>
      </c>
      <c r="I1535" s="50" t="s">
        <v>1322</v>
      </c>
      <c r="J1535" s="50" t="s">
        <v>1323</v>
      </c>
      <c r="K1535" s="62">
        <v>5102</v>
      </c>
      <c r="L1535" s="57">
        <v>205</v>
      </c>
      <c r="M1535" s="50" t="s">
        <v>26</v>
      </c>
      <c r="N1535" s="50" t="s">
        <v>317</v>
      </c>
      <c r="O1535" s="64">
        <v>88.49</v>
      </c>
      <c r="P1535" s="65">
        <v>12</v>
      </c>
      <c r="Q1535" s="64">
        <v>10.62</v>
      </c>
      <c r="R1535" s="63">
        <v>0</v>
      </c>
      <c r="S1535" s="64">
        <v>0</v>
      </c>
    </row>
    <row r="1536" spans="1:19" ht="11.1" customHeight="1" x14ac:dyDescent="0.25">
      <c r="A1536" s="57">
        <v>112618</v>
      </c>
      <c r="B1536" s="53">
        <v>46118</v>
      </c>
      <c r="C1536" s="58">
        <v>46118</v>
      </c>
      <c r="D1536" s="59" t="s">
        <v>1324</v>
      </c>
      <c r="E1536" s="50" t="s">
        <v>313</v>
      </c>
      <c r="F1536" s="57">
        <v>36</v>
      </c>
      <c r="G1536" s="60">
        <v>665</v>
      </c>
      <c r="H1536" s="61" t="s">
        <v>1321</v>
      </c>
      <c r="I1536" s="50" t="s">
        <v>1322</v>
      </c>
      <c r="J1536" s="50" t="s">
        <v>1323</v>
      </c>
      <c r="K1536" s="62">
        <v>5102</v>
      </c>
      <c r="L1536" s="57">
        <v>205</v>
      </c>
      <c r="M1536" s="50" t="s">
        <v>26</v>
      </c>
      <c r="N1536" s="50" t="s">
        <v>317</v>
      </c>
      <c r="O1536" s="64">
        <v>33.1</v>
      </c>
      <c r="P1536" s="65">
        <v>12</v>
      </c>
      <c r="Q1536" s="64">
        <v>3.97</v>
      </c>
      <c r="R1536" s="63">
        <v>0</v>
      </c>
      <c r="S1536" s="64">
        <v>0</v>
      </c>
    </row>
    <row r="1537" spans="1:19" ht="11.1" customHeight="1" x14ac:dyDescent="0.25">
      <c r="A1537" s="57">
        <v>112619</v>
      </c>
      <c r="B1537" s="53">
        <v>46118</v>
      </c>
      <c r="C1537" s="58">
        <v>46118</v>
      </c>
      <c r="D1537" s="59" t="s">
        <v>1324</v>
      </c>
      <c r="E1537" s="50" t="s">
        <v>313</v>
      </c>
      <c r="F1537" s="57">
        <v>36</v>
      </c>
      <c r="G1537" s="60">
        <v>665</v>
      </c>
      <c r="H1537" s="61" t="s">
        <v>1321</v>
      </c>
      <c r="I1537" s="50" t="s">
        <v>1322</v>
      </c>
      <c r="J1537" s="50" t="s">
        <v>1323</v>
      </c>
      <c r="K1537" s="62">
        <v>5403</v>
      </c>
      <c r="L1537" s="57">
        <v>207</v>
      </c>
      <c r="M1537" s="50" t="s">
        <v>26</v>
      </c>
      <c r="N1537" s="50" t="s">
        <v>317</v>
      </c>
      <c r="O1537" s="64">
        <v>36.28</v>
      </c>
      <c r="P1537" s="65">
        <v>12</v>
      </c>
      <c r="Q1537" s="64">
        <v>4.3499999999999996</v>
      </c>
      <c r="R1537" s="63">
        <v>0</v>
      </c>
      <c r="S1537" s="64">
        <v>2.54</v>
      </c>
    </row>
    <row r="1538" spans="1:19" ht="11.1" customHeight="1" x14ac:dyDescent="0.25">
      <c r="N1538" s="50" t="s">
        <v>318</v>
      </c>
      <c r="O1538" s="64">
        <v>48.98</v>
      </c>
      <c r="P1538" s="65">
        <v>20</v>
      </c>
      <c r="Q1538" s="64">
        <v>2.54</v>
      </c>
      <c r="R1538" s="63">
        <v>0</v>
      </c>
      <c r="S1538" s="64">
        <v>0</v>
      </c>
    </row>
    <row r="1539" spans="1:19" ht="11.1" customHeight="1" x14ac:dyDescent="0.25">
      <c r="A1539" s="57">
        <v>112691</v>
      </c>
      <c r="B1539" s="53">
        <v>46119</v>
      </c>
      <c r="C1539" s="58">
        <v>46119</v>
      </c>
      <c r="D1539" s="59" t="s">
        <v>1325</v>
      </c>
      <c r="E1539" s="50" t="s">
        <v>313</v>
      </c>
      <c r="F1539" s="57">
        <v>36</v>
      </c>
      <c r="G1539" s="60">
        <v>665</v>
      </c>
      <c r="H1539" s="61" t="s">
        <v>1321</v>
      </c>
      <c r="I1539" s="50" t="s">
        <v>1322</v>
      </c>
      <c r="J1539" s="50" t="s">
        <v>1323</v>
      </c>
      <c r="K1539" s="62">
        <v>5102</v>
      </c>
      <c r="L1539" s="57">
        <v>205</v>
      </c>
      <c r="M1539" s="50" t="s">
        <v>26</v>
      </c>
      <c r="N1539" s="50" t="s">
        <v>317</v>
      </c>
      <c r="O1539" s="64">
        <v>39.43</v>
      </c>
      <c r="P1539" s="65">
        <v>12</v>
      </c>
      <c r="Q1539" s="64">
        <v>4.7300000000000004</v>
      </c>
      <c r="R1539" s="63">
        <v>0</v>
      </c>
      <c r="S1539" s="64">
        <v>0</v>
      </c>
    </row>
    <row r="1540" spans="1:19" ht="11.1" customHeight="1" x14ac:dyDescent="0.25">
      <c r="A1540" s="57">
        <v>112845</v>
      </c>
      <c r="B1540" s="53">
        <v>46121</v>
      </c>
      <c r="C1540" s="58">
        <v>46121</v>
      </c>
      <c r="D1540" s="59" t="s">
        <v>1326</v>
      </c>
      <c r="E1540" s="50" t="s">
        <v>313</v>
      </c>
      <c r="F1540" s="57">
        <v>36</v>
      </c>
      <c r="G1540" s="60">
        <v>665</v>
      </c>
      <c r="H1540" s="61" t="s">
        <v>1321</v>
      </c>
      <c r="I1540" s="50" t="s">
        <v>1322</v>
      </c>
      <c r="J1540" s="50" t="s">
        <v>1323</v>
      </c>
      <c r="K1540" s="62">
        <v>5102</v>
      </c>
      <c r="L1540" s="57">
        <v>205</v>
      </c>
      <c r="M1540" s="50" t="s">
        <v>26</v>
      </c>
      <c r="N1540" s="50" t="s">
        <v>317</v>
      </c>
      <c r="O1540" s="64">
        <v>185.39</v>
      </c>
      <c r="P1540" s="65">
        <v>12</v>
      </c>
      <c r="Q1540" s="64">
        <v>22.24</v>
      </c>
      <c r="R1540" s="63">
        <v>0</v>
      </c>
      <c r="S1540" s="64">
        <v>0</v>
      </c>
    </row>
    <row r="1541" spans="1:19" ht="11.1" customHeight="1" x14ac:dyDescent="0.25">
      <c r="A1541" s="57">
        <v>112848</v>
      </c>
      <c r="B1541" s="53">
        <v>46121</v>
      </c>
      <c r="C1541" s="58">
        <v>46121</v>
      </c>
      <c r="D1541" s="59" t="s">
        <v>1327</v>
      </c>
      <c r="E1541" s="50" t="s">
        <v>313</v>
      </c>
      <c r="F1541" s="57">
        <v>36</v>
      </c>
      <c r="G1541" s="60">
        <v>665</v>
      </c>
      <c r="H1541" s="61" t="s">
        <v>1321</v>
      </c>
      <c r="I1541" s="50" t="s">
        <v>1322</v>
      </c>
      <c r="J1541" s="50" t="s">
        <v>1323</v>
      </c>
      <c r="K1541" s="62">
        <v>5403</v>
      </c>
      <c r="L1541" s="57">
        <v>207</v>
      </c>
      <c r="M1541" s="50" t="s">
        <v>26</v>
      </c>
      <c r="N1541" s="50" t="s">
        <v>317</v>
      </c>
      <c r="O1541" s="64">
        <v>36.9</v>
      </c>
      <c r="P1541" s="65">
        <v>12</v>
      </c>
      <c r="Q1541" s="64">
        <v>4.43</v>
      </c>
      <c r="R1541" s="63">
        <v>0</v>
      </c>
      <c r="S1541" s="64">
        <v>2.58</v>
      </c>
    </row>
    <row r="1542" spans="1:19" ht="11.1" customHeight="1" x14ac:dyDescent="0.25">
      <c r="N1542" s="50" t="s">
        <v>318</v>
      </c>
      <c r="O1542" s="64">
        <v>49.82</v>
      </c>
      <c r="P1542" s="65">
        <v>20</v>
      </c>
      <c r="Q1542" s="64">
        <v>2.58</v>
      </c>
      <c r="R1542" s="63">
        <v>0</v>
      </c>
      <c r="S1542" s="64">
        <v>0</v>
      </c>
    </row>
    <row r="1543" spans="1:19" ht="11.1" customHeight="1" x14ac:dyDescent="0.25">
      <c r="A1543" s="57">
        <v>112899</v>
      </c>
      <c r="B1543" s="53">
        <v>46122</v>
      </c>
      <c r="C1543" s="58">
        <v>46122</v>
      </c>
      <c r="D1543" s="59" t="s">
        <v>1328</v>
      </c>
      <c r="E1543" s="50" t="s">
        <v>313</v>
      </c>
      <c r="F1543" s="57">
        <v>36</v>
      </c>
      <c r="G1543" s="60">
        <v>665</v>
      </c>
      <c r="H1543" s="61" t="s">
        <v>1321</v>
      </c>
      <c r="I1543" s="50" t="s">
        <v>1322</v>
      </c>
      <c r="J1543" s="50" t="s">
        <v>1323</v>
      </c>
      <c r="K1543" s="62">
        <v>5102</v>
      </c>
      <c r="L1543" s="57">
        <v>205</v>
      </c>
      <c r="M1543" s="50" t="s">
        <v>26</v>
      </c>
      <c r="N1543" s="50" t="s">
        <v>317</v>
      </c>
      <c r="O1543" s="64">
        <v>12.46</v>
      </c>
      <c r="P1543" s="65">
        <v>12</v>
      </c>
      <c r="Q1543" s="64">
        <v>1.5</v>
      </c>
      <c r="R1543" s="63">
        <v>0</v>
      </c>
      <c r="S1543" s="64">
        <v>0</v>
      </c>
    </row>
    <row r="1544" spans="1:19" ht="11.1" customHeight="1" x14ac:dyDescent="0.25">
      <c r="A1544" s="57">
        <v>112933</v>
      </c>
      <c r="B1544" s="53">
        <v>46125</v>
      </c>
      <c r="C1544" s="58">
        <v>46125</v>
      </c>
      <c r="D1544" s="59" t="s">
        <v>1329</v>
      </c>
      <c r="E1544" s="50" t="s">
        <v>313</v>
      </c>
      <c r="F1544" s="57">
        <v>36</v>
      </c>
      <c r="G1544" s="60">
        <v>665</v>
      </c>
      <c r="H1544" s="61" t="s">
        <v>1321</v>
      </c>
      <c r="I1544" s="50" t="s">
        <v>1322</v>
      </c>
      <c r="J1544" s="50" t="s">
        <v>1323</v>
      </c>
      <c r="K1544" s="62">
        <v>5102</v>
      </c>
      <c r="L1544" s="57">
        <v>205</v>
      </c>
      <c r="M1544" s="50" t="s">
        <v>26</v>
      </c>
      <c r="N1544" s="50" t="s">
        <v>317</v>
      </c>
      <c r="O1544" s="64">
        <v>34.14</v>
      </c>
      <c r="P1544" s="65">
        <v>12</v>
      </c>
      <c r="Q1544" s="64">
        <v>4.0999999999999996</v>
      </c>
      <c r="R1544" s="63">
        <v>0</v>
      </c>
      <c r="S1544" s="64">
        <v>0</v>
      </c>
    </row>
    <row r="1545" spans="1:19" ht="11.1" customHeight="1" x14ac:dyDescent="0.25">
      <c r="A1545" s="57">
        <v>113046</v>
      </c>
      <c r="B1545" s="53">
        <v>46126</v>
      </c>
      <c r="C1545" s="58">
        <v>46126</v>
      </c>
      <c r="D1545" s="59" t="s">
        <v>1330</v>
      </c>
      <c r="E1545" s="50" t="s">
        <v>313</v>
      </c>
      <c r="F1545" s="57">
        <v>36</v>
      </c>
      <c r="G1545" s="60">
        <v>665</v>
      </c>
      <c r="H1545" s="61" t="s">
        <v>1321</v>
      </c>
      <c r="I1545" s="50" t="s">
        <v>1322</v>
      </c>
      <c r="J1545" s="50" t="s">
        <v>1323</v>
      </c>
      <c r="K1545" s="62">
        <v>5102</v>
      </c>
      <c r="L1545" s="57">
        <v>205</v>
      </c>
      <c r="M1545" s="50" t="s">
        <v>26</v>
      </c>
      <c r="N1545" s="50" t="s">
        <v>317</v>
      </c>
      <c r="O1545" s="64">
        <v>30.91</v>
      </c>
      <c r="P1545" s="65">
        <v>12</v>
      </c>
      <c r="Q1545" s="64">
        <v>3.71</v>
      </c>
      <c r="R1545" s="63">
        <v>0</v>
      </c>
      <c r="S1545" s="64">
        <v>0</v>
      </c>
    </row>
    <row r="1546" spans="1:19" ht="11.1" customHeight="1" x14ac:dyDescent="0.25">
      <c r="A1546" s="57">
        <v>113339</v>
      </c>
      <c r="B1546" s="53">
        <v>46135</v>
      </c>
      <c r="C1546" s="58">
        <v>46135</v>
      </c>
      <c r="D1546" s="59" t="s">
        <v>1331</v>
      </c>
      <c r="E1546" s="50" t="s">
        <v>313</v>
      </c>
      <c r="F1546" s="57">
        <v>36</v>
      </c>
      <c r="G1546" s="60">
        <v>665</v>
      </c>
      <c r="H1546" s="61" t="s">
        <v>1321</v>
      </c>
      <c r="I1546" s="50" t="s">
        <v>1322</v>
      </c>
      <c r="J1546" s="50" t="s">
        <v>1323</v>
      </c>
      <c r="K1546" s="62">
        <v>5102</v>
      </c>
      <c r="L1546" s="57">
        <v>205</v>
      </c>
      <c r="M1546" s="50" t="s">
        <v>26</v>
      </c>
      <c r="N1546" s="50" t="s">
        <v>317</v>
      </c>
      <c r="O1546" s="64">
        <v>227.19</v>
      </c>
      <c r="P1546" s="65">
        <v>12</v>
      </c>
      <c r="Q1546" s="64">
        <v>27.26</v>
      </c>
      <c r="R1546" s="63">
        <v>0</v>
      </c>
      <c r="S1546" s="64">
        <v>0</v>
      </c>
    </row>
    <row r="1547" spans="1:19" ht="11.1" customHeight="1" x14ac:dyDescent="0.25">
      <c r="A1547" s="57">
        <v>113399</v>
      </c>
      <c r="B1547" s="53">
        <v>46136</v>
      </c>
      <c r="C1547" s="58">
        <v>46136</v>
      </c>
      <c r="D1547" s="59" t="s">
        <v>1332</v>
      </c>
      <c r="E1547" s="50" t="s">
        <v>313</v>
      </c>
      <c r="F1547" s="57">
        <v>36</v>
      </c>
      <c r="G1547" s="60">
        <v>665</v>
      </c>
      <c r="H1547" s="61" t="s">
        <v>1321</v>
      </c>
      <c r="I1547" s="50" t="s">
        <v>1322</v>
      </c>
      <c r="J1547" s="50" t="s">
        <v>1323</v>
      </c>
      <c r="K1547" s="62">
        <v>5102</v>
      </c>
      <c r="L1547" s="57">
        <v>205</v>
      </c>
      <c r="M1547" s="50" t="s">
        <v>26</v>
      </c>
      <c r="N1547" s="50" t="s">
        <v>317</v>
      </c>
      <c r="O1547" s="64">
        <v>161.83000000000001</v>
      </c>
      <c r="P1547" s="65">
        <v>12</v>
      </c>
      <c r="Q1547" s="64">
        <v>19.41</v>
      </c>
      <c r="R1547" s="63">
        <v>0</v>
      </c>
      <c r="S1547" s="64">
        <v>0</v>
      </c>
    </row>
    <row r="1548" spans="1:19" ht="11.1" customHeight="1" x14ac:dyDescent="0.25">
      <c r="A1548" s="57">
        <v>113404</v>
      </c>
      <c r="B1548" s="53">
        <v>46136</v>
      </c>
      <c r="C1548" s="58">
        <v>46136</v>
      </c>
      <c r="D1548" s="59" t="s">
        <v>1333</v>
      </c>
      <c r="E1548" s="50" t="s">
        <v>313</v>
      </c>
      <c r="F1548" s="57">
        <v>36</v>
      </c>
      <c r="G1548" s="60">
        <v>665</v>
      </c>
      <c r="H1548" s="61" t="s">
        <v>1321</v>
      </c>
      <c r="I1548" s="50" t="s">
        <v>1322</v>
      </c>
      <c r="J1548" s="50" t="s">
        <v>1323</v>
      </c>
      <c r="K1548" s="62">
        <v>5102</v>
      </c>
      <c r="L1548" s="57">
        <v>205</v>
      </c>
      <c r="M1548" s="50" t="s">
        <v>26</v>
      </c>
      <c r="N1548" s="50" t="s">
        <v>317</v>
      </c>
      <c r="O1548" s="64">
        <v>22.39</v>
      </c>
      <c r="P1548" s="65">
        <v>12</v>
      </c>
      <c r="Q1548" s="64">
        <v>2.69</v>
      </c>
      <c r="R1548" s="63">
        <v>0</v>
      </c>
      <c r="S1548" s="64">
        <v>0</v>
      </c>
    </row>
    <row r="1549" spans="1:19" ht="11.85" customHeight="1" x14ac:dyDescent="0.25">
      <c r="A1549" s="66" t="s">
        <v>320</v>
      </c>
      <c r="B1549" s="66"/>
      <c r="C1549" s="66"/>
      <c r="D1549" s="66"/>
      <c r="E1549" s="66"/>
      <c r="F1549" s="66"/>
      <c r="G1549" s="66"/>
      <c r="H1549" s="66"/>
    </row>
    <row r="1550" spans="1:19" ht="11.1" customHeight="1" x14ac:dyDescent="0.25">
      <c r="N1550" s="50" t="s">
        <v>317</v>
      </c>
      <c r="O1550" s="64">
        <v>908.51</v>
      </c>
      <c r="Q1550" s="64">
        <v>109.01</v>
      </c>
      <c r="R1550" s="63">
        <v>0</v>
      </c>
      <c r="S1550" s="64">
        <v>5.12</v>
      </c>
    </row>
    <row r="1551" spans="1:19" ht="11.1" customHeight="1" x14ac:dyDescent="0.25">
      <c r="N1551" s="50" t="s">
        <v>318</v>
      </c>
      <c r="O1551" s="64">
        <v>98.8</v>
      </c>
      <c r="Q1551" s="64">
        <v>5.12</v>
      </c>
      <c r="R1551" s="63">
        <v>0</v>
      </c>
      <c r="S1551" s="64">
        <v>0</v>
      </c>
    </row>
    <row r="1552" spans="1:19" ht="11.1" customHeight="1" x14ac:dyDescent="0.25">
      <c r="A1552" s="57">
        <v>112461</v>
      </c>
      <c r="B1552" s="53">
        <v>46113</v>
      </c>
      <c r="C1552" s="58">
        <v>46113</v>
      </c>
      <c r="D1552" s="59" t="s">
        <v>1334</v>
      </c>
      <c r="E1552" s="50" t="s">
        <v>313</v>
      </c>
      <c r="F1552" s="57">
        <v>36</v>
      </c>
      <c r="G1552" s="60">
        <v>137</v>
      </c>
      <c r="H1552" s="61" t="s">
        <v>1335</v>
      </c>
      <c r="I1552" s="50" t="s">
        <v>1336</v>
      </c>
      <c r="J1552" s="50" t="s">
        <v>1337</v>
      </c>
      <c r="K1552" s="62">
        <v>5910</v>
      </c>
      <c r="L1552" s="57">
        <v>208</v>
      </c>
      <c r="M1552" s="50" t="s">
        <v>26</v>
      </c>
      <c r="N1552" s="50" t="s">
        <v>317</v>
      </c>
      <c r="O1552" s="64">
        <v>293.8</v>
      </c>
      <c r="P1552" s="65">
        <v>12</v>
      </c>
      <c r="Q1552" s="64">
        <v>35.25</v>
      </c>
      <c r="R1552" s="63">
        <v>0</v>
      </c>
      <c r="S1552" s="64">
        <v>3558.52</v>
      </c>
    </row>
    <row r="1553" spans="1:19" ht="11.1" customHeight="1" x14ac:dyDescent="0.25">
      <c r="A1553" s="57">
        <v>112656</v>
      </c>
      <c r="B1553" s="53">
        <v>46119</v>
      </c>
      <c r="C1553" s="58">
        <v>46119</v>
      </c>
      <c r="D1553" s="59" t="s">
        <v>1338</v>
      </c>
      <c r="E1553" s="50" t="s">
        <v>313</v>
      </c>
      <c r="F1553" s="57">
        <v>36</v>
      </c>
      <c r="G1553" s="60">
        <v>137</v>
      </c>
      <c r="H1553" s="61" t="s">
        <v>1335</v>
      </c>
      <c r="I1553" s="50" t="s">
        <v>1336</v>
      </c>
      <c r="J1553" s="50" t="s">
        <v>1337</v>
      </c>
      <c r="K1553" s="62">
        <v>5910</v>
      </c>
      <c r="L1553" s="57">
        <v>208</v>
      </c>
      <c r="M1553" s="50" t="s">
        <v>26</v>
      </c>
      <c r="N1553" s="50" t="s">
        <v>317</v>
      </c>
      <c r="O1553" s="64">
        <v>6.23</v>
      </c>
      <c r="P1553" s="65">
        <v>12</v>
      </c>
      <c r="Q1553" s="64">
        <v>0.75</v>
      </c>
      <c r="R1553" s="63">
        <v>0</v>
      </c>
      <c r="S1553" s="64">
        <v>330.23</v>
      </c>
    </row>
    <row r="1554" spans="1:19" ht="11.1" customHeight="1" x14ac:dyDescent="0.25">
      <c r="A1554" s="57">
        <v>113008</v>
      </c>
      <c r="B1554" s="53">
        <v>46126</v>
      </c>
      <c r="C1554" s="58">
        <v>46126</v>
      </c>
      <c r="D1554" s="59" t="s">
        <v>1339</v>
      </c>
      <c r="E1554" s="50" t="s">
        <v>313</v>
      </c>
      <c r="F1554" s="57">
        <v>36</v>
      </c>
      <c r="G1554" s="60">
        <v>137</v>
      </c>
      <c r="H1554" s="61" t="s">
        <v>1335</v>
      </c>
      <c r="I1554" s="50" t="s">
        <v>1336</v>
      </c>
      <c r="J1554" s="50" t="s">
        <v>1337</v>
      </c>
      <c r="K1554" s="62">
        <v>5910</v>
      </c>
      <c r="L1554" s="57">
        <v>208</v>
      </c>
      <c r="M1554" s="50" t="s">
        <v>26</v>
      </c>
      <c r="N1554" s="50" t="s">
        <v>317</v>
      </c>
      <c r="O1554" s="64">
        <v>51</v>
      </c>
      <c r="P1554" s="65">
        <v>12</v>
      </c>
      <c r="Q1554" s="64">
        <v>6.12</v>
      </c>
      <c r="R1554" s="63">
        <v>0</v>
      </c>
      <c r="S1554" s="64">
        <v>0</v>
      </c>
    </row>
    <row r="1555" spans="1:19" ht="11.1" customHeight="1" x14ac:dyDescent="0.25">
      <c r="A1555" s="57">
        <v>113388</v>
      </c>
      <c r="B1555" s="53">
        <v>46136</v>
      </c>
      <c r="C1555" s="58">
        <v>46136</v>
      </c>
      <c r="D1555" s="59" t="s">
        <v>1340</v>
      </c>
      <c r="E1555" s="50" t="s">
        <v>313</v>
      </c>
      <c r="F1555" s="57">
        <v>36</v>
      </c>
      <c r="G1555" s="60">
        <v>137</v>
      </c>
      <c r="H1555" s="61" t="s">
        <v>1335</v>
      </c>
      <c r="I1555" s="50" t="s">
        <v>1336</v>
      </c>
      <c r="J1555" s="50" t="s">
        <v>1337</v>
      </c>
      <c r="K1555" s="62">
        <v>5910</v>
      </c>
      <c r="L1555" s="57">
        <v>208</v>
      </c>
      <c r="M1555" s="50" t="s">
        <v>26</v>
      </c>
      <c r="N1555" s="50" t="s">
        <v>317</v>
      </c>
      <c r="O1555" s="64">
        <v>25.5</v>
      </c>
      <c r="P1555" s="65">
        <v>12</v>
      </c>
      <c r="Q1555" s="64">
        <v>3.06</v>
      </c>
      <c r="R1555" s="63">
        <v>0</v>
      </c>
      <c r="S1555" s="64">
        <v>945.52</v>
      </c>
    </row>
    <row r="1556" spans="1:19" ht="11.1" customHeight="1" x14ac:dyDescent="0.25">
      <c r="A1556" s="57">
        <v>113405</v>
      </c>
      <c r="B1556" s="53">
        <v>46136</v>
      </c>
      <c r="C1556" s="58">
        <v>46136</v>
      </c>
      <c r="D1556" s="59" t="s">
        <v>1341</v>
      </c>
      <c r="E1556" s="50" t="s">
        <v>313</v>
      </c>
      <c r="F1556" s="57">
        <v>36</v>
      </c>
      <c r="G1556" s="60">
        <v>137</v>
      </c>
      <c r="H1556" s="61" t="s">
        <v>1335</v>
      </c>
      <c r="I1556" s="50" t="s">
        <v>1336</v>
      </c>
      <c r="J1556" s="50" t="s">
        <v>1337</v>
      </c>
      <c r="K1556" s="62">
        <v>5910</v>
      </c>
      <c r="L1556" s="57">
        <v>208</v>
      </c>
      <c r="M1556" s="50" t="s">
        <v>26</v>
      </c>
      <c r="N1556" s="50" t="s">
        <v>317</v>
      </c>
      <c r="O1556" s="64">
        <v>0</v>
      </c>
      <c r="P1556" s="65">
        <v>12</v>
      </c>
      <c r="Q1556" s="64">
        <v>0</v>
      </c>
      <c r="R1556" s="63">
        <v>0</v>
      </c>
      <c r="S1556" s="64">
        <v>38.85</v>
      </c>
    </row>
    <row r="1557" spans="1:19" ht="11.85" customHeight="1" x14ac:dyDescent="0.25">
      <c r="A1557" s="66" t="s">
        <v>320</v>
      </c>
      <c r="B1557" s="66"/>
      <c r="C1557" s="66"/>
      <c r="D1557" s="66"/>
      <c r="E1557" s="66"/>
      <c r="F1557" s="66"/>
      <c r="G1557" s="66"/>
      <c r="H1557" s="66"/>
    </row>
    <row r="1558" spans="1:19" ht="11.1" customHeight="1" x14ac:dyDescent="0.25">
      <c r="N1558" s="50" t="s">
        <v>317</v>
      </c>
      <c r="O1558" s="64">
        <v>376.53</v>
      </c>
      <c r="Q1558" s="64">
        <v>45.18</v>
      </c>
      <c r="R1558" s="63">
        <v>0</v>
      </c>
      <c r="S1558" s="64">
        <v>4873.12</v>
      </c>
    </row>
    <row r="1559" spans="1:19" ht="11.1" customHeight="1" x14ac:dyDescent="0.25">
      <c r="A1559" s="57">
        <v>112911</v>
      </c>
      <c r="B1559" s="53">
        <v>46122</v>
      </c>
      <c r="C1559" s="58">
        <v>46122</v>
      </c>
      <c r="D1559" s="59" t="s">
        <v>1342</v>
      </c>
      <c r="E1559" s="50" t="s">
        <v>313</v>
      </c>
      <c r="F1559" s="57">
        <v>36</v>
      </c>
      <c r="G1559" s="60">
        <v>376</v>
      </c>
      <c r="H1559" s="61" t="s">
        <v>1343</v>
      </c>
      <c r="I1559" s="50" t="s">
        <v>1344</v>
      </c>
      <c r="J1559" s="50" t="s">
        <v>1345</v>
      </c>
      <c r="K1559" s="62">
        <v>5403</v>
      </c>
      <c r="L1559" s="57">
        <v>207</v>
      </c>
      <c r="M1559" s="50" t="s">
        <v>26</v>
      </c>
      <c r="N1559" s="50" t="s">
        <v>317</v>
      </c>
      <c r="O1559" s="64">
        <v>356.7</v>
      </c>
      <c r="P1559" s="65">
        <v>12</v>
      </c>
      <c r="Q1559" s="64">
        <v>42.8</v>
      </c>
      <c r="R1559" s="63">
        <v>0</v>
      </c>
      <c r="S1559" s="64">
        <v>24.97</v>
      </c>
    </row>
    <row r="1560" spans="1:19" ht="11.1" customHeight="1" x14ac:dyDescent="0.25">
      <c r="N1560" s="50" t="s">
        <v>318</v>
      </c>
      <c r="O1560" s="64">
        <v>481.55</v>
      </c>
      <c r="P1560" s="65">
        <v>20</v>
      </c>
      <c r="Q1560" s="64">
        <v>24.97</v>
      </c>
      <c r="R1560" s="63">
        <v>0</v>
      </c>
      <c r="S1560" s="64">
        <v>0</v>
      </c>
    </row>
    <row r="1561" spans="1:19" ht="11.1" customHeight="1" x14ac:dyDescent="0.25">
      <c r="A1561" s="57">
        <v>113229</v>
      </c>
      <c r="B1561" s="53">
        <v>46132</v>
      </c>
      <c r="C1561" s="58">
        <v>46132</v>
      </c>
      <c r="D1561" s="59" t="s">
        <v>1346</v>
      </c>
      <c r="E1561" s="50" t="s">
        <v>313</v>
      </c>
      <c r="F1561" s="57">
        <v>36</v>
      </c>
      <c r="G1561" s="60">
        <v>376</v>
      </c>
      <c r="H1561" s="61" t="s">
        <v>1343</v>
      </c>
      <c r="I1561" s="50" t="s">
        <v>1344</v>
      </c>
      <c r="J1561" s="50" t="s">
        <v>1345</v>
      </c>
      <c r="K1561" s="62">
        <v>5403</v>
      </c>
      <c r="L1561" s="57">
        <v>207</v>
      </c>
      <c r="M1561" s="50" t="s">
        <v>26</v>
      </c>
      <c r="N1561" s="50" t="s">
        <v>317</v>
      </c>
      <c r="O1561" s="64">
        <v>190.11</v>
      </c>
      <c r="P1561" s="65">
        <v>12</v>
      </c>
      <c r="Q1561" s="64">
        <v>22.82</v>
      </c>
      <c r="R1561" s="63">
        <v>0</v>
      </c>
      <c r="S1561" s="64">
        <v>13.3</v>
      </c>
    </row>
    <row r="1562" spans="1:19" ht="11.1" customHeight="1" x14ac:dyDescent="0.25">
      <c r="N1562" s="50" t="s">
        <v>318</v>
      </c>
      <c r="O1562" s="64">
        <v>256.64999999999998</v>
      </c>
      <c r="P1562" s="65">
        <v>20</v>
      </c>
      <c r="Q1562" s="64">
        <v>13.3</v>
      </c>
      <c r="R1562" s="63">
        <v>0</v>
      </c>
      <c r="S1562" s="64">
        <v>0</v>
      </c>
    </row>
    <row r="1563" spans="1:19" ht="11.85" customHeight="1" x14ac:dyDescent="0.25">
      <c r="A1563" s="66" t="s">
        <v>320</v>
      </c>
      <c r="B1563" s="66"/>
      <c r="C1563" s="66"/>
      <c r="D1563" s="66"/>
      <c r="E1563" s="66"/>
      <c r="F1563" s="66"/>
      <c r="G1563" s="66"/>
      <c r="H1563" s="66"/>
    </row>
    <row r="1564" spans="1:19" ht="11.1" customHeight="1" x14ac:dyDescent="0.25">
      <c r="N1564" s="50" t="s">
        <v>317</v>
      </c>
      <c r="O1564" s="64">
        <v>546.80999999999995</v>
      </c>
      <c r="Q1564" s="64">
        <v>65.62</v>
      </c>
      <c r="R1564" s="63">
        <v>0</v>
      </c>
      <c r="S1564" s="64">
        <v>38.270000000000003</v>
      </c>
    </row>
    <row r="1565" spans="1:19" ht="11.1" customHeight="1" x14ac:dyDescent="0.25">
      <c r="N1565" s="50" t="s">
        <v>318</v>
      </c>
      <c r="O1565" s="64">
        <v>738.2</v>
      </c>
      <c r="Q1565" s="64">
        <v>38.270000000000003</v>
      </c>
      <c r="R1565" s="63">
        <v>0</v>
      </c>
      <c r="S1565" s="64">
        <v>0</v>
      </c>
    </row>
    <row r="1566" spans="1:19" ht="11.1" customHeight="1" x14ac:dyDescent="0.25">
      <c r="A1566" s="57">
        <v>113125</v>
      </c>
      <c r="B1566" s="53">
        <v>46128</v>
      </c>
      <c r="C1566" s="58">
        <v>46128</v>
      </c>
      <c r="D1566" s="59" t="s">
        <v>1347</v>
      </c>
      <c r="E1566" s="50" t="s">
        <v>313</v>
      </c>
      <c r="F1566" s="57">
        <v>36</v>
      </c>
      <c r="G1566" s="60">
        <v>342</v>
      </c>
      <c r="H1566" s="61" t="s">
        <v>1348</v>
      </c>
      <c r="I1566" s="50" t="s">
        <v>1349</v>
      </c>
      <c r="J1566" s="50" t="s">
        <v>1350</v>
      </c>
      <c r="K1566" s="62">
        <v>5403</v>
      </c>
      <c r="L1566" s="57">
        <v>207</v>
      </c>
      <c r="M1566" s="50" t="s">
        <v>26</v>
      </c>
      <c r="N1566" s="50" t="s">
        <v>317</v>
      </c>
      <c r="O1566" s="64">
        <v>2220.4</v>
      </c>
      <c r="P1566" s="65">
        <v>12</v>
      </c>
      <c r="Q1566" s="64">
        <v>266.45</v>
      </c>
      <c r="R1566" s="63">
        <v>0</v>
      </c>
      <c r="S1566" s="64">
        <v>155.43</v>
      </c>
    </row>
    <row r="1567" spans="1:19" ht="11.1" customHeight="1" x14ac:dyDescent="0.25">
      <c r="N1567" s="50" t="s">
        <v>318</v>
      </c>
      <c r="O1567" s="64">
        <v>2997.54</v>
      </c>
      <c r="P1567" s="65">
        <v>20</v>
      </c>
      <c r="Q1567" s="64">
        <v>155.43</v>
      </c>
      <c r="R1567" s="63">
        <v>0</v>
      </c>
      <c r="S1567" s="64">
        <v>0</v>
      </c>
    </row>
    <row r="1568" spans="1:19" ht="11.1" customHeight="1" x14ac:dyDescent="0.25">
      <c r="A1568" s="57">
        <v>113438</v>
      </c>
      <c r="B1568" s="53">
        <v>46139</v>
      </c>
      <c r="C1568" s="58">
        <v>46139</v>
      </c>
      <c r="D1568" s="59" t="s">
        <v>1351</v>
      </c>
      <c r="E1568" s="50" t="s">
        <v>313</v>
      </c>
      <c r="F1568" s="57">
        <v>36</v>
      </c>
      <c r="G1568" s="60">
        <v>342</v>
      </c>
      <c r="H1568" s="61" t="s">
        <v>1348</v>
      </c>
      <c r="I1568" s="50" t="s">
        <v>1349</v>
      </c>
      <c r="J1568" s="50" t="s">
        <v>1350</v>
      </c>
      <c r="K1568" s="62">
        <v>5403</v>
      </c>
      <c r="L1568" s="57">
        <v>207</v>
      </c>
      <c r="M1568" s="50" t="s">
        <v>26</v>
      </c>
      <c r="N1568" s="50" t="s">
        <v>317</v>
      </c>
      <c r="O1568" s="64">
        <v>339.8</v>
      </c>
      <c r="P1568" s="65">
        <v>12</v>
      </c>
      <c r="Q1568" s="64">
        <v>40.78</v>
      </c>
      <c r="R1568" s="63">
        <v>0</v>
      </c>
      <c r="S1568" s="64">
        <v>23.79</v>
      </c>
    </row>
    <row r="1569" spans="1:19" ht="11.1" customHeight="1" x14ac:dyDescent="0.25">
      <c r="N1569" s="50" t="s">
        <v>318</v>
      </c>
      <c r="O1569" s="64">
        <v>458.73</v>
      </c>
      <c r="P1569" s="65">
        <v>20</v>
      </c>
      <c r="Q1569" s="64">
        <v>23.79</v>
      </c>
      <c r="R1569" s="63">
        <v>0</v>
      </c>
      <c r="S1569" s="64">
        <v>0</v>
      </c>
    </row>
    <row r="1570" spans="1:19" ht="11.1" customHeight="1" x14ac:dyDescent="0.25">
      <c r="A1570" s="57">
        <v>113465</v>
      </c>
      <c r="B1570" s="53">
        <v>46139</v>
      </c>
      <c r="C1570" s="58">
        <v>46139</v>
      </c>
      <c r="D1570" s="59" t="s">
        <v>1352</v>
      </c>
      <c r="E1570" s="50" t="s">
        <v>313</v>
      </c>
      <c r="F1570" s="57">
        <v>36</v>
      </c>
      <c r="G1570" s="60">
        <v>342</v>
      </c>
      <c r="H1570" s="61" t="s">
        <v>1348</v>
      </c>
      <c r="I1570" s="50" t="s">
        <v>1349</v>
      </c>
      <c r="J1570" s="50" t="s">
        <v>1350</v>
      </c>
      <c r="K1570" s="62">
        <v>5403</v>
      </c>
      <c r="L1570" s="57">
        <v>207</v>
      </c>
      <c r="M1570" s="50" t="s">
        <v>26</v>
      </c>
      <c r="N1570" s="50" t="s">
        <v>317</v>
      </c>
      <c r="O1570" s="64">
        <v>224.04</v>
      </c>
      <c r="P1570" s="65">
        <v>12</v>
      </c>
      <c r="Q1570" s="64">
        <v>26.88</v>
      </c>
      <c r="R1570" s="63">
        <v>0</v>
      </c>
      <c r="S1570" s="64">
        <v>15.68</v>
      </c>
    </row>
    <row r="1571" spans="1:19" ht="11.1" customHeight="1" x14ac:dyDescent="0.25">
      <c r="N1571" s="50" t="s">
        <v>318</v>
      </c>
      <c r="O1571" s="64">
        <v>302.45</v>
      </c>
      <c r="P1571" s="65">
        <v>20</v>
      </c>
      <c r="Q1571" s="64">
        <v>15.68</v>
      </c>
      <c r="R1571" s="63">
        <v>0</v>
      </c>
      <c r="S1571" s="64">
        <v>0</v>
      </c>
    </row>
    <row r="1572" spans="1:19" ht="11.1" customHeight="1" x14ac:dyDescent="0.25">
      <c r="A1572" s="57">
        <v>113467</v>
      </c>
      <c r="B1572" s="53">
        <v>46139</v>
      </c>
      <c r="C1572" s="58">
        <v>46139</v>
      </c>
      <c r="D1572" s="59" t="s">
        <v>1353</v>
      </c>
      <c r="E1572" s="50" t="s">
        <v>313</v>
      </c>
      <c r="F1572" s="57">
        <v>36</v>
      </c>
      <c r="G1572" s="60">
        <v>342</v>
      </c>
      <c r="H1572" s="61" t="s">
        <v>1348</v>
      </c>
      <c r="I1572" s="50" t="s">
        <v>1349</v>
      </c>
      <c r="J1572" s="50" t="s">
        <v>1350</v>
      </c>
      <c r="K1572" s="62">
        <v>5403</v>
      </c>
      <c r="L1572" s="57">
        <v>207</v>
      </c>
      <c r="M1572" s="50" t="s">
        <v>26</v>
      </c>
      <c r="N1572" s="50" t="s">
        <v>317</v>
      </c>
      <c r="O1572" s="64">
        <v>224.04</v>
      </c>
      <c r="P1572" s="65">
        <v>12</v>
      </c>
      <c r="Q1572" s="64">
        <v>26.88</v>
      </c>
      <c r="R1572" s="63">
        <v>0</v>
      </c>
      <c r="S1572" s="64">
        <v>15.68</v>
      </c>
    </row>
    <row r="1573" spans="1:19" ht="11.1" customHeight="1" x14ac:dyDescent="0.25">
      <c r="N1573" s="50" t="s">
        <v>318</v>
      </c>
      <c r="O1573" s="64">
        <v>302.45</v>
      </c>
      <c r="P1573" s="65">
        <v>20</v>
      </c>
      <c r="Q1573" s="64">
        <v>15.68</v>
      </c>
      <c r="R1573" s="63">
        <v>0</v>
      </c>
      <c r="S1573" s="64">
        <v>0</v>
      </c>
    </row>
    <row r="1574" spans="1:19" ht="11.1" customHeight="1" x14ac:dyDescent="0.25">
      <c r="A1574" s="57">
        <v>113492</v>
      </c>
      <c r="B1574" s="53">
        <v>46139</v>
      </c>
      <c r="C1574" s="58">
        <v>46139</v>
      </c>
      <c r="D1574" s="59" t="s">
        <v>1354</v>
      </c>
      <c r="E1574" s="50" t="s">
        <v>313</v>
      </c>
      <c r="F1574" s="57">
        <v>36</v>
      </c>
      <c r="G1574" s="60">
        <v>342</v>
      </c>
      <c r="H1574" s="61" t="s">
        <v>1348</v>
      </c>
      <c r="I1574" s="50" t="s">
        <v>1349</v>
      </c>
      <c r="J1574" s="50" t="s">
        <v>1350</v>
      </c>
      <c r="K1574" s="62">
        <v>5403</v>
      </c>
      <c r="L1574" s="57">
        <v>207</v>
      </c>
      <c r="M1574" s="50" t="s">
        <v>26</v>
      </c>
      <c r="N1574" s="50" t="s">
        <v>317</v>
      </c>
      <c r="O1574" s="64">
        <v>3642.16</v>
      </c>
      <c r="P1574" s="65">
        <v>12</v>
      </c>
      <c r="Q1574" s="64">
        <v>437.06</v>
      </c>
      <c r="R1574" s="63">
        <v>0</v>
      </c>
      <c r="S1574" s="64">
        <v>254.97</v>
      </c>
    </row>
    <row r="1575" spans="1:19" ht="11.1" customHeight="1" x14ac:dyDescent="0.25">
      <c r="N1575" s="50" t="s">
        <v>318</v>
      </c>
      <c r="O1575" s="64">
        <v>4916.91</v>
      </c>
      <c r="P1575" s="65">
        <v>20</v>
      </c>
      <c r="Q1575" s="64">
        <v>254.97</v>
      </c>
      <c r="R1575" s="63">
        <v>0</v>
      </c>
      <c r="S1575" s="64">
        <v>0</v>
      </c>
    </row>
    <row r="1576" spans="1:19" ht="11.1" customHeight="1" x14ac:dyDescent="0.25">
      <c r="A1576" s="57">
        <v>113593</v>
      </c>
      <c r="B1576" s="53">
        <v>46141</v>
      </c>
      <c r="C1576" s="58">
        <v>46141</v>
      </c>
      <c r="D1576" s="59" t="s">
        <v>1355</v>
      </c>
      <c r="E1576" s="50" t="s">
        <v>313</v>
      </c>
      <c r="F1576" s="57">
        <v>36</v>
      </c>
      <c r="G1576" s="60">
        <v>342</v>
      </c>
      <c r="H1576" s="61" t="s">
        <v>1348</v>
      </c>
      <c r="I1576" s="50" t="s">
        <v>1349</v>
      </c>
      <c r="J1576" s="50" t="s">
        <v>1350</v>
      </c>
      <c r="K1576" s="62">
        <v>5102</v>
      </c>
      <c r="L1576" s="57">
        <v>205</v>
      </c>
      <c r="M1576" s="50" t="s">
        <v>26</v>
      </c>
      <c r="N1576" s="50" t="s">
        <v>317</v>
      </c>
      <c r="O1576" s="64">
        <v>62.44</v>
      </c>
      <c r="P1576" s="65">
        <v>12</v>
      </c>
      <c r="Q1576" s="64">
        <v>7.49</v>
      </c>
      <c r="R1576" s="63">
        <v>0</v>
      </c>
      <c r="S1576" s="64">
        <v>0</v>
      </c>
    </row>
    <row r="1577" spans="1:19" ht="11.1" customHeight="1" x14ac:dyDescent="0.25">
      <c r="A1577" s="57">
        <v>113594</v>
      </c>
      <c r="B1577" s="53">
        <v>46141</v>
      </c>
      <c r="C1577" s="58">
        <v>46141</v>
      </c>
      <c r="D1577" s="59" t="s">
        <v>1355</v>
      </c>
      <c r="E1577" s="50" t="s">
        <v>313</v>
      </c>
      <c r="F1577" s="57">
        <v>36</v>
      </c>
      <c r="G1577" s="60">
        <v>342</v>
      </c>
      <c r="H1577" s="61" t="s">
        <v>1348</v>
      </c>
      <c r="I1577" s="50" t="s">
        <v>1349</v>
      </c>
      <c r="J1577" s="50" t="s">
        <v>1350</v>
      </c>
      <c r="K1577" s="62">
        <v>5403</v>
      </c>
      <c r="L1577" s="57">
        <v>207</v>
      </c>
      <c r="M1577" s="50" t="s">
        <v>26</v>
      </c>
      <c r="N1577" s="50" t="s">
        <v>317</v>
      </c>
      <c r="O1577" s="64">
        <v>687.8</v>
      </c>
      <c r="P1577" s="65">
        <v>12</v>
      </c>
      <c r="Q1577" s="64">
        <v>82.53</v>
      </c>
      <c r="R1577" s="63">
        <v>0</v>
      </c>
      <c r="S1577" s="64">
        <v>48.15</v>
      </c>
    </row>
    <row r="1578" spans="1:19" ht="11.1" customHeight="1" x14ac:dyDescent="0.25">
      <c r="N1578" s="50" t="s">
        <v>318</v>
      </c>
      <c r="O1578" s="64">
        <v>928.53</v>
      </c>
      <c r="P1578" s="65">
        <v>20</v>
      </c>
      <c r="Q1578" s="64">
        <v>48.15</v>
      </c>
      <c r="R1578" s="63">
        <v>0</v>
      </c>
      <c r="S1578" s="64">
        <v>0</v>
      </c>
    </row>
    <row r="1579" spans="1:19" ht="11.85" customHeight="1" x14ac:dyDescent="0.25">
      <c r="A1579" s="66" t="s">
        <v>320</v>
      </c>
      <c r="B1579" s="66"/>
      <c r="C1579" s="66"/>
      <c r="D1579" s="66"/>
      <c r="E1579" s="66"/>
      <c r="F1579" s="66"/>
      <c r="G1579" s="66"/>
      <c r="H1579" s="66"/>
    </row>
    <row r="1580" spans="1:19" ht="11.1" customHeight="1" x14ac:dyDescent="0.25">
      <c r="N1580" s="50" t="s">
        <v>317</v>
      </c>
      <c r="O1580" s="64">
        <v>7400.68</v>
      </c>
      <c r="Q1580" s="64">
        <v>888.07</v>
      </c>
      <c r="R1580" s="63">
        <v>0</v>
      </c>
      <c r="S1580" s="64">
        <v>513.70000000000005</v>
      </c>
    </row>
    <row r="1581" spans="1:19" ht="11.1" customHeight="1" x14ac:dyDescent="0.25">
      <c r="N1581" s="50" t="s">
        <v>318</v>
      </c>
      <c r="O1581" s="64">
        <v>9906.61</v>
      </c>
      <c r="Q1581" s="64">
        <v>513.70000000000005</v>
      </c>
      <c r="R1581" s="63">
        <v>0</v>
      </c>
      <c r="S1581" s="64">
        <v>0</v>
      </c>
    </row>
    <row r="1582" spans="1:19" ht="11.1" customHeight="1" x14ac:dyDescent="0.25">
      <c r="A1582" s="57">
        <v>112761</v>
      </c>
      <c r="B1582" s="53">
        <v>46120</v>
      </c>
      <c r="C1582" s="58">
        <v>46120</v>
      </c>
      <c r="D1582" s="59" t="s">
        <v>1356</v>
      </c>
      <c r="E1582" s="50" t="s">
        <v>313</v>
      </c>
      <c r="F1582" s="57">
        <v>36</v>
      </c>
      <c r="G1582" s="60">
        <v>223</v>
      </c>
      <c r="H1582" s="61" t="s">
        <v>1357</v>
      </c>
      <c r="I1582" s="50" t="s">
        <v>1358</v>
      </c>
      <c r="J1582" s="50" t="s">
        <v>1359</v>
      </c>
      <c r="K1582" s="62">
        <v>5403</v>
      </c>
      <c r="L1582" s="57">
        <v>207</v>
      </c>
      <c r="M1582" s="50" t="s">
        <v>26</v>
      </c>
      <c r="N1582" s="50" t="s">
        <v>317</v>
      </c>
      <c r="O1582" s="64">
        <v>341.44</v>
      </c>
      <c r="P1582" s="65">
        <v>12</v>
      </c>
      <c r="Q1582" s="64">
        <v>40.97</v>
      </c>
      <c r="R1582" s="63">
        <v>0</v>
      </c>
      <c r="S1582" s="64">
        <v>23.9</v>
      </c>
    </row>
    <row r="1583" spans="1:19" ht="11.1" customHeight="1" x14ac:dyDescent="0.25">
      <c r="N1583" s="50" t="s">
        <v>318</v>
      </c>
      <c r="O1583" s="64">
        <v>460.95</v>
      </c>
      <c r="P1583" s="65">
        <v>20</v>
      </c>
      <c r="Q1583" s="64">
        <v>23.9</v>
      </c>
      <c r="R1583" s="63">
        <v>0</v>
      </c>
      <c r="S1583" s="64">
        <v>0</v>
      </c>
    </row>
    <row r="1584" spans="1:19" ht="11.1" customHeight="1" x14ac:dyDescent="0.25">
      <c r="A1584" s="57">
        <v>112767</v>
      </c>
      <c r="B1584" s="53">
        <v>46120</v>
      </c>
      <c r="C1584" s="58">
        <v>46120</v>
      </c>
      <c r="D1584" s="59" t="s">
        <v>1360</v>
      </c>
      <c r="E1584" s="50" t="s">
        <v>313</v>
      </c>
      <c r="F1584" s="57">
        <v>36</v>
      </c>
      <c r="G1584" s="60">
        <v>223</v>
      </c>
      <c r="H1584" s="61" t="s">
        <v>1357</v>
      </c>
      <c r="I1584" s="50" t="s">
        <v>1358</v>
      </c>
      <c r="J1584" s="50" t="s">
        <v>1359</v>
      </c>
      <c r="K1584" s="62">
        <v>5102</v>
      </c>
      <c r="L1584" s="57">
        <v>205</v>
      </c>
      <c r="M1584" s="50" t="s">
        <v>26</v>
      </c>
      <c r="N1584" s="50" t="s">
        <v>317</v>
      </c>
      <c r="O1584" s="64">
        <v>178.26</v>
      </c>
      <c r="P1584" s="65">
        <v>12</v>
      </c>
      <c r="Q1584" s="64">
        <v>21.39</v>
      </c>
      <c r="R1584" s="63">
        <v>0</v>
      </c>
      <c r="S1584" s="64">
        <v>0</v>
      </c>
    </row>
    <row r="1585" spans="1:19" ht="11.1" customHeight="1" x14ac:dyDescent="0.25">
      <c r="A1585" s="57">
        <v>112768</v>
      </c>
      <c r="B1585" s="53">
        <v>46120</v>
      </c>
      <c r="C1585" s="58">
        <v>46120</v>
      </c>
      <c r="D1585" s="59" t="s">
        <v>1360</v>
      </c>
      <c r="E1585" s="50" t="s">
        <v>313</v>
      </c>
      <c r="F1585" s="57">
        <v>36</v>
      </c>
      <c r="G1585" s="60">
        <v>223</v>
      </c>
      <c r="H1585" s="61" t="s">
        <v>1357</v>
      </c>
      <c r="I1585" s="50" t="s">
        <v>1358</v>
      </c>
      <c r="J1585" s="50" t="s">
        <v>1359</v>
      </c>
      <c r="K1585" s="62">
        <v>5403</v>
      </c>
      <c r="L1585" s="57">
        <v>207</v>
      </c>
      <c r="M1585" s="50" t="s">
        <v>26</v>
      </c>
      <c r="N1585" s="50" t="s">
        <v>317</v>
      </c>
      <c r="O1585" s="64">
        <v>162.34</v>
      </c>
      <c r="P1585" s="65">
        <v>12</v>
      </c>
      <c r="Q1585" s="64">
        <v>19.48</v>
      </c>
      <c r="R1585" s="63">
        <v>0</v>
      </c>
      <c r="S1585" s="64">
        <v>11.36</v>
      </c>
    </row>
    <row r="1586" spans="1:19" ht="11.1" customHeight="1" x14ac:dyDescent="0.25">
      <c r="N1586" s="50" t="s">
        <v>318</v>
      </c>
      <c r="O1586" s="64">
        <v>219.16</v>
      </c>
      <c r="P1586" s="65">
        <v>20</v>
      </c>
      <c r="Q1586" s="64">
        <v>11.36</v>
      </c>
      <c r="R1586" s="63">
        <v>0</v>
      </c>
      <c r="S1586" s="64">
        <v>0</v>
      </c>
    </row>
    <row r="1587" spans="1:19" ht="11.1" customHeight="1" x14ac:dyDescent="0.25">
      <c r="A1587" s="57">
        <v>112912</v>
      </c>
      <c r="B1587" s="53">
        <v>46122</v>
      </c>
      <c r="C1587" s="58">
        <v>46122</v>
      </c>
      <c r="D1587" s="59" t="s">
        <v>1361</v>
      </c>
      <c r="E1587" s="50" t="s">
        <v>313</v>
      </c>
      <c r="F1587" s="57">
        <v>36</v>
      </c>
      <c r="G1587" s="60">
        <v>223</v>
      </c>
      <c r="H1587" s="61" t="s">
        <v>1357</v>
      </c>
      <c r="I1587" s="50" t="s">
        <v>1358</v>
      </c>
      <c r="J1587" s="50" t="s">
        <v>1359</v>
      </c>
      <c r="K1587" s="62">
        <v>5403</v>
      </c>
      <c r="L1587" s="57">
        <v>207</v>
      </c>
      <c r="M1587" s="50" t="s">
        <v>26</v>
      </c>
      <c r="N1587" s="50" t="s">
        <v>317</v>
      </c>
      <c r="O1587" s="64">
        <v>158.6</v>
      </c>
      <c r="P1587" s="65">
        <v>12</v>
      </c>
      <c r="Q1587" s="64">
        <v>19.03</v>
      </c>
      <c r="R1587" s="63">
        <v>0</v>
      </c>
      <c r="S1587" s="64">
        <v>11.1</v>
      </c>
    </row>
    <row r="1588" spans="1:19" ht="11.1" customHeight="1" x14ac:dyDescent="0.25">
      <c r="N1588" s="50" t="s">
        <v>318</v>
      </c>
      <c r="O1588" s="64">
        <v>214.11</v>
      </c>
      <c r="P1588" s="65">
        <v>20</v>
      </c>
      <c r="Q1588" s="64">
        <v>11.1</v>
      </c>
      <c r="R1588" s="63">
        <v>0</v>
      </c>
      <c r="S1588" s="64">
        <v>0</v>
      </c>
    </row>
    <row r="1589" spans="1:19" ht="11.1" customHeight="1" x14ac:dyDescent="0.25">
      <c r="A1589" s="57">
        <v>113200</v>
      </c>
      <c r="B1589" s="53">
        <v>46129</v>
      </c>
      <c r="C1589" s="58">
        <v>46129</v>
      </c>
      <c r="D1589" s="59" t="s">
        <v>1362</v>
      </c>
      <c r="E1589" s="50" t="s">
        <v>313</v>
      </c>
      <c r="F1589" s="57">
        <v>36</v>
      </c>
      <c r="G1589" s="60">
        <v>223</v>
      </c>
      <c r="H1589" s="61" t="s">
        <v>1357</v>
      </c>
      <c r="I1589" s="50" t="s">
        <v>1358</v>
      </c>
      <c r="J1589" s="50" t="s">
        <v>1359</v>
      </c>
      <c r="K1589" s="62">
        <v>5403</v>
      </c>
      <c r="L1589" s="57">
        <v>207</v>
      </c>
      <c r="M1589" s="50" t="s">
        <v>26</v>
      </c>
      <c r="N1589" s="50" t="s">
        <v>317</v>
      </c>
      <c r="O1589" s="64">
        <v>324.68</v>
      </c>
      <c r="P1589" s="65">
        <v>12</v>
      </c>
      <c r="Q1589" s="64">
        <v>38.96</v>
      </c>
      <c r="R1589" s="63">
        <v>0</v>
      </c>
      <c r="S1589" s="64">
        <v>22.72</v>
      </c>
    </row>
    <row r="1590" spans="1:19" ht="11.1" customHeight="1" x14ac:dyDescent="0.25">
      <c r="N1590" s="50" t="s">
        <v>318</v>
      </c>
      <c r="O1590" s="64">
        <v>438.32</v>
      </c>
      <c r="P1590" s="65">
        <v>20</v>
      </c>
      <c r="Q1590" s="64">
        <v>22.72</v>
      </c>
      <c r="R1590" s="63">
        <v>0</v>
      </c>
      <c r="S1590" s="64">
        <v>0</v>
      </c>
    </row>
    <row r="1591" spans="1:19" ht="11.1" customHeight="1" x14ac:dyDescent="0.25">
      <c r="A1591" s="57">
        <v>113265</v>
      </c>
      <c r="B1591" s="53">
        <v>46134</v>
      </c>
      <c r="C1591" s="58">
        <v>46134</v>
      </c>
      <c r="D1591" s="59" t="s">
        <v>1363</v>
      </c>
      <c r="E1591" s="50" t="s">
        <v>313</v>
      </c>
      <c r="F1591" s="57">
        <v>36</v>
      </c>
      <c r="G1591" s="60">
        <v>223</v>
      </c>
      <c r="H1591" s="61" t="s">
        <v>1357</v>
      </c>
      <c r="I1591" s="50" t="s">
        <v>1358</v>
      </c>
      <c r="J1591" s="50" t="s">
        <v>1359</v>
      </c>
      <c r="K1591" s="62">
        <v>5403</v>
      </c>
      <c r="L1591" s="57">
        <v>207</v>
      </c>
      <c r="M1591" s="50" t="s">
        <v>26</v>
      </c>
      <c r="N1591" s="50" t="s">
        <v>317</v>
      </c>
      <c r="O1591" s="64">
        <v>162.34</v>
      </c>
      <c r="P1591" s="65">
        <v>12</v>
      </c>
      <c r="Q1591" s="64">
        <v>19.48</v>
      </c>
      <c r="R1591" s="63">
        <v>0</v>
      </c>
      <c r="S1591" s="64">
        <v>11.36</v>
      </c>
    </row>
    <row r="1592" spans="1:19" ht="11.1" customHeight="1" x14ac:dyDescent="0.25">
      <c r="N1592" s="50" t="s">
        <v>318</v>
      </c>
      <c r="O1592" s="64">
        <v>219.16</v>
      </c>
      <c r="P1592" s="65">
        <v>20</v>
      </c>
      <c r="Q1592" s="64">
        <v>11.36</v>
      </c>
      <c r="R1592" s="63">
        <v>0</v>
      </c>
      <c r="S1592" s="64">
        <v>0</v>
      </c>
    </row>
    <row r="1593" spans="1:19" ht="11.85" customHeight="1" x14ac:dyDescent="0.25">
      <c r="A1593" s="66" t="s">
        <v>320</v>
      </c>
      <c r="B1593" s="66"/>
      <c r="C1593" s="66"/>
      <c r="D1593" s="66"/>
      <c r="E1593" s="66"/>
      <c r="F1593" s="66"/>
      <c r="G1593" s="66"/>
      <c r="H1593" s="66"/>
    </row>
    <row r="1594" spans="1:19" ht="11.1" customHeight="1" x14ac:dyDescent="0.25">
      <c r="N1594" s="50" t="s">
        <v>317</v>
      </c>
      <c r="O1594" s="64">
        <v>1327.66</v>
      </c>
      <c r="Q1594" s="64">
        <v>159.31</v>
      </c>
      <c r="R1594" s="63">
        <v>0</v>
      </c>
      <c r="S1594" s="64">
        <v>80.44</v>
      </c>
    </row>
    <row r="1595" spans="1:19" ht="11.1" customHeight="1" x14ac:dyDescent="0.25">
      <c r="N1595" s="50" t="s">
        <v>318</v>
      </c>
      <c r="O1595" s="64">
        <v>1551.7</v>
      </c>
      <c r="Q1595" s="64">
        <v>80.44</v>
      </c>
      <c r="R1595" s="63">
        <v>0</v>
      </c>
      <c r="S1595" s="64">
        <v>0</v>
      </c>
    </row>
    <row r="1596" spans="1:19" ht="11.1" customHeight="1" x14ac:dyDescent="0.25">
      <c r="A1596" s="57">
        <v>113524</v>
      </c>
      <c r="B1596" s="53">
        <v>46140</v>
      </c>
      <c r="C1596" s="58">
        <v>46140</v>
      </c>
      <c r="D1596" s="59" t="s">
        <v>1364</v>
      </c>
      <c r="E1596" s="50" t="s">
        <v>313</v>
      </c>
      <c r="F1596" s="57">
        <v>36</v>
      </c>
      <c r="G1596" s="60">
        <v>964</v>
      </c>
      <c r="H1596" s="61" t="s">
        <v>1365</v>
      </c>
      <c r="I1596" s="50" t="s">
        <v>1366</v>
      </c>
      <c r="J1596" s="50" t="s">
        <v>1367</v>
      </c>
      <c r="K1596" s="62">
        <v>5102</v>
      </c>
      <c r="L1596" s="57">
        <v>205</v>
      </c>
      <c r="M1596" s="50" t="s">
        <v>26</v>
      </c>
      <c r="N1596" s="50" t="s">
        <v>317</v>
      </c>
      <c r="O1596" s="64">
        <v>91.19</v>
      </c>
      <c r="P1596" s="65">
        <v>12</v>
      </c>
      <c r="Q1596" s="64">
        <v>10.95</v>
      </c>
      <c r="R1596" s="63">
        <v>0</v>
      </c>
      <c r="S1596" s="64">
        <v>0</v>
      </c>
    </row>
    <row r="1597" spans="1:19" ht="11.85" customHeight="1" x14ac:dyDescent="0.25">
      <c r="A1597" s="66" t="s">
        <v>320</v>
      </c>
      <c r="B1597" s="66"/>
      <c r="C1597" s="66"/>
      <c r="D1597" s="66"/>
      <c r="E1597" s="66"/>
      <c r="F1597" s="66"/>
      <c r="G1597" s="66"/>
      <c r="H1597" s="66"/>
    </row>
    <row r="1598" spans="1:19" ht="11.1" customHeight="1" x14ac:dyDescent="0.25">
      <c r="N1598" s="50" t="s">
        <v>317</v>
      </c>
      <c r="O1598" s="64">
        <v>91.19</v>
      </c>
      <c r="Q1598" s="64">
        <v>10.95</v>
      </c>
      <c r="R1598" s="63">
        <v>0</v>
      </c>
      <c r="S1598" s="64">
        <v>0</v>
      </c>
    </row>
    <row r="1599" spans="1:19" ht="11.1" customHeight="1" x14ac:dyDescent="0.25">
      <c r="A1599" s="57">
        <v>112706</v>
      </c>
      <c r="B1599" s="53">
        <v>46119</v>
      </c>
      <c r="C1599" s="58">
        <v>46119</v>
      </c>
      <c r="D1599" s="59" t="s">
        <v>1368</v>
      </c>
      <c r="E1599" s="50" t="s">
        <v>313</v>
      </c>
      <c r="F1599" s="57">
        <v>36</v>
      </c>
      <c r="G1599" s="60">
        <v>345</v>
      </c>
      <c r="H1599" s="61" t="s">
        <v>1369</v>
      </c>
      <c r="I1599" s="50" t="s">
        <v>1370</v>
      </c>
      <c r="J1599" s="50" t="s">
        <v>1371</v>
      </c>
      <c r="K1599" s="62">
        <v>5403</v>
      </c>
      <c r="L1599" s="57">
        <v>207</v>
      </c>
      <c r="M1599" s="50" t="s">
        <v>26</v>
      </c>
      <c r="N1599" s="50" t="s">
        <v>317</v>
      </c>
      <c r="O1599" s="64">
        <v>1523.53</v>
      </c>
      <c r="P1599" s="65">
        <v>12</v>
      </c>
      <c r="Q1599" s="64">
        <v>182.83</v>
      </c>
      <c r="R1599" s="63">
        <v>0</v>
      </c>
      <c r="S1599" s="64">
        <v>0</v>
      </c>
    </row>
    <row r="1600" spans="1:19" ht="11.85" customHeight="1" x14ac:dyDescent="0.25">
      <c r="A1600" s="66" t="s">
        <v>320</v>
      </c>
      <c r="B1600" s="66"/>
      <c r="C1600" s="66"/>
      <c r="D1600" s="66"/>
      <c r="E1600" s="66"/>
      <c r="F1600" s="66"/>
      <c r="G1600" s="66"/>
      <c r="H1600" s="66"/>
    </row>
    <row r="1601" spans="1:19" ht="11.1" customHeight="1" x14ac:dyDescent="0.25">
      <c r="N1601" s="50" t="s">
        <v>317</v>
      </c>
      <c r="O1601" s="64">
        <v>1523.53</v>
      </c>
      <c r="Q1601" s="64">
        <v>182.83</v>
      </c>
      <c r="R1601" s="63">
        <v>0</v>
      </c>
      <c r="S1601" s="64">
        <v>0</v>
      </c>
    </row>
    <row r="1602" spans="1:19" ht="11.1" customHeight="1" x14ac:dyDescent="0.25">
      <c r="A1602" s="57">
        <v>113258</v>
      </c>
      <c r="B1602" s="53">
        <v>46134</v>
      </c>
      <c r="C1602" s="58">
        <v>46134</v>
      </c>
      <c r="D1602" s="59" t="s">
        <v>1372</v>
      </c>
      <c r="E1602" s="50" t="s">
        <v>313</v>
      </c>
      <c r="F1602" s="57">
        <v>36</v>
      </c>
      <c r="G1602" s="60">
        <v>870</v>
      </c>
      <c r="H1602" s="61" t="s">
        <v>1373</v>
      </c>
      <c r="I1602" s="50" t="s">
        <v>1374</v>
      </c>
      <c r="J1602" s="50" t="s">
        <v>1375</v>
      </c>
      <c r="K1602" s="62">
        <v>5102</v>
      </c>
      <c r="L1602" s="57">
        <v>205</v>
      </c>
      <c r="M1602" s="50" t="s">
        <v>26</v>
      </c>
      <c r="N1602" s="50" t="s">
        <v>317</v>
      </c>
      <c r="O1602" s="64">
        <v>2795.38</v>
      </c>
      <c r="P1602" s="65">
        <v>12</v>
      </c>
      <c r="Q1602" s="64">
        <v>335.44</v>
      </c>
      <c r="R1602" s="63">
        <v>0</v>
      </c>
      <c r="S1602" s="64">
        <v>0</v>
      </c>
    </row>
    <row r="1603" spans="1:19" ht="11.85" customHeight="1" x14ac:dyDescent="0.25">
      <c r="A1603" s="66" t="s">
        <v>320</v>
      </c>
      <c r="B1603" s="66"/>
      <c r="C1603" s="66"/>
      <c r="D1603" s="66"/>
      <c r="E1603" s="66"/>
      <c r="F1603" s="66"/>
      <c r="G1603" s="66"/>
      <c r="H1603" s="66"/>
    </row>
    <row r="1604" spans="1:19" ht="11.1" customHeight="1" x14ac:dyDescent="0.25">
      <c r="N1604" s="50" t="s">
        <v>317</v>
      </c>
      <c r="O1604" s="64">
        <v>2795.38</v>
      </c>
      <c r="Q1604" s="64">
        <v>335.44</v>
      </c>
      <c r="R1604" s="63">
        <v>0</v>
      </c>
      <c r="S1604" s="64">
        <v>0</v>
      </c>
    </row>
    <row r="1605" spans="1:19" ht="11.1" customHeight="1" x14ac:dyDescent="0.25">
      <c r="A1605" s="57">
        <v>112676</v>
      </c>
      <c r="B1605" s="53">
        <v>46119</v>
      </c>
      <c r="C1605" s="58">
        <v>46119</v>
      </c>
      <c r="D1605" s="59" t="s">
        <v>1376</v>
      </c>
      <c r="E1605" s="50" t="s">
        <v>313</v>
      </c>
      <c r="F1605" s="57">
        <v>36</v>
      </c>
      <c r="G1605" s="60">
        <v>437</v>
      </c>
      <c r="H1605" s="61" t="s">
        <v>1377</v>
      </c>
      <c r="I1605" s="50" t="s">
        <v>1378</v>
      </c>
      <c r="J1605" s="50" t="s">
        <v>1379</v>
      </c>
      <c r="K1605" s="62">
        <v>5102</v>
      </c>
      <c r="L1605" s="57">
        <v>205</v>
      </c>
      <c r="M1605" s="50" t="s">
        <v>26</v>
      </c>
      <c r="N1605" s="50" t="s">
        <v>317</v>
      </c>
      <c r="O1605" s="64">
        <v>397</v>
      </c>
      <c r="P1605" s="65">
        <v>12</v>
      </c>
      <c r="Q1605" s="64">
        <v>47.64</v>
      </c>
      <c r="R1605" s="63">
        <v>0</v>
      </c>
      <c r="S1605" s="64">
        <v>0</v>
      </c>
    </row>
    <row r="1606" spans="1:19" ht="11.1" customHeight="1" x14ac:dyDescent="0.25">
      <c r="A1606" s="57">
        <v>112677</v>
      </c>
      <c r="B1606" s="53">
        <v>46119</v>
      </c>
      <c r="C1606" s="58">
        <v>46119</v>
      </c>
      <c r="D1606" s="59" t="s">
        <v>1376</v>
      </c>
      <c r="E1606" s="50" t="s">
        <v>313</v>
      </c>
      <c r="F1606" s="57">
        <v>36</v>
      </c>
      <c r="G1606" s="60">
        <v>437</v>
      </c>
      <c r="H1606" s="61" t="s">
        <v>1377</v>
      </c>
      <c r="I1606" s="50" t="s">
        <v>1378</v>
      </c>
      <c r="J1606" s="50" t="s">
        <v>1379</v>
      </c>
      <c r="K1606" s="62">
        <v>5403</v>
      </c>
      <c r="L1606" s="57">
        <v>207</v>
      </c>
      <c r="M1606" s="50" t="s">
        <v>26</v>
      </c>
      <c r="N1606" s="50" t="s">
        <v>317</v>
      </c>
      <c r="O1606" s="64">
        <v>500.73</v>
      </c>
      <c r="P1606" s="65">
        <v>12</v>
      </c>
      <c r="Q1606" s="64">
        <v>60.09</v>
      </c>
      <c r="R1606" s="63">
        <v>0</v>
      </c>
      <c r="S1606" s="64">
        <v>35.049999999999997</v>
      </c>
    </row>
    <row r="1607" spans="1:19" ht="11.1" customHeight="1" x14ac:dyDescent="0.25">
      <c r="N1607" s="50" t="s">
        <v>318</v>
      </c>
      <c r="O1607" s="64">
        <v>675.99</v>
      </c>
      <c r="P1607" s="65">
        <v>20</v>
      </c>
      <c r="Q1607" s="64">
        <v>35.049999999999997</v>
      </c>
      <c r="R1607" s="63">
        <v>0</v>
      </c>
      <c r="S1607" s="64">
        <v>0</v>
      </c>
    </row>
    <row r="1608" spans="1:19" ht="11.1" customHeight="1" x14ac:dyDescent="0.25">
      <c r="A1608" s="57">
        <v>112678</v>
      </c>
      <c r="B1608" s="53">
        <v>46119</v>
      </c>
      <c r="C1608" s="58">
        <v>46119</v>
      </c>
      <c r="D1608" s="59" t="s">
        <v>1380</v>
      </c>
      <c r="E1608" s="50" t="s">
        <v>313</v>
      </c>
      <c r="F1608" s="57">
        <v>36</v>
      </c>
      <c r="G1608" s="60">
        <v>437</v>
      </c>
      <c r="H1608" s="61" t="s">
        <v>1377</v>
      </c>
      <c r="I1608" s="50" t="s">
        <v>1378</v>
      </c>
      <c r="J1608" s="50" t="s">
        <v>1379</v>
      </c>
      <c r="K1608" s="62">
        <v>5102</v>
      </c>
      <c r="L1608" s="57">
        <v>205</v>
      </c>
      <c r="M1608" s="50" t="s">
        <v>26</v>
      </c>
      <c r="N1608" s="50" t="s">
        <v>317</v>
      </c>
      <c r="O1608" s="64">
        <v>174.5</v>
      </c>
      <c r="P1608" s="65">
        <v>12</v>
      </c>
      <c r="Q1608" s="64">
        <v>20.94</v>
      </c>
      <c r="R1608" s="63">
        <v>0</v>
      </c>
      <c r="S1608" s="64">
        <v>0</v>
      </c>
    </row>
    <row r="1609" spans="1:19" ht="11.1" customHeight="1" x14ac:dyDescent="0.25">
      <c r="A1609" s="57">
        <v>113111</v>
      </c>
      <c r="B1609" s="53">
        <v>46128</v>
      </c>
      <c r="C1609" s="58">
        <v>46128</v>
      </c>
      <c r="D1609" s="59" t="s">
        <v>1381</v>
      </c>
      <c r="E1609" s="50" t="s">
        <v>313</v>
      </c>
      <c r="F1609" s="57">
        <v>36</v>
      </c>
      <c r="G1609" s="60">
        <v>437</v>
      </c>
      <c r="H1609" s="61" t="s">
        <v>1377</v>
      </c>
      <c r="I1609" s="50" t="s">
        <v>1378</v>
      </c>
      <c r="J1609" s="50" t="s">
        <v>1379</v>
      </c>
      <c r="K1609" s="62">
        <v>5102</v>
      </c>
      <c r="L1609" s="57">
        <v>205</v>
      </c>
      <c r="M1609" s="50" t="s">
        <v>26</v>
      </c>
      <c r="N1609" s="50" t="s">
        <v>317</v>
      </c>
      <c r="O1609" s="64">
        <v>1276.02</v>
      </c>
      <c r="P1609" s="65">
        <v>12</v>
      </c>
      <c r="Q1609" s="64">
        <v>153.12</v>
      </c>
      <c r="R1609" s="63">
        <v>0</v>
      </c>
      <c r="S1609" s="64">
        <v>0</v>
      </c>
    </row>
    <row r="1610" spans="1:19" ht="11.1" customHeight="1" x14ac:dyDescent="0.25">
      <c r="A1610" s="57">
        <v>113515</v>
      </c>
      <c r="B1610" s="53">
        <v>46140</v>
      </c>
      <c r="C1610" s="58">
        <v>46140</v>
      </c>
      <c r="D1610" s="59" t="s">
        <v>1382</v>
      </c>
      <c r="E1610" s="50" t="s">
        <v>313</v>
      </c>
      <c r="F1610" s="57">
        <v>36</v>
      </c>
      <c r="G1610" s="60">
        <v>437</v>
      </c>
      <c r="H1610" s="61" t="s">
        <v>1377</v>
      </c>
      <c r="I1610" s="50" t="s">
        <v>1378</v>
      </c>
      <c r="J1610" s="50" t="s">
        <v>1379</v>
      </c>
      <c r="K1610" s="62">
        <v>5102</v>
      </c>
      <c r="L1610" s="57">
        <v>205</v>
      </c>
      <c r="M1610" s="50" t="s">
        <v>26</v>
      </c>
      <c r="N1610" s="50" t="s">
        <v>317</v>
      </c>
      <c r="O1610" s="64">
        <v>1092.08</v>
      </c>
      <c r="P1610" s="65">
        <v>12</v>
      </c>
      <c r="Q1610" s="64">
        <v>131.05000000000001</v>
      </c>
      <c r="R1610" s="63">
        <v>0</v>
      </c>
      <c r="S1610" s="64">
        <v>0</v>
      </c>
    </row>
    <row r="1611" spans="1:19" ht="11.85" customHeight="1" x14ac:dyDescent="0.25">
      <c r="A1611" s="66" t="s">
        <v>320</v>
      </c>
      <c r="B1611" s="66"/>
      <c r="C1611" s="66"/>
      <c r="D1611" s="66"/>
      <c r="E1611" s="66"/>
      <c r="F1611" s="66"/>
      <c r="G1611" s="66"/>
      <c r="H1611" s="66"/>
    </row>
    <row r="1612" spans="1:19" ht="11.1" customHeight="1" x14ac:dyDescent="0.25">
      <c r="N1612" s="50" t="s">
        <v>317</v>
      </c>
      <c r="O1612" s="64">
        <v>3440.33</v>
      </c>
      <c r="Q1612" s="64">
        <v>412.84</v>
      </c>
      <c r="R1612" s="63">
        <v>0</v>
      </c>
      <c r="S1612" s="64">
        <v>35.049999999999997</v>
      </c>
    </row>
    <row r="1613" spans="1:19" ht="11.1" customHeight="1" x14ac:dyDescent="0.25">
      <c r="N1613" s="50" t="s">
        <v>318</v>
      </c>
      <c r="O1613" s="64">
        <v>675.99</v>
      </c>
      <c r="Q1613" s="64">
        <v>35.049999999999997</v>
      </c>
      <c r="R1613" s="63">
        <v>0</v>
      </c>
      <c r="S1613" s="64">
        <v>0</v>
      </c>
    </row>
    <row r="1614" spans="1:19" ht="11.1" customHeight="1" x14ac:dyDescent="0.25">
      <c r="A1614" s="57">
        <v>112483</v>
      </c>
      <c r="B1614" s="53">
        <v>46113</v>
      </c>
      <c r="C1614" s="58">
        <v>46113</v>
      </c>
      <c r="D1614" s="59" t="s">
        <v>1383</v>
      </c>
      <c r="E1614" s="50" t="s">
        <v>313</v>
      </c>
      <c r="F1614" s="57">
        <v>36</v>
      </c>
      <c r="G1614" s="60">
        <v>432</v>
      </c>
      <c r="H1614" s="61" t="s">
        <v>1384</v>
      </c>
      <c r="I1614" s="50" t="s">
        <v>1385</v>
      </c>
      <c r="J1614" s="50" t="s">
        <v>1386</v>
      </c>
      <c r="K1614" s="62">
        <v>5102</v>
      </c>
      <c r="L1614" s="57">
        <v>205</v>
      </c>
      <c r="M1614" s="50" t="s">
        <v>26</v>
      </c>
      <c r="N1614" s="50" t="s">
        <v>317</v>
      </c>
      <c r="O1614" s="64">
        <v>1127.1600000000001</v>
      </c>
      <c r="P1614" s="65">
        <v>12</v>
      </c>
      <c r="Q1614" s="64">
        <v>135.26</v>
      </c>
      <c r="R1614" s="63">
        <v>0</v>
      </c>
      <c r="S1614" s="64">
        <v>0</v>
      </c>
    </row>
    <row r="1615" spans="1:19" ht="11.1" customHeight="1" x14ac:dyDescent="0.25">
      <c r="A1615" s="57">
        <v>112657</v>
      </c>
      <c r="B1615" s="53">
        <v>46119</v>
      </c>
      <c r="C1615" s="58">
        <v>46119</v>
      </c>
      <c r="D1615" s="59" t="s">
        <v>1387</v>
      </c>
      <c r="E1615" s="50" t="s">
        <v>313</v>
      </c>
      <c r="F1615" s="57">
        <v>36</v>
      </c>
      <c r="G1615" s="60">
        <v>432</v>
      </c>
      <c r="H1615" s="61" t="s">
        <v>1384</v>
      </c>
      <c r="I1615" s="50" t="s">
        <v>1385</v>
      </c>
      <c r="J1615" s="50" t="s">
        <v>1386</v>
      </c>
      <c r="K1615" s="62">
        <v>5102</v>
      </c>
      <c r="L1615" s="57">
        <v>205</v>
      </c>
      <c r="M1615" s="50" t="s">
        <v>26</v>
      </c>
      <c r="N1615" s="50" t="s">
        <v>317</v>
      </c>
      <c r="O1615" s="64">
        <v>1033.68</v>
      </c>
      <c r="P1615" s="65">
        <v>12</v>
      </c>
      <c r="Q1615" s="64">
        <v>124.04</v>
      </c>
      <c r="R1615" s="63">
        <v>0</v>
      </c>
      <c r="S1615" s="64">
        <v>0</v>
      </c>
    </row>
    <row r="1616" spans="1:19" ht="11.1" customHeight="1" x14ac:dyDescent="0.25">
      <c r="A1616" s="57">
        <v>112658</v>
      </c>
      <c r="B1616" s="53">
        <v>46119</v>
      </c>
      <c r="C1616" s="58">
        <v>46119</v>
      </c>
      <c r="D1616" s="59" t="s">
        <v>1387</v>
      </c>
      <c r="E1616" s="50" t="s">
        <v>313</v>
      </c>
      <c r="F1616" s="57">
        <v>36</v>
      </c>
      <c r="G1616" s="60">
        <v>432</v>
      </c>
      <c r="H1616" s="61" t="s">
        <v>1384</v>
      </c>
      <c r="I1616" s="50" t="s">
        <v>1385</v>
      </c>
      <c r="J1616" s="50" t="s">
        <v>1386</v>
      </c>
      <c r="K1616" s="62">
        <v>5403</v>
      </c>
      <c r="L1616" s="57">
        <v>207</v>
      </c>
      <c r="M1616" s="50" t="s">
        <v>26</v>
      </c>
      <c r="N1616" s="50" t="s">
        <v>317</v>
      </c>
      <c r="O1616" s="64">
        <v>500.73</v>
      </c>
      <c r="P1616" s="65">
        <v>12</v>
      </c>
      <c r="Q1616" s="64">
        <v>60.09</v>
      </c>
      <c r="R1616" s="63">
        <v>0</v>
      </c>
      <c r="S1616" s="64">
        <v>35.049999999999997</v>
      </c>
    </row>
    <row r="1617" spans="1:19" ht="11.1" customHeight="1" x14ac:dyDescent="0.25">
      <c r="N1617" s="50" t="s">
        <v>318</v>
      </c>
      <c r="O1617" s="64">
        <v>675.99</v>
      </c>
      <c r="P1617" s="65">
        <v>20</v>
      </c>
      <c r="Q1617" s="64">
        <v>35.049999999999997</v>
      </c>
      <c r="R1617" s="63">
        <v>0</v>
      </c>
      <c r="S1617" s="64">
        <v>0</v>
      </c>
    </row>
    <row r="1618" spans="1:19" ht="11.1" customHeight="1" x14ac:dyDescent="0.25">
      <c r="A1618" s="57">
        <v>113317</v>
      </c>
      <c r="B1618" s="53">
        <v>46135</v>
      </c>
      <c r="C1618" s="58">
        <v>46135</v>
      </c>
      <c r="D1618" s="59" t="s">
        <v>1388</v>
      </c>
      <c r="E1618" s="50" t="s">
        <v>313</v>
      </c>
      <c r="F1618" s="57">
        <v>36</v>
      </c>
      <c r="G1618" s="60">
        <v>432</v>
      </c>
      <c r="H1618" s="61" t="s">
        <v>1384</v>
      </c>
      <c r="I1618" s="50" t="s">
        <v>1385</v>
      </c>
      <c r="J1618" s="50" t="s">
        <v>1386</v>
      </c>
      <c r="K1618" s="62">
        <v>5102</v>
      </c>
      <c r="L1618" s="57">
        <v>205</v>
      </c>
      <c r="M1618" s="50" t="s">
        <v>26</v>
      </c>
      <c r="N1618" s="50" t="s">
        <v>317</v>
      </c>
      <c r="O1618" s="64">
        <v>2236.94</v>
      </c>
      <c r="P1618" s="65">
        <v>12</v>
      </c>
      <c r="Q1618" s="64">
        <v>268.44</v>
      </c>
      <c r="R1618" s="63">
        <v>0</v>
      </c>
      <c r="S1618" s="64">
        <v>0</v>
      </c>
    </row>
    <row r="1619" spans="1:19" ht="11.1" customHeight="1" x14ac:dyDescent="0.25">
      <c r="A1619" s="57">
        <v>113318</v>
      </c>
      <c r="B1619" s="53">
        <v>46135</v>
      </c>
      <c r="C1619" s="58">
        <v>46135</v>
      </c>
      <c r="D1619" s="59" t="s">
        <v>1388</v>
      </c>
      <c r="E1619" s="50" t="s">
        <v>313</v>
      </c>
      <c r="F1619" s="57">
        <v>36</v>
      </c>
      <c r="G1619" s="60">
        <v>432</v>
      </c>
      <c r="H1619" s="61" t="s">
        <v>1384</v>
      </c>
      <c r="I1619" s="50" t="s">
        <v>1385</v>
      </c>
      <c r="J1619" s="50" t="s">
        <v>1386</v>
      </c>
      <c r="K1619" s="62">
        <v>5403</v>
      </c>
      <c r="L1619" s="57">
        <v>207</v>
      </c>
      <c r="M1619" s="50" t="s">
        <v>26</v>
      </c>
      <c r="N1619" s="50" t="s">
        <v>317</v>
      </c>
      <c r="O1619" s="64">
        <v>752.4</v>
      </c>
      <c r="P1619" s="65">
        <v>12</v>
      </c>
      <c r="Q1619" s="64">
        <v>90.29</v>
      </c>
      <c r="R1619" s="63">
        <v>0</v>
      </c>
      <c r="S1619" s="64">
        <v>52.67</v>
      </c>
    </row>
    <row r="1620" spans="1:19" ht="11.1" customHeight="1" x14ac:dyDescent="0.25">
      <c r="N1620" s="50" t="s">
        <v>318</v>
      </c>
      <c r="O1620" s="64">
        <v>1015.74</v>
      </c>
      <c r="P1620" s="65">
        <v>20</v>
      </c>
      <c r="Q1620" s="64">
        <v>52.67</v>
      </c>
      <c r="R1620" s="63">
        <v>0</v>
      </c>
      <c r="S1620" s="64">
        <v>0</v>
      </c>
    </row>
    <row r="1621" spans="1:19" ht="11.85" customHeight="1" x14ac:dyDescent="0.25">
      <c r="A1621" s="66" t="s">
        <v>320</v>
      </c>
      <c r="B1621" s="66"/>
      <c r="C1621" s="66"/>
      <c r="D1621" s="66"/>
      <c r="E1621" s="66"/>
      <c r="F1621" s="66"/>
      <c r="G1621" s="66"/>
      <c r="H1621" s="66"/>
    </row>
    <row r="1622" spans="1:19" ht="11.1" customHeight="1" x14ac:dyDescent="0.25">
      <c r="N1622" s="50" t="s">
        <v>317</v>
      </c>
      <c r="O1622" s="64">
        <v>5650.91</v>
      </c>
      <c r="Q1622" s="64">
        <v>678.12</v>
      </c>
      <c r="R1622" s="63">
        <v>0</v>
      </c>
      <c r="S1622" s="64">
        <v>87.72</v>
      </c>
    </row>
    <row r="1623" spans="1:19" ht="11.1" customHeight="1" x14ac:dyDescent="0.25">
      <c r="N1623" s="50" t="s">
        <v>318</v>
      </c>
      <c r="O1623" s="64">
        <v>1691.73</v>
      </c>
      <c r="Q1623" s="64">
        <v>87.72</v>
      </c>
      <c r="R1623" s="63">
        <v>0</v>
      </c>
      <c r="S1623" s="64">
        <v>0</v>
      </c>
    </row>
    <row r="1624" spans="1:19" ht="11.1" customHeight="1" x14ac:dyDescent="0.25">
      <c r="A1624" s="57">
        <v>113042</v>
      </c>
      <c r="B1624" s="53">
        <v>46126</v>
      </c>
      <c r="C1624" s="58">
        <v>46126</v>
      </c>
      <c r="D1624" s="59" t="s">
        <v>1389</v>
      </c>
      <c r="E1624" s="50" t="s">
        <v>313</v>
      </c>
      <c r="F1624" s="57">
        <v>36</v>
      </c>
      <c r="G1624" s="60">
        <v>216</v>
      </c>
      <c r="H1624" s="61" t="s">
        <v>1390</v>
      </c>
      <c r="I1624" s="50" t="s">
        <v>1391</v>
      </c>
      <c r="J1624" s="50" t="s">
        <v>1392</v>
      </c>
      <c r="K1624" s="62">
        <v>5403</v>
      </c>
      <c r="L1624" s="57">
        <v>207</v>
      </c>
      <c r="M1624" s="50" t="s">
        <v>26</v>
      </c>
      <c r="N1624" s="50" t="s">
        <v>317</v>
      </c>
      <c r="O1624" s="64">
        <v>397.96</v>
      </c>
      <c r="P1624" s="65">
        <v>12</v>
      </c>
      <c r="Q1624" s="64">
        <v>47.75</v>
      </c>
      <c r="R1624" s="63">
        <v>0</v>
      </c>
      <c r="S1624" s="64">
        <v>27.86</v>
      </c>
    </row>
    <row r="1625" spans="1:19" ht="11.1" customHeight="1" x14ac:dyDescent="0.25">
      <c r="N1625" s="50" t="s">
        <v>318</v>
      </c>
      <c r="O1625" s="64">
        <v>537.25</v>
      </c>
      <c r="P1625" s="65">
        <v>20</v>
      </c>
      <c r="Q1625" s="64">
        <v>27.86</v>
      </c>
      <c r="R1625" s="63">
        <v>0</v>
      </c>
      <c r="S1625" s="64">
        <v>0</v>
      </c>
    </row>
    <row r="1626" spans="1:19" ht="11.1" customHeight="1" x14ac:dyDescent="0.25">
      <c r="A1626" s="57">
        <v>113610</v>
      </c>
      <c r="B1626" s="53">
        <v>46142</v>
      </c>
      <c r="C1626" s="58">
        <v>46142</v>
      </c>
      <c r="D1626" s="59" t="s">
        <v>1393</v>
      </c>
      <c r="E1626" s="50" t="s">
        <v>313</v>
      </c>
      <c r="F1626" s="57">
        <v>36</v>
      </c>
      <c r="G1626" s="60">
        <v>216</v>
      </c>
      <c r="H1626" s="61" t="s">
        <v>1390</v>
      </c>
      <c r="I1626" s="50" t="s">
        <v>1391</v>
      </c>
      <c r="J1626" s="50" t="s">
        <v>1392</v>
      </c>
      <c r="K1626" s="62">
        <v>5403</v>
      </c>
      <c r="L1626" s="57">
        <v>207</v>
      </c>
      <c r="M1626" s="50" t="s">
        <v>26</v>
      </c>
      <c r="N1626" s="50" t="s">
        <v>317</v>
      </c>
      <c r="O1626" s="64">
        <v>1699</v>
      </c>
      <c r="P1626" s="65">
        <v>12</v>
      </c>
      <c r="Q1626" s="64">
        <v>203.88</v>
      </c>
      <c r="R1626" s="63">
        <v>0</v>
      </c>
      <c r="S1626" s="64">
        <v>118.93</v>
      </c>
    </row>
    <row r="1627" spans="1:19" ht="11.1" customHeight="1" x14ac:dyDescent="0.25">
      <c r="N1627" s="50" t="s">
        <v>318</v>
      </c>
      <c r="O1627" s="64">
        <v>2293.65</v>
      </c>
      <c r="P1627" s="65">
        <v>20</v>
      </c>
      <c r="Q1627" s="64">
        <v>118.93</v>
      </c>
      <c r="R1627" s="63">
        <v>0</v>
      </c>
      <c r="S1627" s="64">
        <v>0</v>
      </c>
    </row>
    <row r="1628" spans="1:19" ht="11.85" customHeight="1" x14ac:dyDescent="0.25">
      <c r="A1628" s="66" t="s">
        <v>320</v>
      </c>
      <c r="B1628" s="66"/>
      <c r="C1628" s="66"/>
      <c r="D1628" s="66"/>
      <c r="E1628" s="66"/>
      <c r="F1628" s="66"/>
      <c r="G1628" s="66"/>
      <c r="H1628" s="66"/>
    </row>
    <row r="1629" spans="1:19" ht="11.1" customHeight="1" x14ac:dyDescent="0.25">
      <c r="N1629" s="50" t="s">
        <v>317</v>
      </c>
      <c r="O1629" s="64">
        <v>2096.96</v>
      </c>
      <c r="Q1629" s="64">
        <v>251.63</v>
      </c>
      <c r="R1629" s="63">
        <v>0</v>
      </c>
      <c r="S1629" s="64">
        <v>146.79</v>
      </c>
    </row>
    <row r="1630" spans="1:19" ht="11.1" customHeight="1" x14ac:dyDescent="0.25">
      <c r="N1630" s="50" t="s">
        <v>318</v>
      </c>
      <c r="O1630" s="64">
        <v>2830.9</v>
      </c>
      <c r="Q1630" s="64">
        <v>146.79</v>
      </c>
      <c r="R1630" s="63">
        <v>0</v>
      </c>
      <c r="S1630" s="64">
        <v>0</v>
      </c>
    </row>
    <row r="1631" spans="1:19" ht="11.1" customHeight="1" x14ac:dyDescent="0.25">
      <c r="A1631" s="57">
        <v>112605</v>
      </c>
      <c r="B1631" s="53">
        <v>46118</v>
      </c>
      <c r="C1631" s="58">
        <v>46118</v>
      </c>
      <c r="D1631" s="59" t="s">
        <v>1394</v>
      </c>
      <c r="E1631" s="50" t="s">
        <v>313</v>
      </c>
      <c r="F1631" s="57">
        <v>36</v>
      </c>
      <c r="G1631" s="60">
        <v>42</v>
      </c>
      <c r="H1631" s="61" t="s">
        <v>1395</v>
      </c>
      <c r="I1631" s="50" t="s">
        <v>1396</v>
      </c>
      <c r="J1631" s="50" t="s">
        <v>1397</v>
      </c>
      <c r="K1631" s="62">
        <v>5102</v>
      </c>
      <c r="L1631" s="57">
        <v>205</v>
      </c>
      <c r="M1631" s="50" t="s">
        <v>26</v>
      </c>
      <c r="N1631" s="50" t="s">
        <v>317</v>
      </c>
      <c r="O1631" s="64">
        <v>198.75</v>
      </c>
      <c r="P1631" s="65">
        <v>12</v>
      </c>
      <c r="Q1631" s="64">
        <v>23.85</v>
      </c>
      <c r="R1631" s="63">
        <v>0</v>
      </c>
      <c r="S1631" s="64">
        <v>0</v>
      </c>
    </row>
    <row r="1632" spans="1:19" ht="11.1" customHeight="1" x14ac:dyDescent="0.25">
      <c r="A1632" s="57">
        <v>112846</v>
      </c>
      <c r="B1632" s="53">
        <v>46121</v>
      </c>
      <c r="C1632" s="58">
        <v>46121</v>
      </c>
      <c r="D1632" s="59" t="s">
        <v>1398</v>
      </c>
      <c r="E1632" s="50" t="s">
        <v>313</v>
      </c>
      <c r="F1632" s="57">
        <v>36</v>
      </c>
      <c r="G1632" s="60">
        <v>42</v>
      </c>
      <c r="H1632" s="61" t="s">
        <v>1395</v>
      </c>
      <c r="I1632" s="50" t="s">
        <v>1396</v>
      </c>
      <c r="J1632" s="50" t="s">
        <v>1397</v>
      </c>
      <c r="K1632" s="62">
        <v>5102</v>
      </c>
      <c r="L1632" s="57">
        <v>205</v>
      </c>
      <c r="M1632" s="50" t="s">
        <v>26</v>
      </c>
      <c r="N1632" s="50" t="s">
        <v>317</v>
      </c>
      <c r="O1632" s="64">
        <v>193.89</v>
      </c>
      <c r="P1632" s="65">
        <v>12</v>
      </c>
      <c r="Q1632" s="64">
        <v>23.27</v>
      </c>
      <c r="R1632" s="63">
        <v>0</v>
      </c>
      <c r="S1632" s="64">
        <v>0</v>
      </c>
    </row>
    <row r="1633" spans="1:19" ht="11.1" customHeight="1" x14ac:dyDescent="0.25">
      <c r="A1633" s="57">
        <v>112847</v>
      </c>
      <c r="B1633" s="53">
        <v>46121</v>
      </c>
      <c r="C1633" s="58">
        <v>46121</v>
      </c>
      <c r="D1633" s="59" t="s">
        <v>1398</v>
      </c>
      <c r="E1633" s="50" t="s">
        <v>313</v>
      </c>
      <c r="F1633" s="57">
        <v>36</v>
      </c>
      <c r="G1633" s="60">
        <v>42</v>
      </c>
      <c r="H1633" s="61" t="s">
        <v>1395</v>
      </c>
      <c r="I1633" s="50" t="s">
        <v>1396</v>
      </c>
      <c r="J1633" s="50" t="s">
        <v>1397</v>
      </c>
      <c r="K1633" s="62">
        <v>5403</v>
      </c>
      <c r="L1633" s="57">
        <v>207</v>
      </c>
      <c r="M1633" s="50" t="s">
        <v>26</v>
      </c>
      <c r="N1633" s="50" t="s">
        <v>317</v>
      </c>
      <c r="O1633" s="64">
        <v>250.8</v>
      </c>
      <c r="P1633" s="65">
        <v>12</v>
      </c>
      <c r="Q1633" s="64">
        <v>30.1</v>
      </c>
      <c r="R1633" s="63">
        <v>0</v>
      </c>
      <c r="S1633" s="64">
        <v>17.559999999999999</v>
      </c>
    </row>
    <row r="1634" spans="1:19" ht="11.1" customHeight="1" x14ac:dyDescent="0.25">
      <c r="N1634" s="50" t="s">
        <v>318</v>
      </c>
      <c r="O1634" s="64">
        <v>338.58</v>
      </c>
      <c r="P1634" s="65">
        <v>20</v>
      </c>
      <c r="Q1634" s="64">
        <v>17.559999999999999</v>
      </c>
      <c r="R1634" s="63">
        <v>0</v>
      </c>
      <c r="S1634" s="64">
        <v>0</v>
      </c>
    </row>
    <row r="1635" spans="1:19" ht="11.1" customHeight="1" x14ac:dyDescent="0.25">
      <c r="A1635" s="57">
        <v>113187</v>
      </c>
      <c r="B1635" s="53">
        <v>46129</v>
      </c>
      <c r="C1635" s="58">
        <v>46129</v>
      </c>
      <c r="D1635" s="59" t="s">
        <v>1399</v>
      </c>
      <c r="E1635" s="50" t="s">
        <v>313</v>
      </c>
      <c r="F1635" s="57">
        <v>36</v>
      </c>
      <c r="G1635" s="60">
        <v>42</v>
      </c>
      <c r="H1635" s="61" t="s">
        <v>1395</v>
      </c>
      <c r="I1635" s="50" t="s">
        <v>1396</v>
      </c>
      <c r="J1635" s="50" t="s">
        <v>1397</v>
      </c>
      <c r="K1635" s="62">
        <v>5102</v>
      </c>
      <c r="L1635" s="57">
        <v>205</v>
      </c>
      <c r="M1635" s="50" t="s">
        <v>26</v>
      </c>
      <c r="N1635" s="50" t="s">
        <v>317</v>
      </c>
      <c r="O1635" s="64">
        <v>201.52</v>
      </c>
      <c r="P1635" s="65">
        <v>12</v>
      </c>
      <c r="Q1635" s="64">
        <v>24.18</v>
      </c>
      <c r="R1635" s="63">
        <v>0</v>
      </c>
      <c r="S1635" s="64">
        <v>0</v>
      </c>
    </row>
    <row r="1636" spans="1:19" ht="11.1" customHeight="1" x14ac:dyDescent="0.25">
      <c r="A1636" s="57">
        <v>113543</v>
      </c>
      <c r="B1636" s="53">
        <v>46140</v>
      </c>
      <c r="C1636" s="58">
        <v>46140</v>
      </c>
      <c r="D1636" s="59" t="s">
        <v>1400</v>
      </c>
      <c r="E1636" s="50" t="s">
        <v>313</v>
      </c>
      <c r="F1636" s="57">
        <v>36</v>
      </c>
      <c r="G1636" s="60">
        <v>42</v>
      </c>
      <c r="H1636" s="61" t="s">
        <v>1395</v>
      </c>
      <c r="I1636" s="50" t="s">
        <v>1396</v>
      </c>
      <c r="J1636" s="50" t="s">
        <v>1397</v>
      </c>
      <c r="K1636" s="62">
        <v>5102</v>
      </c>
      <c r="L1636" s="57">
        <v>205</v>
      </c>
      <c r="M1636" s="50" t="s">
        <v>26</v>
      </c>
      <c r="N1636" s="50" t="s">
        <v>317</v>
      </c>
      <c r="O1636" s="64">
        <v>281.92</v>
      </c>
      <c r="P1636" s="65">
        <v>12</v>
      </c>
      <c r="Q1636" s="64">
        <v>33.83</v>
      </c>
      <c r="R1636" s="63">
        <v>0</v>
      </c>
      <c r="S1636" s="64">
        <v>0</v>
      </c>
    </row>
    <row r="1637" spans="1:19" ht="11.1" customHeight="1" x14ac:dyDescent="0.25">
      <c r="A1637" s="57">
        <v>113544</v>
      </c>
      <c r="B1637" s="53">
        <v>46140</v>
      </c>
      <c r="C1637" s="58">
        <v>46140</v>
      </c>
      <c r="D1637" s="59" t="s">
        <v>1400</v>
      </c>
      <c r="E1637" s="50" t="s">
        <v>313</v>
      </c>
      <c r="F1637" s="57">
        <v>36</v>
      </c>
      <c r="G1637" s="60">
        <v>42</v>
      </c>
      <c r="H1637" s="61" t="s">
        <v>1395</v>
      </c>
      <c r="I1637" s="50" t="s">
        <v>1396</v>
      </c>
      <c r="J1637" s="50" t="s">
        <v>1397</v>
      </c>
      <c r="K1637" s="62">
        <v>5403</v>
      </c>
      <c r="L1637" s="57">
        <v>207</v>
      </c>
      <c r="M1637" s="50" t="s">
        <v>26</v>
      </c>
      <c r="N1637" s="50" t="s">
        <v>317</v>
      </c>
      <c r="O1637" s="64">
        <v>250.8</v>
      </c>
      <c r="P1637" s="65">
        <v>12</v>
      </c>
      <c r="Q1637" s="64">
        <v>30.1</v>
      </c>
      <c r="R1637" s="63">
        <v>0</v>
      </c>
      <c r="S1637" s="64">
        <v>17.559999999999999</v>
      </c>
    </row>
    <row r="1638" spans="1:19" ht="11.1" customHeight="1" x14ac:dyDescent="0.25">
      <c r="N1638" s="50" t="s">
        <v>318</v>
      </c>
      <c r="O1638" s="64">
        <v>338.58</v>
      </c>
      <c r="P1638" s="65">
        <v>20</v>
      </c>
      <c r="Q1638" s="64">
        <v>17.559999999999999</v>
      </c>
      <c r="R1638" s="63">
        <v>0</v>
      </c>
      <c r="S1638" s="64">
        <v>0</v>
      </c>
    </row>
    <row r="1639" spans="1:19" ht="11.85" customHeight="1" x14ac:dyDescent="0.25">
      <c r="A1639" s="66" t="s">
        <v>320</v>
      </c>
      <c r="B1639" s="66"/>
      <c r="C1639" s="66"/>
      <c r="D1639" s="66"/>
      <c r="E1639" s="66"/>
      <c r="F1639" s="66"/>
      <c r="G1639" s="66"/>
      <c r="H1639" s="66"/>
    </row>
    <row r="1640" spans="1:19" ht="11.1" customHeight="1" x14ac:dyDescent="0.25">
      <c r="N1640" s="50" t="s">
        <v>317</v>
      </c>
      <c r="O1640" s="64">
        <v>1377.68</v>
      </c>
      <c r="Q1640" s="64">
        <v>165.33</v>
      </c>
      <c r="R1640" s="63">
        <v>0</v>
      </c>
      <c r="S1640" s="64">
        <v>35.119999999999997</v>
      </c>
    </row>
    <row r="1641" spans="1:19" ht="11.1" customHeight="1" x14ac:dyDescent="0.25">
      <c r="N1641" s="50" t="s">
        <v>318</v>
      </c>
      <c r="O1641" s="64">
        <v>677.16</v>
      </c>
      <c r="Q1641" s="64">
        <v>35.119999999999997</v>
      </c>
      <c r="R1641" s="63">
        <v>0</v>
      </c>
      <c r="S1641" s="64">
        <v>0</v>
      </c>
    </row>
    <row r="1642" spans="1:19" ht="11.1" customHeight="1" x14ac:dyDescent="0.25">
      <c r="A1642" s="57">
        <v>112806</v>
      </c>
      <c r="B1642" s="53">
        <v>46121</v>
      </c>
      <c r="C1642" s="58">
        <v>46121</v>
      </c>
      <c r="D1642" s="59" t="s">
        <v>1401</v>
      </c>
      <c r="E1642" s="50" t="s">
        <v>313</v>
      </c>
      <c r="F1642" s="57">
        <v>36</v>
      </c>
      <c r="G1642" s="60">
        <v>250</v>
      </c>
      <c r="H1642" s="61" t="s">
        <v>1402</v>
      </c>
      <c r="I1642" s="50" t="s">
        <v>1403</v>
      </c>
      <c r="J1642" s="50" t="s">
        <v>1404</v>
      </c>
      <c r="K1642" s="62">
        <v>5403</v>
      </c>
      <c r="L1642" s="57">
        <v>207</v>
      </c>
      <c r="M1642" s="50" t="s">
        <v>26</v>
      </c>
      <c r="N1642" s="50" t="s">
        <v>317</v>
      </c>
      <c r="O1642" s="64">
        <v>959.41</v>
      </c>
      <c r="P1642" s="65">
        <v>12</v>
      </c>
      <c r="Q1642" s="64">
        <v>115.13</v>
      </c>
      <c r="R1642" s="63">
        <v>0</v>
      </c>
      <c r="S1642" s="64">
        <v>67.180000000000007</v>
      </c>
    </row>
    <row r="1643" spans="1:19" ht="11.1" customHeight="1" x14ac:dyDescent="0.25">
      <c r="N1643" s="50" t="s">
        <v>318</v>
      </c>
      <c r="O1643" s="64">
        <v>1295.21</v>
      </c>
      <c r="P1643" s="65">
        <v>20</v>
      </c>
      <c r="Q1643" s="64">
        <v>67.180000000000007</v>
      </c>
      <c r="R1643" s="63">
        <v>0</v>
      </c>
      <c r="S1643" s="64">
        <v>0</v>
      </c>
    </row>
    <row r="1644" spans="1:19" ht="11.1" customHeight="1" x14ac:dyDescent="0.25">
      <c r="A1644" s="57">
        <v>112871</v>
      </c>
      <c r="B1644" s="53">
        <v>46121</v>
      </c>
      <c r="C1644" s="58">
        <v>46121</v>
      </c>
      <c r="D1644" s="59" t="s">
        <v>1405</v>
      </c>
      <c r="E1644" s="50" t="s">
        <v>313</v>
      </c>
      <c r="F1644" s="57">
        <v>36</v>
      </c>
      <c r="G1644" s="60">
        <v>250</v>
      </c>
      <c r="H1644" s="61" t="s">
        <v>1402</v>
      </c>
      <c r="I1644" s="50" t="s">
        <v>1403</v>
      </c>
      <c r="J1644" s="50" t="s">
        <v>1404</v>
      </c>
      <c r="K1644" s="62">
        <v>5102</v>
      </c>
      <c r="L1644" s="57">
        <v>205</v>
      </c>
      <c r="M1644" s="50" t="s">
        <v>26</v>
      </c>
      <c r="N1644" s="50" t="s">
        <v>317</v>
      </c>
      <c r="O1644" s="64">
        <v>53</v>
      </c>
      <c r="P1644" s="65">
        <v>12</v>
      </c>
      <c r="Q1644" s="64">
        <v>6.36</v>
      </c>
      <c r="R1644" s="63">
        <v>0</v>
      </c>
      <c r="S1644" s="64">
        <v>0</v>
      </c>
    </row>
    <row r="1645" spans="1:19" ht="11.1" customHeight="1" x14ac:dyDescent="0.25">
      <c r="A1645" s="57">
        <v>112872</v>
      </c>
      <c r="B1645" s="53">
        <v>46121</v>
      </c>
      <c r="C1645" s="58">
        <v>46121</v>
      </c>
      <c r="D1645" s="59" t="s">
        <v>1405</v>
      </c>
      <c r="E1645" s="50" t="s">
        <v>313</v>
      </c>
      <c r="F1645" s="57">
        <v>36</v>
      </c>
      <c r="G1645" s="60">
        <v>250</v>
      </c>
      <c r="H1645" s="61" t="s">
        <v>1402</v>
      </c>
      <c r="I1645" s="50" t="s">
        <v>1403</v>
      </c>
      <c r="J1645" s="50" t="s">
        <v>1404</v>
      </c>
      <c r="K1645" s="62">
        <v>5403</v>
      </c>
      <c r="L1645" s="57">
        <v>207</v>
      </c>
      <c r="M1645" s="50" t="s">
        <v>26</v>
      </c>
      <c r="N1645" s="50" t="s">
        <v>317</v>
      </c>
      <c r="O1645" s="64">
        <v>488.36</v>
      </c>
      <c r="P1645" s="65">
        <v>12</v>
      </c>
      <c r="Q1645" s="64">
        <v>58.6</v>
      </c>
      <c r="R1645" s="63">
        <v>0</v>
      </c>
      <c r="S1645" s="64">
        <v>34.19</v>
      </c>
    </row>
    <row r="1646" spans="1:19" ht="11.1" customHeight="1" x14ac:dyDescent="0.25">
      <c r="N1646" s="50" t="s">
        <v>318</v>
      </c>
      <c r="O1646" s="64">
        <v>659.29</v>
      </c>
      <c r="P1646" s="65">
        <v>20</v>
      </c>
      <c r="Q1646" s="64">
        <v>34.19</v>
      </c>
      <c r="R1646" s="63">
        <v>0</v>
      </c>
      <c r="S1646" s="64">
        <v>0</v>
      </c>
    </row>
    <row r="1647" spans="1:19" ht="11.1" customHeight="1" x14ac:dyDescent="0.25">
      <c r="A1647" s="57">
        <v>113154</v>
      </c>
      <c r="B1647" s="53">
        <v>46128</v>
      </c>
      <c r="C1647" s="58">
        <v>46128</v>
      </c>
      <c r="D1647" s="59" t="s">
        <v>1406</v>
      </c>
      <c r="E1647" s="50" t="s">
        <v>313</v>
      </c>
      <c r="F1647" s="57">
        <v>36</v>
      </c>
      <c r="G1647" s="60">
        <v>250</v>
      </c>
      <c r="H1647" s="61" t="s">
        <v>1402</v>
      </c>
      <c r="I1647" s="50" t="s">
        <v>1403</v>
      </c>
      <c r="J1647" s="50" t="s">
        <v>1404</v>
      </c>
      <c r="K1647" s="62">
        <v>5403</v>
      </c>
      <c r="L1647" s="57">
        <v>207</v>
      </c>
      <c r="M1647" s="50" t="s">
        <v>26</v>
      </c>
      <c r="N1647" s="50" t="s">
        <v>317</v>
      </c>
      <c r="O1647" s="64">
        <v>701.53</v>
      </c>
      <c r="P1647" s="65">
        <v>12</v>
      </c>
      <c r="Q1647" s="64">
        <v>84.19</v>
      </c>
      <c r="R1647" s="63">
        <v>0</v>
      </c>
      <c r="S1647" s="64">
        <v>49.1</v>
      </c>
    </row>
    <row r="1648" spans="1:19" ht="11.1" customHeight="1" x14ac:dyDescent="0.25">
      <c r="N1648" s="50" t="s">
        <v>318</v>
      </c>
      <c r="O1648" s="64">
        <v>947.06</v>
      </c>
      <c r="P1648" s="65">
        <v>20</v>
      </c>
      <c r="Q1648" s="64">
        <v>49.1</v>
      </c>
      <c r="R1648" s="63">
        <v>0</v>
      </c>
      <c r="S1648" s="64">
        <v>0</v>
      </c>
    </row>
    <row r="1649" spans="1:19" ht="11.1" customHeight="1" x14ac:dyDescent="0.25">
      <c r="A1649" s="57">
        <v>113504</v>
      </c>
      <c r="B1649" s="53">
        <v>46140</v>
      </c>
      <c r="C1649" s="58">
        <v>46140</v>
      </c>
      <c r="D1649" s="59" t="s">
        <v>1407</v>
      </c>
      <c r="E1649" s="50" t="s">
        <v>313</v>
      </c>
      <c r="F1649" s="57">
        <v>36</v>
      </c>
      <c r="G1649" s="60">
        <v>250</v>
      </c>
      <c r="H1649" s="61" t="s">
        <v>1402</v>
      </c>
      <c r="I1649" s="50" t="s">
        <v>1403</v>
      </c>
      <c r="J1649" s="50" t="s">
        <v>1404</v>
      </c>
      <c r="K1649" s="62">
        <v>5403</v>
      </c>
      <c r="L1649" s="57">
        <v>207</v>
      </c>
      <c r="M1649" s="50" t="s">
        <v>26</v>
      </c>
      <c r="N1649" s="50" t="s">
        <v>317</v>
      </c>
      <c r="O1649" s="64">
        <v>1953.1</v>
      </c>
      <c r="P1649" s="65">
        <v>12</v>
      </c>
      <c r="Q1649" s="64">
        <v>234.38</v>
      </c>
      <c r="R1649" s="63">
        <v>0</v>
      </c>
      <c r="S1649" s="64">
        <v>136.72</v>
      </c>
    </row>
    <row r="1650" spans="1:19" ht="11.1" customHeight="1" x14ac:dyDescent="0.25">
      <c r="N1650" s="50" t="s">
        <v>318</v>
      </c>
      <c r="O1650" s="64">
        <v>2636.71</v>
      </c>
      <c r="P1650" s="65">
        <v>20</v>
      </c>
      <c r="Q1650" s="64">
        <v>136.72</v>
      </c>
      <c r="R1650" s="63">
        <v>0</v>
      </c>
      <c r="S1650" s="64">
        <v>0</v>
      </c>
    </row>
    <row r="1651" spans="1:19" ht="11.85" customHeight="1" x14ac:dyDescent="0.25">
      <c r="A1651" s="66" t="s">
        <v>320</v>
      </c>
      <c r="B1651" s="66"/>
      <c r="C1651" s="66"/>
      <c r="D1651" s="66"/>
      <c r="E1651" s="66"/>
      <c r="F1651" s="66"/>
      <c r="G1651" s="66"/>
      <c r="H1651" s="66"/>
    </row>
    <row r="1652" spans="1:19" ht="11.1" customHeight="1" x14ac:dyDescent="0.25">
      <c r="N1652" s="50" t="s">
        <v>317</v>
      </c>
      <c r="O1652" s="64">
        <v>4155.3999999999996</v>
      </c>
      <c r="Q1652" s="64">
        <v>498.66</v>
      </c>
      <c r="R1652" s="63">
        <v>0</v>
      </c>
      <c r="S1652" s="64">
        <v>287.19</v>
      </c>
    </row>
    <row r="1653" spans="1:19" ht="11.1" customHeight="1" x14ac:dyDescent="0.25">
      <c r="N1653" s="50" t="s">
        <v>318</v>
      </c>
      <c r="O1653" s="64">
        <v>5538.27</v>
      </c>
      <c r="Q1653" s="64">
        <v>287.19</v>
      </c>
      <c r="R1653" s="63">
        <v>0</v>
      </c>
      <c r="S1653" s="64">
        <v>0</v>
      </c>
    </row>
    <row r="1654" spans="1:19" ht="11.1" customHeight="1" x14ac:dyDescent="0.25">
      <c r="A1654" s="57">
        <v>112793</v>
      </c>
      <c r="B1654" s="53">
        <v>46120</v>
      </c>
      <c r="C1654" s="58">
        <v>46120</v>
      </c>
      <c r="D1654" s="59" t="s">
        <v>1408</v>
      </c>
      <c r="E1654" s="50" t="s">
        <v>313</v>
      </c>
      <c r="F1654" s="57">
        <v>36</v>
      </c>
      <c r="G1654" s="60">
        <v>20</v>
      </c>
      <c r="H1654" s="61" t="s">
        <v>1409</v>
      </c>
      <c r="I1654" s="50" t="s">
        <v>1410</v>
      </c>
      <c r="J1654" s="50" t="s">
        <v>1411</v>
      </c>
      <c r="K1654" s="62">
        <v>5102</v>
      </c>
      <c r="L1654" s="57">
        <v>205</v>
      </c>
      <c r="M1654" s="50" t="s">
        <v>26</v>
      </c>
      <c r="N1654" s="50" t="s">
        <v>317</v>
      </c>
      <c r="O1654" s="64">
        <v>645.86</v>
      </c>
      <c r="P1654" s="65">
        <v>12</v>
      </c>
      <c r="Q1654" s="64">
        <v>77.5</v>
      </c>
      <c r="R1654" s="63">
        <v>0</v>
      </c>
      <c r="S1654" s="64">
        <v>0</v>
      </c>
    </row>
    <row r="1655" spans="1:19" ht="11.85" customHeight="1" x14ac:dyDescent="0.25">
      <c r="A1655" s="66" t="s">
        <v>320</v>
      </c>
      <c r="B1655" s="66"/>
      <c r="C1655" s="66"/>
      <c r="D1655" s="66"/>
      <c r="E1655" s="66"/>
      <c r="F1655" s="66"/>
      <c r="G1655" s="66"/>
      <c r="H1655" s="66"/>
    </row>
    <row r="1656" spans="1:19" ht="11.1" customHeight="1" x14ac:dyDescent="0.25">
      <c r="N1656" s="50" t="s">
        <v>317</v>
      </c>
      <c r="O1656" s="64">
        <v>645.86</v>
      </c>
      <c r="Q1656" s="64">
        <v>77.5</v>
      </c>
      <c r="R1656" s="63">
        <v>0</v>
      </c>
      <c r="S1656" s="64">
        <v>0</v>
      </c>
    </row>
    <row r="1657" spans="1:19" ht="11.1" customHeight="1" x14ac:dyDescent="0.25">
      <c r="A1657" s="57">
        <v>112596</v>
      </c>
      <c r="B1657" s="53">
        <v>46118</v>
      </c>
      <c r="C1657" s="58">
        <v>46118</v>
      </c>
      <c r="D1657" s="59" t="s">
        <v>1412</v>
      </c>
      <c r="E1657" s="50" t="s">
        <v>313</v>
      </c>
      <c r="F1657" s="57">
        <v>36</v>
      </c>
      <c r="G1657" s="60">
        <v>197</v>
      </c>
      <c r="H1657" s="61" t="s">
        <v>1413</v>
      </c>
      <c r="I1657" s="50" t="s">
        <v>1414</v>
      </c>
      <c r="J1657" s="50" t="s">
        <v>1415</v>
      </c>
      <c r="K1657" s="62">
        <v>5102</v>
      </c>
      <c r="L1657" s="57">
        <v>205</v>
      </c>
      <c r="M1657" s="50" t="s">
        <v>26</v>
      </c>
      <c r="N1657" s="50" t="s">
        <v>317</v>
      </c>
      <c r="O1657" s="64">
        <v>924.03</v>
      </c>
      <c r="P1657" s="65">
        <v>12</v>
      </c>
      <c r="Q1657" s="64">
        <v>110.88</v>
      </c>
      <c r="R1657" s="63">
        <v>0</v>
      </c>
      <c r="S1657" s="64">
        <v>0</v>
      </c>
    </row>
    <row r="1658" spans="1:19" ht="11.1" customHeight="1" x14ac:dyDescent="0.25">
      <c r="A1658" s="57">
        <v>112597</v>
      </c>
      <c r="B1658" s="53">
        <v>46118</v>
      </c>
      <c r="C1658" s="58">
        <v>46118</v>
      </c>
      <c r="D1658" s="59" t="s">
        <v>1412</v>
      </c>
      <c r="E1658" s="50" t="s">
        <v>313</v>
      </c>
      <c r="F1658" s="57">
        <v>36</v>
      </c>
      <c r="G1658" s="60">
        <v>197</v>
      </c>
      <c r="H1658" s="61" t="s">
        <v>1413</v>
      </c>
      <c r="I1658" s="50" t="s">
        <v>1414</v>
      </c>
      <c r="J1658" s="50" t="s">
        <v>1415</v>
      </c>
      <c r="K1658" s="62">
        <v>5403</v>
      </c>
      <c r="L1658" s="57">
        <v>207</v>
      </c>
      <c r="M1658" s="50" t="s">
        <v>26</v>
      </c>
      <c r="N1658" s="50" t="s">
        <v>317</v>
      </c>
      <c r="O1658" s="64">
        <v>1250.21</v>
      </c>
      <c r="P1658" s="65">
        <v>12</v>
      </c>
      <c r="Q1658" s="64">
        <v>150.01</v>
      </c>
      <c r="R1658" s="63">
        <v>0</v>
      </c>
      <c r="S1658" s="64">
        <v>87.51</v>
      </c>
    </row>
    <row r="1659" spans="1:19" ht="11.1" customHeight="1" x14ac:dyDescent="0.25">
      <c r="N1659" s="50" t="s">
        <v>318</v>
      </c>
      <c r="O1659" s="64">
        <v>1687.79</v>
      </c>
      <c r="P1659" s="65">
        <v>20</v>
      </c>
      <c r="Q1659" s="64">
        <v>87.51</v>
      </c>
      <c r="R1659" s="63">
        <v>0</v>
      </c>
      <c r="S1659" s="64">
        <v>0</v>
      </c>
    </row>
    <row r="1660" spans="1:19" ht="11.1" customHeight="1" x14ac:dyDescent="0.25">
      <c r="A1660" s="57">
        <v>112824</v>
      </c>
      <c r="B1660" s="53">
        <v>46121</v>
      </c>
      <c r="C1660" s="58">
        <v>46121</v>
      </c>
      <c r="D1660" s="59" t="s">
        <v>1416</v>
      </c>
      <c r="E1660" s="50" t="s">
        <v>313</v>
      </c>
      <c r="F1660" s="57">
        <v>36</v>
      </c>
      <c r="G1660" s="60">
        <v>197</v>
      </c>
      <c r="H1660" s="61" t="s">
        <v>1413</v>
      </c>
      <c r="I1660" s="50" t="s">
        <v>1414</v>
      </c>
      <c r="J1660" s="50" t="s">
        <v>1415</v>
      </c>
      <c r="K1660" s="62">
        <v>5102</v>
      </c>
      <c r="L1660" s="57">
        <v>205</v>
      </c>
      <c r="M1660" s="50" t="s">
        <v>26</v>
      </c>
      <c r="N1660" s="50" t="s">
        <v>317</v>
      </c>
      <c r="O1660" s="64">
        <v>3713.36</v>
      </c>
      <c r="P1660" s="65">
        <v>12</v>
      </c>
      <c r="Q1660" s="64">
        <v>445.6</v>
      </c>
      <c r="R1660" s="63">
        <v>0</v>
      </c>
      <c r="S1660" s="64">
        <v>0</v>
      </c>
    </row>
    <row r="1661" spans="1:19" ht="11.1" customHeight="1" x14ac:dyDescent="0.25">
      <c r="A1661" s="57">
        <v>112825</v>
      </c>
      <c r="B1661" s="53">
        <v>46121</v>
      </c>
      <c r="C1661" s="58">
        <v>46121</v>
      </c>
      <c r="D1661" s="59" t="s">
        <v>1416</v>
      </c>
      <c r="E1661" s="50" t="s">
        <v>313</v>
      </c>
      <c r="F1661" s="57">
        <v>36</v>
      </c>
      <c r="G1661" s="60">
        <v>197</v>
      </c>
      <c r="H1661" s="61" t="s">
        <v>1413</v>
      </c>
      <c r="I1661" s="50" t="s">
        <v>1414</v>
      </c>
      <c r="J1661" s="50" t="s">
        <v>1415</v>
      </c>
      <c r="K1661" s="62">
        <v>5403</v>
      </c>
      <c r="L1661" s="57">
        <v>207</v>
      </c>
      <c r="M1661" s="50" t="s">
        <v>26</v>
      </c>
      <c r="N1661" s="50" t="s">
        <v>317</v>
      </c>
      <c r="O1661" s="64">
        <v>664.2</v>
      </c>
      <c r="P1661" s="65">
        <v>12</v>
      </c>
      <c r="Q1661" s="64">
        <v>79.7</v>
      </c>
      <c r="R1661" s="63">
        <v>0</v>
      </c>
      <c r="S1661" s="64">
        <v>46.49</v>
      </c>
    </row>
    <row r="1662" spans="1:19" ht="11.1" customHeight="1" x14ac:dyDescent="0.25">
      <c r="N1662" s="50" t="s">
        <v>318</v>
      </c>
      <c r="O1662" s="64">
        <v>896.67</v>
      </c>
      <c r="P1662" s="65">
        <v>20</v>
      </c>
      <c r="Q1662" s="64">
        <v>46.49</v>
      </c>
      <c r="R1662" s="63">
        <v>0</v>
      </c>
      <c r="S1662" s="64">
        <v>0</v>
      </c>
    </row>
    <row r="1663" spans="1:19" ht="11.1" customHeight="1" x14ac:dyDescent="0.25">
      <c r="A1663" s="57">
        <v>113269</v>
      </c>
      <c r="B1663" s="53">
        <v>46134</v>
      </c>
      <c r="C1663" s="58">
        <v>46134</v>
      </c>
      <c r="D1663" s="59" t="s">
        <v>1417</v>
      </c>
      <c r="E1663" s="50" t="s">
        <v>313</v>
      </c>
      <c r="F1663" s="57">
        <v>36</v>
      </c>
      <c r="G1663" s="60">
        <v>197</v>
      </c>
      <c r="H1663" s="61" t="s">
        <v>1413</v>
      </c>
      <c r="I1663" s="50" t="s">
        <v>1414</v>
      </c>
      <c r="J1663" s="50" t="s">
        <v>1415</v>
      </c>
      <c r="K1663" s="62">
        <v>5102</v>
      </c>
      <c r="L1663" s="57">
        <v>205</v>
      </c>
      <c r="M1663" s="50" t="s">
        <v>26</v>
      </c>
      <c r="N1663" s="50" t="s">
        <v>317</v>
      </c>
      <c r="O1663" s="64">
        <v>1978.25</v>
      </c>
      <c r="P1663" s="65">
        <v>12</v>
      </c>
      <c r="Q1663" s="64">
        <v>237.39</v>
      </c>
      <c r="R1663" s="63">
        <v>0</v>
      </c>
      <c r="S1663" s="64">
        <v>0</v>
      </c>
    </row>
    <row r="1664" spans="1:19" ht="11.1" customHeight="1" x14ac:dyDescent="0.25">
      <c r="A1664" s="57">
        <v>113270</v>
      </c>
      <c r="B1664" s="53">
        <v>46134</v>
      </c>
      <c r="C1664" s="58">
        <v>46134</v>
      </c>
      <c r="D1664" s="59" t="s">
        <v>1417</v>
      </c>
      <c r="E1664" s="50" t="s">
        <v>313</v>
      </c>
      <c r="F1664" s="57">
        <v>36</v>
      </c>
      <c r="G1664" s="60">
        <v>197</v>
      </c>
      <c r="H1664" s="61" t="s">
        <v>1413</v>
      </c>
      <c r="I1664" s="50" t="s">
        <v>1414</v>
      </c>
      <c r="J1664" s="50" t="s">
        <v>1415</v>
      </c>
      <c r="K1664" s="62">
        <v>5403</v>
      </c>
      <c r="L1664" s="57">
        <v>207</v>
      </c>
      <c r="M1664" s="50" t="s">
        <v>26</v>
      </c>
      <c r="N1664" s="50" t="s">
        <v>317</v>
      </c>
      <c r="O1664" s="64">
        <v>3519.83</v>
      </c>
      <c r="P1664" s="65">
        <v>12</v>
      </c>
      <c r="Q1664" s="64">
        <v>422.37</v>
      </c>
      <c r="R1664" s="63">
        <v>0</v>
      </c>
      <c r="S1664" s="64">
        <v>246.39</v>
      </c>
    </row>
    <row r="1665" spans="1:19" ht="11.1" customHeight="1" x14ac:dyDescent="0.25">
      <c r="N1665" s="50" t="s">
        <v>318</v>
      </c>
      <c r="O1665" s="64">
        <v>4751.78</v>
      </c>
      <c r="P1665" s="65">
        <v>20</v>
      </c>
      <c r="Q1665" s="64">
        <v>246.39</v>
      </c>
      <c r="R1665" s="63">
        <v>0</v>
      </c>
      <c r="S1665" s="64">
        <v>0</v>
      </c>
    </row>
    <row r="1666" spans="1:19" ht="11.1" customHeight="1" x14ac:dyDescent="0.25">
      <c r="A1666" s="57">
        <v>113463</v>
      </c>
      <c r="B1666" s="53">
        <v>46139</v>
      </c>
      <c r="C1666" s="58">
        <v>46139</v>
      </c>
      <c r="D1666" s="59" t="s">
        <v>1418</v>
      </c>
      <c r="E1666" s="50" t="s">
        <v>313</v>
      </c>
      <c r="F1666" s="57">
        <v>36</v>
      </c>
      <c r="G1666" s="60">
        <v>197</v>
      </c>
      <c r="H1666" s="61" t="s">
        <v>1413</v>
      </c>
      <c r="I1666" s="50" t="s">
        <v>1414</v>
      </c>
      <c r="J1666" s="50" t="s">
        <v>1415</v>
      </c>
      <c r="K1666" s="62">
        <v>5102</v>
      </c>
      <c r="L1666" s="57">
        <v>205</v>
      </c>
      <c r="M1666" s="50" t="s">
        <v>26</v>
      </c>
      <c r="N1666" s="50" t="s">
        <v>317</v>
      </c>
      <c r="O1666" s="64">
        <v>1156.04</v>
      </c>
      <c r="P1666" s="65">
        <v>12</v>
      </c>
      <c r="Q1666" s="64">
        <v>138.72</v>
      </c>
      <c r="R1666" s="63">
        <v>0</v>
      </c>
      <c r="S1666" s="64">
        <v>0</v>
      </c>
    </row>
    <row r="1667" spans="1:19" ht="11.1" customHeight="1" x14ac:dyDescent="0.25">
      <c r="A1667" s="57">
        <v>113464</v>
      </c>
      <c r="B1667" s="53">
        <v>46139</v>
      </c>
      <c r="C1667" s="58">
        <v>46139</v>
      </c>
      <c r="D1667" s="59" t="s">
        <v>1418</v>
      </c>
      <c r="E1667" s="50" t="s">
        <v>313</v>
      </c>
      <c r="F1667" s="57">
        <v>36</v>
      </c>
      <c r="G1667" s="60">
        <v>197</v>
      </c>
      <c r="H1667" s="61" t="s">
        <v>1413</v>
      </c>
      <c r="I1667" s="50" t="s">
        <v>1414</v>
      </c>
      <c r="J1667" s="50" t="s">
        <v>1415</v>
      </c>
      <c r="K1667" s="62">
        <v>5403</v>
      </c>
      <c r="L1667" s="57">
        <v>207</v>
      </c>
      <c r="M1667" s="50" t="s">
        <v>26</v>
      </c>
      <c r="N1667" s="50" t="s">
        <v>317</v>
      </c>
      <c r="O1667" s="64">
        <v>610.02</v>
      </c>
      <c r="P1667" s="65">
        <v>12</v>
      </c>
      <c r="Q1667" s="64">
        <v>73.2</v>
      </c>
      <c r="R1667" s="63">
        <v>0</v>
      </c>
      <c r="S1667" s="64">
        <v>42.71</v>
      </c>
    </row>
    <row r="1668" spans="1:19" ht="11.1" customHeight="1" x14ac:dyDescent="0.25">
      <c r="N1668" s="50" t="s">
        <v>318</v>
      </c>
      <c r="O1668" s="64">
        <v>823.53</v>
      </c>
      <c r="P1668" s="65">
        <v>20</v>
      </c>
      <c r="Q1668" s="64">
        <v>42.71</v>
      </c>
      <c r="R1668" s="63">
        <v>0</v>
      </c>
      <c r="S1668" s="64">
        <v>0</v>
      </c>
    </row>
    <row r="1669" spans="1:19" ht="11.1" customHeight="1" x14ac:dyDescent="0.25">
      <c r="A1669" s="57">
        <v>113537</v>
      </c>
      <c r="B1669" s="53">
        <v>46140</v>
      </c>
      <c r="C1669" s="58">
        <v>46140</v>
      </c>
      <c r="D1669" s="59" t="s">
        <v>1419</v>
      </c>
      <c r="E1669" s="50" t="s">
        <v>313</v>
      </c>
      <c r="F1669" s="57">
        <v>36</v>
      </c>
      <c r="G1669" s="60">
        <v>197</v>
      </c>
      <c r="H1669" s="61" t="s">
        <v>1413</v>
      </c>
      <c r="I1669" s="50" t="s">
        <v>1414</v>
      </c>
      <c r="J1669" s="50" t="s">
        <v>1415</v>
      </c>
      <c r="K1669" s="62">
        <v>5102</v>
      </c>
      <c r="L1669" s="57">
        <v>205</v>
      </c>
      <c r="M1669" s="50" t="s">
        <v>26</v>
      </c>
      <c r="N1669" s="50" t="s">
        <v>317</v>
      </c>
      <c r="O1669" s="64">
        <v>1017.5</v>
      </c>
      <c r="P1669" s="65">
        <v>12</v>
      </c>
      <c r="Q1669" s="64">
        <v>122.1</v>
      </c>
      <c r="R1669" s="63">
        <v>0</v>
      </c>
      <c r="S1669" s="64">
        <v>0</v>
      </c>
    </row>
    <row r="1670" spans="1:19" ht="11.1" customHeight="1" x14ac:dyDescent="0.25">
      <c r="A1670" s="57">
        <v>113640</v>
      </c>
      <c r="B1670" s="53">
        <v>46142</v>
      </c>
      <c r="C1670" s="58">
        <v>46142</v>
      </c>
      <c r="D1670" s="59" t="s">
        <v>1420</v>
      </c>
      <c r="E1670" s="50" t="s">
        <v>313</v>
      </c>
      <c r="F1670" s="57">
        <v>36</v>
      </c>
      <c r="G1670" s="60">
        <v>197</v>
      </c>
      <c r="H1670" s="61" t="s">
        <v>1413</v>
      </c>
      <c r="I1670" s="50" t="s">
        <v>1414</v>
      </c>
      <c r="J1670" s="50" t="s">
        <v>1415</v>
      </c>
      <c r="K1670" s="62">
        <v>5403</v>
      </c>
      <c r="L1670" s="57">
        <v>207</v>
      </c>
      <c r="M1670" s="50" t="s">
        <v>26</v>
      </c>
      <c r="N1670" s="50" t="s">
        <v>317</v>
      </c>
      <c r="O1670" s="64">
        <v>62.9</v>
      </c>
      <c r="P1670" s="65">
        <v>12</v>
      </c>
      <c r="Q1670" s="64">
        <v>7.55</v>
      </c>
      <c r="R1670" s="63">
        <v>0</v>
      </c>
      <c r="S1670" s="64">
        <v>4.4000000000000004</v>
      </c>
    </row>
    <row r="1671" spans="1:19" ht="11.1" customHeight="1" x14ac:dyDescent="0.25">
      <c r="N1671" s="50" t="s">
        <v>318</v>
      </c>
      <c r="O1671" s="64">
        <v>84.92</v>
      </c>
      <c r="P1671" s="65">
        <v>20</v>
      </c>
      <c r="Q1671" s="64">
        <v>4.4000000000000004</v>
      </c>
      <c r="R1671" s="63">
        <v>0</v>
      </c>
      <c r="S1671" s="64">
        <v>0</v>
      </c>
    </row>
    <row r="1672" spans="1:19" ht="11.85" customHeight="1" x14ac:dyDescent="0.25">
      <c r="A1672" s="66" t="s">
        <v>320</v>
      </c>
      <c r="B1672" s="66"/>
      <c r="C1672" s="66"/>
      <c r="D1672" s="66"/>
      <c r="E1672" s="66"/>
      <c r="F1672" s="66"/>
      <c r="G1672" s="66"/>
      <c r="H1672" s="66"/>
    </row>
    <row r="1673" spans="1:19" ht="11.1" customHeight="1" x14ac:dyDescent="0.25">
      <c r="N1673" s="50" t="s">
        <v>317</v>
      </c>
      <c r="O1673" s="64">
        <v>14896.34</v>
      </c>
      <c r="Q1673" s="64">
        <v>1787.52</v>
      </c>
      <c r="R1673" s="63">
        <v>0</v>
      </c>
      <c r="S1673" s="64">
        <v>427.5</v>
      </c>
    </row>
    <row r="1674" spans="1:19" ht="11.1" customHeight="1" x14ac:dyDescent="0.25">
      <c r="N1674" s="50" t="s">
        <v>318</v>
      </c>
      <c r="O1674" s="64">
        <v>8244.69</v>
      </c>
      <c r="Q1674" s="64">
        <v>427.5</v>
      </c>
      <c r="R1674" s="63">
        <v>0</v>
      </c>
      <c r="S1674" s="64">
        <v>0</v>
      </c>
    </row>
    <row r="1675" spans="1:19" ht="11.1" customHeight="1" x14ac:dyDescent="0.25">
      <c r="A1675" s="57">
        <v>112988</v>
      </c>
      <c r="B1675" s="53">
        <v>46125</v>
      </c>
      <c r="C1675" s="58">
        <v>46125</v>
      </c>
      <c r="D1675" s="59" t="s">
        <v>1421</v>
      </c>
      <c r="E1675" s="50" t="s">
        <v>313</v>
      </c>
      <c r="F1675" s="57">
        <v>36</v>
      </c>
      <c r="G1675" s="60">
        <v>392</v>
      </c>
      <c r="H1675" s="61" t="s">
        <v>1422</v>
      </c>
      <c r="I1675" s="50" t="s">
        <v>1423</v>
      </c>
      <c r="J1675" s="50" t="s">
        <v>1424</v>
      </c>
      <c r="K1675" s="62">
        <v>5102</v>
      </c>
      <c r="L1675" s="57">
        <v>205</v>
      </c>
      <c r="M1675" s="50" t="s">
        <v>26</v>
      </c>
      <c r="N1675" s="50" t="s">
        <v>317</v>
      </c>
      <c r="O1675" s="64">
        <v>523.1</v>
      </c>
      <c r="P1675" s="65">
        <v>12</v>
      </c>
      <c r="Q1675" s="64">
        <v>62.77</v>
      </c>
      <c r="R1675" s="63">
        <v>0</v>
      </c>
      <c r="S1675" s="64">
        <v>0</v>
      </c>
    </row>
    <row r="1676" spans="1:19" ht="11.1" customHeight="1" x14ac:dyDescent="0.25">
      <c r="A1676" s="57">
        <v>112989</v>
      </c>
      <c r="B1676" s="53">
        <v>46125</v>
      </c>
      <c r="C1676" s="58">
        <v>46125</v>
      </c>
      <c r="D1676" s="59" t="s">
        <v>1421</v>
      </c>
      <c r="E1676" s="50" t="s">
        <v>313</v>
      </c>
      <c r="F1676" s="57">
        <v>36</v>
      </c>
      <c r="G1676" s="60">
        <v>392</v>
      </c>
      <c r="H1676" s="61" t="s">
        <v>1422</v>
      </c>
      <c r="I1676" s="50" t="s">
        <v>1423</v>
      </c>
      <c r="J1676" s="50" t="s">
        <v>1424</v>
      </c>
      <c r="K1676" s="62">
        <v>5405</v>
      </c>
      <c r="L1676" s="57">
        <v>206</v>
      </c>
      <c r="M1676" s="50" t="s">
        <v>26</v>
      </c>
      <c r="N1676" s="50" t="s">
        <v>317</v>
      </c>
      <c r="O1676" s="64">
        <v>0</v>
      </c>
      <c r="P1676" s="65">
        <v>0</v>
      </c>
      <c r="Q1676" s="64">
        <v>0</v>
      </c>
      <c r="R1676" s="63">
        <v>0</v>
      </c>
      <c r="S1676" s="64">
        <v>338.82</v>
      </c>
    </row>
    <row r="1677" spans="1:19" ht="11.1" customHeight="1" x14ac:dyDescent="0.25">
      <c r="A1677" s="57">
        <v>112990</v>
      </c>
      <c r="B1677" s="53">
        <v>46125</v>
      </c>
      <c r="C1677" s="58">
        <v>46125</v>
      </c>
      <c r="D1677" s="59" t="s">
        <v>1421</v>
      </c>
      <c r="E1677" s="50" t="s">
        <v>313</v>
      </c>
      <c r="F1677" s="57">
        <v>36</v>
      </c>
      <c r="G1677" s="60">
        <v>392</v>
      </c>
      <c r="H1677" s="61" t="s">
        <v>1422</v>
      </c>
      <c r="I1677" s="50" t="s">
        <v>1423</v>
      </c>
      <c r="J1677" s="50" t="s">
        <v>1424</v>
      </c>
      <c r="K1677" s="62">
        <v>5403</v>
      </c>
      <c r="L1677" s="57">
        <v>207</v>
      </c>
      <c r="M1677" s="50" t="s">
        <v>26</v>
      </c>
      <c r="N1677" s="50" t="s">
        <v>317</v>
      </c>
      <c r="O1677" s="64">
        <v>632.61</v>
      </c>
      <c r="P1677" s="65">
        <v>12</v>
      </c>
      <c r="Q1677" s="64">
        <v>75.91</v>
      </c>
      <c r="R1677" s="63">
        <v>0</v>
      </c>
      <c r="S1677" s="64">
        <v>44.27</v>
      </c>
    </row>
    <row r="1678" spans="1:19" ht="11.1" customHeight="1" x14ac:dyDescent="0.25">
      <c r="N1678" s="50" t="s">
        <v>318</v>
      </c>
      <c r="O1678" s="64">
        <v>854.03</v>
      </c>
      <c r="P1678" s="65">
        <v>20</v>
      </c>
      <c r="Q1678" s="64">
        <v>44.27</v>
      </c>
      <c r="R1678" s="63">
        <v>0</v>
      </c>
      <c r="S1678" s="64">
        <v>0</v>
      </c>
    </row>
    <row r="1679" spans="1:19" ht="11.85" customHeight="1" x14ac:dyDescent="0.25">
      <c r="A1679" s="66" t="s">
        <v>320</v>
      </c>
      <c r="B1679" s="66"/>
      <c r="C1679" s="66"/>
      <c r="D1679" s="66"/>
      <c r="E1679" s="66"/>
      <c r="F1679" s="66"/>
      <c r="G1679" s="66"/>
      <c r="H1679" s="66"/>
    </row>
    <row r="1680" spans="1:19" ht="11.1" customHeight="1" x14ac:dyDescent="0.25">
      <c r="N1680" s="50" t="s">
        <v>317</v>
      </c>
      <c r="O1680" s="64">
        <v>1155.71</v>
      </c>
      <c r="Q1680" s="64">
        <v>138.68</v>
      </c>
      <c r="R1680" s="63">
        <v>0</v>
      </c>
      <c r="S1680" s="64">
        <v>383.09</v>
      </c>
    </row>
    <row r="1681" spans="1:19" ht="11.1" customHeight="1" x14ac:dyDescent="0.25">
      <c r="N1681" s="50" t="s">
        <v>318</v>
      </c>
      <c r="O1681" s="64">
        <v>854.03</v>
      </c>
      <c r="Q1681" s="64">
        <v>44.27</v>
      </c>
      <c r="R1681" s="63">
        <v>0</v>
      </c>
      <c r="S1681" s="64">
        <v>0</v>
      </c>
    </row>
    <row r="1682" spans="1:19" ht="11.1" customHeight="1" x14ac:dyDescent="0.25">
      <c r="A1682" s="57">
        <v>113062</v>
      </c>
      <c r="B1682" s="53">
        <v>46127</v>
      </c>
      <c r="C1682" s="58">
        <v>46127</v>
      </c>
      <c r="D1682" s="59" t="s">
        <v>1425</v>
      </c>
      <c r="E1682" s="50" t="s">
        <v>313</v>
      </c>
      <c r="F1682" s="57">
        <v>36</v>
      </c>
      <c r="G1682" s="60">
        <v>842</v>
      </c>
      <c r="H1682" s="61" t="s">
        <v>1426</v>
      </c>
      <c r="I1682" s="50" t="s">
        <v>1427</v>
      </c>
      <c r="J1682" s="50" t="s">
        <v>1428</v>
      </c>
      <c r="K1682" s="62">
        <v>5102</v>
      </c>
      <c r="L1682" s="57">
        <v>205</v>
      </c>
      <c r="M1682" s="50" t="s">
        <v>26</v>
      </c>
      <c r="N1682" s="50" t="s">
        <v>317</v>
      </c>
      <c r="O1682" s="64">
        <v>649.5</v>
      </c>
      <c r="P1682" s="65">
        <v>12</v>
      </c>
      <c r="Q1682" s="64">
        <v>77.94</v>
      </c>
      <c r="R1682" s="63">
        <v>0</v>
      </c>
      <c r="S1682" s="64">
        <v>0</v>
      </c>
    </row>
    <row r="1683" spans="1:19" ht="11.1" customHeight="1" x14ac:dyDescent="0.25">
      <c r="A1683" s="57">
        <v>113063</v>
      </c>
      <c r="B1683" s="53">
        <v>46127</v>
      </c>
      <c r="C1683" s="58">
        <v>46127</v>
      </c>
      <c r="D1683" s="59" t="s">
        <v>1425</v>
      </c>
      <c r="E1683" s="50" t="s">
        <v>313</v>
      </c>
      <c r="F1683" s="57">
        <v>36</v>
      </c>
      <c r="G1683" s="60">
        <v>842</v>
      </c>
      <c r="H1683" s="61" t="s">
        <v>1426</v>
      </c>
      <c r="I1683" s="50" t="s">
        <v>1427</v>
      </c>
      <c r="J1683" s="50" t="s">
        <v>1428</v>
      </c>
      <c r="K1683" s="62">
        <v>5403</v>
      </c>
      <c r="L1683" s="57">
        <v>207</v>
      </c>
      <c r="M1683" s="50" t="s">
        <v>26</v>
      </c>
      <c r="N1683" s="50" t="s">
        <v>317</v>
      </c>
      <c r="O1683" s="64">
        <v>896.16</v>
      </c>
      <c r="P1683" s="65">
        <v>12</v>
      </c>
      <c r="Q1683" s="64">
        <v>107.54</v>
      </c>
      <c r="R1683" s="63">
        <v>0</v>
      </c>
      <c r="S1683" s="64">
        <v>0</v>
      </c>
    </row>
    <row r="1684" spans="1:19" ht="11.1" customHeight="1" x14ac:dyDescent="0.25">
      <c r="A1684" s="57">
        <v>113194</v>
      </c>
      <c r="B1684" s="53">
        <v>46129</v>
      </c>
      <c r="C1684" s="58">
        <v>46129</v>
      </c>
      <c r="D1684" s="59" t="s">
        <v>1429</v>
      </c>
      <c r="E1684" s="50" t="s">
        <v>313</v>
      </c>
      <c r="F1684" s="57">
        <v>36</v>
      </c>
      <c r="G1684" s="60">
        <v>842</v>
      </c>
      <c r="H1684" s="61" t="s">
        <v>1426</v>
      </c>
      <c r="I1684" s="50" t="s">
        <v>1427</v>
      </c>
      <c r="J1684" s="50" t="s">
        <v>1428</v>
      </c>
      <c r="K1684" s="62">
        <v>5403</v>
      </c>
      <c r="L1684" s="57">
        <v>207</v>
      </c>
      <c r="M1684" s="50" t="s">
        <v>26</v>
      </c>
      <c r="N1684" s="50" t="s">
        <v>317</v>
      </c>
      <c r="O1684" s="64">
        <v>183.63</v>
      </c>
      <c r="P1684" s="65">
        <v>12</v>
      </c>
      <c r="Q1684" s="64">
        <v>22.03</v>
      </c>
      <c r="R1684" s="63">
        <v>0</v>
      </c>
      <c r="S1684" s="64">
        <v>0</v>
      </c>
    </row>
    <row r="1685" spans="1:19" ht="11.1" customHeight="1" x14ac:dyDescent="0.25">
      <c r="A1685" s="57">
        <v>113672</v>
      </c>
      <c r="B1685" s="53">
        <v>46129</v>
      </c>
      <c r="C1685" s="58">
        <v>46129</v>
      </c>
      <c r="D1685" s="59" t="s">
        <v>1430</v>
      </c>
      <c r="E1685" s="50" t="s">
        <v>313</v>
      </c>
      <c r="F1685" s="57">
        <v>36</v>
      </c>
      <c r="G1685" s="60">
        <v>842</v>
      </c>
      <c r="H1685" s="61" t="s">
        <v>1426</v>
      </c>
      <c r="I1685" s="50" t="s">
        <v>1427</v>
      </c>
      <c r="J1685" s="50" t="s">
        <v>1428</v>
      </c>
      <c r="K1685" s="62">
        <v>5403</v>
      </c>
      <c r="L1685" s="57">
        <v>207</v>
      </c>
      <c r="M1685" s="50" t="s">
        <v>26</v>
      </c>
      <c r="N1685" s="50" t="s">
        <v>317</v>
      </c>
      <c r="O1685" s="64">
        <v>0</v>
      </c>
      <c r="P1685" s="65">
        <v>0</v>
      </c>
      <c r="Q1685" s="64">
        <v>0</v>
      </c>
      <c r="R1685" s="63">
        <v>0</v>
      </c>
      <c r="S1685" s="64">
        <v>0</v>
      </c>
    </row>
    <row r="1686" spans="1:19" ht="11.85" customHeight="1" x14ac:dyDescent="0.25">
      <c r="A1686" s="66" t="s">
        <v>320</v>
      </c>
      <c r="B1686" s="66"/>
      <c r="C1686" s="66"/>
      <c r="D1686" s="66"/>
      <c r="E1686" s="66"/>
      <c r="F1686" s="66"/>
      <c r="G1686" s="66"/>
      <c r="H1686" s="66"/>
    </row>
    <row r="1687" spans="1:19" ht="11.1" customHeight="1" x14ac:dyDescent="0.25">
      <c r="N1687" s="50" t="s">
        <v>317</v>
      </c>
      <c r="O1687" s="64">
        <v>1729.29</v>
      </c>
      <c r="Q1687" s="64">
        <v>207.51</v>
      </c>
      <c r="R1687" s="63">
        <v>0</v>
      </c>
      <c r="S1687" s="64">
        <v>0</v>
      </c>
    </row>
    <row r="1688" spans="1:19" ht="11.1" customHeight="1" x14ac:dyDescent="0.25">
      <c r="A1688" s="57">
        <v>112458</v>
      </c>
      <c r="B1688" s="53">
        <v>46113</v>
      </c>
      <c r="C1688" s="58">
        <v>46113</v>
      </c>
      <c r="D1688" s="59" t="s">
        <v>1431</v>
      </c>
      <c r="E1688" s="50" t="s">
        <v>313</v>
      </c>
      <c r="F1688" s="57">
        <v>36</v>
      </c>
      <c r="G1688" s="60">
        <v>5</v>
      </c>
      <c r="H1688" s="61" t="s">
        <v>1432</v>
      </c>
      <c r="I1688" s="50" t="s">
        <v>1433</v>
      </c>
      <c r="J1688" s="50" t="s">
        <v>1434</v>
      </c>
      <c r="K1688" s="62">
        <v>5102</v>
      </c>
      <c r="L1688" s="57">
        <v>205</v>
      </c>
      <c r="M1688" s="50" t="s">
        <v>26</v>
      </c>
      <c r="N1688" s="50" t="s">
        <v>317</v>
      </c>
      <c r="O1688" s="64">
        <v>1819</v>
      </c>
      <c r="P1688" s="65">
        <v>12</v>
      </c>
      <c r="Q1688" s="64">
        <v>218.28</v>
      </c>
      <c r="R1688" s="63">
        <v>0</v>
      </c>
      <c r="S1688" s="64">
        <v>0</v>
      </c>
    </row>
    <row r="1689" spans="1:19" ht="11.1" customHeight="1" x14ac:dyDescent="0.25">
      <c r="A1689" s="57">
        <v>112460</v>
      </c>
      <c r="B1689" s="53">
        <v>46113</v>
      </c>
      <c r="C1689" s="58">
        <v>46113</v>
      </c>
      <c r="D1689" s="59" t="s">
        <v>1435</v>
      </c>
      <c r="E1689" s="50" t="s">
        <v>313</v>
      </c>
      <c r="F1689" s="57">
        <v>36</v>
      </c>
      <c r="G1689" s="60">
        <v>5</v>
      </c>
      <c r="H1689" s="61" t="s">
        <v>1432</v>
      </c>
      <c r="I1689" s="50" t="s">
        <v>1433</v>
      </c>
      <c r="J1689" s="50" t="s">
        <v>1434</v>
      </c>
      <c r="K1689" s="62">
        <v>5403</v>
      </c>
      <c r="L1689" s="57">
        <v>207</v>
      </c>
      <c r="M1689" s="50" t="s">
        <v>26</v>
      </c>
      <c r="N1689" s="50" t="s">
        <v>317</v>
      </c>
      <c r="O1689" s="64">
        <v>200.62</v>
      </c>
      <c r="P1689" s="65">
        <v>12</v>
      </c>
      <c r="Q1689" s="64">
        <v>24.07</v>
      </c>
      <c r="R1689" s="63">
        <v>0</v>
      </c>
      <c r="S1689" s="64">
        <v>14.05</v>
      </c>
    </row>
    <row r="1690" spans="1:19" ht="11.1" customHeight="1" x14ac:dyDescent="0.25">
      <c r="N1690" s="50" t="s">
        <v>318</v>
      </c>
      <c r="O1690" s="64">
        <v>270.83999999999997</v>
      </c>
      <c r="P1690" s="65">
        <v>20</v>
      </c>
      <c r="Q1690" s="64">
        <v>14.05</v>
      </c>
      <c r="R1690" s="63">
        <v>0</v>
      </c>
      <c r="S1690" s="64">
        <v>0</v>
      </c>
    </row>
    <row r="1691" spans="1:19" ht="11.1" customHeight="1" x14ac:dyDescent="0.25">
      <c r="A1691" s="57">
        <v>112462</v>
      </c>
      <c r="B1691" s="53">
        <v>46113</v>
      </c>
      <c r="C1691" s="58">
        <v>46113</v>
      </c>
      <c r="D1691" s="59" t="s">
        <v>1436</v>
      </c>
      <c r="E1691" s="50" t="s">
        <v>313</v>
      </c>
      <c r="F1691" s="57">
        <v>36</v>
      </c>
      <c r="G1691" s="60">
        <v>5</v>
      </c>
      <c r="H1691" s="61" t="s">
        <v>1432</v>
      </c>
      <c r="I1691" s="50" t="s">
        <v>1433</v>
      </c>
      <c r="J1691" s="50" t="s">
        <v>1434</v>
      </c>
      <c r="K1691" s="62">
        <v>5102</v>
      </c>
      <c r="L1691" s="57">
        <v>205</v>
      </c>
      <c r="M1691" s="50" t="s">
        <v>26</v>
      </c>
      <c r="N1691" s="50" t="s">
        <v>317</v>
      </c>
      <c r="O1691" s="64">
        <v>2297.88</v>
      </c>
      <c r="P1691" s="65">
        <v>12</v>
      </c>
      <c r="Q1691" s="64">
        <v>275.74</v>
      </c>
      <c r="R1691" s="63">
        <v>0</v>
      </c>
      <c r="S1691" s="64">
        <v>0</v>
      </c>
    </row>
    <row r="1692" spans="1:19" ht="11.1" customHeight="1" x14ac:dyDescent="0.25">
      <c r="A1692" s="57">
        <v>112463</v>
      </c>
      <c r="B1692" s="53">
        <v>46113</v>
      </c>
      <c r="C1692" s="58">
        <v>46113</v>
      </c>
      <c r="D1692" s="59" t="s">
        <v>1436</v>
      </c>
      <c r="E1692" s="50" t="s">
        <v>313</v>
      </c>
      <c r="F1692" s="57">
        <v>36</v>
      </c>
      <c r="G1692" s="60">
        <v>5</v>
      </c>
      <c r="H1692" s="61" t="s">
        <v>1432</v>
      </c>
      <c r="I1692" s="50" t="s">
        <v>1433</v>
      </c>
      <c r="J1692" s="50" t="s">
        <v>1434</v>
      </c>
      <c r="K1692" s="62">
        <v>5403</v>
      </c>
      <c r="L1692" s="57">
        <v>207</v>
      </c>
      <c r="M1692" s="50" t="s">
        <v>26</v>
      </c>
      <c r="N1692" s="50" t="s">
        <v>317</v>
      </c>
      <c r="O1692" s="64">
        <v>2860.55</v>
      </c>
      <c r="P1692" s="65">
        <v>12</v>
      </c>
      <c r="Q1692" s="64">
        <v>343.27</v>
      </c>
      <c r="R1692" s="63">
        <v>0</v>
      </c>
      <c r="S1692" s="64">
        <v>200.23</v>
      </c>
    </row>
    <row r="1693" spans="1:19" ht="11.1" customHeight="1" x14ac:dyDescent="0.25">
      <c r="N1693" s="50" t="s">
        <v>318</v>
      </c>
      <c r="O1693" s="64">
        <v>3861.74</v>
      </c>
      <c r="P1693" s="65">
        <v>20</v>
      </c>
      <c r="Q1693" s="64">
        <v>200.23</v>
      </c>
      <c r="R1693" s="63">
        <v>0</v>
      </c>
      <c r="S1693" s="64">
        <v>0</v>
      </c>
    </row>
    <row r="1694" spans="1:19" ht="11.1" customHeight="1" x14ac:dyDescent="0.25">
      <c r="A1694" s="57">
        <v>112494</v>
      </c>
      <c r="B1694" s="53">
        <v>46113</v>
      </c>
      <c r="C1694" s="58">
        <v>46113</v>
      </c>
      <c r="D1694" s="59" t="s">
        <v>1437</v>
      </c>
      <c r="E1694" s="50" t="s">
        <v>313</v>
      </c>
      <c r="F1694" s="57">
        <v>36</v>
      </c>
      <c r="G1694" s="60">
        <v>5</v>
      </c>
      <c r="H1694" s="61" t="s">
        <v>1432</v>
      </c>
      <c r="I1694" s="50" t="s">
        <v>1433</v>
      </c>
      <c r="J1694" s="50" t="s">
        <v>1434</v>
      </c>
      <c r="K1694" s="62">
        <v>5102</v>
      </c>
      <c r="L1694" s="57">
        <v>205</v>
      </c>
      <c r="M1694" s="50" t="s">
        <v>26</v>
      </c>
      <c r="N1694" s="50" t="s">
        <v>317</v>
      </c>
      <c r="O1694" s="64">
        <v>12534.37</v>
      </c>
      <c r="P1694" s="65">
        <v>12</v>
      </c>
      <c r="Q1694" s="64">
        <v>1504.16</v>
      </c>
      <c r="R1694" s="63">
        <v>0</v>
      </c>
      <c r="S1694" s="64">
        <v>0</v>
      </c>
    </row>
    <row r="1695" spans="1:19" ht="11.1" customHeight="1" x14ac:dyDescent="0.25">
      <c r="A1695" s="57">
        <v>112495</v>
      </c>
      <c r="B1695" s="53">
        <v>46113</v>
      </c>
      <c r="C1695" s="58">
        <v>46113</v>
      </c>
      <c r="D1695" s="59" t="s">
        <v>1437</v>
      </c>
      <c r="E1695" s="50" t="s">
        <v>313</v>
      </c>
      <c r="F1695" s="57">
        <v>36</v>
      </c>
      <c r="G1695" s="60">
        <v>5</v>
      </c>
      <c r="H1695" s="61" t="s">
        <v>1432</v>
      </c>
      <c r="I1695" s="50" t="s">
        <v>1433</v>
      </c>
      <c r="J1695" s="50" t="s">
        <v>1434</v>
      </c>
      <c r="K1695" s="62">
        <v>5403</v>
      </c>
      <c r="L1695" s="57">
        <v>207</v>
      </c>
      <c r="M1695" s="50" t="s">
        <v>26</v>
      </c>
      <c r="N1695" s="50" t="s">
        <v>317</v>
      </c>
      <c r="O1695" s="64">
        <v>6986.88</v>
      </c>
      <c r="P1695" s="65">
        <v>12</v>
      </c>
      <c r="Q1695" s="64">
        <v>838.42</v>
      </c>
      <c r="R1695" s="63">
        <v>0</v>
      </c>
      <c r="S1695" s="64">
        <v>489.13</v>
      </c>
    </row>
    <row r="1696" spans="1:19" ht="11.1" customHeight="1" x14ac:dyDescent="0.25">
      <c r="N1696" s="50" t="s">
        <v>318</v>
      </c>
      <c r="O1696" s="64">
        <v>9432.2999999999993</v>
      </c>
      <c r="P1696" s="65">
        <v>20</v>
      </c>
      <c r="Q1696" s="64">
        <v>489.13</v>
      </c>
      <c r="R1696" s="63">
        <v>0</v>
      </c>
      <c r="S1696" s="64">
        <v>0</v>
      </c>
    </row>
    <row r="1697" spans="1:19" ht="11.1" customHeight="1" x14ac:dyDescent="0.25">
      <c r="A1697" s="57">
        <v>112541</v>
      </c>
      <c r="B1697" s="53">
        <v>46114</v>
      </c>
      <c r="C1697" s="58">
        <v>46114</v>
      </c>
      <c r="D1697" s="59" t="s">
        <v>1438</v>
      </c>
      <c r="E1697" s="50" t="s">
        <v>313</v>
      </c>
      <c r="F1697" s="57">
        <v>36</v>
      </c>
      <c r="G1697" s="60">
        <v>5</v>
      </c>
      <c r="H1697" s="61" t="s">
        <v>1432</v>
      </c>
      <c r="I1697" s="50" t="s">
        <v>1433</v>
      </c>
      <c r="J1697" s="50" t="s">
        <v>1434</v>
      </c>
      <c r="K1697" s="62">
        <v>5102</v>
      </c>
      <c r="L1697" s="57">
        <v>205</v>
      </c>
      <c r="M1697" s="50" t="s">
        <v>26</v>
      </c>
      <c r="N1697" s="50" t="s">
        <v>317</v>
      </c>
      <c r="O1697" s="64">
        <v>137.63999999999999</v>
      </c>
      <c r="P1697" s="65">
        <v>12</v>
      </c>
      <c r="Q1697" s="64">
        <v>16.510000000000002</v>
      </c>
      <c r="R1697" s="63">
        <v>0</v>
      </c>
      <c r="S1697" s="64">
        <v>0</v>
      </c>
    </row>
    <row r="1698" spans="1:19" ht="11.1" customHeight="1" x14ac:dyDescent="0.25">
      <c r="A1698" s="57">
        <v>112542</v>
      </c>
      <c r="B1698" s="53">
        <v>46114</v>
      </c>
      <c r="C1698" s="58">
        <v>46114</v>
      </c>
      <c r="D1698" s="59" t="s">
        <v>1438</v>
      </c>
      <c r="E1698" s="50" t="s">
        <v>313</v>
      </c>
      <c r="F1698" s="57">
        <v>36</v>
      </c>
      <c r="G1698" s="60">
        <v>5</v>
      </c>
      <c r="H1698" s="61" t="s">
        <v>1432</v>
      </c>
      <c r="I1698" s="50" t="s">
        <v>1433</v>
      </c>
      <c r="J1698" s="50" t="s">
        <v>1434</v>
      </c>
      <c r="K1698" s="62">
        <v>5403</v>
      </c>
      <c r="L1698" s="57">
        <v>207</v>
      </c>
      <c r="M1698" s="50" t="s">
        <v>26</v>
      </c>
      <c r="N1698" s="50" t="s">
        <v>317</v>
      </c>
      <c r="O1698" s="64">
        <v>218.61</v>
      </c>
      <c r="P1698" s="65">
        <v>12</v>
      </c>
      <c r="Q1698" s="64">
        <v>26.23</v>
      </c>
      <c r="R1698" s="63">
        <v>0</v>
      </c>
      <c r="S1698" s="64">
        <v>15.3</v>
      </c>
    </row>
    <row r="1699" spans="1:19" ht="11.1" customHeight="1" x14ac:dyDescent="0.25">
      <c r="N1699" s="50" t="s">
        <v>318</v>
      </c>
      <c r="O1699" s="64">
        <v>295.12</v>
      </c>
      <c r="P1699" s="65">
        <v>20</v>
      </c>
      <c r="Q1699" s="64">
        <v>15.3</v>
      </c>
      <c r="R1699" s="63">
        <v>0</v>
      </c>
      <c r="S1699" s="64">
        <v>0</v>
      </c>
    </row>
    <row r="1700" spans="1:19" ht="11.1" customHeight="1" x14ac:dyDescent="0.25">
      <c r="A1700" s="57">
        <v>112603</v>
      </c>
      <c r="B1700" s="53">
        <v>46118</v>
      </c>
      <c r="C1700" s="58">
        <v>46118</v>
      </c>
      <c r="D1700" s="59" t="s">
        <v>1439</v>
      </c>
      <c r="E1700" s="50" t="s">
        <v>313</v>
      </c>
      <c r="F1700" s="57">
        <v>36</v>
      </c>
      <c r="G1700" s="60">
        <v>5</v>
      </c>
      <c r="H1700" s="61" t="s">
        <v>1432</v>
      </c>
      <c r="I1700" s="50" t="s">
        <v>1433</v>
      </c>
      <c r="J1700" s="50" t="s">
        <v>1434</v>
      </c>
      <c r="K1700" s="62">
        <v>5102</v>
      </c>
      <c r="L1700" s="57">
        <v>205</v>
      </c>
      <c r="M1700" s="50" t="s">
        <v>26</v>
      </c>
      <c r="N1700" s="50" t="s">
        <v>317</v>
      </c>
      <c r="O1700" s="64">
        <v>218.52</v>
      </c>
      <c r="P1700" s="65">
        <v>12</v>
      </c>
      <c r="Q1700" s="64">
        <v>26.22</v>
      </c>
      <c r="R1700" s="63">
        <v>0</v>
      </c>
      <c r="S1700" s="64">
        <v>0</v>
      </c>
    </row>
    <row r="1701" spans="1:19" ht="11.1" customHeight="1" x14ac:dyDescent="0.25">
      <c r="A1701" s="57">
        <v>112604</v>
      </c>
      <c r="B1701" s="53">
        <v>46118</v>
      </c>
      <c r="C1701" s="58">
        <v>46118</v>
      </c>
      <c r="D1701" s="59" t="s">
        <v>1439</v>
      </c>
      <c r="E1701" s="50" t="s">
        <v>313</v>
      </c>
      <c r="F1701" s="57">
        <v>36</v>
      </c>
      <c r="G1701" s="60">
        <v>5</v>
      </c>
      <c r="H1701" s="61" t="s">
        <v>1432</v>
      </c>
      <c r="I1701" s="50" t="s">
        <v>1433</v>
      </c>
      <c r="J1701" s="50" t="s">
        <v>1434</v>
      </c>
      <c r="K1701" s="62">
        <v>5403</v>
      </c>
      <c r="L1701" s="57">
        <v>207</v>
      </c>
      <c r="M1701" s="50" t="s">
        <v>26</v>
      </c>
      <c r="N1701" s="50" t="s">
        <v>317</v>
      </c>
      <c r="O1701" s="64">
        <v>1917.21</v>
      </c>
      <c r="P1701" s="65">
        <v>12</v>
      </c>
      <c r="Q1701" s="64">
        <v>230.07</v>
      </c>
      <c r="R1701" s="63">
        <v>0</v>
      </c>
      <c r="S1701" s="64">
        <v>134.19999999999999</v>
      </c>
    </row>
    <row r="1702" spans="1:19" ht="11.1" customHeight="1" x14ac:dyDescent="0.25">
      <c r="N1702" s="50" t="s">
        <v>318</v>
      </c>
      <c r="O1702" s="64">
        <v>2588.23</v>
      </c>
      <c r="P1702" s="65">
        <v>20</v>
      </c>
      <c r="Q1702" s="64">
        <v>134.19999999999999</v>
      </c>
      <c r="R1702" s="63">
        <v>0</v>
      </c>
      <c r="S1702" s="64">
        <v>0</v>
      </c>
    </row>
    <row r="1703" spans="1:19" ht="11.1" customHeight="1" x14ac:dyDescent="0.25">
      <c r="A1703" s="57">
        <v>112666</v>
      </c>
      <c r="B1703" s="53">
        <v>46119</v>
      </c>
      <c r="C1703" s="58">
        <v>46119</v>
      </c>
      <c r="D1703" s="59" t="s">
        <v>1440</v>
      </c>
      <c r="E1703" s="50" t="s">
        <v>313</v>
      </c>
      <c r="F1703" s="57">
        <v>36</v>
      </c>
      <c r="G1703" s="60">
        <v>5</v>
      </c>
      <c r="H1703" s="61" t="s">
        <v>1432</v>
      </c>
      <c r="I1703" s="50" t="s">
        <v>1433</v>
      </c>
      <c r="J1703" s="50" t="s">
        <v>1434</v>
      </c>
      <c r="K1703" s="62">
        <v>5102</v>
      </c>
      <c r="L1703" s="57">
        <v>205</v>
      </c>
      <c r="M1703" s="50" t="s">
        <v>26</v>
      </c>
      <c r="N1703" s="50" t="s">
        <v>317</v>
      </c>
      <c r="O1703" s="64">
        <v>629.72</v>
      </c>
      <c r="P1703" s="65">
        <v>12</v>
      </c>
      <c r="Q1703" s="64">
        <v>75.56</v>
      </c>
      <c r="R1703" s="63">
        <v>0</v>
      </c>
      <c r="S1703" s="64">
        <v>0</v>
      </c>
    </row>
    <row r="1704" spans="1:19" ht="11.1" customHeight="1" x14ac:dyDescent="0.25">
      <c r="A1704" s="57">
        <v>112667</v>
      </c>
      <c r="B1704" s="53">
        <v>46119</v>
      </c>
      <c r="C1704" s="58">
        <v>46119</v>
      </c>
      <c r="D1704" s="59" t="s">
        <v>1440</v>
      </c>
      <c r="E1704" s="50" t="s">
        <v>313</v>
      </c>
      <c r="F1704" s="57">
        <v>36</v>
      </c>
      <c r="G1704" s="60">
        <v>5</v>
      </c>
      <c r="H1704" s="61" t="s">
        <v>1432</v>
      </c>
      <c r="I1704" s="50" t="s">
        <v>1433</v>
      </c>
      <c r="J1704" s="50" t="s">
        <v>1434</v>
      </c>
      <c r="K1704" s="62">
        <v>5403</v>
      </c>
      <c r="L1704" s="57">
        <v>207</v>
      </c>
      <c r="M1704" s="50" t="s">
        <v>26</v>
      </c>
      <c r="N1704" s="50" t="s">
        <v>317</v>
      </c>
      <c r="O1704" s="64">
        <v>4539.24</v>
      </c>
      <c r="P1704" s="65">
        <v>12</v>
      </c>
      <c r="Q1704" s="64">
        <v>544.71</v>
      </c>
      <c r="R1704" s="63">
        <v>0</v>
      </c>
      <c r="S1704" s="64">
        <v>317.75</v>
      </c>
    </row>
    <row r="1705" spans="1:19" ht="11.1" customHeight="1" x14ac:dyDescent="0.25">
      <c r="N1705" s="50" t="s">
        <v>318</v>
      </c>
      <c r="O1705" s="64">
        <v>6127.99</v>
      </c>
      <c r="P1705" s="65">
        <v>20</v>
      </c>
      <c r="Q1705" s="64">
        <v>317.75</v>
      </c>
      <c r="R1705" s="63">
        <v>0</v>
      </c>
      <c r="S1705" s="64">
        <v>0</v>
      </c>
    </row>
    <row r="1706" spans="1:19" ht="11.1" customHeight="1" x14ac:dyDescent="0.25">
      <c r="A1706" s="57">
        <v>112705</v>
      </c>
      <c r="B1706" s="53">
        <v>46119</v>
      </c>
      <c r="C1706" s="58">
        <v>46119</v>
      </c>
      <c r="D1706" s="59" t="s">
        <v>1441</v>
      </c>
      <c r="E1706" s="50" t="s">
        <v>313</v>
      </c>
      <c r="F1706" s="57">
        <v>36</v>
      </c>
      <c r="G1706" s="60">
        <v>5</v>
      </c>
      <c r="H1706" s="61" t="s">
        <v>1432</v>
      </c>
      <c r="I1706" s="50" t="s">
        <v>1433</v>
      </c>
      <c r="J1706" s="50" t="s">
        <v>1434</v>
      </c>
      <c r="K1706" s="62">
        <v>5403</v>
      </c>
      <c r="L1706" s="57">
        <v>207</v>
      </c>
      <c r="M1706" s="50" t="s">
        <v>26</v>
      </c>
      <c r="N1706" s="50" t="s">
        <v>317</v>
      </c>
      <c r="O1706" s="64">
        <v>99.84</v>
      </c>
      <c r="P1706" s="65">
        <v>12</v>
      </c>
      <c r="Q1706" s="64">
        <v>11.98</v>
      </c>
      <c r="R1706" s="63">
        <v>0</v>
      </c>
      <c r="S1706" s="64">
        <v>6.99</v>
      </c>
    </row>
    <row r="1707" spans="1:19" ht="11.1" customHeight="1" x14ac:dyDescent="0.25">
      <c r="N1707" s="50" t="s">
        <v>318</v>
      </c>
      <c r="O1707" s="64">
        <v>134.78</v>
      </c>
      <c r="P1707" s="65">
        <v>20</v>
      </c>
      <c r="Q1707" s="64">
        <v>6.99</v>
      </c>
      <c r="R1707" s="63">
        <v>0</v>
      </c>
      <c r="S1707" s="64">
        <v>0</v>
      </c>
    </row>
    <row r="1708" spans="1:19" ht="11.1" customHeight="1" x14ac:dyDescent="0.25">
      <c r="A1708" s="57">
        <v>112746</v>
      </c>
      <c r="B1708" s="53">
        <v>46120</v>
      </c>
      <c r="C1708" s="58">
        <v>46120</v>
      </c>
      <c r="D1708" s="59" t="s">
        <v>1442</v>
      </c>
      <c r="E1708" s="50" t="s">
        <v>313</v>
      </c>
      <c r="F1708" s="57">
        <v>36</v>
      </c>
      <c r="G1708" s="60">
        <v>5</v>
      </c>
      <c r="H1708" s="61" t="s">
        <v>1432</v>
      </c>
      <c r="I1708" s="50" t="s">
        <v>1433</v>
      </c>
      <c r="J1708" s="50" t="s">
        <v>1434</v>
      </c>
      <c r="K1708" s="62">
        <v>5403</v>
      </c>
      <c r="L1708" s="57">
        <v>207</v>
      </c>
      <c r="M1708" s="50" t="s">
        <v>26</v>
      </c>
      <c r="N1708" s="50" t="s">
        <v>317</v>
      </c>
      <c r="O1708" s="64">
        <v>168.75</v>
      </c>
      <c r="P1708" s="65">
        <v>12</v>
      </c>
      <c r="Q1708" s="64">
        <v>20.25</v>
      </c>
      <c r="R1708" s="63">
        <v>0</v>
      </c>
      <c r="S1708" s="64">
        <v>11.81</v>
      </c>
    </row>
    <row r="1709" spans="1:19" ht="11.1" customHeight="1" x14ac:dyDescent="0.25">
      <c r="N1709" s="50" t="s">
        <v>318</v>
      </c>
      <c r="O1709" s="64">
        <v>227.81</v>
      </c>
      <c r="P1709" s="65">
        <v>20</v>
      </c>
      <c r="Q1709" s="64">
        <v>11.81</v>
      </c>
      <c r="R1709" s="63">
        <v>0</v>
      </c>
      <c r="S1709" s="64">
        <v>0</v>
      </c>
    </row>
    <row r="1710" spans="1:19" ht="11.1" customHeight="1" x14ac:dyDescent="0.25">
      <c r="A1710" s="57">
        <v>112790</v>
      </c>
      <c r="B1710" s="53">
        <v>46120</v>
      </c>
      <c r="C1710" s="58">
        <v>46120</v>
      </c>
      <c r="D1710" s="59" t="s">
        <v>1443</v>
      </c>
      <c r="E1710" s="50" t="s">
        <v>313</v>
      </c>
      <c r="F1710" s="57">
        <v>36</v>
      </c>
      <c r="G1710" s="60">
        <v>5</v>
      </c>
      <c r="H1710" s="61" t="s">
        <v>1432</v>
      </c>
      <c r="I1710" s="50" t="s">
        <v>1433</v>
      </c>
      <c r="J1710" s="50" t="s">
        <v>1434</v>
      </c>
      <c r="K1710" s="62">
        <v>5102</v>
      </c>
      <c r="L1710" s="57">
        <v>205</v>
      </c>
      <c r="M1710" s="50" t="s">
        <v>26</v>
      </c>
      <c r="N1710" s="50" t="s">
        <v>317</v>
      </c>
      <c r="O1710" s="64">
        <v>9784.1299999999992</v>
      </c>
      <c r="P1710" s="65">
        <v>12</v>
      </c>
      <c r="Q1710" s="64">
        <v>1174.1300000000001</v>
      </c>
      <c r="R1710" s="63">
        <v>0</v>
      </c>
      <c r="S1710" s="64">
        <v>0</v>
      </c>
    </row>
    <row r="1711" spans="1:19" ht="11.1" customHeight="1" x14ac:dyDescent="0.25">
      <c r="A1711" s="57">
        <v>112791</v>
      </c>
      <c r="B1711" s="53">
        <v>46120</v>
      </c>
      <c r="C1711" s="58">
        <v>46120</v>
      </c>
      <c r="D1711" s="59" t="s">
        <v>1443</v>
      </c>
      <c r="E1711" s="50" t="s">
        <v>313</v>
      </c>
      <c r="F1711" s="57">
        <v>36</v>
      </c>
      <c r="G1711" s="60">
        <v>5</v>
      </c>
      <c r="H1711" s="61" t="s">
        <v>1432</v>
      </c>
      <c r="I1711" s="50" t="s">
        <v>1433</v>
      </c>
      <c r="J1711" s="50" t="s">
        <v>1434</v>
      </c>
      <c r="K1711" s="62">
        <v>5403</v>
      </c>
      <c r="L1711" s="57">
        <v>207</v>
      </c>
      <c r="M1711" s="50" t="s">
        <v>26</v>
      </c>
      <c r="N1711" s="50" t="s">
        <v>317</v>
      </c>
      <c r="O1711" s="64">
        <v>9389.91</v>
      </c>
      <c r="P1711" s="65">
        <v>12</v>
      </c>
      <c r="Q1711" s="64">
        <v>1126.8</v>
      </c>
      <c r="R1711" s="63">
        <v>0</v>
      </c>
      <c r="S1711" s="64">
        <v>657.28</v>
      </c>
    </row>
    <row r="1712" spans="1:19" ht="11.1" customHeight="1" x14ac:dyDescent="0.25">
      <c r="N1712" s="50" t="s">
        <v>318</v>
      </c>
      <c r="O1712" s="64">
        <v>12676.39</v>
      </c>
      <c r="P1712" s="65">
        <v>20</v>
      </c>
      <c r="Q1712" s="64">
        <v>657.28</v>
      </c>
      <c r="R1712" s="63">
        <v>0</v>
      </c>
      <c r="S1712" s="64">
        <v>0</v>
      </c>
    </row>
    <row r="1713" spans="1:19" ht="11.1" customHeight="1" x14ac:dyDescent="0.25">
      <c r="A1713" s="57">
        <v>112884</v>
      </c>
      <c r="B1713" s="53">
        <v>46122</v>
      </c>
      <c r="C1713" s="58">
        <v>46122</v>
      </c>
      <c r="D1713" s="59" t="s">
        <v>1444</v>
      </c>
      <c r="E1713" s="50" t="s">
        <v>313</v>
      </c>
      <c r="F1713" s="57">
        <v>36</v>
      </c>
      <c r="G1713" s="60">
        <v>5</v>
      </c>
      <c r="H1713" s="61" t="s">
        <v>1432</v>
      </c>
      <c r="I1713" s="50" t="s">
        <v>1433</v>
      </c>
      <c r="J1713" s="50" t="s">
        <v>1434</v>
      </c>
      <c r="K1713" s="62">
        <v>5403</v>
      </c>
      <c r="L1713" s="57">
        <v>207</v>
      </c>
      <c r="M1713" s="50" t="s">
        <v>26</v>
      </c>
      <c r="N1713" s="50" t="s">
        <v>317</v>
      </c>
      <c r="O1713" s="64">
        <v>221.31</v>
      </c>
      <c r="P1713" s="65">
        <v>12</v>
      </c>
      <c r="Q1713" s="64">
        <v>26.56</v>
      </c>
      <c r="R1713" s="63">
        <v>0</v>
      </c>
      <c r="S1713" s="64">
        <v>15.49</v>
      </c>
    </row>
    <row r="1714" spans="1:19" ht="11.1" customHeight="1" x14ac:dyDescent="0.25">
      <c r="N1714" s="50" t="s">
        <v>318</v>
      </c>
      <c r="O1714" s="64">
        <v>298.77</v>
      </c>
      <c r="P1714" s="65">
        <v>20</v>
      </c>
      <c r="Q1714" s="64">
        <v>15.49</v>
      </c>
      <c r="R1714" s="63">
        <v>0</v>
      </c>
      <c r="S1714" s="64">
        <v>0</v>
      </c>
    </row>
    <row r="1715" spans="1:19" ht="11.1" customHeight="1" x14ac:dyDescent="0.25">
      <c r="A1715" s="57">
        <v>112894</v>
      </c>
      <c r="B1715" s="53">
        <v>46122</v>
      </c>
      <c r="C1715" s="58">
        <v>46122</v>
      </c>
      <c r="D1715" s="59" t="s">
        <v>1445</v>
      </c>
      <c r="E1715" s="50" t="s">
        <v>313</v>
      </c>
      <c r="F1715" s="57">
        <v>36</v>
      </c>
      <c r="G1715" s="60">
        <v>5</v>
      </c>
      <c r="H1715" s="61" t="s">
        <v>1432</v>
      </c>
      <c r="I1715" s="50" t="s">
        <v>1433</v>
      </c>
      <c r="J1715" s="50" t="s">
        <v>1434</v>
      </c>
      <c r="K1715" s="62">
        <v>5102</v>
      </c>
      <c r="L1715" s="57">
        <v>205</v>
      </c>
      <c r="M1715" s="50" t="s">
        <v>26</v>
      </c>
      <c r="N1715" s="50" t="s">
        <v>317</v>
      </c>
      <c r="O1715" s="64">
        <v>58.83</v>
      </c>
      <c r="P1715" s="65">
        <v>12</v>
      </c>
      <c r="Q1715" s="64">
        <v>7.06</v>
      </c>
      <c r="R1715" s="63">
        <v>0</v>
      </c>
      <c r="S1715" s="64">
        <v>0</v>
      </c>
    </row>
    <row r="1716" spans="1:19" ht="11.1" customHeight="1" x14ac:dyDescent="0.25">
      <c r="A1716" s="57">
        <v>112895</v>
      </c>
      <c r="B1716" s="53">
        <v>46122</v>
      </c>
      <c r="C1716" s="58">
        <v>46122</v>
      </c>
      <c r="D1716" s="59" t="s">
        <v>1445</v>
      </c>
      <c r="E1716" s="50" t="s">
        <v>313</v>
      </c>
      <c r="F1716" s="57">
        <v>36</v>
      </c>
      <c r="G1716" s="60">
        <v>5</v>
      </c>
      <c r="H1716" s="61" t="s">
        <v>1432</v>
      </c>
      <c r="I1716" s="50" t="s">
        <v>1433</v>
      </c>
      <c r="J1716" s="50" t="s">
        <v>1434</v>
      </c>
      <c r="K1716" s="62">
        <v>5403</v>
      </c>
      <c r="L1716" s="57">
        <v>207</v>
      </c>
      <c r="M1716" s="50" t="s">
        <v>26</v>
      </c>
      <c r="N1716" s="50" t="s">
        <v>317</v>
      </c>
      <c r="O1716" s="64">
        <v>88.56</v>
      </c>
      <c r="P1716" s="65">
        <v>12</v>
      </c>
      <c r="Q1716" s="64">
        <v>10.63</v>
      </c>
      <c r="R1716" s="63">
        <v>0</v>
      </c>
      <c r="S1716" s="64">
        <v>6.2</v>
      </c>
    </row>
    <row r="1717" spans="1:19" ht="11.1" customHeight="1" x14ac:dyDescent="0.25">
      <c r="N1717" s="50" t="s">
        <v>318</v>
      </c>
      <c r="O1717" s="64">
        <v>119.56</v>
      </c>
      <c r="P1717" s="65">
        <v>20</v>
      </c>
      <c r="Q1717" s="64">
        <v>6.2</v>
      </c>
      <c r="R1717" s="63">
        <v>0</v>
      </c>
      <c r="S1717" s="64">
        <v>0</v>
      </c>
    </row>
    <row r="1718" spans="1:19" ht="11.1" customHeight="1" x14ac:dyDescent="0.25">
      <c r="A1718" s="57">
        <v>112943</v>
      </c>
      <c r="B1718" s="53">
        <v>46125</v>
      </c>
      <c r="C1718" s="58">
        <v>46125</v>
      </c>
      <c r="D1718" s="59" t="s">
        <v>1446</v>
      </c>
      <c r="E1718" s="50" t="s">
        <v>313</v>
      </c>
      <c r="F1718" s="57">
        <v>36</v>
      </c>
      <c r="G1718" s="60">
        <v>5</v>
      </c>
      <c r="H1718" s="61" t="s">
        <v>1432</v>
      </c>
      <c r="I1718" s="50" t="s">
        <v>1433</v>
      </c>
      <c r="J1718" s="50" t="s">
        <v>1434</v>
      </c>
      <c r="K1718" s="62">
        <v>5102</v>
      </c>
      <c r="L1718" s="57">
        <v>205</v>
      </c>
      <c r="M1718" s="50" t="s">
        <v>26</v>
      </c>
      <c r="N1718" s="50" t="s">
        <v>317</v>
      </c>
      <c r="O1718" s="64">
        <v>400.2</v>
      </c>
      <c r="P1718" s="65">
        <v>12</v>
      </c>
      <c r="Q1718" s="64">
        <v>48.02</v>
      </c>
      <c r="R1718" s="63">
        <v>0</v>
      </c>
      <c r="S1718" s="64">
        <v>0</v>
      </c>
    </row>
    <row r="1719" spans="1:19" ht="11.1" customHeight="1" x14ac:dyDescent="0.25">
      <c r="A1719" s="57">
        <v>112944</v>
      </c>
      <c r="B1719" s="53">
        <v>46125</v>
      </c>
      <c r="C1719" s="58">
        <v>46125</v>
      </c>
      <c r="D1719" s="59" t="s">
        <v>1446</v>
      </c>
      <c r="E1719" s="50" t="s">
        <v>313</v>
      </c>
      <c r="F1719" s="57">
        <v>36</v>
      </c>
      <c r="G1719" s="60">
        <v>5</v>
      </c>
      <c r="H1719" s="61" t="s">
        <v>1432</v>
      </c>
      <c r="I1719" s="50" t="s">
        <v>1433</v>
      </c>
      <c r="J1719" s="50" t="s">
        <v>1434</v>
      </c>
      <c r="K1719" s="62">
        <v>5403</v>
      </c>
      <c r="L1719" s="57">
        <v>207</v>
      </c>
      <c r="M1719" s="50" t="s">
        <v>26</v>
      </c>
      <c r="N1719" s="50" t="s">
        <v>317</v>
      </c>
      <c r="O1719" s="64">
        <v>99.72</v>
      </c>
      <c r="P1719" s="65">
        <v>12</v>
      </c>
      <c r="Q1719" s="64">
        <v>11.97</v>
      </c>
      <c r="R1719" s="63">
        <v>0</v>
      </c>
      <c r="S1719" s="64">
        <v>6.98</v>
      </c>
    </row>
    <row r="1720" spans="1:19" ht="11.1" customHeight="1" x14ac:dyDescent="0.25">
      <c r="N1720" s="50" t="s">
        <v>318</v>
      </c>
      <c r="O1720" s="64">
        <v>134.62</v>
      </c>
      <c r="P1720" s="65">
        <v>20</v>
      </c>
      <c r="Q1720" s="64">
        <v>6.98</v>
      </c>
      <c r="R1720" s="63">
        <v>0</v>
      </c>
      <c r="S1720" s="64">
        <v>0</v>
      </c>
    </row>
    <row r="1721" spans="1:19" ht="11.1" customHeight="1" x14ac:dyDescent="0.25">
      <c r="A1721" s="57">
        <v>112997</v>
      </c>
      <c r="B1721" s="53">
        <v>46125</v>
      </c>
      <c r="C1721" s="58">
        <v>46125</v>
      </c>
      <c r="D1721" s="59" t="s">
        <v>1447</v>
      </c>
      <c r="E1721" s="50" t="s">
        <v>313</v>
      </c>
      <c r="F1721" s="57">
        <v>36</v>
      </c>
      <c r="G1721" s="60">
        <v>5</v>
      </c>
      <c r="H1721" s="61" t="s">
        <v>1432</v>
      </c>
      <c r="I1721" s="50" t="s">
        <v>1433</v>
      </c>
      <c r="J1721" s="50" t="s">
        <v>1434</v>
      </c>
      <c r="K1721" s="62">
        <v>5102</v>
      </c>
      <c r="L1721" s="57">
        <v>205</v>
      </c>
      <c r="M1721" s="50" t="s">
        <v>26</v>
      </c>
      <c r="N1721" s="50" t="s">
        <v>317</v>
      </c>
      <c r="O1721" s="64">
        <v>1363.84</v>
      </c>
      <c r="P1721" s="65">
        <v>12</v>
      </c>
      <c r="Q1721" s="64">
        <v>163.66</v>
      </c>
      <c r="R1721" s="63">
        <v>0</v>
      </c>
      <c r="S1721" s="64">
        <v>0</v>
      </c>
    </row>
    <row r="1722" spans="1:19" ht="11.1" customHeight="1" x14ac:dyDescent="0.25">
      <c r="A1722" s="57">
        <v>113005</v>
      </c>
      <c r="B1722" s="53">
        <v>46126</v>
      </c>
      <c r="C1722" s="58">
        <v>46126</v>
      </c>
      <c r="D1722" s="59" t="s">
        <v>1448</v>
      </c>
      <c r="E1722" s="50" t="s">
        <v>313</v>
      </c>
      <c r="F1722" s="57">
        <v>36</v>
      </c>
      <c r="G1722" s="60">
        <v>5</v>
      </c>
      <c r="H1722" s="61" t="s">
        <v>1432</v>
      </c>
      <c r="I1722" s="50" t="s">
        <v>1433</v>
      </c>
      <c r="J1722" s="50" t="s">
        <v>1434</v>
      </c>
      <c r="K1722" s="62">
        <v>5403</v>
      </c>
      <c r="L1722" s="57">
        <v>207</v>
      </c>
      <c r="M1722" s="50" t="s">
        <v>26</v>
      </c>
      <c r="N1722" s="50" t="s">
        <v>317</v>
      </c>
      <c r="O1722" s="64">
        <v>728.28</v>
      </c>
      <c r="P1722" s="65">
        <v>12</v>
      </c>
      <c r="Q1722" s="64">
        <v>87.39</v>
      </c>
      <c r="R1722" s="63">
        <v>0</v>
      </c>
      <c r="S1722" s="64">
        <v>50.98</v>
      </c>
    </row>
    <row r="1723" spans="1:19" ht="11.1" customHeight="1" x14ac:dyDescent="0.25">
      <c r="N1723" s="50" t="s">
        <v>318</v>
      </c>
      <c r="O1723" s="64">
        <v>983.18</v>
      </c>
      <c r="P1723" s="65">
        <v>20</v>
      </c>
      <c r="Q1723" s="64">
        <v>50.98</v>
      </c>
      <c r="R1723" s="63">
        <v>0</v>
      </c>
      <c r="S1723" s="64">
        <v>0</v>
      </c>
    </row>
    <row r="1724" spans="1:19" ht="11.1" customHeight="1" x14ac:dyDescent="0.25">
      <c r="A1724" s="57">
        <v>113011</v>
      </c>
      <c r="B1724" s="53">
        <v>46126</v>
      </c>
      <c r="C1724" s="58">
        <v>46126</v>
      </c>
      <c r="D1724" s="59" t="s">
        <v>1449</v>
      </c>
      <c r="E1724" s="50" t="s">
        <v>313</v>
      </c>
      <c r="F1724" s="57">
        <v>36</v>
      </c>
      <c r="G1724" s="60">
        <v>5</v>
      </c>
      <c r="H1724" s="61" t="s">
        <v>1432</v>
      </c>
      <c r="I1724" s="50" t="s">
        <v>1433</v>
      </c>
      <c r="J1724" s="50" t="s">
        <v>1434</v>
      </c>
      <c r="K1724" s="62">
        <v>5102</v>
      </c>
      <c r="L1724" s="57">
        <v>205</v>
      </c>
      <c r="M1724" s="50" t="s">
        <v>26</v>
      </c>
      <c r="N1724" s="50" t="s">
        <v>317</v>
      </c>
      <c r="O1724" s="64">
        <v>15.84</v>
      </c>
      <c r="P1724" s="65">
        <v>12</v>
      </c>
      <c r="Q1724" s="64">
        <v>1.9</v>
      </c>
      <c r="R1724" s="63">
        <v>0</v>
      </c>
      <c r="S1724" s="64">
        <v>0</v>
      </c>
    </row>
    <row r="1725" spans="1:19" ht="11.1" customHeight="1" x14ac:dyDescent="0.25">
      <c r="A1725" s="57">
        <v>113084</v>
      </c>
      <c r="B1725" s="53">
        <v>46127</v>
      </c>
      <c r="C1725" s="58">
        <v>46127</v>
      </c>
      <c r="D1725" s="59" t="s">
        <v>1450</v>
      </c>
      <c r="E1725" s="50" t="s">
        <v>313</v>
      </c>
      <c r="F1725" s="57">
        <v>36</v>
      </c>
      <c r="G1725" s="60">
        <v>5</v>
      </c>
      <c r="H1725" s="61" t="s">
        <v>1432</v>
      </c>
      <c r="I1725" s="50" t="s">
        <v>1433</v>
      </c>
      <c r="J1725" s="50" t="s">
        <v>1434</v>
      </c>
      <c r="K1725" s="62">
        <v>5102</v>
      </c>
      <c r="L1725" s="57">
        <v>205</v>
      </c>
      <c r="M1725" s="50" t="s">
        <v>26</v>
      </c>
      <c r="N1725" s="50" t="s">
        <v>317</v>
      </c>
      <c r="O1725" s="64">
        <v>1575.26</v>
      </c>
      <c r="P1725" s="65">
        <v>12</v>
      </c>
      <c r="Q1725" s="64">
        <v>189.03</v>
      </c>
      <c r="R1725" s="63">
        <v>0</v>
      </c>
      <c r="S1725" s="64">
        <v>0</v>
      </c>
    </row>
    <row r="1726" spans="1:19" ht="11.1" customHeight="1" x14ac:dyDescent="0.25">
      <c r="A1726" s="57">
        <v>113105</v>
      </c>
      <c r="B1726" s="53">
        <v>46127</v>
      </c>
      <c r="C1726" s="58">
        <v>46127</v>
      </c>
      <c r="D1726" s="59" t="s">
        <v>1451</v>
      </c>
      <c r="E1726" s="50" t="s">
        <v>313</v>
      </c>
      <c r="F1726" s="57">
        <v>36</v>
      </c>
      <c r="G1726" s="60">
        <v>5</v>
      </c>
      <c r="H1726" s="61" t="s">
        <v>1432</v>
      </c>
      <c r="I1726" s="50" t="s">
        <v>1433</v>
      </c>
      <c r="J1726" s="50" t="s">
        <v>1434</v>
      </c>
      <c r="K1726" s="62">
        <v>5102</v>
      </c>
      <c r="L1726" s="57">
        <v>205</v>
      </c>
      <c r="M1726" s="50" t="s">
        <v>26</v>
      </c>
      <c r="N1726" s="50" t="s">
        <v>317</v>
      </c>
      <c r="O1726" s="64">
        <v>7402.52</v>
      </c>
      <c r="P1726" s="65">
        <v>12</v>
      </c>
      <c r="Q1726" s="64">
        <v>888.31</v>
      </c>
      <c r="R1726" s="63">
        <v>0</v>
      </c>
      <c r="S1726" s="64">
        <v>0</v>
      </c>
    </row>
    <row r="1727" spans="1:19" ht="11.1" customHeight="1" x14ac:dyDescent="0.25">
      <c r="A1727" s="57">
        <v>113106</v>
      </c>
      <c r="B1727" s="53">
        <v>46127</v>
      </c>
      <c r="C1727" s="58">
        <v>46127</v>
      </c>
      <c r="D1727" s="59" t="s">
        <v>1451</v>
      </c>
      <c r="E1727" s="50" t="s">
        <v>313</v>
      </c>
      <c r="F1727" s="57">
        <v>36</v>
      </c>
      <c r="G1727" s="60">
        <v>5</v>
      </c>
      <c r="H1727" s="61" t="s">
        <v>1432</v>
      </c>
      <c r="I1727" s="50" t="s">
        <v>1433</v>
      </c>
      <c r="J1727" s="50" t="s">
        <v>1434</v>
      </c>
      <c r="K1727" s="62">
        <v>5403</v>
      </c>
      <c r="L1727" s="57">
        <v>207</v>
      </c>
      <c r="M1727" s="50" t="s">
        <v>26</v>
      </c>
      <c r="N1727" s="50" t="s">
        <v>317</v>
      </c>
      <c r="O1727" s="64">
        <v>5400.96</v>
      </c>
      <c r="P1727" s="65">
        <v>12</v>
      </c>
      <c r="Q1727" s="64">
        <v>648.11</v>
      </c>
      <c r="R1727" s="63">
        <v>0</v>
      </c>
      <c r="S1727" s="64">
        <v>378.07</v>
      </c>
    </row>
    <row r="1728" spans="1:19" ht="11.1" customHeight="1" x14ac:dyDescent="0.25">
      <c r="N1728" s="50" t="s">
        <v>318</v>
      </c>
      <c r="O1728" s="64">
        <v>7291.3</v>
      </c>
      <c r="P1728" s="65">
        <v>20</v>
      </c>
      <c r="Q1728" s="64">
        <v>378.07</v>
      </c>
      <c r="R1728" s="63">
        <v>0</v>
      </c>
      <c r="S1728" s="64">
        <v>0</v>
      </c>
    </row>
    <row r="1729" spans="1:19" ht="11.1" customHeight="1" x14ac:dyDescent="0.25">
      <c r="A1729" s="57">
        <v>113192</v>
      </c>
      <c r="B1729" s="53">
        <v>46129</v>
      </c>
      <c r="C1729" s="58">
        <v>46129</v>
      </c>
      <c r="D1729" s="59" t="s">
        <v>1452</v>
      </c>
      <c r="E1729" s="50" t="s">
        <v>313</v>
      </c>
      <c r="F1729" s="57">
        <v>36</v>
      </c>
      <c r="G1729" s="60">
        <v>5</v>
      </c>
      <c r="H1729" s="61" t="s">
        <v>1432</v>
      </c>
      <c r="I1729" s="50" t="s">
        <v>1433</v>
      </c>
      <c r="J1729" s="50" t="s">
        <v>1434</v>
      </c>
      <c r="K1729" s="62">
        <v>5102</v>
      </c>
      <c r="L1729" s="57">
        <v>205</v>
      </c>
      <c r="M1729" s="50" t="s">
        <v>26</v>
      </c>
      <c r="N1729" s="50" t="s">
        <v>317</v>
      </c>
      <c r="O1729" s="64">
        <v>277.3</v>
      </c>
      <c r="P1729" s="65">
        <v>12</v>
      </c>
      <c r="Q1729" s="64">
        <v>33.270000000000003</v>
      </c>
      <c r="R1729" s="63">
        <v>0</v>
      </c>
      <c r="S1729" s="64">
        <v>0</v>
      </c>
    </row>
    <row r="1730" spans="1:19" ht="11.1" customHeight="1" x14ac:dyDescent="0.25">
      <c r="A1730" s="57">
        <v>113193</v>
      </c>
      <c r="B1730" s="53">
        <v>46129</v>
      </c>
      <c r="C1730" s="58">
        <v>46129</v>
      </c>
      <c r="D1730" s="59" t="s">
        <v>1452</v>
      </c>
      <c r="E1730" s="50" t="s">
        <v>313</v>
      </c>
      <c r="F1730" s="57">
        <v>36</v>
      </c>
      <c r="G1730" s="60">
        <v>5</v>
      </c>
      <c r="H1730" s="61" t="s">
        <v>1432</v>
      </c>
      <c r="I1730" s="50" t="s">
        <v>1433</v>
      </c>
      <c r="J1730" s="50" t="s">
        <v>1434</v>
      </c>
      <c r="K1730" s="62">
        <v>5403</v>
      </c>
      <c r="L1730" s="57">
        <v>207</v>
      </c>
      <c r="M1730" s="50" t="s">
        <v>26</v>
      </c>
      <c r="N1730" s="50" t="s">
        <v>317</v>
      </c>
      <c r="O1730" s="64">
        <v>554.82000000000005</v>
      </c>
      <c r="P1730" s="65">
        <v>12</v>
      </c>
      <c r="Q1730" s="64">
        <v>66.58</v>
      </c>
      <c r="R1730" s="63">
        <v>0</v>
      </c>
      <c r="S1730" s="64">
        <v>38.85</v>
      </c>
    </row>
    <row r="1731" spans="1:19" ht="11.1" customHeight="1" x14ac:dyDescent="0.25">
      <c r="N1731" s="50" t="s">
        <v>318</v>
      </c>
      <c r="O1731" s="64">
        <v>749.01</v>
      </c>
      <c r="P1731" s="65">
        <v>20</v>
      </c>
      <c r="Q1731" s="64">
        <v>38.85</v>
      </c>
      <c r="R1731" s="63">
        <v>0</v>
      </c>
      <c r="S1731" s="64">
        <v>0</v>
      </c>
    </row>
    <row r="1732" spans="1:19" ht="11.1" customHeight="1" x14ac:dyDescent="0.25">
      <c r="A1732" s="57">
        <v>113238</v>
      </c>
      <c r="B1732" s="53">
        <v>46132</v>
      </c>
      <c r="C1732" s="58">
        <v>46132</v>
      </c>
      <c r="D1732" s="59" t="s">
        <v>1453</v>
      </c>
      <c r="E1732" s="50" t="s">
        <v>313</v>
      </c>
      <c r="F1732" s="57">
        <v>36</v>
      </c>
      <c r="G1732" s="60">
        <v>5</v>
      </c>
      <c r="H1732" s="61" t="s">
        <v>1432</v>
      </c>
      <c r="I1732" s="50" t="s">
        <v>1433</v>
      </c>
      <c r="J1732" s="50" t="s">
        <v>1434</v>
      </c>
      <c r="K1732" s="62">
        <v>5102</v>
      </c>
      <c r="L1732" s="57">
        <v>205</v>
      </c>
      <c r="M1732" s="50" t="s">
        <v>26</v>
      </c>
      <c r="N1732" s="50" t="s">
        <v>317</v>
      </c>
      <c r="O1732" s="64">
        <v>1363.84</v>
      </c>
      <c r="P1732" s="65">
        <v>12</v>
      </c>
      <c r="Q1732" s="64">
        <v>163.66</v>
      </c>
      <c r="R1732" s="63">
        <v>0</v>
      </c>
      <c r="S1732" s="64">
        <v>0</v>
      </c>
    </row>
    <row r="1733" spans="1:19" ht="11.1" customHeight="1" x14ac:dyDescent="0.25">
      <c r="A1733" s="57">
        <v>113329</v>
      </c>
      <c r="B1733" s="53">
        <v>46135</v>
      </c>
      <c r="C1733" s="58">
        <v>46135</v>
      </c>
      <c r="D1733" s="59" t="s">
        <v>1454</v>
      </c>
      <c r="E1733" s="50" t="s">
        <v>313</v>
      </c>
      <c r="F1733" s="57">
        <v>36</v>
      </c>
      <c r="G1733" s="60">
        <v>5</v>
      </c>
      <c r="H1733" s="61" t="s">
        <v>1432</v>
      </c>
      <c r="I1733" s="50" t="s">
        <v>1433</v>
      </c>
      <c r="J1733" s="50" t="s">
        <v>1434</v>
      </c>
      <c r="K1733" s="62">
        <v>5102</v>
      </c>
      <c r="L1733" s="57">
        <v>205</v>
      </c>
      <c r="M1733" s="50" t="s">
        <v>26</v>
      </c>
      <c r="N1733" s="50" t="s">
        <v>317</v>
      </c>
      <c r="O1733" s="64">
        <v>208.09</v>
      </c>
      <c r="P1733" s="65">
        <v>12</v>
      </c>
      <c r="Q1733" s="64">
        <v>24.97</v>
      </c>
      <c r="R1733" s="63">
        <v>0</v>
      </c>
      <c r="S1733" s="64">
        <v>0</v>
      </c>
    </row>
    <row r="1734" spans="1:19" ht="11.1" customHeight="1" x14ac:dyDescent="0.25">
      <c r="A1734" s="57">
        <v>113330</v>
      </c>
      <c r="B1734" s="53">
        <v>46135</v>
      </c>
      <c r="C1734" s="58">
        <v>46135</v>
      </c>
      <c r="D1734" s="59" t="s">
        <v>1454</v>
      </c>
      <c r="E1734" s="50" t="s">
        <v>313</v>
      </c>
      <c r="F1734" s="57">
        <v>36</v>
      </c>
      <c r="G1734" s="60">
        <v>5</v>
      </c>
      <c r="H1734" s="61" t="s">
        <v>1432</v>
      </c>
      <c r="I1734" s="50" t="s">
        <v>1433</v>
      </c>
      <c r="J1734" s="50" t="s">
        <v>1434</v>
      </c>
      <c r="K1734" s="62">
        <v>5403</v>
      </c>
      <c r="L1734" s="57">
        <v>207</v>
      </c>
      <c r="M1734" s="50" t="s">
        <v>26</v>
      </c>
      <c r="N1734" s="50" t="s">
        <v>317</v>
      </c>
      <c r="O1734" s="64">
        <v>402.39</v>
      </c>
      <c r="P1734" s="65">
        <v>12</v>
      </c>
      <c r="Q1734" s="64">
        <v>48.29</v>
      </c>
      <c r="R1734" s="63">
        <v>0</v>
      </c>
      <c r="S1734" s="64">
        <v>28.17</v>
      </c>
    </row>
    <row r="1735" spans="1:19" ht="11.1" customHeight="1" x14ac:dyDescent="0.25">
      <c r="N1735" s="50" t="s">
        <v>318</v>
      </c>
      <c r="O1735" s="64">
        <v>543.23</v>
      </c>
      <c r="P1735" s="65">
        <v>20</v>
      </c>
      <c r="Q1735" s="64">
        <v>28.17</v>
      </c>
      <c r="R1735" s="63">
        <v>0</v>
      </c>
      <c r="S1735" s="64">
        <v>0</v>
      </c>
    </row>
    <row r="1736" spans="1:19" ht="11.1" customHeight="1" x14ac:dyDescent="0.25">
      <c r="A1736" s="57">
        <v>113478</v>
      </c>
      <c r="B1736" s="53">
        <v>46139</v>
      </c>
      <c r="C1736" s="58">
        <v>46139</v>
      </c>
      <c r="D1736" s="59" t="s">
        <v>1455</v>
      </c>
      <c r="E1736" s="50" t="s">
        <v>313</v>
      </c>
      <c r="F1736" s="57">
        <v>36</v>
      </c>
      <c r="G1736" s="60">
        <v>5</v>
      </c>
      <c r="H1736" s="61" t="s">
        <v>1432</v>
      </c>
      <c r="I1736" s="50" t="s">
        <v>1433</v>
      </c>
      <c r="J1736" s="50" t="s">
        <v>1434</v>
      </c>
      <c r="K1736" s="62">
        <v>5102</v>
      </c>
      <c r="L1736" s="57">
        <v>205</v>
      </c>
      <c r="M1736" s="50" t="s">
        <v>26</v>
      </c>
      <c r="N1736" s="50" t="s">
        <v>317</v>
      </c>
      <c r="O1736" s="64">
        <v>208.09</v>
      </c>
      <c r="P1736" s="65">
        <v>12</v>
      </c>
      <c r="Q1736" s="64">
        <v>24.97</v>
      </c>
      <c r="R1736" s="63">
        <v>0</v>
      </c>
      <c r="S1736" s="64">
        <v>0</v>
      </c>
    </row>
    <row r="1737" spans="1:19" ht="11.1" customHeight="1" x14ac:dyDescent="0.25">
      <c r="A1737" s="57">
        <v>113650</v>
      </c>
      <c r="B1737" s="53">
        <v>46142</v>
      </c>
      <c r="C1737" s="58">
        <v>46142</v>
      </c>
      <c r="D1737" s="59" t="s">
        <v>1456</v>
      </c>
      <c r="E1737" s="50" t="s">
        <v>313</v>
      </c>
      <c r="F1737" s="57">
        <v>36</v>
      </c>
      <c r="G1737" s="60">
        <v>5</v>
      </c>
      <c r="H1737" s="61" t="s">
        <v>1432</v>
      </c>
      <c r="I1737" s="50" t="s">
        <v>1433</v>
      </c>
      <c r="J1737" s="50" t="s">
        <v>1434</v>
      </c>
      <c r="K1737" s="62">
        <v>5102</v>
      </c>
      <c r="L1737" s="57">
        <v>205</v>
      </c>
      <c r="M1737" s="50" t="s">
        <v>26</v>
      </c>
      <c r="N1737" s="50" t="s">
        <v>317</v>
      </c>
      <c r="O1737" s="64">
        <v>1546.77</v>
      </c>
      <c r="P1737" s="65">
        <v>12</v>
      </c>
      <c r="Q1737" s="64">
        <v>185.6</v>
      </c>
      <c r="R1737" s="63">
        <v>0</v>
      </c>
      <c r="S1737" s="64">
        <v>0</v>
      </c>
    </row>
    <row r="1738" spans="1:19" ht="11.85" customHeight="1" x14ac:dyDescent="0.25">
      <c r="A1738" s="66" t="s">
        <v>320</v>
      </c>
      <c r="B1738" s="66"/>
      <c r="C1738" s="66"/>
      <c r="D1738" s="66"/>
      <c r="E1738" s="66"/>
      <c r="F1738" s="66"/>
      <c r="G1738" s="66"/>
      <c r="H1738" s="66"/>
    </row>
    <row r="1739" spans="1:19" ht="11.1" customHeight="1" x14ac:dyDescent="0.25">
      <c r="N1739" s="50" t="s">
        <v>317</v>
      </c>
      <c r="O1739" s="64">
        <v>75719.490000000005</v>
      </c>
      <c r="Q1739" s="64">
        <v>9086.3799999999992</v>
      </c>
      <c r="R1739" s="63">
        <v>0</v>
      </c>
      <c r="S1739" s="64">
        <v>2371.48</v>
      </c>
    </row>
    <row r="1740" spans="1:19" ht="11.1" customHeight="1" x14ac:dyDescent="0.25">
      <c r="N1740" s="50" t="s">
        <v>318</v>
      </c>
      <c r="O1740" s="64">
        <v>45734.87</v>
      </c>
      <c r="Q1740" s="64">
        <v>2371.48</v>
      </c>
      <c r="R1740" s="63">
        <v>0</v>
      </c>
      <c r="S1740" s="64">
        <v>0</v>
      </c>
    </row>
    <row r="1741" spans="1:19" ht="11.1" customHeight="1" x14ac:dyDescent="0.25">
      <c r="A1741" s="57">
        <v>112445</v>
      </c>
      <c r="B1741" s="53">
        <v>46113</v>
      </c>
      <c r="C1741" s="58">
        <v>46113</v>
      </c>
      <c r="D1741" s="59" t="s">
        <v>1457</v>
      </c>
      <c r="E1741" s="50" t="s">
        <v>313</v>
      </c>
      <c r="F1741" s="57">
        <v>36</v>
      </c>
      <c r="G1741" s="60">
        <v>10</v>
      </c>
      <c r="H1741" s="61" t="s">
        <v>1458</v>
      </c>
      <c r="I1741" s="50" t="s">
        <v>1459</v>
      </c>
      <c r="J1741" s="50" t="s">
        <v>1460</v>
      </c>
      <c r="K1741" s="62">
        <v>5102</v>
      </c>
      <c r="L1741" s="57">
        <v>205</v>
      </c>
      <c r="M1741" s="50" t="s">
        <v>26</v>
      </c>
      <c r="N1741" s="50" t="s">
        <v>317</v>
      </c>
      <c r="O1741" s="64">
        <v>256.56</v>
      </c>
      <c r="P1741" s="65">
        <v>12</v>
      </c>
      <c r="Q1741" s="64">
        <v>30.79</v>
      </c>
      <c r="R1741" s="63">
        <v>0</v>
      </c>
      <c r="S1741" s="64">
        <v>0</v>
      </c>
    </row>
    <row r="1742" spans="1:19" ht="11.1" customHeight="1" x14ac:dyDescent="0.25">
      <c r="A1742" s="57">
        <v>112446</v>
      </c>
      <c r="B1742" s="53">
        <v>46113</v>
      </c>
      <c r="C1742" s="58">
        <v>46113</v>
      </c>
      <c r="D1742" s="59" t="s">
        <v>1457</v>
      </c>
      <c r="E1742" s="50" t="s">
        <v>313</v>
      </c>
      <c r="F1742" s="57">
        <v>36</v>
      </c>
      <c r="G1742" s="60">
        <v>10</v>
      </c>
      <c r="H1742" s="61" t="s">
        <v>1458</v>
      </c>
      <c r="I1742" s="50" t="s">
        <v>1459</v>
      </c>
      <c r="J1742" s="50" t="s">
        <v>1460</v>
      </c>
      <c r="K1742" s="62">
        <v>5403</v>
      </c>
      <c r="L1742" s="57">
        <v>207</v>
      </c>
      <c r="M1742" s="50" t="s">
        <v>26</v>
      </c>
      <c r="N1742" s="50" t="s">
        <v>317</v>
      </c>
      <c r="O1742" s="64">
        <v>42.36</v>
      </c>
      <c r="P1742" s="65">
        <v>12</v>
      </c>
      <c r="Q1742" s="64">
        <v>5.08</v>
      </c>
      <c r="R1742" s="63">
        <v>0</v>
      </c>
      <c r="S1742" s="64">
        <v>2.97</v>
      </c>
    </row>
    <row r="1743" spans="1:19" ht="11.1" customHeight="1" x14ac:dyDescent="0.25">
      <c r="N1743" s="50" t="s">
        <v>318</v>
      </c>
      <c r="O1743" s="64">
        <v>57.19</v>
      </c>
      <c r="P1743" s="65">
        <v>20</v>
      </c>
      <c r="Q1743" s="64">
        <v>2.97</v>
      </c>
      <c r="R1743" s="63">
        <v>0</v>
      </c>
      <c r="S1743" s="64">
        <v>0</v>
      </c>
    </row>
    <row r="1744" spans="1:19" ht="11.1" customHeight="1" x14ac:dyDescent="0.25">
      <c r="A1744" s="57">
        <v>112498</v>
      </c>
      <c r="B1744" s="53">
        <v>46113</v>
      </c>
      <c r="C1744" s="58">
        <v>46113</v>
      </c>
      <c r="D1744" s="59" t="s">
        <v>1461</v>
      </c>
      <c r="E1744" s="50" t="s">
        <v>313</v>
      </c>
      <c r="F1744" s="57">
        <v>36</v>
      </c>
      <c r="G1744" s="60">
        <v>10</v>
      </c>
      <c r="H1744" s="61" t="s">
        <v>1458</v>
      </c>
      <c r="I1744" s="50" t="s">
        <v>1459</v>
      </c>
      <c r="J1744" s="50" t="s">
        <v>1460</v>
      </c>
      <c r="K1744" s="62">
        <v>5102</v>
      </c>
      <c r="L1744" s="57">
        <v>205</v>
      </c>
      <c r="M1744" s="50" t="s">
        <v>26</v>
      </c>
      <c r="N1744" s="50" t="s">
        <v>317</v>
      </c>
      <c r="O1744" s="64">
        <v>48.8</v>
      </c>
      <c r="P1744" s="65">
        <v>12</v>
      </c>
      <c r="Q1744" s="64">
        <v>5.86</v>
      </c>
      <c r="R1744" s="63">
        <v>0</v>
      </c>
      <c r="S1744" s="64">
        <v>0</v>
      </c>
    </row>
    <row r="1745" spans="1:19" ht="11.1" customHeight="1" x14ac:dyDescent="0.25">
      <c r="A1745" s="57">
        <v>112499</v>
      </c>
      <c r="B1745" s="53">
        <v>46113</v>
      </c>
      <c r="C1745" s="58">
        <v>46113</v>
      </c>
      <c r="D1745" s="59" t="s">
        <v>1461</v>
      </c>
      <c r="E1745" s="50" t="s">
        <v>313</v>
      </c>
      <c r="F1745" s="57">
        <v>36</v>
      </c>
      <c r="G1745" s="60">
        <v>10</v>
      </c>
      <c r="H1745" s="61" t="s">
        <v>1458</v>
      </c>
      <c r="I1745" s="50" t="s">
        <v>1459</v>
      </c>
      <c r="J1745" s="50" t="s">
        <v>1460</v>
      </c>
      <c r="K1745" s="62">
        <v>5403</v>
      </c>
      <c r="L1745" s="57">
        <v>207</v>
      </c>
      <c r="M1745" s="50" t="s">
        <v>26</v>
      </c>
      <c r="N1745" s="50" t="s">
        <v>317</v>
      </c>
      <c r="O1745" s="64">
        <v>322.66000000000003</v>
      </c>
      <c r="P1745" s="65">
        <v>12</v>
      </c>
      <c r="Q1745" s="64">
        <v>38.72</v>
      </c>
      <c r="R1745" s="63">
        <v>0</v>
      </c>
      <c r="S1745" s="64">
        <v>22.59</v>
      </c>
    </row>
    <row r="1746" spans="1:19" ht="11.1" customHeight="1" x14ac:dyDescent="0.25">
      <c r="N1746" s="50" t="s">
        <v>318</v>
      </c>
      <c r="O1746" s="64">
        <v>435.6</v>
      </c>
      <c r="P1746" s="65">
        <v>20</v>
      </c>
      <c r="Q1746" s="64">
        <v>22.59</v>
      </c>
      <c r="R1746" s="63">
        <v>0</v>
      </c>
      <c r="S1746" s="64">
        <v>0</v>
      </c>
    </row>
    <row r="1747" spans="1:19" ht="11.1" customHeight="1" x14ac:dyDescent="0.25">
      <c r="A1747" s="57">
        <v>112513</v>
      </c>
      <c r="B1747" s="53">
        <v>46114</v>
      </c>
      <c r="C1747" s="58">
        <v>46114</v>
      </c>
      <c r="D1747" s="59" t="s">
        <v>1462</v>
      </c>
      <c r="E1747" s="50" t="s">
        <v>313</v>
      </c>
      <c r="F1747" s="57">
        <v>36</v>
      </c>
      <c r="G1747" s="60">
        <v>10</v>
      </c>
      <c r="H1747" s="61" t="s">
        <v>1458</v>
      </c>
      <c r="I1747" s="50" t="s">
        <v>1459</v>
      </c>
      <c r="J1747" s="50" t="s">
        <v>1460</v>
      </c>
      <c r="K1747" s="62">
        <v>5102</v>
      </c>
      <c r="L1747" s="57">
        <v>205</v>
      </c>
      <c r="M1747" s="50" t="s">
        <v>26</v>
      </c>
      <c r="N1747" s="50" t="s">
        <v>317</v>
      </c>
      <c r="O1747" s="64">
        <v>1271.46</v>
      </c>
      <c r="P1747" s="65">
        <v>12</v>
      </c>
      <c r="Q1747" s="64">
        <v>152.58000000000001</v>
      </c>
      <c r="R1747" s="63">
        <v>0</v>
      </c>
      <c r="S1747" s="64">
        <v>0</v>
      </c>
    </row>
    <row r="1748" spans="1:19" ht="11.1" customHeight="1" x14ac:dyDescent="0.25">
      <c r="A1748" s="57">
        <v>112514</v>
      </c>
      <c r="B1748" s="53">
        <v>46114</v>
      </c>
      <c r="C1748" s="58">
        <v>46114</v>
      </c>
      <c r="D1748" s="59" t="s">
        <v>1462</v>
      </c>
      <c r="E1748" s="50" t="s">
        <v>313</v>
      </c>
      <c r="F1748" s="57">
        <v>36</v>
      </c>
      <c r="G1748" s="60">
        <v>10</v>
      </c>
      <c r="H1748" s="61" t="s">
        <v>1458</v>
      </c>
      <c r="I1748" s="50" t="s">
        <v>1459</v>
      </c>
      <c r="J1748" s="50" t="s">
        <v>1460</v>
      </c>
      <c r="K1748" s="62">
        <v>5403</v>
      </c>
      <c r="L1748" s="57">
        <v>207</v>
      </c>
      <c r="M1748" s="50" t="s">
        <v>26</v>
      </c>
      <c r="N1748" s="50" t="s">
        <v>317</v>
      </c>
      <c r="O1748" s="64">
        <v>733.32</v>
      </c>
      <c r="P1748" s="65">
        <v>12</v>
      </c>
      <c r="Q1748" s="64">
        <v>88</v>
      </c>
      <c r="R1748" s="63">
        <v>0</v>
      </c>
      <c r="S1748" s="64">
        <v>51.34</v>
      </c>
    </row>
    <row r="1749" spans="1:19" ht="11.1" customHeight="1" x14ac:dyDescent="0.25">
      <c r="N1749" s="50" t="s">
        <v>318</v>
      </c>
      <c r="O1749" s="64">
        <v>989.98</v>
      </c>
      <c r="P1749" s="65">
        <v>20</v>
      </c>
      <c r="Q1749" s="64">
        <v>51.34</v>
      </c>
      <c r="R1749" s="63">
        <v>0</v>
      </c>
      <c r="S1749" s="64">
        <v>0</v>
      </c>
    </row>
    <row r="1750" spans="1:19" ht="11.1" customHeight="1" x14ac:dyDescent="0.25">
      <c r="A1750" s="57">
        <v>112515</v>
      </c>
      <c r="B1750" s="53">
        <v>46114</v>
      </c>
      <c r="C1750" s="58">
        <v>46114</v>
      </c>
      <c r="D1750" s="59" t="s">
        <v>1463</v>
      </c>
      <c r="E1750" s="50" t="s">
        <v>313</v>
      </c>
      <c r="F1750" s="57">
        <v>36</v>
      </c>
      <c r="G1750" s="60">
        <v>10</v>
      </c>
      <c r="H1750" s="61" t="s">
        <v>1458</v>
      </c>
      <c r="I1750" s="50" t="s">
        <v>1459</v>
      </c>
      <c r="J1750" s="50" t="s">
        <v>1460</v>
      </c>
      <c r="K1750" s="62">
        <v>5403</v>
      </c>
      <c r="L1750" s="57">
        <v>207</v>
      </c>
      <c r="M1750" s="50" t="s">
        <v>26</v>
      </c>
      <c r="N1750" s="50" t="s">
        <v>317</v>
      </c>
      <c r="O1750" s="64">
        <v>794.55</v>
      </c>
      <c r="P1750" s="65">
        <v>12</v>
      </c>
      <c r="Q1750" s="64">
        <v>95.35</v>
      </c>
      <c r="R1750" s="63">
        <v>0</v>
      </c>
      <c r="S1750" s="64">
        <v>55.63</v>
      </c>
    </row>
    <row r="1751" spans="1:19" ht="11.1" customHeight="1" x14ac:dyDescent="0.25">
      <c r="N1751" s="50" t="s">
        <v>318</v>
      </c>
      <c r="O1751" s="64">
        <v>1072.6400000000001</v>
      </c>
      <c r="P1751" s="65">
        <v>20</v>
      </c>
      <c r="Q1751" s="64">
        <v>55.63</v>
      </c>
      <c r="R1751" s="63">
        <v>0</v>
      </c>
      <c r="S1751" s="64">
        <v>0</v>
      </c>
    </row>
    <row r="1752" spans="1:19" ht="11.1" customHeight="1" x14ac:dyDescent="0.25">
      <c r="A1752" s="57">
        <v>112516</v>
      </c>
      <c r="B1752" s="53">
        <v>46114</v>
      </c>
      <c r="C1752" s="58">
        <v>46114</v>
      </c>
      <c r="D1752" s="59" t="s">
        <v>1464</v>
      </c>
      <c r="E1752" s="50" t="s">
        <v>313</v>
      </c>
      <c r="F1752" s="57">
        <v>36</v>
      </c>
      <c r="G1752" s="60">
        <v>10</v>
      </c>
      <c r="H1752" s="61" t="s">
        <v>1458</v>
      </c>
      <c r="I1752" s="50" t="s">
        <v>1459</v>
      </c>
      <c r="J1752" s="50" t="s">
        <v>1460</v>
      </c>
      <c r="K1752" s="62">
        <v>5102</v>
      </c>
      <c r="L1752" s="57">
        <v>205</v>
      </c>
      <c r="M1752" s="50" t="s">
        <v>26</v>
      </c>
      <c r="N1752" s="50" t="s">
        <v>317</v>
      </c>
      <c r="O1752" s="64">
        <v>71.94</v>
      </c>
      <c r="P1752" s="65">
        <v>12</v>
      </c>
      <c r="Q1752" s="64">
        <v>8.64</v>
      </c>
      <c r="R1752" s="63">
        <v>0</v>
      </c>
      <c r="S1752" s="64">
        <v>0</v>
      </c>
    </row>
    <row r="1753" spans="1:19" ht="11.1" customHeight="1" x14ac:dyDescent="0.25">
      <c r="A1753" s="57">
        <v>112517</v>
      </c>
      <c r="B1753" s="53">
        <v>46114</v>
      </c>
      <c r="C1753" s="58">
        <v>46114</v>
      </c>
      <c r="D1753" s="59" t="s">
        <v>1464</v>
      </c>
      <c r="E1753" s="50" t="s">
        <v>313</v>
      </c>
      <c r="F1753" s="57">
        <v>36</v>
      </c>
      <c r="G1753" s="60">
        <v>10</v>
      </c>
      <c r="H1753" s="61" t="s">
        <v>1458</v>
      </c>
      <c r="I1753" s="50" t="s">
        <v>1459</v>
      </c>
      <c r="J1753" s="50" t="s">
        <v>1460</v>
      </c>
      <c r="K1753" s="62">
        <v>5403</v>
      </c>
      <c r="L1753" s="57">
        <v>207</v>
      </c>
      <c r="M1753" s="50" t="s">
        <v>26</v>
      </c>
      <c r="N1753" s="50" t="s">
        <v>317</v>
      </c>
      <c r="O1753" s="64">
        <v>89.52</v>
      </c>
      <c r="P1753" s="65">
        <v>12</v>
      </c>
      <c r="Q1753" s="64">
        <v>10.74</v>
      </c>
      <c r="R1753" s="63">
        <v>0</v>
      </c>
      <c r="S1753" s="64">
        <v>6.27</v>
      </c>
    </row>
    <row r="1754" spans="1:19" ht="11.1" customHeight="1" x14ac:dyDescent="0.25">
      <c r="N1754" s="50" t="s">
        <v>318</v>
      </c>
      <c r="O1754" s="64">
        <v>120.85</v>
      </c>
      <c r="P1754" s="65">
        <v>20</v>
      </c>
      <c r="Q1754" s="64">
        <v>6.27</v>
      </c>
      <c r="R1754" s="63">
        <v>0</v>
      </c>
      <c r="S1754" s="64">
        <v>0</v>
      </c>
    </row>
    <row r="1755" spans="1:19" ht="11.1" customHeight="1" x14ac:dyDescent="0.25">
      <c r="A1755" s="57">
        <v>112662</v>
      </c>
      <c r="B1755" s="53">
        <v>46119</v>
      </c>
      <c r="C1755" s="58">
        <v>46119</v>
      </c>
      <c r="D1755" s="59" t="s">
        <v>1465</v>
      </c>
      <c r="E1755" s="50" t="s">
        <v>313</v>
      </c>
      <c r="F1755" s="57">
        <v>36</v>
      </c>
      <c r="G1755" s="60">
        <v>10</v>
      </c>
      <c r="H1755" s="61" t="s">
        <v>1458</v>
      </c>
      <c r="I1755" s="50" t="s">
        <v>1459</v>
      </c>
      <c r="J1755" s="50" t="s">
        <v>1460</v>
      </c>
      <c r="K1755" s="62">
        <v>5102</v>
      </c>
      <c r="L1755" s="57">
        <v>205</v>
      </c>
      <c r="M1755" s="50" t="s">
        <v>26</v>
      </c>
      <c r="N1755" s="50" t="s">
        <v>317</v>
      </c>
      <c r="O1755" s="64">
        <v>37</v>
      </c>
      <c r="P1755" s="65">
        <v>12</v>
      </c>
      <c r="Q1755" s="64">
        <v>4.4400000000000004</v>
      </c>
      <c r="R1755" s="63">
        <v>0</v>
      </c>
      <c r="S1755" s="64">
        <v>0</v>
      </c>
    </row>
    <row r="1756" spans="1:19" ht="11.1" customHeight="1" x14ac:dyDescent="0.25">
      <c r="A1756" s="57">
        <v>112663</v>
      </c>
      <c r="B1756" s="53">
        <v>46119</v>
      </c>
      <c r="C1756" s="58">
        <v>46119</v>
      </c>
      <c r="D1756" s="59" t="s">
        <v>1465</v>
      </c>
      <c r="E1756" s="50" t="s">
        <v>313</v>
      </c>
      <c r="F1756" s="57">
        <v>36</v>
      </c>
      <c r="G1756" s="60">
        <v>10</v>
      </c>
      <c r="H1756" s="61" t="s">
        <v>1458</v>
      </c>
      <c r="I1756" s="50" t="s">
        <v>1459</v>
      </c>
      <c r="J1756" s="50" t="s">
        <v>1460</v>
      </c>
      <c r="K1756" s="62">
        <v>5403</v>
      </c>
      <c r="L1756" s="57">
        <v>207</v>
      </c>
      <c r="M1756" s="50" t="s">
        <v>26</v>
      </c>
      <c r="N1756" s="50" t="s">
        <v>317</v>
      </c>
      <c r="O1756" s="64">
        <v>751.72</v>
      </c>
      <c r="P1756" s="65">
        <v>12</v>
      </c>
      <c r="Q1756" s="64">
        <v>90.21</v>
      </c>
      <c r="R1756" s="63">
        <v>0</v>
      </c>
      <c r="S1756" s="64">
        <v>52.62</v>
      </c>
    </row>
    <row r="1757" spans="1:19" ht="11.1" customHeight="1" x14ac:dyDescent="0.25">
      <c r="N1757" s="50" t="s">
        <v>318</v>
      </c>
      <c r="O1757" s="64">
        <v>1014.82</v>
      </c>
      <c r="P1757" s="65">
        <v>20</v>
      </c>
      <c r="Q1757" s="64">
        <v>52.62</v>
      </c>
      <c r="R1757" s="63">
        <v>0</v>
      </c>
      <c r="S1757" s="64">
        <v>0</v>
      </c>
    </row>
    <row r="1758" spans="1:19" ht="11.1" customHeight="1" x14ac:dyDescent="0.25">
      <c r="A1758" s="57">
        <v>112707</v>
      </c>
      <c r="B1758" s="53">
        <v>46119</v>
      </c>
      <c r="C1758" s="58">
        <v>46119</v>
      </c>
      <c r="D1758" s="59" t="s">
        <v>1466</v>
      </c>
      <c r="E1758" s="50" t="s">
        <v>313</v>
      </c>
      <c r="F1758" s="57">
        <v>36</v>
      </c>
      <c r="G1758" s="60">
        <v>10</v>
      </c>
      <c r="H1758" s="61" t="s">
        <v>1458</v>
      </c>
      <c r="I1758" s="50" t="s">
        <v>1459</v>
      </c>
      <c r="J1758" s="50" t="s">
        <v>1460</v>
      </c>
      <c r="K1758" s="62">
        <v>5102</v>
      </c>
      <c r="L1758" s="57">
        <v>205</v>
      </c>
      <c r="M1758" s="50" t="s">
        <v>26</v>
      </c>
      <c r="N1758" s="50" t="s">
        <v>317</v>
      </c>
      <c r="O1758" s="64">
        <v>2518.9499999999998</v>
      </c>
      <c r="P1758" s="65">
        <v>12</v>
      </c>
      <c r="Q1758" s="64">
        <v>302.29000000000002</v>
      </c>
      <c r="R1758" s="63">
        <v>0</v>
      </c>
      <c r="S1758" s="64">
        <v>0</v>
      </c>
    </row>
    <row r="1759" spans="1:19" ht="11.1" customHeight="1" x14ac:dyDescent="0.25">
      <c r="A1759" s="57">
        <v>112708</v>
      </c>
      <c r="B1759" s="53">
        <v>46119</v>
      </c>
      <c r="C1759" s="58">
        <v>46119</v>
      </c>
      <c r="D1759" s="59" t="s">
        <v>1466</v>
      </c>
      <c r="E1759" s="50" t="s">
        <v>313</v>
      </c>
      <c r="F1759" s="57">
        <v>36</v>
      </c>
      <c r="G1759" s="60">
        <v>10</v>
      </c>
      <c r="H1759" s="61" t="s">
        <v>1458</v>
      </c>
      <c r="I1759" s="50" t="s">
        <v>1459</v>
      </c>
      <c r="J1759" s="50" t="s">
        <v>1460</v>
      </c>
      <c r="K1759" s="62">
        <v>5403</v>
      </c>
      <c r="L1759" s="57">
        <v>207</v>
      </c>
      <c r="M1759" s="50" t="s">
        <v>26</v>
      </c>
      <c r="N1759" s="50" t="s">
        <v>317</v>
      </c>
      <c r="O1759" s="64">
        <v>253.44</v>
      </c>
      <c r="P1759" s="65">
        <v>12</v>
      </c>
      <c r="Q1759" s="64">
        <v>30.42</v>
      </c>
      <c r="R1759" s="63">
        <v>0</v>
      </c>
      <c r="S1759" s="64">
        <v>17.7</v>
      </c>
    </row>
    <row r="1760" spans="1:19" ht="11.1" customHeight="1" x14ac:dyDescent="0.25">
      <c r="N1760" s="50" t="s">
        <v>318</v>
      </c>
      <c r="O1760" s="64">
        <v>342.12</v>
      </c>
      <c r="P1760" s="65">
        <v>20</v>
      </c>
      <c r="Q1760" s="64">
        <v>17.7</v>
      </c>
      <c r="R1760" s="63">
        <v>0</v>
      </c>
      <c r="S1760" s="64">
        <v>0</v>
      </c>
    </row>
    <row r="1761" spans="1:19" ht="11.1" customHeight="1" x14ac:dyDescent="0.25">
      <c r="A1761" s="57">
        <v>112709</v>
      </c>
      <c r="B1761" s="53">
        <v>46119</v>
      </c>
      <c r="C1761" s="58">
        <v>46119</v>
      </c>
      <c r="D1761" s="59" t="s">
        <v>1467</v>
      </c>
      <c r="E1761" s="50" t="s">
        <v>313</v>
      </c>
      <c r="F1761" s="57">
        <v>36</v>
      </c>
      <c r="G1761" s="60">
        <v>10</v>
      </c>
      <c r="H1761" s="61" t="s">
        <v>1458</v>
      </c>
      <c r="I1761" s="50" t="s">
        <v>1459</v>
      </c>
      <c r="J1761" s="50" t="s">
        <v>1460</v>
      </c>
      <c r="K1761" s="62">
        <v>5102</v>
      </c>
      <c r="L1761" s="57">
        <v>205</v>
      </c>
      <c r="M1761" s="50" t="s">
        <v>26</v>
      </c>
      <c r="N1761" s="50" t="s">
        <v>317</v>
      </c>
      <c r="O1761" s="64">
        <v>1993.04</v>
      </c>
      <c r="P1761" s="65">
        <v>12</v>
      </c>
      <c r="Q1761" s="64">
        <v>239.17</v>
      </c>
      <c r="R1761" s="63">
        <v>0</v>
      </c>
      <c r="S1761" s="64">
        <v>0</v>
      </c>
    </row>
    <row r="1762" spans="1:19" ht="11.1" customHeight="1" x14ac:dyDescent="0.25">
      <c r="A1762" s="57">
        <v>112710</v>
      </c>
      <c r="B1762" s="53">
        <v>46119</v>
      </c>
      <c r="C1762" s="58">
        <v>46119</v>
      </c>
      <c r="D1762" s="59" t="s">
        <v>1467</v>
      </c>
      <c r="E1762" s="50" t="s">
        <v>313</v>
      </c>
      <c r="F1762" s="57">
        <v>36</v>
      </c>
      <c r="G1762" s="60">
        <v>10</v>
      </c>
      <c r="H1762" s="61" t="s">
        <v>1458</v>
      </c>
      <c r="I1762" s="50" t="s">
        <v>1459</v>
      </c>
      <c r="J1762" s="50" t="s">
        <v>1460</v>
      </c>
      <c r="K1762" s="62">
        <v>5403</v>
      </c>
      <c r="L1762" s="57">
        <v>207</v>
      </c>
      <c r="M1762" s="50" t="s">
        <v>26</v>
      </c>
      <c r="N1762" s="50" t="s">
        <v>317</v>
      </c>
      <c r="O1762" s="64">
        <v>4466.68</v>
      </c>
      <c r="P1762" s="65">
        <v>12</v>
      </c>
      <c r="Q1762" s="64">
        <v>536.01</v>
      </c>
      <c r="R1762" s="63">
        <v>0</v>
      </c>
      <c r="S1762" s="64">
        <v>312.66000000000003</v>
      </c>
    </row>
    <row r="1763" spans="1:19" ht="11.1" customHeight="1" x14ac:dyDescent="0.25">
      <c r="N1763" s="50" t="s">
        <v>318</v>
      </c>
      <c r="O1763" s="64">
        <v>6030.03</v>
      </c>
      <c r="P1763" s="65">
        <v>20</v>
      </c>
      <c r="Q1763" s="64">
        <v>312.66000000000003</v>
      </c>
      <c r="R1763" s="63">
        <v>0</v>
      </c>
      <c r="S1763" s="64">
        <v>0</v>
      </c>
    </row>
    <row r="1764" spans="1:19" ht="11.1" customHeight="1" x14ac:dyDescent="0.25">
      <c r="A1764" s="57">
        <v>112718</v>
      </c>
      <c r="B1764" s="53">
        <v>46119</v>
      </c>
      <c r="C1764" s="58">
        <v>46119</v>
      </c>
      <c r="D1764" s="59" t="s">
        <v>1468</v>
      </c>
      <c r="E1764" s="50" t="s">
        <v>313</v>
      </c>
      <c r="F1764" s="57">
        <v>36</v>
      </c>
      <c r="G1764" s="60">
        <v>10</v>
      </c>
      <c r="H1764" s="61" t="s">
        <v>1458</v>
      </c>
      <c r="I1764" s="50" t="s">
        <v>1459</v>
      </c>
      <c r="J1764" s="50" t="s">
        <v>1460</v>
      </c>
      <c r="K1764" s="62">
        <v>5102</v>
      </c>
      <c r="L1764" s="57">
        <v>205</v>
      </c>
      <c r="M1764" s="50" t="s">
        <v>26</v>
      </c>
      <c r="N1764" s="50" t="s">
        <v>317</v>
      </c>
      <c r="O1764" s="64">
        <v>1417.96</v>
      </c>
      <c r="P1764" s="65">
        <v>12</v>
      </c>
      <c r="Q1764" s="64">
        <v>170.15</v>
      </c>
      <c r="R1764" s="63">
        <v>0</v>
      </c>
      <c r="S1764" s="64">
        <v>0</v>
      </c>
    </row>
    <row r="1765" spans="1:19" ht="11.1" customHeight="1" x14ac:dyDescent="0.25">
      <c r="A1765" s="57">
        <v>112719</v>
      </c>
      <c r="B1765" s="53">
        <v>46119</v>
      </c>
      <c r="C1765" s="58">
        <v>46119</v>
      </c>
      <c r="D1765" s="59" t="s">
        <v>1468</v>
      </c>
      <c r="E1765" s="50" t="s">
        <v>313</v>
      </c>
      <c r="F1765" s="57">
        <v>36</v>
      </c>
      <c r="G1765" s="60">
        <v>10</v>
      </c>
      <c r="H1765" s="61" t="s">
        <v>1458</v>
      </c>
      <c r="I1765" s="50" t="s">
        <v>1459</v>
      </c>
      <c r="J1765" s="50" t="s">
        <v>1460</v>
      </c>
      <c r="K1765" s="62">
        <v>5403</v>
      </c>
      <c r="L1765" s="57">
        <v>207</v>
      </c>
      <c r="M1765" s="50" t="s">
        <v>26</v>
      </c>
      <c r="N1765" s="50" t="s">
        <v>317</v>
      </c>
      <c r="O1765" s="64">
        <v>193.84</v>
      </c>
      <c r="P1765" s="65">
        <v>12</v>
      </c>
      <c r="Q1765" s="64">
        <v>23.26</v>
      </c>
      <c r="R1765" s="63">
        <v>0</v>
      </c>
      <c r="S1765" s="64">
        <v>13.57</v>
      </c>
    </row>
    <row r="1766" spans="1:19" ht="11.1" customHeight="1" x14ac:dyDescent="0.25">
      <c r="N1766" s="50" t="s">
        <v>318</v>
      </c>
      <c r="O1766" s="64">
        <v>261.68</v>
      </c>
      <c r="P1766" s="65">
        <v>20</v>
      </c>
      <c r="Q1766" s="64">
        <v>13.57</v>
      </c>
      <c r="R1766" s="63">
        <v>0</v>
      </c>
      <c r="S1766" s="64">
        <v>0</v>
      </c>
    </row>
    <row r="1767" spans="1:19" ht="11.1" customHeight="1" x14ac:dyDescent="0.25">
      <c r="A1767" s="57">
        <v>112886</v>
      </c>
      <c r="B1767" s="53">
        <v>46122</v>
      </c>
      <c r="C1767" s="58">
        <v>46122</v>
      </c>
      <c r="D1767" s="59" t="s">
        <v>1469</v>
      </c>
      <c r="E1767" s="50" t="s">
        <v>313</v>
      </c>
      <c r="F1767" s="57">
        <v>36</v>
      </c>
      <c r="G1767" s="60">
        <v>10</v>
      </c>
      <c r="H1767" s="61" t="s">
        <v>1458</v>
      </c>
      <c r="I1767" s="50" t="s">
        <v>1459</v>
      </c>
      <c r="J1767" s="50" t="s">
        <v>1460</v>
      </c>
      <c r="K1767" s="62">
        <v>5102</v>
      </c>
      <c r="L1767" s="57">
        <v>205</v>
      </c>
      <c r="M1767" s="50" t="s">
        <v>26</v>
      </c>
      <c r="N1767" s="50" t="s">
        <v>317</v>
      </c>
      <c r="O1767" s="64">
        <v>4.0999999999999996</v>
      </c>
      <c r="P1767" s="65">
        <v>12</v>
      </c>
      <c r="Q1767" s="64">
        <v>0.49</v>
      </c>
      <c r="R1767" s="63">
        <v>0</v>
      </c>
      <c r="S1767" s="64">
        <v>0</v>
      </c>
    </row>
    <row r="1768" spans="1:19" ht="11.1" customHeight="1" x14ac:dyDescent="0.25">
      <c r="A1768" s="57">
        <v>112891</v>
      </c>
      <c r="B1768" s="53">
        <v>46122</v>
      </c>
      <c r="C1768" s="58">
        <v>46122</v>
      </c>
      <c r="D1768" s="59" t="s">
        <v>1470</v>
      </c>
      <c r="E1768" s="50" t="s">
        <v>313</v>
      </c>
      <c r="F1768" s="57">
        <v>36</v>
      </c>
      <c r="G1768" s="60">
        <v>10</v>
      </c>
      <c r="H1768" s="61" t="s">
        <v>1458</v>
      </c>
      <c r="I1768" s="50" t="s">
        <v>1459</v>
      </c>
      <c r="J1768" s="50" t="s">
        <v>1460</v>
      </c>
      <c r="K1768" s="62">
        <v>5102</v>
      </c>
      <c r="L1768" s="57">
        <v>205</v>
      </c>
      <c r="M1768" s="50" t="s">
        <v>26</v>
      </c>
      <c r="N1768" s="50" t="s">
        <v>317</v>
      </c>
      <c r="O1768" s="64">
        <v>386.16</v>
      </c>
      <c r="P1768" s="65">
        <v>12</v>
      </c>
      <c r="Q1768" s="64">
        <v>46.34</v>
      </c>
      <c r="R1768" s="63">
        <v>0</v>
      </c>
      <c r="S1768" s="64">
        <v>0</v>
      </c>
    </row>
    <row r="1769" spans="1:19" ht="11.1" customHeight="1" x14ac:dyDescent="0.25">
      <c r="A1769" s="57">
        <v>112920</v>
      </c>
      <c r="B1769" s="53">
        <v>46122</v>
      </c>
      <c r="C1769" s="58">
        <v>46122</v>
      </c>
      <c r="D1769" s="59" t="s">
        <v>1471</v>
      </c>
      <c r="E1769" s="50" t="s">
        <v>313</v>
      </c>
      <c r="F1769" s="57">
        <v>36</v>
      </c>
      <c r="G1769" s="60">
        <v>10</v>
      </c>
      <c r="H1769" s="61" t="s">
        <v>1458</v>
      </c>
      <c r="I1769" s="50" t="s">
        <v>1459</v>
      </c>
      <c r="J1769" s="50" t="s">
        <v>1460</v>
      </c>
      <c r="K1769" s="62">
        <v>5102</v>
      </c>
      <c r="L1769" s="57">
        <v>205</v>
      </c>
      <c r="M1769" s="50" t="s">
        <v>26</v>
      </c>
      <c r="N1769" s="50" t="s">
        <v>317</v>
      </c>
      <c r="O1769" s="64">
        <v>2262.7199999999998</v>
      </c>
      <c r="P1769" s="65">
        <v>12</v>
      </c>
      <c r="Q1769" s="64">
        <v>271.52</v>
      </c>
      <c r="R1769" s="63">
        <v>0</v>
      </c>
      <c r="S1769" s="64">
        <v>0</v>
      </c>
    </row>
    <row r="1770" spans="1:19" ht="11.1" customHeight="1" x14ac:dyDescent="0.25">
      <c r="A1770" s="57">
        <v>112921</v>
      </c>
      <c r="B1770" s="53">
        <v>46122</v>
      </c>
      <c r="C1770" s="58">
        <v>46122</v>
      </c>
      <c r="D1770" s="59" t="s">
        <v>1471</v>
      </c>
      <c r="E1770" s="50" t="s">
        <v>313</v>
      </c>
      <c r="F1770" s="57">
        <v>36</v>
      </c>
      <c r="G1770" s="60">
        <v>10</v>
      </c>
      <c r="H1770" s="61" t="s">
        <v>1458</v>
      </c>
      <c r="I1770" s="50" t="s">
        <v>1459</v>
      </c>
      <c r="J1770" s="50" t="s">
        <v>1460</v>
      </c>
      <c r="K1770" s="62">
        <v>5403</v>
      </c>
      <c r="L1770" s="57">
        <v>207</v>
      </c>
      <c r="M1770" s="50" t="s">
        <v>26</v>
      </c>
      <c r="N1770" s="50" t="s">
        <v>317</v>
      </c>
      <c r="O1770" s="64">
        <v>1766.68</v>
      </c>
      <c r="P1770" s="65">
        <v>12</v>
      </c>
      <c r="Q1770" s="64">
        <v>212.01</v>
      </c>
      <c r="R1770" s="63">
        <v>0</v>
      </c>
      <c r="S1770" s="64">
        <v>123.67</v>
      </c>
    </row>
    <row r="1771" spans="1:19" ht="11.1" customHeight="1" x14ac:dyDescent="0.25">
      <c r="N1771" s="50" t="s">
        <v>318</v>
      </c>
      <c r="O1771" s="64">
        <v>2385.02</v>
      </c>
      <c r="P1771" s="65">
        <v>20</v>
      </c>
      <c r="Q1771" s="64">
        <v>123.67</v>
      </c>
      <c r="R1771" s="63">
        <v>0</v>
      </c>
      <c r="S1771" s="64">
        <v>0</v>
      </c>
    </row>
    <row r="1772" spans="1:19" ht="11.1" customHeight="1" x14ac:dyDescent="0.25">
      <c r="A1772" s="57">
        <v>113031</v>
      </c>
      <c r="B1772" s="53">
        <v>46126</v>
      </c>
      <c r="C1772" s="58">
        <v>46126</v>
      </c>
      <c r="D1772" s="59" t="s">
        <v>1472</v>
      </c>
      <c r="E1772" s="50" t="s">
        <v>313</v>
      </c>
      <c r="F1772" s="57">
        <v>36</v>
      </c>
      <c r="G1772" s="60">
        <v>10</v>
      </c>
      <c r="H1772" s="61" t="s">
        <v>1458</v>
      </c>
      <c r="I1772" s="50" t="s">
        <v>1459</v>
      </c>
      <c r="J1772" s="50" t="s">
        <v>1460</v>
      </c>
      <c r="K1772" s="62">
        <v>5102</v>
      </c>
      <c r="L1772" s="57">
        <v>205</v>
      </c>
      <c r="M1772" s="50" t="s">
        <v>26</v>
      </c>
      <c r="N1772" s="50" t="s">
        <v>317</v>
      </c>
      <c r="O1772" s="64">
        <v>140.91</v>
      </c>
      <c r="P1772" s="65">
        <v>12</v>
      </c>
      <c r="Q1772" s="64">
        <v>16.91</v>
      </c>
      <c r="R1772" s="63">
        <v>0</v>
      </c>
      <c r="S1772" s="64">
        <v>0</v>
      </c>
    </row>
    <row r="1773" spans="1:19" ht="11.1" customHeight="1" x14ac:dyDescent="0.25">
      <c r="A1773" s="57">
        <v>113033</v>
      </c>
      <c r="B1773" s="53">
        <v>46126</v>
      </c>
      <c r="C1773" s="58">
        <v>46126</v>
      </c>
      <c r="D1773" s="59" t="s">
        <v>1473</v>
      </c>
      <c r="E1773" s="50" t="s">
        <v>313</v>
      </c>
      <c r="F1773" s="57">
        <v>36</v>
      </c>
      <c r="G1773" s="60">
        <v>10</v>
      </c>
      <c r="H1773" s="61" t="s">
        <v>1458</v>
      </c>
      <c r="I1773" s="50" t="s">
        <v>1459</v>
      </c>
      <c r="J1773" s="50" t="s">
        <v>1460</v>
      </c>
      <c r="K1773" s="62">
        <v>5102</v>
      </c>
      <c r="L1773" s="57">
        <v>205</v>
      </c>
      <c r="M1773" s="50" t="s">
        <v>26</v>
      </c>
      <c r="N1773" s="50" t="s">
        <v>317</v>
      </c>
      <c r="O1773" s="64">
        <v>44.51</v>
      </c>
      <c r="P1773" s="65">
        <v>12</v>
      </c>
      <c r="Q1773" s="64">
        <v>5.34</v>
      </c>
      <c r="R1773" s="63">
        <v>0</v>
      </c>
      <c r="S1773" s="64">
        <v>0</v>
      </c>
    </row>
    <row r="1774" spans="1:19" ht="11.1" customHeight="1" x14ac:dyDescent="0.25">
      <c r="A1774" s="57">
        <v>113034</v>
      </c>
      <c r="B1774" s="53">
        <v>46126</v>
      </c>
      <c r="C1774" s="58">
        <v>46126</v>
      </c>
      <c r="D1774" s="59" t="s">
        <v>1473</v>
      </c>
      <c r="E1774" s="50" t="s">
        <v>313</v>
      </c>
      <c r="F1774" s="57">
        <v>36</v>
      </c>
      <c r="G1774" s="60">
        <v>10</v>
      </c>
      <c r="H1774" s="61" t="s">
        <v>1458</v>
      </c>
      <c r="I1774" s="50" t="s">
        <v>1459</v>
      </c>
      <c r="J1774" s="50" t="s">
        <v>1460</v>
      </c>
      <c r="K1774" s="62">
        <v>5403</v>
      </c>
      <c r="L1774" s="57">
        <v>207</v>
      </c>
      <c r="M1774" s="50" t="s">
        <v>26</v>
      </c>
      <c r="N1774" s="50" t="s">
        <v>317</v>
      </c>
      <c r="O1774" s="64">
        <v>143.25</v>
      </c>
      <c r="P1774" s="65">
        <v>12</v>
      </c>
      <c r="Q1774" s="64">
        <v>17.190000000000001</v>
      </c>
      <c r="R1774" s="63">
        <v>0</v>
      </c>
      <c r="S1774" s="64">
        <v>10.029999999999999</v>
      </c>
    </row>
    <row r="1775" spans="1:19" ht="11.1" customHeight="1" x14ac:dyDescent="0.25">
      <c r="N1775" s="50" t="s">
        <v>318</v>
      </c>
      <c r="O1775" s="64">
        <v>193.39</v>
      </c>
      <c r="P1775" s="65">
        <v>20</v>
      </c>
      <c r="Q1775" s="64">
        <v>10.029999999999999</v>
      </c>
      <c r="R1775" s="63">
        <v>0</v>
      </c>
      <c r="S1775" s="64">
        <v>0</v>
      </c>
    </row>
    <row r="1776" spans="1:19" ht="11.1" customHeight="1" x14ac:dyDescent="0.25">
      <c r="A1776" s="57">
        <v>113035</v>
      </c>
      <c r="B1776" s="53">
        <v>46126</v>
      </c>
      <c r="C1776" s="58">
        <v>46126</v>
      </c>
      <c r="D1776" s="59" t="s">
        <v>1474</v>
      </c>
      <c r="E1776" s="50" t="s">
        <v>313</v>
      </c>
      <c r="F1776" s="57">
        <v>36</v>
      </c>
      <c r="G1776" s="60">
        <v>10</v>
      </c>
      <c r="H1776" s="61" t="s">
        <v>1458</v>
      </c>
      <c r="I1776" s="50" t="s">
        <v>1459</v>
      </c>
      <c r="J1776" s="50" t="s">
        <v>1460</v>
      </c>
      <c r="K1776" s="62">
        <v>5403</v>
      </c>
      <c r="L1776" s="57">
        <v>207</v>
      </c>
      <c r="M1776" s="50" t="s">
        <v>26</v>
      </c>
      <c r="N1776" s="50" t="s">
        <v>317</v>
      </c>
      <c r="O1776" s="64">
        <v>143.25</v>
      </c>
      <c r="P1776" s="65">
        <v>12</v>
      </c>
      <c r="Q1776" s="64">
        <v>17.190000000000001</v>
      </c>
      <c r="R1776" s="63">
        <v>0</v>
      </c>
      <c r="S1776" s="64">
        <v>10.029999999999999</v>
      </c>
    </row>
    <row r="1777" spans="1:19" ht="11.1" customHeight="1" x14ac:dyDescent="0.25">
      <c r="N1777" s="50" t="s">
        <v>318</v>
      </c>
      <c r="O1777" s="64">
        <v>193.39</v>
      </c>
      <c r="P1777" s="65">
        <v>20</v>
      </c>
      <c r="Q1777" s="64">
        <v>10.029999999999999</v>
      </c>
      <c r="R1777" s="63">
        <v>0</v>
      </c>
      <c r="S1777" s="64">
        <v>0</v>
      </c>
    </row>
    <row r="1778" spans="1:19" ht="11.1" customHeight="1" x14ac:dyDescent="0.25">
      <c r="A1778" s="57">
        <v>113051</v>
      </c>
      <c r="B1778" s="53">
        <v>46126</v>
      </c>
      <c r="C1778" s="58">
        <v>46126</v>
      </c>
      <c r="D1778" s="59" t="s">
        <v>1475</v>
      </c>
      <c r="E1778" s="50" t="s">
        <v>313</v>
      </c>
      <c r="F1778" s="57">
        <v>36</v>
      </c>
      <c r="G1778" s="60">
        <v>10</v>
      </c>
      <c r="H1778" s="61" t="s">
        <v>1458</v>
      </c>
      <c r="I1778" s="50" t="s">
        <v>1459</v>
      </c>
      <c r="J1778" s="50" t="s">
        <v>1460</v>
      </c>
      <c r="K1778" s="62">
        <v>5102</v>
      </c>
      <c r="L1778" s="57">
        <v>205</v>
      </c>
      <c r="M1778" s="50" t="s">
        <v>26</v>
      </c>
      <c r="N1778" s="50" t="s">
        <v>317</v>
      </c>
      <c r="O1778" s="64">
        <v>4545.72</v>
      </c>
      <c r="P1778" s="65">
        <v>12</v>
      </c>
      <c r="Q1778" s="64">
        <v>545.49</v>
      </c>
      <c r="R1778" s="63">
        <v>0</v>
      </c>
      <c r="S1778" s="64">
        <v>0</v>
      </c>
    </row>
    <row r="1779" spans="1:19" ht="11.1" customHeight="1" x14ac:dyDescent="0.25">
      <c r="A1779" s="57">
        <v>113052</v>
      </c>
      <c r="B1779" s="53">
        <v>46126</v>
      </c>
      <c r="C1779" s="58">
        <v>46126</v>
      </c>
      <c r="D1779" s="59" t="s">
        <v>1475</v>
      </c>
      <c r="E1779" s="50" t="s">
        <v>313</v>
      </c>
      <c r="F1779" s="57">
        <v>36</v>
      </c>
      <c r="G1779" s="60">
        <v>10</v>
      </c>
      <c r="H1779" s="61" t="s">
        <v>1458</v>
      </c>
      <c r="I1779" s="50" t="s">
        <v>1459</v>
      </c>
      <c r="J1779" s="50" t="s">
        <v>1460</v>
      </c>
      <c r="K1779" s="62">
        <v>5403</v>
      </c>
      <c r="L1779" s="57">
        <v>207</v>
      </c>
      <c r="M1779" s="50" t="s">
        <v>26</v>
      </c>
      <c r="N1779" s="50" t="s">
        <v>317</v>
      </c>
      <c r="O1779" s="64">
        <v>2604.48</v>
      </c>
      <c r="P1779" s="65">
        <v>12</v>
      </c>
      <c r="Q1779" s="64">
        <v>312.52999999999997</v>
      </c>
      <c r="R1779" s="63">
        <v>0</v>
      </c>
      <c r="S1779" s="64">
        <v>182.33</v>
      </c>
    </row>
    <row r="1780" spans="1:19" ht="11.1" customHeight="1" x14ac:dyDescent="0.25">
      <c r="N1780" s="50" t="s">
        <v>318</v>
      </c>
      <c r="O1780" s="64">
        <v>3516.05</v>
      </c>
      <c r="P1780" s="65">
        <v>20</v>
      </c>
      <c r="Q1780" s="64">
        <v>182.33</v>
      </c>
      <c r="R1780" s="63">
        <v>0</v>
      </c>
      <c r="S1780" s="64">
        <v>0</v>
      </c>
    </row>
    <row r="1781" spans="1:19" ht="11.1" customHeight="1" x14ac:dyDescent="0.25">
      <c r="A1781" s="57">
        <v>113179</v>
      </c>
      <c r="B1781" s="53">
        <v>46129</v>
      </c>
      <c r="C1781" s="58">
        <v>46129</v>
      </c>
      <c r="D1781" s="59" t="s">
        <v>1476</v>
      </c>
      <c r="E1781" s="50" t="s">
        <v>313</v>
      </c>
      <c r="F1781" s="57">
        <v>36</v>
      </c>
      <c r="G1781" s="60">
        <v>10</v>
      </c>
      <c r="H1781" s="61" t="s">
        <v>1458</v>
      </c>
      <c r="I1781" s="50" t="s">
        <v>1459</v>
      </c>
      <c r="J1781" s="50" t="s">
        <v>1460</v>
      </c>
      <c r="K1781" s="62">
        <v>5102</v>
      </c>
      <c r="L1781" s="57">
        <v>205</v>
      </c>
      <c r="M1781" s="50" t="s">
        <v>26</v>
      </c>
      <c r="N1781" s="50" t="s">
        <v>317</v>
      </c>
      <c r="O1781" s="64">
        <v>220.58</v>
      </c>
      <c r="P1781" s="65">
        <v>12</v>
      </c>
      <c r="Q1781" s="64">
        <v>26.47</v>
      </c>
      <c r="R1781" s="63">
        <v>0</v>
      </c>
      <c r="S1781" s="64">
        <v>0</v>
      </c>
    </row>
    <row r="1782" spans="1:19" ht="11.1" customHeight="1" x14ac:dyDescent="0.25">
      <c r="A1782" s="57">
        <v>113180</v>
      </c>
      <c r="B1782" s="53">
        <v>46129</v>
      </c>
      <c r="C1782" s="58">
        <v>46129</v>
      </c>
      <c r="D1782" s="59" t="s">
        <v>1476</v>
      </c>
      <c r="E1782" s="50" t="s">
        <v>313</v>
      </c>
      <c r="F1782" s="57">
        <v>36</v>
      </c>
      <c r="G1782" s="60">
        <v>10</v>
      </c>
      <c r="H1782" s="61" t="s">
        <v>1458</v>
      </c>
      <c r="I1782" s="50" t="s">
        <v>1459</v>
      </c>
      <c r="J1782" s="50" t="s">
        <v>1460</v>
      </c>
      <c r="K1782" s="62">
        <v>5403</v>
      </c>
      <c r="L1782" s="57">
        <v>207</v>
      </c>
      <c r="M1782" s="50" t="s">
        <v>26</v>
      </c>
      <c r="N1782" s="50" t="s">
        <v>317</v>
      </c>
      <c r="O1782" s="64">
        <v>865.03</v>
      </c>
      <c r="P1782" s="65">
        <v>12</v>
      </c>
      <c r="Q1782" s="64">
        <v>103.81</v>
      </c>
      <c r="R1782" s="63">
        <v>0</v>
      </c>
      <c r="S1782" s="64">
        <v>60.56</v>
      </c>
    </row>
    <row r="1783" spans="1:19" ht="11.1" customHeight="1" x14ac:dyDescent="0.25">
      <c r="N1783" s="50" t="s">
        <v>318</v>
      </c>
      <c r="O1783" s="64">
        <v>1167.79</v>
      </c>
      <c r="P1783" s="65">
        <v>20</v>
      </c>
      <c r="Q1783" s="64">
        <v>60.56</v>
      </c>
      <c r="R1783" s="63">
        <v>0</v>
      </c>
      <c r="S1783" s="64">
        <v>0</v>
      </c>
    </row>
    <row r="1784" spans="1:19" ht="11.1" customHeight="1" x14ac:dyDescent="0.25">
      <c r="A1784" s="57">
        <v>113205</v>
      </c>
      <c r="B1784" s="53">
        <v>46129</v>
      </c>
      <c r="C1784" s="58">
        <v>46129</v>
      </c>
      <c r="D1784" s="59" t="s">
        <v>1477</v>
      </c>
      <c r="E1784" s="50" t="s">
        <v>313</v>
      </c>
      <c r="F1784" s="57">
        <v>36</v>
      </c>
      <c r="G1784" s="60">
        <v>10</v>
      </c>
      <c r="H1784" s="61" t="s">
        <v>1458</v>
      </c>
      <c r="I1784" s="50" t="s">
        <v>1459</v>
      </c>
      <c r="J1784" s="50" t="s">
        <v>1460</v>
      </c>
      <c r="K1784" s="62">
        <v>5102</v>
      </c>
      <c r="L1784" s="57">
        <v>205</v>
      </c>
      <c r="M1784" s="50" t="s">
        <v>26</v>
      </c>
      <c r="N1784" s="50" t="s">
        <v>317</v>
      </c>
      <c r="O1784" s="64">
        <v>979.44</v>
      </c>
      <c r="P1784" s="65">
        <v>12</v>
      </c>
      <c r="Q1784" s="64">
        <v>117.53</v>
      </c>
      <c r="R1784" s="63">
        <v>0</v>
      </c>
      <c r="S1784" s="64">
        <v>0</v>
      </c>
    </row>
    <row r="1785" spans="1:19" ht="11.1" customHeight="1" x14ac:dyDescent="0.25">
      <c r="A1785" s="57">
        <v>113206</v>
      </c>
      <c r="B1785" s="53">
        <v>46129</v>
      </c>
      <c r="C1785" s="58">
        <v>46129</v>
      </c>
      <c r="D1785" s="59" t="s">
        <v>1477</v>
      </c>
      <c r="E1785" s="50" t="s">
        <v>313</v>
      </c>
      <c r="F1785" s="57">
        <v>36</v>
      </c>
      <c r="G1785" s="60">
        <v>10</v>
      </c>
      <c r="H1785" s="61" t="s">
        <v>1458</v>
      </c>
      <c r="I1785" s="50" t="s">
        <v>1459</v>
      </c>
      <c r="J1785" s="50" t="s">
        <v>1460</v>
      </c>
      <c r="K1785" s="62">
        <v>5403</v>
      </c>
      <c r="L1785" s="57">
        <v>207</v>
      </c>
      <c r="M1785" s="50" t="s">
        <v>26</v>
      </c>
      <c r="N1785" s="50" t="s">
        <v>317</v>
      </c>
      <c r="O1785" s="64">
        <v>684.3</v>
      </c>
      <c r="P1785" s="65">
        <v>12</v>
      </c>
      <c r="Q1785" s="64">
        <v>82.12</v>
      </c>
      <c r="R1785" s="63">
        <v>0</v>
      </c>
      <c r="S1785" s="64">
        <v>47.9</v>
      </c>
    </row>
    <row r="1786" spans="1:19" ht="11.1" customHeight="1" x14ac:dyDescent="0.25">
      <c r="N1786" s="50" t="s">
        <v>318</v>
      </c>
      <c r="O1786" s="64">
        <v>923.8</v>
      </c>
      <c r="P1786" s="65">
        <v>20</v>
      </c>
      <c r="Q1786" s="64">
        <v>47.9</v>
      </c>
      <c r="R1786" s="63">
        <v>0</v>
      </c>
      <c r="S1786" s="64">
        <v>0</v>
      </c>
    </row>
    <row r="1787" spans="1:19" ht="11.1" customHeight="1" x14ac:dyDescent="0.25">
      <c r="A1787" s="57">
        <v>113217</v>
      </c>
      <c r="B1787" s="53">
        <v>46132</v>
      </c>
      <c r="C1787" s="58">
        <v>46132</v>
      </c>
      <c r="D1787" s="59" t="s">
        <v>1478</v>
      </c>
      <c r="E1787" s="50" t="s">
        <v>313</v>
      </c>
      <c r="F1787" s="57">
        <v>36</v>
      </c>
      <c r="G1787" s="60">
        <v>10</v>
      </c>
      <c r="H1787" s="61" t="s">
        <v>1458</v>
      </c>
      <c r="I1787" s="50" t="s">
        <v>1459</v>
      </c>
      <c r="J1787" s="50" t="s">
        <v>1460</v>
      </c>
      <c r="K1787" s="62">
        <v>5102</v>
      </c>
      <c r="L1787" s="57">
        <v>205</v>
      </c>
      <c r="M1787" s="50" t="s">
        <v>26</v>
      </c>
      <c r="N1787" s="50" t="s">
        <v>317</v>
      </c>
      <c r="O1787" s="64">
        <v>1482.52</v>
      </c>
      <c r="P1787" s="65">
        <v>12</v>
      </c>
      <c r="Q1787" s="64">
        <v>177.9</v>
      </c>
      <c r="R1787" s="63">
        <v>0</v>
      </c>
      <c r="S1787" s="64">
        <v>0</v>
      </c>
    </row>
    <row r="1788" spans="1:19" ht="11.1" customHeight="1" x14ac:dyDescent="0.25">
      <c r="A1788" s="57">
        <v>113397</v>
      </c>
      <c r="B1788" s="53">
        <v>46136</v>
      </c>
      <c r="C1788" s="58">
        <v>46136</v>
      </c>
      <c r="D1788" s="59" t="s">
        <v>1479</v>
      </c>
      <c r="E1788" s="50" t="s">
        <v>313</v>
      </c>
      <c r="F1788" s="57">
        <v>36</v>
      </c>
      <c r="G1788" s="60">
        <v>10</v>
      </c>
      <c r="H1788" s="61" t="s">
        <v>1458</v>
      </c>
      <c r="I1788" s="50" t="s">
        <v>1459</v>
      </c>
      <c r="J1788" s="50" t="s">
        <v>1460</v>
      </c>
      <c r="K1788" s="62">
        <v>5102</v>
      </c>
      <c r="L1788" s="57">
        <v>205</v>
      </c>
      <c r="M1788" s="50" t="s">
        <v>26</v>
      </c>
      <c r="N1788" s="50" t="s">
        <v>317</v>
      </c>
      <c r="O1788" s="64">
        <v>3523.17</v>
      </c>
      <c r="P1788" s="65">
        <v>12</v>
      </c>
      <c r="Q1788" s="64">
        <v>422.78</v>
      </c>
      <c r="R1788" s="63">
        <v>0</v>
      </c>
      <c r="S1788" s="64">
        <v>0</v>
      </c>
    </row>
    <row r="1789" spans="1:19" ht="11.1" customHeight="1" x14ac:dyDescent="0.25">
      <c r="A1789" s="57">
        <v>113398</v>
      </c>
      <c r="B1789" s="53">
        <v>46136</v>
      </c>
      <c r="C1789" s="58">
        <v>46136</v>
      </c>
      <c r="D1789" s="59" t="s">
        <v>1479</v>
      </c>
      <c r="E1789" s="50" t="s">
        <v>313</v>
      </c>
      <c r="F1789" s="57">
        <v>36</v>
      </c>
      <c r="G1789" s="60">
        <v>10</v>
      </c>
      <c r="H1789" s="61" t="s">
        <v>1458</v>
      </c>
      <c r="I1789" s="50" t="s">
        <v>1459</v>
      </c>
      <c r="J1789" s="50" t="s">
        <v>1460</v>
      </c>
      <c r="K1789" s="62">
        <v>5403</v>
      </c>
      <c r="L1789" s="57">
        <v>207</v>
      </c>
      <c r="M1789" s="50" t="s">
        <v>26</v>
      </c>
      <c r="N1789" s="50" t="s">
        <v>317</v>
      </c>
      <c r="O1789" s="64">
        <v>3950.87</v>
      </c>
      <c r="P1789" s="65">
        <v>12</v>
      </c>
      <c r="Q1789" s="64">
        <v>474.09</v>
      </c>
      <c r="R1789" s="63">
        <v>0</v>
      </c>
      <c r="S1789" s="64">
        <v>276.57</v>
      </c>
    </row>
    <row r="1790" spans="1:19" ht="11.1" customHeight="1" x14ac:dyDescent="0.25">
      <c r="N1790" s="50" t="s">
        <v>318</v>
      </c>
      <c r="O1790" s="64">
        <v>5333.69</v>
      </c>
      <c r="P1790" s="65">
        <v>20</v>
      </c>
      <c r="Q1790" s="64">
        <v>276.57</v>
      </c>
      <c r="R1790" s="63">
        <v>0</v>
      </c>
      <c r="S1790" s="64">
        <v>0</v>
      </c>
    </row>
    <row r="1791" spans="1:19" ht="11.85" customHeight="1" x14ac:dyDescent="0.25">
      <c r="A1791" s="66" t="s">
        <v>320</v>
      </c>
      <c r="B1791" s="66"/>
      <c r="C1791" s="66"/>
      <c r="D1791" s="66"/>
      <c r="E1791" s="66"/>
      <c r="F1791" s="66"/>
      <c r="G1791" s="66"/>
      <c r="H1791" s="66"/>
    </row>
    <row r="1792" spans="1:19" ht="11.1" customHeight="1" x14ac:dyDescent="0.25">
      <c r="N1792" s="50" t="s">
        <v>317</v>
      </c>
      <c r="O1792" s="64">
        <v>39011.49</v>
      </c>
      <c r="Q1792" s="64">
        <v>4681.42</v>
      </c>
      <c r="R1792" s="63">
        <v>0</v>
      </c>
      <c r="S1792" s="64">
        <v>1246.44</v>
      </c>
    </row>
    <row r="1793" spans="1:19" ht="11.1" customHeight="1" x14ac:dyDescent="0.25">
      <c r="N1793" s="50" t="s">
        <v>318</v>
      </c>
      <c r="O1793" s="64">
        <v>24038.04</v>
      </c>
      <c r="Q1793" s="64">
        <v>1246.44</v>
      </c>
      <c r="R1793" s="63">
        <v>0</v>
      </c>
      <c r="S1793" s="64">
        <v>0</v>
      </c>
    </row>
    <row r="1794" spans="1:19" ht="11.1" customHeight="1" x14ac:dyDescent="0.25">
      <c r="A1794" s="57">
        <v>112688</v>
      </c>
      <c r="B1794" s="53">
        <v>46119</v>
      </c>
      <c r="C1794" s="58">
        <v>46119</v>
      </c>
      <c r="D1794" s="59" t="s">
        <v>1480</v>
      </c>
      <c r="E1794" s="50" t="s">
        <v>313</v>
      </c>
      <c r="F1794" s="57">
        <v>36</v>
      </c>
      <c r="G1794" s="60">
        <v>953</v>
      </c>
      <c r="H1794" s="61" t="s">
        <v>1481</v>
      </c>
      <c r="I1794" s="50" t="s">
        <v>1482</v>
      </c>
      <c r="J1794" s="50" t="s">
        <v>1483</v>
      </c>
      <c r="K1794" s="62">
        <v>5102</v>
      </c>
      <c r="L1794" s="57">
        <v>205</v>
      </c>
      <c r="M1794" s="50" t="s">
        <v>26</v>
      </c>
      <c r="N1794" s="50" t="s">
        <v>317</v>
      </c>
      <c r="O1794" s="64">
        <v>64.92</v>
      </c>
      <c r="P1794" s="65">
        <v>12</v>
      </c>
      <c r="Q1794" s="64">
        <v>7.79</v>
      </c>
      <c r="R1794" s="63">
        <v>0</v>
      </c>
      <c r="S1794" s="64">
        <v>0</v>
      </c>
    </row>
    <row r="1795" spans="1:19" ht="11.1" customHeight="1" x14ac:dyDescent="0.25">
      <c r="A1795" s="57">
        <v>112689</v>
      </c>
      <c r="B1795" s="53">
        <v>46119</v>
      </c>
      <c r="C1795" s="58">
        <v>46119</v>
      </c>
      <c r="D1795" s="59" t="s">
        <v>1480</v>
      </c>
      <c r="E1795" s="50" t="s">
        <v>313</v>
      </c>
      <c r="F1795" s="57">
        <v>36</v>
      </c>
      <c r="G1795" s="60">
        <v>953</v>
      </c>
      <c r="H1795" s="61" t="s">
        <v>1481</v>
      </c>
      <c r="I1795" s="50" t="s">
        <v>1482</v>
      </c>
      <c r="J1795" s="50" t="s">
        <v>1483</v>
      </c>
      <c r="K1795" s="62">
        <v>5403</v>
      </c>
      <c r="L1795" s="57">
        <v>207</v>
      </c>
      <c r="M1795" s="50" t="s">
        <v>26</v>
      </c>
      <c r="N1795" s="50" t="s">
        <v>317</v>
      </c>
      <c r="O1795" s="64">
        <v>314.5</v>
      </c>
      <c r="P1795" s="65">
        <v>12</v>
      </c>
      <c r="Q1795" s="64">
        <v>37.74</v>
      </c>
      <c r="R1795" s="63">
        <v>0</v>
      </c>
      <c r="S1795" s="64">
        <v>22.02</v>
      </c>
    </row>
    <row r="1796" spans="1:19" ht="11.1" customHeight="1" x14ac:dyDescent="0.25">
      <c r="N1796" s="50" t="s">
        <v>318</v>
      </c>
      <c r="O1796" s="64">
        <v>424.58</v>
      </c>
      <c r="P1796" s="65">
        <v>20</v>
      </c>
      <c r="Q1796" s="64">
        <v>22.02</v>
      </c>
      <c r="R1796" s="63">
        <v>0</v>
      </c>
      <c r="S1796" s="64">
        <v>0</v>
      </c>
    </row>
    <row r="1797" spans="1:19" ht="11.1" customHeight="1" x14ac:dyDescent="0.25">
      <c r="A1797" s="57">
        <v>112775</v>
      </c>
      <c r="B1797" s="53">
        <v>46120</v>
      </c>
      <c r="C1797" s="58">
        <v>46120</v>
      </c>
      <c r="D1797" s="59" t="s">
        <v>1484</v>
      </c>
      <c r="E1797" s="50" t="s">
        <v>313</v>
      </c>
      <c r="F1797" s="57">
        <v>36</v>
      </c>
      <c r="G1797" s="60">
        <v>953</v>
      </c>
      <c r="H1797" s="61" t="s">
        <v>1481</v>
      </c>
      <c r="I1797" s="50" t="s">
        <v>1482</v>
      </c>
      <c r="J1797" s="50" t="s">
        <v>1483</v>
      </c>
      <c r="K1797" s="62">
        <v>5102</v>
      </c>
      <c r="L1797" s="57">
        <v>205</v>
      </c>
      <c r="M1797" s="50" t="s">
        <v>26</v>
      </c>
      <c r="N1797" s="50" t="s">
        <v>317</v>
      </c>
      <c r="O1797" s="64">
        <v>329.68</v>
      </c>
      <c r="P1797" s="65">
        <v>12</v>
      </c>
      <c r="Q1797" s="64">
        <v>39.56</v>
      </c>
      <c r="R1797" s="63">
        <v>0</v>
      </c>
      <c r="S1797" s="64">
        <v>0</v>
      </c>
    </row>
    <row r="1798" spans="1:19" ht="11.1" customHeight="1" x14ac:dyDescent="0.25">
      <c r="A1798" s="57">
        <v>112776</v>
      </c>
      <c r="B1798" s="53">
        <v>46120</v>
      </c>
      <c r="C1798" s="58">
        <v>46120</v>
      </c>
      <c r="D1798" s="59" t="s">
        <v>1484</v>
      </c>
      <c r="E1798" s="50" t="s">
        <v>313</v>
      </c>
      <c r="F1798" s="57">
        <v>36</v>
      </c>
      <c r="G1798" s="60">
        <v>953</v>
      </c>
      <c r="H1798" s="61" t="s">
        <v>1481</v>
      </c>
      <c r="I1798" s="50" t="s">
        <v>1482</v>
      </c>
      <c r="J1798" s="50" t="s">
        <v>1483</v>
      </c>
      <c r="K1798" s="62">
        <v>5403</v>
      </c>
      <c r="L1798" s="57">
        <v>207</v>
      </c>
      <c r="M1798" s="50" t="s">
        <v>26</v>
      </c>
      <c r="N1798" s="50" t="s">
        <v>317</v>
      </c>
      <c r="O1798" s="64">
        <v>839.84</v>
      </c>
      <c r="P1798" s="65">
        <v>12</v>
      </c>
      <c r="Q1798" s="64">
        <v>100.78</v>
      </c>
      <c r="R1798" s="63">
        <v>0</v>
      </c>
      <c r="S1798" s="64">
        <v>58.8</v>
      </c>
    </row>
    <row r="1799" spans="1:19" ht="11.1" customHeight="1" x14ac:dyDescent="0.25">
      <c r="N1799" s="50" t="s">
        <v>318</v>
      </c>
      <c r="O1799" s="64">
        <v>1133.78</v>
      </c>
      <c r="P1799" s="65">
        <v>20</v>
      </c>
      <c r="Q1799" s="64">
        <v>58.8</v>
      </c>
      <c r="R1799" s="63">
        <v>0</v>
      </c>
      <c r="S1799" s="64">
        <v>0</v>
      </c>
    </row>
    <row r="1800" spans="1:19" ht="11.1" customHeight="1" x14ac:dyDescent="0.25">
      <c r="A1800" s="57">
        <v>112822</v>
      </c>
      <c r="B1800" s="53">
        <v>46121</v>
      </c>
      <c r="C1800" s="58">
        <v>46121</v>
      </c>
      <c r="D1800" s="59" t="s">
        <v>1485</v>
      </c>
      <c r="E1800" s="50" t="s">
        <v>313</v>
      </c>
      <c r="F1800" s="57">
        <v>36</v>
      </c>
      <c r="G1800" s="60">
        <v>953</v>
      </c>
      <c r="H1800" s="61" t="s">
        <v>1481</v>
      </c>
      <c r="I1800" s="50" t="s">
        <v>1482</v>
      </c>
      <c r="J1800" s="50" t="s">
        <v>1483</v>
      </c>
      <c r="K1800" s="62">
        <v>5102</v>
      </c>
      <c r="L1800" s="57">
        <v>205</v>
      </c>
      <c r="M1800" s="50" t="s">
        <v>26</v>
      </c>
      <c r="N1800" s="50" t="s">
        <v>317</v>
      </c>
      <c r="O1800" s="64">
        <v>191.6</v>
      </c>
      <c r="P1800" s="65">
        <v>12</v>
      </c>
      <c r="Q1800" s="64">
        <v>22.99</v>
      </c>
      <c r="R1800" s="63">
        <v>0</v>
      </c>
      <c r="S1800" s="64">
        <v>0</v>
      </c>
    </row>
    <row r="1801" spans="1:19" ht="11.1" customHeight="1" x14ac:dyDescent="0.25">
      <c r="A1801" s="57">
        <v>112823</v>
      </c>
      <c r="B1801" s="53">
        <v>46121</v>
      </c>
      <c r="C1801" s="58">
        <v>46121</v>
      </c>
      <c r="D1801" s="59" t="s">
        <v>1485</v>
      </c>
      <c r="E1801" s="50" t="s">
        <v>313</v>
      </c>
      <c r="F1801" s="57">
        <v>36</v>
      </c>
      <c r="G1801" s="60">
        <v>953</v>
      </c>
      <c r="H1801" s="61" t="s">
        <v>1481</v>
      </c>
      <c r="I1801" s="50" t="s">
        <v>1482</v>
      </c>
      <c r="J1801" s="50" t="s">
        <v>1483</v>
      </c>
      <c r="K1801" s="62">
        <v>5403</v>
      </c>
      <c r="L1801" s="57">
        <v>207</v>
      </c>
      <c r="M1801" s="50" t="s">
        <v>26</v>
      </c>
      <c r="N1801" s="50" t="s">
        <v>317</v>
      </c>
      <c r="O1801" s="64">
        <v>201.28</v>
      </c>
      <c r="P1801" s="65">
        <v>12</v>
      </c>
      <c r="Q1801" s="64">
        <v>24.15</v>
      </c>
      <c r="R1801" s="63">
        <v>0</v>
      </c>
      <c r="S1801" s="64">
        <v>14.09</v>
      </c>
    </row>
    <row r="1802" spans="1:19" ht="11.1" customHeight="1" x14ac:dyDescent="0.25">
      <c r="N1802" s="50" t="s">
        <v>318</v>
      </c>
      <c r="O1802" s="64">
        <v>271.73</v>
      </c>
      <c r="P1802" s="65">
        <v>20</v>
      </c>
      <c r="Q1802" s="64">
        <v>14.09</v>
      </c>
      <c r="R1802" s="63">
        <v>0</v>
      </c>
      <c r="S1802" s="64">
        <v>0</v>
      </c>
    </row>
    <row r="1803" spans="1:19" ht="11.1" customHeight="1" x14ac:dyDescent="0.25">
      <c r="A1803" s="57">
        <v>112904</v>
      </c>
      <c r="B1803" s="53">
        <v>46122</v>
      </c>
      <c r="C1803" s="58">
        <v>46122</v>
      </c>
      <c r="D1803" s="59" t="s">
        <v>1486</v>
      </c>
      <c r="E1803" s="50" t="s">
        <v>313</v>
      </c>
      <c r="F1803" s="57">
        <v>36</v>
      </c>
      <c r="G1803" s="60">
        <v>953</v>
      </c>
      <c r="H1803" s="61" t="s">
        <v>1481</v>
      </c>
      <c r="I1803" s="50" t="s">
        <v>1482</v>
      </c>
      <c r="J1803" s="50" t="s">
        <v>1483</v>
      </c>
      <c r="K1803" s="62">
        <v>5403</v>
      </c>
      <c r="L1803" s="57">
        <v>207</v>
      </c>
      <c r="M1803" s="50" t="s">
        <v>26</v>
      </c>
      <c r="N1803" s="50" t="s">
        <v>317</v>
      </c>
      <c r="O1803" s="64">
        <v>158.61000000000001</v>
      </c>
      <c r="P1803" s="65">
        <v>12</v>
      </c>
      <c r="Q1803" s="64">
        <v>19.03</v>
      </c>
      <c r="R1803" s="63">
        <v>0</v>
      </c>
      <c r="S1803" s="64">
        <v>11.1</v>
      </c>
    </row>
    <row r="1804" spans="1:19" ht="11.1" customHeight="1" x14ac:dyDescent="0.25">
      <c r="N1804" s="50" t="s">
        <v>318</v>
      </c>
      <c r="O1804" s="64">
        <v>214.12</v>
      </c>
      <c r="P1804" s="65">
        <v>20</v>
      </c>
      <c r="Q1804" s="64">
        <v>11.1</v>
      </c>
      <c r="R1804" s="63">
        <v>0</v>
      </c>
      <c r="S1804" s="64">
        <v>0</v>
      </c>
    </row>
    <row r="1805" spans="1:19" ht="11.1" customHeight="1" x14ac:dyDescent="0.25">
      <c r="A1805" s="57">
        <v>113227</v>
      </c>
      <c r="B1805" s="53">
        <v>46132</v>
      </c>
      <c r="C1805" s="58">
        <v>46132</v>
      </c>
      <c r="D1805" s="59" t="s">
        <v>1487</v>
      </c>
      <c r="E1805" s="50" t="s">
        <v>313</v>
      </c>
      <c r="F1805" s="57">
        <v>36</v>
      </c>
      <c r="G1805" s="60">
        <v>953</v>
      </c>
      <c r="H1805" s="61" t="s">
        <v>1481</v>
      </c>
      <c r="I1805" s="50" t="s">
        <v>1482</v>
      </c>
      <c r="J1805" s="50" t="s">
        <v>1483</v>
      </c>
      <c r="K1805" s="62">
        <v>5403</v>
      </c>
      <c r="L1805" s="57">
        <v>207</v>
      </c>
      <c r="M1805" s="50" t="s">
        <v>26</v>
      </c>
      <c r="N1805" s="50" t="s">
        <v>317</v>
      </c>
      <c r="O1805" s="64">
        <v>188.7</v>
      </c>
      <c r="P1805" s="65">
        <v>12</v>
      </c>
      <c r="Q1805" s="64">
        <v>22.64</v>
      </c>
      <c r="R1805" s="63">
        <v>0</v>
      </c>
      <c r="S1805" s="64">
        <v>13.21</v>
      </c>
    </row>
    <row r="1806" spans="1:19" ht="11.1" customHeight="1" x14ac:dyDescent="0.25">
      <c r="N1806" s="50" t="s">
        <v>318</v>
      </c>
      <c r="O1806" s="64">
        <v>254.75</v>
      </c>
      <c r="P1806" s="65">
        <v>20</v>
      </c>
      <c r="Q1806" s="64">
        <v>13.21</v>
      </c>
      <c r="R1806" s="63">
        <v>0</v>
      </c>
      <c r="S1806" s="64">
        <v>0</v>
      </c>
    </row>
    <row r="1807" spans="1:19" ht="11.1" customHeight="1" x14ac:dyDescent="0.25">
      <c r="A1807" s="57">
        <v>113415</v>
      </c>
      <c r="B1807" s="53">
        <v>46136</v>
      </c>
      <c r="C1807" s="58">
        <v>46136</v>
      </c>
      <c r="D1807" s="59" t="s">
        <v>1488</v>
      </c>
      <c r="E1807" s="50" t="s">
        <v>313</v>
      </c>
      <c r="F1807" s="57">
        <v>36</v>
      </c>
      <c r="G1807" s="60">
        <v>953</v>
      </c>
      <c r="H1807" s="61" t="s">
        <v>1481</v>
      </c>
      <c r="I1807" s="50" t="s">
        <v>1482</v>
      </c>
      <c r="J1807" s="50" t="s">
        <v>1483</v>
      </c>
      <c r="K1807" s="62">
        <v>5102</v>
      </c>
      <c r="L1807" s="57">
        <v>205</v>
      </c>
      <c r="M1807" s="50" t="s">
        <v>26</v>
      </c>
      <c r="N1807" s="50" t="s">
        <v>317</v>
      </c>
      <c r="O1807" s="64">
        <v>255.35</v>
      </c>
      <c r="P1807" s="65">
        <v>12</v>
      </c>
      <c r="Q1807" s="64">
        <v>30.64</v>
      </c>
      <c r="R1807" s="63">
        <v>0</v>
      </c>
      <c r="S1807" s="64">
        <v>0</v>
      </c>
    </row>
    <row r="1808" spans="1:19" ht="11.1" customHeight="1" x14ac:dyDescent="0.25">
      <c r="A1808" s="57">
        <v>113416</v>
      </c>
      <c r="B1808" s="53">
        <v>46136</v>
      </c>
      <c r="C1808" s="58">
        <v>46136</v>
      </c>
      <c r="D1808" s="59" t="s">
        <v>1488</v>
      </c>
      <c r="E1808" s="50" t="s">
        <v>313</v>
      </c>
      <c r="F1808" s="57">
        <v>36</v>
      </c>
      <c r="G1808" s="60">
        <v>953</v>
      </c>
      <c r="H1808" s="61" t="s">
        <v>1481</v>
      </c>
      <c r="I1808" s="50" t="s">
        <v>1482</v>
      </c>
      <c r="J1808" s="50" t="s">
        <v>1483</v>
      </c>
      <c r="K1808" s="62">
        <v>5403</v>
      </c>
      <c r="L1808" s="57">
        <v>207</v>
      </c>
      <c r="M1808" s="50" t="s">
        <v>26</v>
      </c>
      <c r="N1808" s="50" t="s">
        <v>317</v>
      </c>
      <c r="O1808" s="64">
        <v>503.2</v>
      </c>
      <c r="P1808" s="65">
        <v>12</v>
      </c>
      <c r="Q1808" s="64">
        <v>60.38</v>
      </c>
      <c r="R1808" s="63">
        <v>0</v>
      </c>
      <c r="S1808" s="64">
        <v>35.22</v>
      </c>
    </row>
    <row r="1809" spans="1:19" ht="11.1" customHeight="1" x14ac:dyDescent="0.25">
      <c r="N1809" s="50" t="s">
        <v>318</v>
      </c>
      <c r="O1809" s="64">
        <v>679.32</v>
      </c>
      <c r="P1809" s="65">
        <v>20</v>
      </c>
      <c r="Q1809" s="64">
        <v>35.22</v>
      </c>
      <c r="R1809" s="63">
        <v>0</v>
      </c>
      <c r="S1809" s="64">
        <v>0</v>
      </c>
    </row>
    <row r="1810" spans="1:19" ht="11.1" customHeight="1" x14ac:dyDescent="0.25">
      <c r="A1810" s="57">
        <v>113536</v>
      </c>
      <c r="B1810" s="53">
        <v>46140</v>
      </c>
      <c r="C1810" s="58">
        <v>46140</v>
      </c>
      <c r="D1810" s="59" t="s">
        <v>1489</v>
      </c>
      <c r="E1810" s="50" t="s">
        <v>313</v>
      </c>
      <c r="F1810" s="57">
        <v>36</v>
      </c>
      <c r="G1810" s="60">
        <v>953</v>
      </c>
      <c r="H1810" s="61" t="s">
        <v>1481</v>
      </c>
      <c r="I1810" s="50" t="s">
        <v>1482</v>
      </c>
      <c r="J1810" s="50" t="s">
        <v>1483</v>
      </c>
      <c r="K1810" s="62">
        <v>5403</v>
      </c>
      <c r="L1810" s="57">
        <v>207</v>
      </c>
      <c r="M1810" s="50" t="s">
        <v>26</v>
      </c>
      <c r="N1810" s="50" t="s">
        <v>317</v>
      </c>
      <c r="O1810" s="64">
        <v>2843.1</v>
      </c>
      <c r="P1810" s="65">
        <v>12</v>
      </c>
      <c r="Q1810" s="64">
        <v>341.17</v>
      </c>
      <c r="R1810" s="63">
        <v>0</v>
      </c>
      <c r="S1810" s="64">
        <v>199.02</v>
      </c>
    </row>
    <row r="1811" spans="1:19" ht="11.1" customHeight="1" x14ac:dyDescent="0.25">
      <c r="N1811" s="50" t="s">
        <v>318</v>
      </c>
      <c r="O1811" s="64">
        <v>3838.19</v>
      </c>
      <c r="P1811" s="65">
        <v>20</v>
      </c>
      <c r="Q1811" s="64">
        <v>199.02</v>
      </c>
      <c r="R1811" s="63">
        <v>0</v>
      </c>
      <c r="S1811" s="64">
        <v>0</v>
      </c>
    </row>
    <row r="1812" spans="1:19" ht="11.1" customHeight="1" x14ac:dyDescent="0.25">
      <c r="A1812" s="57">
        <v>113596</v>
      </c>
      <c r="B1812" s="53">
        <v>46141</v>
      </c>
      <c r="C1812" s="58">
        <v>46141</v>
      </c>
      <c r="D1812" s="59" t="s">
        <v>1490</v>
      </c>
      <c r="E1812" s="50" t="s">
        <v>313</v>
      </c>
      <c r="F1812" s="57">
        <v>36</v>
      </c>
      <c r="G1812" s="60">
        <v>953</v>
      </c>
      <c r="H1812" s="61" t="s">
        <v>1481</v>
      </c>
      <c r="I1812" s="50" t="s">
        <v>1482</v>
      </c>
      <c r="J1812" s="50" t="s">
        <v>1483</v>
      </c>
      <c r="K1812" s="62">
        <v>5102</v>
      </c>
      <c r="L1812" s="57">
        <v>205</v>
      </c>
      <c r="M1812" s="50" t="s">
        <v>26</v>
      </c>
      <c r="N1812" s="50" t="s">
        <v>317</v>
      </c>
      <c r="O1812" s="64">
        <v>53.1</v>
      </c>
      <c r="P1812" s="65">
        <v>12</v>
      </c>
      <c r="Q1812" s="64">
        <v>6.37</v>
      </c>
      <c r="R1812" s="63">
        <v>0</v>
      </c>
      <c r="S1812" s="64">
        <v>0</v>
      </c>
    </row>
    <row r="1813" spans="1:19" ht="11.1" customHeight="1" x14ac:dyDescent="0.25">
      <c r="A1813" s="57">
        <v>113597</v>
      </c>
      <c r="B1813" s="53">
        <v>46141</v>
      </c>
      <c r="C1813" s="58">
        <v>46141</v>
      </c>
      <c r="D1813" s="59" t="s">
        <v>1490</v>
      </c>
      <c r="E1813" s="50" t="s">
        <v>313</v>
      </c>
      <c r="F1813" s="57">
        <v>36</v>
      </c>
      <c r="G1813" s="60">
        <v>953</v>
      </c>
      <c r="H1813" s="61" t="s">
        <v>1481</v>
      </c>
      <c r="I1813" s="50" t="s">
        <v>1482</v>
      </c>
      <c r="J1813" s="50" t="s">
        <v>1483</v>
      </c>
      <c r="K1813" s="62">
        <v>5403</v>
      </c>
      <c r="L1813" s="57">
        <v>207</v>
      </c>
      <c r="M1813" s="50" t="s">
        <v>26</v>
      </c>
      <c r="N1813" s="50" t="s">
        <v>317</v>
      </c>
      <c r="O1813" s="64">
        <v>308.83999999999997</v>
      </c>
      <c r="P1813" s="65">
        <v>12</v>
      </c>
      <c r="Q1813" s="64">
        <v>37.06</v>
      </c>
      <c r="R1813" s="63">
        <v>0</v>
      </c>
      <c r="S1813" s="64">
        <v>21.62</v>
      </c>
    </row>
    <row r="1814" spans="1:19" ht="11.1" customHeight="1" x14ac:dyDescent="0.25">
      <c r="N1814" s="50" t="s">
        <v>318</v>
      </c>
      <c r="O1814" s="64">
        <v>416.93</v>
      </c>
      <c r="P1814" s="65">
        <v>20</v>
      </c>
      <c r="Q1814" s="64">
        <v>21.62</v>
      </c>
      <c r="R1814" s="63">
        <v>0</v>
      </c>
      <c r="S1814" s="64">
        <v>0</v>
      </c>
    </row>
    <row r="1815" spans="1:19" ht="11.1" customHeight="1" x14ac:dyDescent="0.25">
      <c r="A1815" s="57">
        <v>113638</v>
      </c>
      <c r="B1815" s="53">
        <v>46142</v>
      </c>
      <c r="C1815" s="58">
        <v>46142</v>
      </c>
      <c r="D1815" s="59" t="s">
        <v>1491</v>
      </c>
      <c r="E1815" s="50" t="s">
        <v>313</v>
      </c>
      <c r="F1815" s="57">
        <v>36</v>
      </c>
      <c r="G1815" s="60">
        <v>953</v>
      </c>
      <c r="H1815" s="61" t="s">
        <v>1481</v>
      </c>
      <c r="I1815" s="50" t="s">
        <v>1482</v>
      </c>
      <c r="J1815" s="50" t="s">
        <v>1483</v>
      </c>
      <c r="K1815" s="62">
        <v>5403</v>
      </c>
      <c r="L1815" s="57">
        <v>207</v>
      </c>
      <c r="M1815" s="50" t="s">
        <v>26</v>
      </c>
      <c r="N1815" s="50" t="s">
        <v>317</v>
      </c>
      <c r="O1815" s="64">
        <v>91.82</v>
      </c>
      <c r="P1815" s="65">
        <v>12</v>
      </c>
      <c r="Q1815" s="64">
        <v>11.02</v>
      </c>
      <c r="R1815" s="63">
        <v>0</v>
      </c>
      <c r="S1815" s="64">
        <v>6.43</v>
      </c>
    </row>
    <row r="1816" spans="1:19" ht="11.1" customHeight="1" x14ac:dyDescent="0.25">
      <c r="N1816" s="50" t="s">
        <v>318</v>
      </c>
      <c r="O1816" s="64">
        <v>123.96</v>
      </c>
      <c r="P1816" s="65">
        <v>20</v>
      </c>
      <c r="Q1816" s="64">
        <v>6.43</v>
      </c>
      <c r="R1816" s="63">
        <v>0</v>
      </c>
      <c r="S1816" s="64">
        <v>0</v>
      </c>
    </row>
    <row r="1817" spans="1:19" ht="11.85" customHeight="1" x14ac:dyDescent="0.25">
      <c r="A1817" s="66" t="s">
        <v>320</v>
      </c>
      <c r="B1817" s="66"/>
      <c r="C1817" s="66"/>
      <c r="D1817" s="66"/>
      <c r="E1817" s="66"/>
      <c r="F1817" s="66"/>
      <c r="G1817" s="66"/>
      <c r="H1817" s="66"/>
    </row>
    <row r="1818" spans="1:19" ht="11.1" customHeight="1" x14ac:dyDescent="0.25">
      <c r="N1818" s="50" t="s">
        <v>317</v>
      </c>
      <c r="O1818" s="64">
        <v>6344.54</v>
      </c>
      <c r="Q1818" s="64">
        <v>761.32</v>
      </c>
      <c r="R1818" s="63">
        <v>0</v>
      </c>
      <c r="S1818" s="64">
        <v>381.51</v>
      </c>
    </row>
    <row r="1819" spans="1:19" ht="11.1" customHeight="1" x14ac:dyDescent="0.25">
      <c r="N1819" s="50" t="s">
        <v>318</v>
      </c>
      <c r="O1819" s="64">
        <v>7357.36</v>
      </c>
      <c r="Q1819" s="64">
        <v>381.51</v>
      </c>
      <c r="R1819" s="63">
        <v>0</v>
      </c>
      <c r="S1819" s="64">
        <v>0</v>
      </c>
    </row>
    <row r="1820" spans="1:19" ht="11.1" customHeight="1" x14ac:dyDescent="0.25">
      <c r="A1820" s="57">
        <v>112633</v>
      </c>
      <c r="B1820" s="53">
        <v>46118</v>
      </c>
      <c r="C1820" s="58">
        <v>46118</v>
      </c>
      <c r="D1820" s="59" t="s">
        <v>1492</v>
      </c>
      <c r="E1820" s="50" t="s">
        <v>313</v>
      </c>
      <c r="F1820" s="57">
        <v>36</v>
      </c>
      <c r="G1820" s="60">
        <v>762</v>
      </c>
      <c r="H1820" s="61" t="s">
        <v>1493</v>
      </c>
      <c r="I1820" s="50" t="s">
        <v>1494</v>
      </c>
      <c r="J1820" s="50" t="s">
        <v>1495</v>
      </c>
      <c r="K1820" s="62">
        <v>6403</v>
      </c>
      <c r="L1820" s="57">
        <v>207</v>
      </c>
      <c r="M1820" s="50" t="s">
        <v>34</v>
      </c>
      <c r="N1820" s="50" t="s">
        <v>317</v>
      </c>
      <c r="O1820" s="64">
        <v>424.78</v>
      </c>
      <c r="P1820" s="65">
        <v>12</v>
      </c>
      <c r="Q1820" s="64">
        <v>50.97</v>
      </c>
      <c r="R1820" s="63">
        <v>0</v>
      </c>
      <c r="S1820" s="64">
        <v>64.56</v>
      </c>
    </row>
    <row r="1821" spans="1:19" ht="11.1" customHeight="1" x14ac:dyDescent="0.25">
      <c r="N1821" s="50" t="s">
        <v>318</v>
      </c>
      <c r="O1821" s="64">
        <v>608.03</v>
      </c>
      <c r="P1821" s="65">
        <v>19</v>
      </c>
      <c r="Q1821" s="64">
        <v>64.56</v>
      </c>
      <c r="R1821" s="63">
        <v>0</v>
      </c>
      <c r="S1821" s="64">
        <v>0</v>
      </c>
    </row>
    <row r="1822" spans="1:19" ht="11.1" customHeight="1" x14ac:dyDescent="0.25">
      <c r="A1822" s="57">
        <v>112634</v>
      </c>
      <c r="B1822" s="53">
        <v>46118</v>
      </c>
      <c r="C1822" s="58">
        <v>46118</v>
      </c>
      <c r="D1822" s="59" t="s">
        <v>1492</v>
      </c>
      <c r="E1822" s="50" t="s">
        <v>313</v>
      </c>
      <c r="F1822" s="57">
        <v>36</v>
      </c>
      <c r="G1822" s="60">
        <v>762</v>
      </c>
      <c r="H1822" s="61" t="s">
        <v>1493</v>
      </c>
      <c r="I1822" s="50" t="s">
        <v>1494</v>
      </c>
      <c r="J1822" s="50" t="s">
        <v>1495</v>
      </c>
      <c r="K1822" s="62">
        <v>6102</v>
      </c>
      <c r="L1822" s="57">
        <v>238</v>
      </c>
      <c r="M1822" s="50" t="s">
        <v>34</v>
      </c>
      <c r="N1822" s="50" t="s">
        <v>317</v>
      </c>
      <c r="O1822" s="64">
        <v>67.88</v>
      </c>
      <c r="P1822" s="65">
        <v>12</v>
      </c>
      <c r="Q1822" s="64">
        <v>8.15</v>
      </c>
      <c r="R1822" s="63">
        <v>0</v>
      </c>
      <c r="S1822" s="64">
        <v>0</v>
      </c>
    </row>
    <row r="1823" spans="1:19" ht="11.85" customHeight="1" x14ac:dyDescent="0.25">
      <c r="A1823" s="66" t="s">
        <v>320</v>
      </c>
      <c r="B1823" s="66"/>
      <c r="C1823" s="66"/>
      <c r="D1823" s="66"/>
      <c r="E1823" s="66"/>
      <c r="F1823" s="66"/>
      <c r="G1823" s="66"/>
      <c r="H1823" s="66"/>
    </row>
    <row r="1824" spans="1:19" ht="11.1" customHeight="1" x14ac:dyDescent="0.25">
      <c r="N1824" s="50" t="s">
        <v>317</v>
      </c>
      <c r="O1824" s="64">
        <v>492.66</v>
      </c>
      <c r="Q1824" s="64">
        <v>59.12</v>
      </c>
      <c r="R1824" s="63">
        <v>0</v>
      </c>
      <c r="S1824" s="64">
        <v>64.56</v>
      </c>
    </row>
    <row r="1825" spans="1:19" ht="11.1" customHeight="1" x14ac:dyDescent="0.25">
      <c r="N1825" s="50" t="s">
        <v>318</v>
      </c>
      <c r="O1825" s="64">
        <v>608.03</v>
      </c>
      <c r="Q1825" s="64">
        <v>64.56</v>
      </c>
      <c r="R1825" s="63">
        <v>0</v>
      </c>
      <c r="S1825" s="64">
        <v>0</v>
      </c>
    </row>
    <row r="1826" spans="1:19" ht="11.1" customHeight="1" x14ac:dyDescent="0.25">
      <c r="A1826" s="57">
        <v>112913</v>
      </c>
      <c r="B1826" s="53">
        <v>46122</v>
      </c>
      <c r="C1826" s="58">
        <v>46122</v>
      </c>
      <c r="D1826" s="59" t="s">
        <v>1496</v>
      </c>
      <c r="E1826" s="50" t="s">
        <v>313</v>
      </c>
      <c r="F1826" s="57">
        <v>36</v>
      </c>
      <c r="G1826" s="60">
        <v>963</v>
      </c>
      <c r="H1826" s="61" t="s">
        <v>1497</v>
      </c>
      <c r="I1826" s="50" t="s">
        <v>1498</v>
      </c>
      <c r="J1826" s="50" t="s">
        <v>1499</v>
      </c>
      <c r="K1826" s="62">
        <v>5102</v>
      </c>
      <c r="L1826" s="57">
        <v>205</v>
      </c>
      <c r="M1826" s="50" t="s">
        <v>26</v>
      </c>
      <c r="N1826" s="50" t="s">
        <v>317</v>
      </c>
      <c r="O1826" s="64">
        <v>459.06</v>
      </c>
      <c r="P1826" s="65">
        <v>12</v>
      </c>
      <c r="Q1826" s="64">
        <v>55.07</v>
      </c>
      <c r="R1826" s="63">
        <v>0</v>
      </c>
      <c r="S1826" s="64">
        <v>0</v>
      </c>
    </row>
    <row r="1827" spans="1:19" ht="11.1" customHeight="1" x14ac:dyDescent="0.25">
      <c r="A1827" s="57">
        <v>112914</v>
      </c>
      <c r="B1827" s="53">
        <v>46122</v>
      </c>
      <c r="C1827" s="58">
        <v>46122</v>
      </c>
      <c r="D1827" s="59" t="s">
        <v>1496</v>
      </c>
      <c r="E1827" s="50" t="s">
        <v>313</v>
      </c>
      <c r="F1827" s="57">
        <v>36</v>
      </c>
      <c r="G1827" s="60">
        <v>963</v>
      </c>
      <c r="H1827" s="61" t="s">
        <v>1497</v>
      </c>
      <c r="I1827" s="50" t="s">
        <v>1498</v>
      </c>
      <c r="J1827" s="50" t="s">
        <v>1499</v>
      </c>
      <c r="K1827" s="62">
        <v>5403</v>
      </c>
      <c r="L1827" s="57">
        <v>207</v>
      </c>
      <c r="M1827" s="50" t="s">
        <v>26</v>
      </c>
      <c r="N1827" s="50" t="s">
        <v>317</v>
      </c>
      <c r="O1827" s="64">
        <v>62.7</v>
      </c>
      <c r="P1827" s="65">
        <v>12</v>
      </c>
      <c r="Q1827" s="64">
        <v>7.52</v>
      </c>
      <c r="R1827" s="63">
        <v>0</v>
      </c>
      <c r="S1827" s="64">
        <v>4.3899999999999997</v>
      </c>
    </row>
    <row r="1828" spans="1:19" ht="11.1" customHeight="1" x14ac:dyDescent="0.25">
      <c r="N1828" s="50" t="s">
        <v>318</v>
      </c>
      <c r="O1828" s="64">
        <v>84.65</v>
      </c>
      <c r="P1828" s="65">
        <v>20</v>
      </c>
      <c r="Q1828" s="64">
        <v>4.3899999999999997</v>
      </c>
      <c r="R1828" s="63">
        <v>0</v>
      </c>
      <c r="S1828" s="64">
        <v>0</v>
      </c>
    </row>
    <row r="1829" spans="1:19" ht="11.1" customHeight="1" x14ac:dyDescent="0.25">
      <c r="A1829" s="57">
        <v>113214</v>
      </c>
      <c r="B1829" s="53">
        <v>46132</v>
      </c>
      <c r="C1829" s="58">
        <v>46132</v>
      </c>
      <c r="D1829" s="59" t="s">
        <v>1500</v>
      </c>
      <c r="E1829" s="50" t="s">
        <v>313</v>
      </c>
      <c r="F1829" s="57">
        <v>36</v>
      </c>
      <c r="G1829" s="60">
        <v>963</v>
      </c>
      <c r="H1829" s="61" t="s">
        <v>1497</v>
      </c>
      <c r="I1829" s="50" t="s">
        <v>1498</v>
      </c>
      <c r="J1829" s="50" t="s">
        <v>1499</v>
      </c>
      <c r="K1829" s="62">
        <v>5102</v>
      </c>
      <c r="L1829" s="57">
        <v>205</v>
      </c>
      <c r="M1829" s="50" t="s">
        <v>26</v>
      </c>
      <c r="N1829" s="50" t="s">
        <v>317</v>
      </c>
      <c r="O1829" s="64">
        <v>412.57</v>
      </c>
      <c r="P1829" s="65">
        <v>12</v>
      </c>
      <c r="Q1829" s="64">
        <v>49.51</v>
      </c>
      <c r="R1829" s="63">
        <v>0</v>
      </c>
      <c r="S1829" s="64">
        <v>0</v>
      </c>
    </row>
    <row r="1830" spans="1:19" ht="11.1" customHeight="1" x14ac:dyDescent="0.25">
      <c r="A1830" s="57">
        <v>113215</v>
      </c>
      <c r="B1830" s="53">
        <v>46132</v>
      </c>
      <c r="C1830" s="58">
        <v>46132</v>
      </c>
      <c r="D1830" s="59" t="s">
        <v>1500</v>
      </c>
      <c r="E1830" s="50" t="s">
        <v>313</v>
      </c>
      <c r="F1830" s="57">
        <v>36</v>
      </c>
      <c r="G1830" s="60">
        <v>963</v>
      </c>
      <c r="H1830" s="61" t="s">
        <v>1497</v>
      </c>
      <c r="I1830" s="50" t="s">
        <v>1498</v>
      </c>
      <c r="J1830" s="50" t="s">
        <v>1499</v>
      </c>
      <c r="K1830" s="62">
        <v>5403</v>
      </c>
      <c r="L1830" s="57">
        <v>207</v>
      </c>
      <c r="M1830" s="50" t="s">
        <v>26</v>
      </c>
      <c r="N1830" s="50" t="s">
        <v>317</v>
      </c>
      <c r="O1830" s="64">
        <v>110.69</v>
      </c>
      <c r="P1830" s="65">
        <v>12</v>
      </c>
      <c r="Q1830" s="64">
        <v>13.28</v>
      </c>
      <c r="R1830" s="63">
        <v>0</v>
      </c>
      <c r="S1830" s="64">
        <v>7.74</v>
      </c>
    </row>
    <row r="1831" spans="1:19" ht="11.1" customHeight="1" x14ac:dyDescent="0.25">
      <c r="N1831" s="50" t="s">
        <v>318</v>
      </c>
      <c r="O1831" s="64">
        <v>149.43</v>
      </c>
      <c r="P1831" s="65">
        <v>20</v>
      </c>
      <c r="Q1831" s="64">
        <v>7.74</v>
      </c>
      <c r="R1831" s="63">
        <v>0</v>
      </c>
      <c r="S1831" s="64">
        <v>0</v>
      </c>
    </row>
    <row r="1832" spans="1:19" ht="11.1" customHeight="1" x14ac:dyDescent="0.25">
      <c r="A1832" s="57">
        <v>113446</v>
      </c>
      <c r="B1832" s="53">
        <v>46139</v>
      </c>
      <c r="C1832" s="58">
        <v>46139</v>
      </c>
      <c r="D1832" s="59" t="s">
        <v>1501</v>
      </c>
      <c r="E1832" s="50" t="s">
        <v>313</v>
      </c>
      <c r="F1832" s="57">
        <v>36</v>
      </c>
      <c r="G1832" s="60">
        <v>963</v>
      </c>
      <c r="H1832" s="61" t="s">
        <v>1497</v>
      </c>
      <c r="I1832" s="50" t="s">
        <v>1498</v>
      </c>
      <c r="J1832" s="50" t="s">
        <v>1499</v>
      </c>
      <c r="K1832" s="62">
        <v>5102</v>
      </c>
      <c r="L1832" s="57">
        <v>205</v>
      </c>
      <c r="M1832" s="50" t="s">
        <v>26</v>
      </c>
      <c r="N1832" s="50" t="s">
        <v>317</v>
      </c>
      <c r="O1832" s="64">
        <v>6.62</v>
      </c>
      <c r="P1832" s="65">
        <v>12</v>
      </c>
      <c r="Q1832" s="64">
        <v>0.79</v>
      </c>
      <c r="R1832" s="63">
        <v>0</v>
      </c>
      <c r="S1832" s="64">
        <v>0</v>
      </c>
    </row>
    <row r="1833" spans="1:19" ht="11.1" customHeight="1" x14ac:dyDescent="0.25">
      <c r="A1833" s="57">
        <v>113447</v>
      </c>
      <c r="B1833" s="53">
        <v>46139</v>
      </c>
      <c r="C1833" s="58">
        <v>46139</v>
      </c>
      <c r="D1833" s="59" t="s">
        <v>1502</v>
      </c>
      <c r="E1833" s="50" t="s">
        <v>313</v>
      </c>
      <c r="F1833" s="57">
        <v>36</v>
      </c>
      <c r="G1833" s="60">
        <v>963</v>
      </c>
      <c r="H1833" s="61" t="s">
        <v>1497</v>
      </c>
      <c r="I1833" s="50" t="s">
        <v>1498</v>
      </c>
      <c r="J1833" s="50" t="s">
        <v>1499</v>
      </c>
      <c r="K1833" s="62">
        <v>5102</v>
      </c>
      <c r="L1833" s="57">
        <v>205</v>
      </c>
      <c r="M1833" s="50" t="s">
        <v>26</v>
      </c>
      <c r="N1833" s="50" t="s">
        <v>317</v>
      </c>
      <c r="O1833" s="64">
        <v>285.55</v>
      </c>
      <c r="P1833" s="65">
        <v>12</v>
      </c>
      <c r="Q1833" s="64">
        <v>34.270000000000003</v>
      </c>
      <c r="R1833" s="63">
        <v>0</v>
      </c>
      <c r="S1833" s="64">
        <v>0</v>
      </c>
    </row>
    <row r="1834" spans="1:19" ht="11.1" customHeight="1" x14ac:dyDescent="0.25">
      <c r="A1834" s="57">
        <v>113448</v>
      </c>
      <c r="B1834" s="53">
        <v>46139</v>
      </c>
      <c r="C1834" s="58">
        <v>46139</v>
      </c>
      <c r="D1834" s="59" t="s">
        <v>1502</v>
      </c>
      <c r="E1834" s="50" t="s">
        <v>313</v>
      </c>
      <c r="F1834" s="57">
        <v>36</v>
      </c>
      <c r="G1834" s="60">
        <v>963</v>
      </c>
      <c r="H1834" s="61" t="s">
        <v>1497</v>
      </c>
      <c r="I1834" s="50" t="s">
        <v>1498</v>
      </c>
      <c r="J1834" s="50" t="s">
        <v>1499</v>
      </c>
      <c r="K1834" s="62">
        <v>5403</v>
      </c>
      <c r="L1834" s="57">
        <v>207</v>
      </c>
      <c r="M1834" s="50" t="s">
        <v>26</v>
      </c>
      <c r="N1834" s="50" t="s">
        <v>317</v>
      </c>
      <c r="O1834" s="64">
        <v>41.8</v>
      </c>
      <c r="P1834" s="65">
        <v>12</v>
      </c>
      <c r="Q1834" s="64">
        <v>5.0199999999999996</v>
      </c>
      <c r="R1834" s="63">
        <v>0</v>
      </c>
      <c r="S1834" s="64">
        <v>2.93</v>
      </c>
    </row>
    <row r="1835" spans="1:19" ht="11.1" customHeight="1" x14ac:dyDescent="0.25">
      <c r="N1835" s="50" t="s">
        <v>318</v>
      </c>
      <c r="O1835" s="64">
        <v>56.43</v>
      </c>
      <c r="P1835" s="65">
        <v>20</v>
      </c>
      <c r="Q1835" s="64">
        <v>2.93</v>
      </c>
      <c r="R1835" s="63">
        <v>0</v>
      </c>
      <c r="S1835" s="64">
        <v>0</v>
      </c>
    </row>
    <row r="1836" spans="1:19" ht="11.85" customHeight="1" x14ac:dyDescent="0.25">
      <c r="A1836" s="66" t="s">
        <v>320</v>
      </c>
      <c r="B1836" s="66"/>
      <c r="C1836" s="66"/>
      <c r="D1836" s="66"/>
      <c r="E1836" s="66"/>
      <c r="F1836" s="66"/>
      <c r="G1836" s="66"/>
      <c r="H1836" s="66"/>
    </row>
    <row r="1837" spans="1:19" ht="11.1" customHeight="1" x14ac:dyDescent="0.25">
      <c r="N1837" s="50" t="s">
        <v>317</v>
      </c>
      <c r="O1837" s="64">
        <v>1378.99</v>
      </c>
      <c r="Q1837" s="64">
        <v>165.46</v>
      </c>
      <c r="R1837" s="63">
        <v>0</v>
      </c>
      <c r="S1837" s="64">
        <v>15.06</v>
      </c>
    </row>
    <row r="1838" spans="1:19" ht="11.1" customHeight="1" x14ac:dyDescent="0.25">
      <c r="N1838" s="50" t="s">
        <v>318</v>
      </c>
      <c r="O1838" s="64">
        <v>290.51</v>
      </c>
      <c r="Q1838" s="64">
        <v>15.06</v>
      </c>
      <c r="R1838" s="63">
        <v>0</v>
      </c>
      <c r="S1838" s="64">
        <v>0</v>
      </c>
    </row>
    <row r="1839" spans="1:19" ht="11.1" customHeight="1" x14ac:dyDescent="0.25">
      <c r="A1839" s="57">
        <v>113081</v>
      </c>
      <c r="B1839" s="53">
        <v>46127</v>
      </c>
      <c r="C1839" s="58">
        <v>46127</v>
      </c>
      <c r="D1839" s="59" t="s">
        <v>1503</v>
      </c>
      <c r="E1839" s="50" t="s">
        <v>313</v>
      </c>
      <c r="F1839" s="57">
        <v>36</v>
      </c>
      <c r="G1839" s="60">
        <v>983</v>
      </c>
      <c r="H1839" s="61" t="s">
        <v>1504</v>
      </c>
      <c r="I1839" s="50" t="s">
        <v>1505</v>
      </c>
      <c r="J1839" s="50" t="s">
        <v>1506</v>
      </c>
      <c r="K1839" s="62">
        <v>5102</v>
      </c>
      <c r="L1839" s="57">
        <v>205</v>
      </c>
      <c r="M1839" s="50" t="s">
        <v>26</v>
      </c>
      <c r="N1839" s="50" t="s">
        <v>317</v>
      </c>
      <c r="O1839" s="64">
        <v>194.4</v>
      </c>
      <c r="P1839" s="65">
        <v>12</v>
      </c>
      <c r="Q1839" s="64">
        <v>23.33</v>
      </c>
      <c r="R1839" s="63">
        <v>0</v>
      </c>
      <c r="S1839" s="64">
        <v>0</v>
      </c>
    </row>
    <row r="1840" spans="1:19" ht="11.85" customHeight="1" x14ac:dyDescent="0.25">
      <c r="A1840" s="66" t="s">
        <v>320</v>
      </c>
      <c r="B1840" s="66"/>
      <c r="C1840" s="66"/>
      <c r="D1840" s="66"/>
      <c r="E1840" s="66"/>
      <c r="F1840" s="66"/>
      <c r="G1840" s="66"/>
      <c r="H1840" s="66"/>
    </row>
    <row r="1841" spans="1:19" ht="11.1" customHeight="1" x14ac:dyDescent="0.25">
      <c r="N1841" s="50" t="s">
        <v>317</v>
      </c>
      <c r="O1841" s="64">
        <v>194.4</v>
      </c>
      <c r="Q1841" s="64">
        <v>23.33</v>
      </c>
      <c r="R1841" s="63">
        <v>0</v>
      </c>
      <c r="S1841" s="64">
        <v>0</v>
      </c>
    </row>
    <row r="1842" spans="1:19" ht="11.1" customHeight="1" x14ac:dyDescent="0.25">
      <c r="A1842" s="57">
        <v>112765</v>
      </c>
      <c r="B1842" s="53">
        <v>46120</v>
      </c>
      <c r="C1842" s="58">
        <v>46120</v>
      </c>
      <c r="D1842" s="59" t="s">
        <v>1507</v>
      </c>
      <c r="E1842" s="50" t="s">
        <v>313</v>
      </c>
      <c r="F1842" s="57">
        <v>36</v>
      </c>
      <c r="G1842" s="60">
        <v>933</v>
      </c>
      <c r="H1842" s="61" t="s">
        <v>1508</v>
      </c>
      <c r="I1842" s="50" t="s">
        <v>1509</v>
      </c>
      <c r="J1842" s="50" t="s">
        <v>1510</v>
      </c>
      <c r="K1842" s="62">
        <v>5102</v>
      </c>
      <c r="L1842" s="57">
        <v>205</v>
      </c>
      <c r="M1842" s="50" t="s">
        <v>26</v>
      </c>
      <c r="N1842" s="50" t="s">
        <v>317</v>
      </c>
      <c r="O1842" s="64">
        <v>2104.38</v>
      </c>
      <c r="P1842" s="65">
        <v>12</v>
      </c>
      <c r="Q1842" s="64">
        <v>252.52</v>
      </c>
      <c r="R1842" s="63">
        <v>0</v>
      </c>
      <c r="S1842" s="64">
        <v>0</v>
      </c>
    </row>
    <row r="1843" spans="1:19" ht="11.1" customHeight="1" x14ac:dyDescent="0.25">
      <c r="A1843" s="57">
        <v>113287</v>
      </c>
      <c r="B1843" s="53">
        <v>46134</v>
      </c>
      <c r="C1843" s="58">
        <v>46134</v>
      </c>
      <c r="D1843" s="59" t="s">
        <v>1511</v>
      </c>
      <c r="E1843" s="50" t="s">
        <v>313</v>
      </c>
      <c r="F1843" s="57">
        <v>36</v>
      </c>
      <c r="G1843" s="60">
        <v>933</v>
      </c>
      <c r="H1843" s="61" t="s">
        <v>1508</v>
      </c>
      <c r="I1843" s="50" t="s">
        <v>1509</v>
      </c>
      <c r="J1843" s="50" t="s">
        <v>1510</v>
      </c>
      <c r="K1843" s="62">
        <v>5102</v>
      </c>
      <c r="L1843" s="57">
        <v>205</v>
      </c>
      <c r="M1843" s="50" t="s">
        <v>26</v>
      </c>
      <c r="N1843" s="50" t="s">
        <v>317</v>
      </c>
      <c r="O1843" s="64">
        <v>739.8</v>
      </c>
      <c r="P1843" s="65">
        <v>12</v>
      </c>
      <c r="Q1843" s="64">
        <v>88.78</v>
      </c>
      <c r="R1843" s="63">
        <v>0</v>
      </c>
      <c r="S1843" s="64">
        <v>0</v>
      </c>
    </row>
    <row r="1844" spans="1:19" ht="11.85" customHeight="1" x14ac:dyDescent="0.25">
      <c r="A1844" s="66" t="s">
        <v>320</v>
      </c>
      <c r="B1844" s="66"/>
      <c r="C1844" s="66"/>
      <c r="D1844" s="66"/>
      <c r="E1844" s="66"/>
      <c r="F1844" s="66"/>
      <c r="G1844" s="66"/>
      <c r="H1844" s="66"/>
    </row>
    <row r="1845" spans="1:19" ht="11.1" customHeight="1" x14ac:dyDescent="0.25">
      <c r="N1845" s="50" t="s">
        <v>317</v>
      </c>
      <c r="O1845" s="64">
        <v>2844.18</v>
      </c>
      <c r="Q1845" s="64">
        <v>341.3</v>
      </c>
      <c r="R1845" s="63">
        <v>0</v>
      </c>
      <c r="S1845" s="64">
        <v>0</v>
      </c>
    </row>
    <row r="1846" spans="1:19" ht="11.1" customHeight="1" x14ac:dyDescent="0.25">
      <c r="A1846" s="57">
        <v>112621</v>
      </c>
      <c r="B1846" s="53">
        <v>46118</v>
      </c>
      <c r="C1846" s="58">
        <v>46118</v>
      </c>
      <c r="D1846" s="59" t="s">
        <v>1512</v>
      </c>
      <c r="E1846" s="50" t="s">
        <v>313</v>
      </c>
      <c r="F1846" s="57">
        <v>36</v>
      </c>
      <c r="G1846" s="60">
        <v>753</v>
      </c>
      <c r="H1846" s="61" t="s">
        <v>1513</v>
      </c>
      <c r="I1846" s="50" t="s">
        <v>1514</v>
      </c>
      <c r="J1846" s="50" t="s">
        <v>1515</v>
      </c>
      <c r="K1846" s="62">
        <v>5102</v>
      </c>
      <c r="L1846" s="57">
        <v>205</v>
      </c>
      <c r="M1846" s="50" t="s">
        <v>26</v>
      </c>
      <c r="N1846" s="50" t="s">
        <v>317</v>
      </c>
      <c r="O1846" s="64">
        <v>73.56</v>
      </c>
      <c r="P1846" s="65">
        <v>12</v>
      </c>
      <c r="Q1846" s="64">
        <v>8.83</v>
      </c>
      <c r="R1846" s="63">
        <v>0</v>
      </c>
      <c r="S1846" s="64">
        <v>0</v>
      </c>
    </row>
    <row r="1847" spans="1:19" ht="11.1" customHeight="1" x14ac:dyDescent="0.25">
      <c r="A1847" s="57">
        <v>112622</v>
      </c>
      <c r="B1847" s="53">
        <v>46118</v>
      </c>
      <c r="C1847" s="58">
        <v>46118</v>
      </c>
      <c r="D1847" s="59" t="s">
        <v>1512</v>
      </c>
      <c r="E1847" s="50" t="s">
        <v>313</v>
      </c>
      <c r="F1847" s="57">
        <v>36</v>
      </c>
      <c r="G1847" s="60">
        <v>753</v>
      </c>
      <c r="H1847" s="61" t="s">
        <v>1513</v>
      </c>
      <c r="I1847" s="50" t="s">
        <v>1514</v>
      </c>
      <c r="J1847" s="50" t="s">
        <v>1515</v>
      </c>
      <c r="K1847" s="62">
        <v>5403</v>
      </c>
      <c r="L1847" s="57">
        <v>207</v>
      </c>
      <c r="M1847" s="50" t="s">
        <v>26</v>
      </c>
      <c r="N1847" s="50" t="s">
        <v>317</v>
      </c>
      <c r="O1847" s="64">
        <v>671.72</v>
      </c>
      <c r="P1847" s="65">
        <v>12</v>
      </c>
      <c r="Q1847" s="64">
        <v>80.61</v>
      </c>
      <c r="R1847" s="63">
        <v>0</v>
      </c>
      <c r="S1847" s="64">
        <v>47.02</v>
      </c>
    </row>
    <row r="1848" spans="1:19" ht="11.1" customHeight="1" x14ac:dyDescent="0.25">
      <c r="N1848" s="50" t="s">
        <v>318</v>
      </c>
      <c r="O1848" s="64">
        <v>906.82</v>
      </c>
      <c r="P1848" s="65">
        <v>20</v>
      </c>
      <c r="Q1848" s="64">
        <v>47.02</v>
      </c>
      <c r="R1848" s="63">
        <v>0</v>
      </c>
      <c r="S1848" s="64">
        <v>0</v>
      </c>
    </row>
    <row r="1849" spans="1:19" ht="11.85" customHeight="1" x14ac:dyDescent="0.25">
      <c r="A1849" s="66" t="s">
        <v>320</v>
      </c>
      <c r="B1849" s="66"/>
      <c r="C1849" s="66"/>
      <c r="D1849" s="66"/>
      <c r="E1849" s="66"/>
      <c r="F1849" s="66"/>
      <c r="G1849" s="66"/>
      <c r="H1849" s="66"/>
    </row>
    <row r="1850" spans="1:19" ht="11.1" customHeight="1" x14ac:dyDescent="0.25">
      <c r="N1850" s="50" t="s">
        <v>317</v>
      </c>
      <c r="O1850" s="64">
        <v>745.28</v>
      </c>
      <c r="Q1850" s="64">
        <v>89.44</v>
      </c>
      <c r="R1850" s="63">
        <v>0</v>
      </c>
      <c r="S1850" s="64">
        <v>47.02</v>
      </c>
    </row>
    <row r="1851" spans="1:19" ht="11.1" customHeight="1" x14ac:dyDescent="0.25">
      <c r="N1851" s="50" t="s">
        <v>318</v>
      </c>
      <c r="O1851" s="64">
        <v>906.82</v>
      </c>
      <c r="Q1851" s="64">
        <v>47.02</v>
      </c>
      <c r="R1851" s="63">
        <v>0</v>
      </c>
      <c r="S1851" s="64">
        <v>0</v>
      </c>
    </row>
    <row r="1852" spans="1:19" ht="11.1" customHeight="1" x14ac:dyDescent="0.25">
      <c r="A1852" s="57">
        <v>112585</v>
      </c>
      <c r="B1852" s="53">
        <v>46118</v>
      </c>
      <c r="C1852" s="58">
        <v>46118</v>
      </c>
      <c r="D1852" s="59" t="s">
        <v>1516</v>
      </c>
      <c r="E1852" s="50" t="s">
        <v>313</v>
      </c>
      <c r="F1852" s="57">
        <v>36</v>
      </c>
      <c r="G1852" s="60">
        <v>221</v>
      </c>
      <c r="H1852" s="61" t="s">
        <v>1517</v>
      </c>
      <c r="I1852" s="50" t="s">
        <v>1518</v>
      </c>
      <c r="J1852" s="50" t="s">
        <v>1519</v>
      </c>
      <c r="K1852" s="62">
        <v>5403</v>
      </c>
      <c r="L1852" s="57">
        <v>207</v>
      </c>
      <c r="M1852" s="50" t="s">
        <v>26</v>
      </c>
      <c r="N1852" s="50" t="s">
        <v>317</v>
      </c>
      <c r="O1852" s="64">
        <v>323.08999999999997</v>
      </c>
      <c r="P1852" s="65">
        <v>12</v>
      </c>
      <c r="Q1852" s="64">
        <v>38.770000000000003</v>
      </c>
      <c r="R1852" s="63">
        <v>0</v>
      </c>
      <c r="S1852" s="64">
        <v>22.62</v>
      </c>
    </row>
    <row r="1853" spans="1:19" ht="11.1" customHeight="1" x14ac:dyDescent="0.25">
      <c r="N1853" s="50" t="s">
        <v>318</v>
      </c>
      <c r="O1853" s="64">
        <v>436.18</v>
      </c>
      <c r="P1853" s="65">
        <v>20</v>
      </c>
      <c r="Q1853" s="64">
        <v>22.62</v>
      </c>
      <c r="R1853" s="63">
        <v>0</v>
      </c>
      <c r="S1853" s="64">
        <v>0</v>
      </c>
    </row>
    <row r="1854" spans="1:19" ht="11.1" customHeight="1" x14ac:dyDescent="0.25">
      <c r="A1854" s="57">
        <v>112664</v>
      </c>
      <c r="B1854" s="53">
        <v>46119</v>
      </c>
      <c r="C1854" s="58">
        <v>46119</v>
      </c>
      <c r="D1854" s="59" t="s">
        <v>1520</v>
      </c>
      <c r="E1854" s="50" t="s">
        <v>313</v>
      </c>
      <c r="F1854" s="57">
        <v>36</v>
      </c>
      <c r="G1854" s="60">
        <v>221</v>
      </c>
      <c r="H1854" s="61" t="s">
        <v>1517</v>
      </c>
      <c r="I1854" s="50" t="s">
        <v>1518</v>
      </c>
      <c r="J1854" s="50" t="s">
        <v>1519</v>
      </c>
      <c r="K1854" s="62">
        <v>5102</v>
      </c>
      <c r="L1854" s="57">
        <v>205</v>
      </c>
      <c r="M1854" s="50" t="s">
        <v>26</v>
      </c>
      <c r="N1854" s="50" t="s">
        <v>317</v>
      </c>
      <c r="O1854" s="64">
        <v>437.27</v>
      </c>
      <c r="P1854" s="65">
        <v>12</v>
      </c>
      <c r="Q1854" s="64">
        <v>52.47</v>
      </c>
      <c r="R1854" s="63">
        <v>0</v>
      </c>
      <c r="S1854" s="64">
        <v>0</v>
      </c>
    </row>
    <row r="1855" spans="1:19" ht="11.1" customHeight="1" x14ac:dyDescent="0.25">
      <c r="A1855" s="57">
        <v>112665</v>
      </c>
      <c r="B1855" s="53">
        <v>46119</v>
      </c>
      <c r="C1855" s="58">
        <v>46119</v>
      </c>
      <c r="D1855" s="59" t="s">
        <v>1520</v>
      </c>
      <c r="E1855" s="50" t="s">
        <v>313</v>
      </c>
      <c r="F1855" s="57">
        <v>36</v>
      </c>
      <c r="G1855" s="60">
        <v>221</v>
      </c>
      <c r="H1855" s="61" t="s">
        <v>1517</v>
      </c>
      <c r="I1855" s="50" t="s">
        <v>1518</v>
      </c>
      <c r="J1855" s="50" t="s">
        <v>1519</v>
      </c>
      <c r="K1855" s="62">
        <v>5403</v>
      </c>
      <c r="L1855" s="57">
        <v>207</v>
      </c>
      <c r="M1855" s="50" t="s">
        <v>26</v>
      </c>
      <c r="N1855" s="50" t="s">
        <v>317</v>
      </c>
      <c r="O1855" s="64">
        <v>41.8</v>
      </c>
      <c r="P1855" s="65">
        <v>12</v>
      </c>
      <c r="Q1855" s="64">
        <v>5.0199999999999996</v>
      </c>
      <c r="R1855" s="63">
        <v>0</v>
      </c>
      <c r="S1855" s="64">
        <v>2.93</v>
      </c>
    </row>
    <row r="1856" spans="1:19" ht="11.1" customHeight="1" x14ac:dyDescent="0.25">
      <c r="N1856" s="50" t="s">
        <v>318</v>
      </c>
      <c r="O1856" s="64">
        <v>56.43</v>
      </c>
      <c r="P1856" s="65">
        <v>20</v>
      </c>
      <c r="Q1856" s="64">
        <v>2.93</v>
      </c>
      <c r="R1856" s="63">
        <v>0</v>
      </c>
      <c r="S1856" s="64">
        <v>0</v>
      </c>
    </row>
    <row r="1857" spans="1:19" ht="11.85" customHeight="1" x14ac:dyDescent="0.25">
      <c r="A1857" s="66" t="s">
        <v>320</v>
      </c>
      <c r="B1857" s="66"/>
      <c r="C1857" s="66"/>
      <c r="D1857" s="66"/>
      <c r="E1857" s="66"/>
      <c r="F1857" s="66"/>
      <c r="G1857" s="66"/>
      <c r="H1857" s="66"/>
    </row>
    <row r="1858" spans="1:19" ht="11.1" customHeight="1" x14ac:dyDescent="0.25">
      <c r="N1858" s="50" t="s">
        <v>317</v>
      </c>
      <c r="O1858" s="64">
        <v>802.16</v>
      </c>
      <c r="Q1858" s="64">
        <v>96.26</v>
      </c>
      <c r="R1858" s="63">
        <v>0</v>
      </c>
      <c r="S1858" s="64">
        <v>25.55</v>
      </c>
    </row>
    <row r="1859" spans="1:19" ht="11.1" customHeight="1" x14ac:dyDescent="0.25">
      <c r="N1859" s="50" t="s">
        <v>318</v>
      </c>
      <c r="O1859" s="64">
        <v>492.61</v>
      </c>
      <c r="Q1859" s="64">
        <v>25.55</v>
      </c>
      <c r="R1859" s="63">
        <v>0</v>
      </c>
      <c r="S1859" s="64">
        <v>0</v>
      </c>
    </row>
    <row r="1860" spans="1:19" ht="11.1" customHeight="1" x14ac:dyDescent="0.25">
      <c r="A1860" s="57">
        <v>113075</v>
      </c>
      <c r="B1860" s="53">
        <v>46127</v>
      </c>
      <c r="C1860" s="58">
        <v>46127</v>
      </c>
      <c r="D1860" s="59" t="s">
        <v>1521</v>
      </c>
      <c r="E1860" s="50" t="s">
        <v>313</v>
      </c>
      <c r="F1860" s="57">
        <v>36</v>
      </c>
      <c r="G1860" s="60">
        <v>854</v>
      </c>
      <c r="H1860" s="61" t="s">
        <v>1522</v>
      </c>
      <c r="I1860" s="50" t="s">
        <v>1523</v>
      </c>
      <c r="J1860" s="50" t="s">
        <v>1524</v>
      </c>
      <c r="K1860" s="62">
        <v>5102</v>
      </c>
      <c r="L1860" s="57">
        <v>205</v>
      </c>
      <c r="M1860" s="50" t="s">
        <v>26</v>
      </c>
      <c r="N1860" s="50" t="s">
        <v>317</v>
      </c>
      <c r="O1860" s="64">
        <v>551.88</v>
      </c>
      <c r="P1860" s="65">
        <v>12</v>
      </c>
      <c r="Q1860" s="64">
        <v>66.23</v>
      </c>
      <c r="R1860" s="63">
        <v>0</v>
      </c>
      <c r="S1860" s="64">
        <v>0</v>
      </c>
    </row>
    <row r="1861" spans="1:19" ht="11.1" customHeight="1" x14ac:dyDescent="0.25">
      <c r="A1861" s="57">
        <v>113513</v>
      </c>
      <c r="B1861" s="53">
        <v>46140</v>
      </c>
      <c r="C1861" s="58">
        <v>46140</v>
      </c>
      <c r="D1861" s="59" t="s">
        <v>1525</v>
      </c>
      <c r="E1861" s="50" t="s">
        <v>313</v>
      </c>
      <c r="F1861" s="57">
        <v>36</v>
      </c>
      <c r="G1861" s="60">
        <v>854</v>
      </c>
      <c r="H1861" s="61" t="s">
        <v>1522</v>
      </c>
      <c r="I1861" s="50" t="s">
        <v>1523</v>
      </c>
      <c r="J1861" s="50" t="s">
        <v>1524</v>
      </c>
      <c r="K1861" s="62">
        <v>5102</v>
      </c>
      <c r="L1861" s="57">
        <v>205</v>
      </c>
      <c r="M1861" s="50" t="s">
        <v>26</v>
      </c>
      <c r="N1861" s="50" t="s">
        <v>317</v>
      </c>
      <c r="O1861" s="64">
        <v>282.44</v>
      </c>
      <c r="P1861" s="65">
        <v>12</v>
      </c>
      <c r="Q1861" s="64">
        <v>33.880000000000003</v>
      </c>
      <c r="R1861" s="63">
        <v>0</v>
      </c>
      <c r="S1861" s="64">
        <v>0</v>
      </c>
    </row>
    <row r="1862" spans="1:19" ht="11.1" customHeight="1" x14ac:dyDescent="0.25">
      <c r="A1862" s="57">
        <v>113514</v>
      </c>
      <c r="B1862" s="53">
        <v>46140</v>
      </c>
      <c r="C1862" s="58">
        <v>46140</v>
      </c>
      <c r="D1862" s="59" t="s">
        <v>1525</v>
      </c>
      <c r="E1862" s="50" t="s">
        <v>313</v>
      </c>
      <c r="F1862" s="57">
        <v>36</v>
      </c>
      <c r="G1862" s="60">
        <v>854</v>
      </c>
      <c r="H1862" s="61" t="s">
        <v>1522</v>
      </c>
      <c r="I1862" s="50" t="s">
        <v>1523</v>
      </c>
      <c r="J1862" s="50" t="s">
        <v>1524</v>
      </c>
      <c r="K1862" s="62">
        <v>5403</v>
      </c>
      <c r="L1862" s="57">
        <v>207</v>
      </c>
      <c r="M1862" s="50" t="s">
        <v>26</v>
      </c>
      <c r="N1862" s="50" t="s">
        <v>317</v>
      </c>
      <c r="O1862" s="64">
        <v>79.7</v>
      </c>
      <c r="P1862" s="65">
        <v>12</v>
      </c>
      <c r="Q1862" s="64">
        <v>9.57</v>
      </c>
      <c r="R1862" s="63">
        <v>0</v>
      </c>
      <c r="S1862" s="64">
        <v>5.58</v>
      </c>
    </row>
    <row r="1863" spans="1:19" ht="11.1" customHeight="1" x14ac:dyDescent="0.25">
      <c r="N1863" s="50" t="s">
        <v>318</v>
      </c>
      <c r="O1863" s="64">
        <v>107.6</v>
      </c>
      <c r="P1863" s="65">
        <v>20</v>
      </c>
      <c r="Q1863" s="64">
        <v>5.58</v>
      </c>
      <c r="R1863" s="63">
        <v>0</v>
      </c>
      <c r="S1863" s="64">
        <v>0</v>
      </c>
    </row>
    <row r="1864" spans="1:19" ht="11.85" customHeight="1" x14ac:dyDescent="0.25">
      <c r="A1864" s="66" t="s">
        <v>320</v>
      </c>
      <c r="B1864" s="66"/>
      <c r="C1864" s="66"/>
      <c r="D1864" s="66"/>
      <c r="E1864" s="66"/>
      <c r="F1864" s="66"/>
      <c r="G1864" s="66"/>
      <c r="H1864" s="66"/>
    </row>
    <row r="1865" spans="1:19" ht="11.1" customHeight="1" x14ac:dyDescent="0.25">
      <c r="N1865" s="50" t="s">
        <v>317</v>
      </c>
      <c r="O1865" s="64">
        <v>914.02</v>
      </c>
      <c r="Q1865" s="64">
        <v>109.68</v>
      </c>
      <c r="R1865" s="63">
        <v>0</v>
      </c>
      <c r="S1865" s="64">
        <v>5.58</v>
      </c>
    </row>
    <row r="1866" spans="1:19" ht="11.1" customHeight="1" x14ac:dyDescent="0.25">
      <c r="N1866" s="50" t="s">
        <v>318</v>
      </c>
      <c r="O1866" s="64">
        <v>107.6</v>
      </c>
      <c r="Q1866" s="64">
        <v>5.58</v>
      </c>
      <c r="R1866" s="63">
        <v>0</v>
      </c>
      <c r="S1866" s="64">
        <v>0</v>
      </c>
    </row>
    <row r="1867" spans="1:19" ht="11.1" customHeight="1" x14ac:dyDescent="0.25">
      <c r="A1867" s="57">
        <v>113426</v>
      </c>
      <c r="B1867" s="53">
        <v>46136</v>
      </c>
      <c r="C1867" s="58">
        <v>46136</v>
      </c>
      <c r="D1867" s="59" t="s">
        <v>1526</v>
      </c>
      <c r="E1867" s="50" t="s">
        <v>313</v>
      </c>
      <c r="F1867" s="57">
        <v>36</v>
      </c>
      <c r="G1867" s="60">
        <v>25</v>
      </c>
      <c r="H1867" s="61" t="s">
        <v>1527</v>
      </c>
      <c r="I1867" s="50" t="s">
        <v>1528</v>
      </c>
      <c r="J1867" s="50" t="s">
        <v>1529</v>
      </c>
      <c r="K1867" s="62">
        <v>5102</v>
      </c>
      <c r="L1867" s="57">
        <v>205</v>
      </c>
      <c r="M1867" s="50" t="s">
        <v>26</v>
      </c>
      <c r="N1867" s="50" t="s">
        <v>317</v>
      </c>
      <c r="O1867" s="64">
        <v>1169.67</v>
      </c>
      <c r="P1867" s="65">
        <v>12</v>
      </c>
      <c r="Q1867" s="64">
        <v>140.36000000000001</v>
      </c>
      <c r="R1867" s="63">
        <v>0</v>
      </c>
      <c r="S1867" s="64">
        <v>0</v>
      </c>
    </row>
    <row r="1868" spans="1:19" ht="11.1" customHeight="1" x14ac:dyDescent="0.25">
      <c r="A1868" s="57">
        <v>113427</v>
      </c>
      <c r="B1868" s="53">
        <v>46136</v>
      </c>
      <c r="C1868" s="58">
        <v>46136</v>
      </c>
      <c r="D1868" s="59" t="s">
        <v>1526</v>
      </c>
      <c r="E1868" s="50" t="s">
        <v>313</v>
      </c>
      <c r="F1868" s="57">
        <v>36</v>
      </c>
      <c r="G1868" s="60">
        <v>25</v>
      </c>
      <c r="H1868" s="61" t="s">
        <v>1527</v>
      </c>
      <c r="I1868" s="50" t="s">
        <v>1528</v>
      </c>
      <c r="J1868" s="50" t="s">
        <v>1529</v>
      </c>
      <c r="K1868" s="62">
        <v>5403</v>
      </c>
      <c r="L1868" s="57">
        <v>207</v>
      </c>
      <c r="M1868" s="50" t="s">
        <v>26</v>
      </c>
      <c r="N1868" s="50" t="s">
        <v>317</v>
      </c>
      <c r="O1868" s="64">
        <v>1908.28</v>
      </c>
      <c r="P1868" s="65">
        <v>12</v>
      </c>
      <c r="Q1868" s="64">
        <v>228.99</v>
      </c>
      <c r="R1868" s="63">
        <v>0</v>
      </c>
      <c r="S1868" s="64">
        <v>133.58000000000001</v>
      </c>
    </row>
    <row r="1869" spans="1:19" ht="11.1" customHeight="1" x14ac:dyDescent="0.25">
      <c r="N1869" s="50" t="s">
        <v>318</v>
      </c>
      <c r="O1869" s="64">
        <v>2576.17</v>
      </c>
      <c r="P1869" s="65">
        <v>20</v>
      </c>
      <c r="Q1869" s="64">
        <v>133.58000000000001</v>
      </c>
      <c r="R1869" s="63">
        <v>0</v>
      </c>
      <c r="S1869" s="64">
        <v>0</v>
      </c>
    </row>
    <row r="1870" spans="1:19" ht="11.85" customHeight="1" x14ac:dyDescent="0.25">
      <c r="A1870" s="66" t="s">
        <v>320</v>
      </c>
      <c r="B1870" s="66"/>
      <c r="C1870" s="66"/>
      <c r="D1870" s="66"/>
      <c r="E1870" s="66"/>
      <c r="F1870" s="66"/>
      <c r="G1870" s="66"/>
      <c r="H1870" s="66"/>
    </row>
    <row r="1871" spans="1:19" ht="11.1" customHeight="1" x14ac:dyDescent="0.25">
      <c r="N1871" s="50" t="s">
        <v>317</v>
      </c>
      <c r="O1871" s="64">
        <v>3077.95</v>
      </c>
      <c r="Q1871" s="64">
        <v>369.35</v>
      </c>
      <c r="R1871" s="63">
        <v>0</v>
      </c>
      <c r="S1871" s="64">
        <v>133.58000000000001</v>
      </c>
    </row>
    <row r="1872" spans="1:19" ht="11.1" customHeight="1" x14ac:dyDescent="0.25">
      <c r="N1872" s="50" t="s">
        <v>318</v>
      </c>
      <c r="O1872" s="64">
        <v>2576.17</v>
      </c>
      <c r="Q1872" s="64">
        <v>133.58000000000001</v>
      </c>
      <c r="R1872" s="63">
        <v>0</v>
      </c>
      <c r="S1872" s="64">
        <v>0</v>
      </c>
    </row>
    <row r="1873" spans="1:19" ht="11.1" customHeight="1" x14ac:dyDescent="0.25">
      <c r="A1873" s="57">
        <v>113028</v>
      </c>
      <c r="B1873" s="53">
        <v>46126</v>
      </c>
      <c r="C1873" s="58">
        <v>46126</v>
      </c>
      <c r="D1873" s="59" t="s">
        <v>1530</v>
      </c>
      <c r="E1873" s="50" t="s">
        <v>313</v>
      </c>
      <c r="F1873" s="57">
        <v>36</v>
      </c>
      <c r="G1873" s="60">
        <v>169</v>
      </c>
      <c r="H1873" s="61" t="s">
        <v>1531</v>
      </c>
      <c r="I1873" s="50" t="s">
        <v>1532</v>
      </c>
      <c r="J1873" s="50" t="s">
        <v>1533</v>
      </c>
      <c r="K1873" s="62">
        <v>5102</v>
      </c>
      <c r="L1873" s="57">
        <v>205</v>
      </c>
      <c r="M1873" s="50" t="s">
        <v>26</v>
      </c>
      <c r="N1873" s="50" t="s">
        <v>317</v>
      </c>
      <c r="O1873" s="64">
        <v>626.21</v>
      </c>
      <c r="P1873" s="65">
        <v>12</v>
      </c>
      <c r="Q1873" s="64">
        <v>75.14</v>
      </c>
      <c r="R1873" s="63">
        <v>0</v>
      </c>
      <c r="S1873" s="64">
        <v>0</v>
      </c>
    </row>
    <row r="1874" spans="1:19" ht="11.85" customHeight="1" x14ac:dyDescent="0.25">
      <c r="A1874" s="66" t="s">
        <v>320</v>
      </c>
      <c r="B1874" s="66"/>
      <c r="C1874" s="66"/>
      <c r="D1874" s="66"/>
      <c r="E1874" s="66"/>
      <c r="F1874" s="66"/>
      <c r="G1874" s="66"/>
      <c r="H1874" s="66"/>
    </row>
    <row r="1875" spans="1:19" ht="11.1" customHeight="1" x14ac:dyDescent="0.25">
      <c r="N1875" s="50" t="s">
        <v>317</v>
      </c>
      <c r="O1875" s="64">
        <v>626.21</v>
      </c>
      <c r="Q1875" s="64">
        <v>75.14</v>
      </c>
      <c r="R1875" s="63">
        <v>0</v>
      </c>
      <c r="S1875" s="64">
        <v>0</v>
      </c>
    </row>
    <row r="1876" spans="1:19" ht="11.1" customHeight="1" x14ac:dyDescent="0.25">
      <c r="A1876" s="57">
        <v>112714</v>
      </c>
      <c r="B1876" s="53">
        <v>46119</v>
      </c>
      <c r="C1876" s="58">
        <v>46119</v>
      </c>
      <c r="D1876" s="59" t="s">
        <v>1534</v>
      </c>
      <c r="E1876" s="50" t="s">
        <v>313</v>
      </c>
      <c r="F1876" s="57">
        <v>36</v>
      </c>
      <c r="G1876" s="60">
        <v>8</v>
      </c>
      <c r="H1876" s="61" t="s">
        <v>1535</v>
      </c>
      <c r="I1876" s="50" t="s">
        <v>1536</v>
      </c>
      <c r="J1876" s="50" t="s">
        <v>1537</v>
      </c>
      <c r="K1876" s="62">
        <v>5102</v>
      </c>
      <c r="L1876" s="57">
        <v>205</v>
      </c>
      <c r="M1876" s="50" t="s">
        <v>26</v>
      </c>
      <c r="N1876" s="50" t="s">
        <v>317</v>
      </c>
      <c r="O1876" s="64">
        <v>358.9</v>
      </c>
      <c r="P1876" s="65">
        <v>12</v>
      </c>
      <c r="Q1876" s="64">
        <v>43.07</v>
      </c>
      <c r="R1876" s="63">
        <v>0</v>
      </c>
      <c r="S1876" s="64">
        <v>0</v>
      </c>
    </row>
    <row r="1877" spans="1:19" ht="11.1" customHeight="1" x14ac:dyDescent="0.25">
      <c r="A1877" s="57">
        <v>112715</v>
      </c>
      <c r="B1877" s="53">
        <v>46119</v>
      </c>
      <c r="C1877" s="58">
        <v>46119</v>
      </c>
      <c r="D1877" s="59" t="s">
        <v>1534</v>
      </c>
      <c r="E1877" s="50" t="s">
        <v>313</v>
      </c>
      <c r="F1877" s="57">
        <v>36</v>
      </c>
      <c r="G1877" s="60">
        <v>8</v>
      </c>
      <c r="H1877" s="61" t="s">
        <v>1535</v>
      </c>
      <c r="I1877" s="50" t="s">
        <v>1536</v>
      </c>
      <c r="J1877" s="50" t="s">
        <v>1537</v>
      </c>
      <c r="K1877" s="62">
        <v>5403</v>
      </c>
      <c r="L1877" s="57">
        <v>207</v>
      </c>
      <c r="M1877" s="50" t="s">
        <v>26</v>
      </c>
      <c r="N1877" s="50" t="s">
        <v>317</v>
      </c>
      <c r="O1877" s="64">
        <v>265.5</v>
      </c>
      <c r="P1877" s="65">
        <v>12</v>
      </c>
      <c r="Q1877" s="64">
        <v>31.86</v>
      </c>
      <c r="R1877" s="63">
        <v>0</v>
      </c>
      <c r="S1877" s="64">
        <v>18.579999999999998</v>
      </c>
    </row>
    <row r="1878" spans="1:19" ht="11.1" customHeight="1" x14ac:dyDescent="0.25">
      <c r="N1878" s="50" t="s">
        <v>318</v>
      </c>
      <c r="O1878" s="64">
        <v>358.43</v>
      </c>
      <c r="P1878" s="65">
        <v>20</v>
      </c>
      <c r="Q1878" s="64">
        <v>18.579999999999998</v>
      </c>
      <c r="R1878" s="63">
        <v>0</v>
      </c>
      <c r="S1878" s="64">
        <v>0</v>
      </c>
    </row>
    <row r="1879" spans="1:19" ht="11.1" customHeight="1" x14ac:dyDescent="0.25">
      <c r="A1879" s="57">
        <v>113147</v>
      </c>
      <c r="B1879" s="53">
        <v>46128</v>
      </c>
      <c r="C1879" s="58">
        <v>46128</v>
      </c>
      <c r="D1879" s="59" t="s">
        <v>1538</v>
      </c>
      <c r="E1879" s="50" t="s">
        <v>313</v>
      </c>
      <c r="F1879" s="57">
        <v>36</v>
      </c>
      <c r="G1879" s="60">
        <v>8</v>
      </c>
      <c r="H1879" s="61" t="s">
        <v>1535</v>
      </c>
      <c r="I1879" s="50" t="s">
        <v>1536</v>
      </c>
      <c r="J1879" s="50" t="s">
        <v>1537</v>
      </c>
      <c r="K1879" s="62">
        <v>5102</v>
      </c>
      <c r="L1879" s="57">
        <v>205</v>
      </c>
      <c r="M1879" s="50" t="s">
        <v>26</v>
      </c>
      <c r="N1879" s="50" t="s">
        <v>317</v>
      </c>
      <c r="O1879" s="64">
        <v>825.48</v>
      </c>
      <c r="P1879" s="65">
        <v>12</v>
      </c>
      <c r="Q1879" s="64">
        <v>99.07</v>
      </c>
      <c r="R1879" s="63">
        <v>0</v>
      </c>
      <c r="S1879" s="64">
        <v>0</v>
      </c>
    </row>
    <row r="1880" spans="1:19" ht="11.1" customHeight="1" x14ac:dyDescent="0.25">
      <c r="A1880" s="57">
        <v>113259</v>
      </c>
      <c r="B1880" s="53">
        <v>46134</v>
      </c>
      <c r="C1880" s="58">
        <v>46134</v>
      </c>
      <c r="D1880" s="59" t="s">
        <v>1539</v>
      </c>
      <c r="E1880" s="50" t="s">
        <v>313</v>
      </c>
      <c r="F1880" s="57">
        <v>36</v>
      </c>
      <c r="G1880" s="60">
        <v>8</v>
      </c>
      <c r="H1880" s="61" t="s">
        <v>1535</v>
      </c>
      <c r="I1880" s="50" t="s">
        <v>1536</v>
      </c>
      <c r="J1880" s="50" t="s">
        <v>1537</v>
      </c>
      <c r="K1880" s="62">
        <v>5102</v>
      </c>
      <c r="L1880" s="57">
        <v>205</v>
      </c>
      <c r="M1880" s="50" t="s">
        <v>26</v>
      </c>
      <c r="N1880" s="50" t="s">
        <v>317</v>
      </c>
      <c r="O1880" s="64">
        <v>27.99</v>
      </c>
      <c r="P1880" s="65">
        <v>12</v>
      </c>
      <c r="Q1880" s="64">
        <v>3.36</v>
      </c>
      <c r="R1880" s="63">
        <v>0</v>
      </c>
      <c r="S1880" s="64">
        <v>0</v>
      </c>
    </row>
    <row r="1881" spans="1:19" ht="11.1" customHeight="1" x14ac:dyDescent="0.25">
      <c r="A1881" s="57">
        <v>113494</v>
      </c>
      <c r="B1881" s="53">
        <v>46139</v>
      </c>
      <c r="C1881" s="58">
        <v>46139</v>
      </c>
      <c r="D1881" s="59" t="s">
        <v>1540</v>
      </c>
      <c r="E1881" s="50" t="s">
        <v>313</v>
      </c>
      <c r="F1881" s="57">
        <v>36</v>
      </c>
      <c r="G1881" s="60">
        <v>8</v>
      </c>
      <c r="H1881" s="61" t="s">
        <v>1535</v>
      </c>
      <c r="I1881" s="50" t="s">
        <v>1536</v>
      </c>
      <c r="J1881" s="50" t="s">
        <v>1537</v>
      </c>
      <c r="K1881" s="62">
        <v>5102</v>
      </c>
      <c r="L1881" s="57">
        <v>205</v>
      </c>
      <c r="M1881" s="50" t="s">
        <v>26</v>
      </c>
      <c r="N1881" s="50" t="s">
        <v>317</v>
      </c>
      <c r="O1881" s="64">
        <v>558.91999999999996</v>
      </c>
      <c r="P1881" s="65">
        <v>12</v>
      </c>
      <c r="Q1881" s="64">
        <v>67.06</v>
      </c>
      <c r="R1881" s="63">
        <v>0</v>
      </c>
      <c r="S1881" s="64">
        <v>0</v>
      </c>
    </row>
    <row r="1882" spans="1:19" ht="11.1" customHeight="1" x14ac:dyDescent="0.25">
      <c r="A1882" s="57">
        <v>113495</v>
      </c>
      <c r="B1882" s="53">
        <v>46139</v>
      </c>
      <c r="C1882" s="58">
        <v>46139</v>
      </c>
      <c r="D1882" s="59" t="s">
        <v>1540</v>
      </c>
      <c r="E1882" s="50" t="s">
        <v>313</v>
      </c>
      <c r="F1882" s="57">
        <v>36</v>
      </c>
      <c r="G1882" s="60">
        <v>8</v>
      </c>
      <c r="H1882" s="61" t="s">
        <v>1535</v>
      </c>
      <c r="I1882" s="50" t="s">
        <v>1536</v>
      </c>
      <c r="J1882" s="50" t="s">
        <v>1537</v>
      </c>
      <c r="K1882" s="62">
        <v>5403</v>
      </c>
      <c r="L1882" s="57">
        <v>207</v>
      </c>
      <c r="M1882" s="50" t="s">
        <v>26</v>
      </c>
      <c r="N1882" s="50" t="s">
        <v>317</v>
      </c>
      <c r="O1882" s="64">
        <v>239.34</v>
      </c>
      <c r="P1882" s="65">
        <v>12</v>
      </c>
      <c r="Q1882" s="64">
        <v>28.72</v>
      </c>
      <c r="R1882" s="63">
        <v>0</v>
      </c>
      <c r="S1882" s="64">
        <v>16.75</v>
      </c>
    </row>
    <row r="1883" spans="1:19" ht="11.1" customHeight="1" x14ac:dyDescent="0.25">
      <c r="N1883" s="50" t="s">
        <v>318</v>
      </c>
      <c r="O1883" s="64">
        <v>323.11</v>
      </c>
      <c r="P1883" s="65">
        <v>20</v>
      </c>
      <c r="Q1883" s="64">
        <v>16.75</v>
      </c>
      <c r="R1883" s="63">
        <v>0</v>
      </c>
      <c r="S1883" s="64">
        <v>0</v>
      </c>
    </row>
    <row r="1884" spans="1:19" ht="11.85" customHeight="1" x14ac:dyDescent="0.25">
      <c r="A1884" s="66" t="s">
        <v>320</v>
      </c>
      <c r="B1884" s="66"/>
      <c r="C1884" s="66"/>
      <c r="D1884" s="66"/>
      <c r="E1884" s="66"/>
      <c r="F1884" s="66"/>
      <c r="G1884" s="66"/>
      <c r="H1884" s="66"/>
    </row>
    <row r="1885" spans="1:19" ht="11.1" customHeight="1" x14ac:dyDescent="0.25">
      <c r="N1885" s="50" t="s">
        <v>317</v>
      </c>
      <c r="O1885" s="64">
        <v>2276.13</v>
      </c>
      <c r="Q1885" s="64">
        <v>273.14</v>
      </c>
      <c r="R1885" s="63">
        <v>0</v>
      </c>
      <c r="S1885" s="64">
        <v>35.33</v>
      </c>
    </row>
    <row r="1886" spans="1:19" ht="11.1" customHeight="1" x14ac:dyDescent="0.25">
      <c r="N1886" s="50" t="s">
        <v>318</v>
      </c>
      <c r="O1886" s="64">
        <v>681.54</v>
      </c>
      <c r="Q1886" s="64">
        <v>35.33</v>
      </c>
      <c r="R1886" s="63">
        <v>0</v>
      </c>
      <c r="S1886" s="64">
        <v>0</v>
      </c>
    </row>
    <row r="1887" spans="1:19" ht="11.1" customHeight="1" x14ac:dyDescent="0.25">
      <c r="A1887" s="57">
        <v>112502</v>
      </c>
      <c r="B1887" s="53">
        <v>46114</v>
      </c>
      <c r="C1887" s="58">
        <v>46114</v>
      </c>
      <c r="D1887" s="59" t="s">
        <v>1541</v>
      </c>
      <c r="E1887" s="50" t="s">
        <v>313</v>
      </c>
      <c r="F1887" s="57">
        <v>36</v>
      </c>
      <c r="G1887" s="60">
        <v>519</v>
      </c>
      <c r="H1887" s="61" t="s">
        <v>1542</v>
      </c>
      <c r="I1887" s="50" t="s">
        <v>1543</v>
      </c>
      <c r="J1887" s="50" t="s">
        <v>1544</v>
      </c>
      <c r="K1887" s="62">
        <v>5102</v>
      </c>
      <c r="L1887" s="57">
        <v>205</v>
      </c>
      <c r="M1887" s="50" t="s">
        <v>26</v>
      </c>
      <c r="N1887" s="50" t="s">
        <v>317</v>
      </c>
      <c r="O1887" s="64">
        <v>649.64</v>
      </c>
      <c r="P1887" s="65">
        <v>12</v>
      </c>
      <c r="Q1887" s="64">
        <v>77.959999999999994</v>
      </c>
      <c r="R1887" s="63">
        <v>0</v>
      </c>
      <c r="S1887" s="64">
        <v>0</v>
      </c>
    </row>
    <row r="1888" spans="1:19" ht="11.1" customHeight="1" x14ac:dyDescent="0.25">
      <c r="A1888" s="57">
        <v>112972</v>
      </c>
      <c r="B1888" s="53">
        <v>46125</v>
      </c>
      <c r="C1888" s="58">
        <v>46125</v>
      </c>
      <c r="D1888" s="59" t="s">
        <v>1545</v>
      </c>
      <c r="E1888" s="50" t="s">
        <v>313</v>
      </c>
      <c r="F1888" s="57">
        <v>36</v>
      </c>
      <c r="G1888" s="60">
        <v>519</v>
      </c>
      <c r="H1888" s="61" t="s">
        <v>1542</v>
      </c>
      <c r="I1888" s="50" t="s">
        <v>1543</v>
      </c>
      <c r="J1888" s="50" t="s">
        <v>1544</v>
      </c>
      <c r="K1888" s="62">
        <v>5102</v>
      </c>
      <c r="L1888" s="57">
        <v>205</v>
      </c>
      <c r="M1888" s="50" t="s">
        <v>26</v>
      </c>
      <c r="N1888" s="50" t="s">
        <v>317</v>
      </c>
      <c r="O1888" s="64">
        <v>17.18</v>
      </c>
      <c r="P1888" s="65">
        <v>12</v>
      </c>
      <c r="Q1888" s="64">
        <v>2.06</v>
      </c>
      <c r="R1888" s="63">
        <v>0</v>
      </c>
      <c r="S1888" s="64">
        <v>0</v>
      </c>
    </row>
    <row r="1889" spans="1:19" ht="11.1" customHeight="1" x14ac:dyDescent="0.25">
      <c r="A1889" s="57">
        <v>112977</v>
      </c>
      <c r="B1889" s="53">
        <v>46125</v>
      </c>
      <c r="C1889" s="58">
        <v>46125</v>
      </c>
      <c r="D1889" s="59" t="s">
        <v>1546</v>
      </c>
      <c r="E1889" s="50" t="s">
        <v>313</v>
      </c>
      <c r="F1889" s="57">
        <v>36</v>
      </c>
      <c r="G1889" s="60">
        <v>519</v>
      </c>
      <c r="H1889" s="61" t="s">
        <v>1542</v>
      </c>
      <c r="I1889" s="50" t="s">
        <v>1543</v>
      </c>
      <c r="J1889" s="50" t="s">
        <v>1544</v>
      </c>
      <c r="K1889" s="62">
        <v>5102</v>
      </c>
      <c r="L1889" s="57">
        <v>205</v>
      </c>
      <c r="M1889" s="50" t="s">
        <v>26</v>
      </c>
      <c r="N1889" s="50" t="s">
        <v>317</v>
      </c>
      <c r="O1889" s="64">
        <v>2715.19</v>
      </c>
      <c r="P1889" s="65">
        <v>12</v>
      </c>
      <c r="Q1889" s="64">
        <v>325.83</v>
      </c>
      <c r="R1889" s="63">
        <v>0</v>
      </c>
      <c r="S1889" s="64">
        <v>0</v>
      </c>
    </row>
    <row r="1890" spans="1:19" ht="11.1" customHeight="1" x14ac:dyDescent="0.25">
      <c r="A1890" s="57">
        <v>113057</v>
      </c>
      <c r="B1890" s="53">
        <v>46126</v>
      </c>
      <c r="C1890" s="58">
        <v>46126</v>
      </c>
      <c r="D1890" s="59" t="s">
        <v>1547</v>
      </c>
      <c r="E1890" s="50" t="s">
        <v>313</v>
      </c>
      <c r="F1890" s="57">
        <v>36</v>
      </c>
      <c r="G1890" s="60">
        <v>519</v>
      </c>
      <c r="H1890" s="61" t="s">
        <v>1542</v>
      </c>
      <c r="I1890" s="50" t="s">
        <v>1543</v>
      </c>
      <c r="J1890" s="50" t="s">
        <v>1544</v>
      </c>
      <c r="K1890" s="62">
        <v>5102</v>
      </c>
      <c r="L1890" s="57">
        <v>205</v>
      </c>
      <c r="M1890" s="50" t="s">
        <v>26</v>
      </c>
      <c r="N1890" s="50" t="s">
        <v>317</v>
      </c>
      <c r="O1890" s="64">
        <v>530.51</v>
      </c>
      <c r="P1890" s="65">
        <v>12</v>
      </c>
      <c r="Q1890" s="64">
        <v>63.66</v>
      </c>
      <c r="R1890" s="63">
        <v>0</v>
      </c>
      <c r="S1890" s="64">
        <v>0</v>
      </c>
    </row>
    <row r="1891" spans="1:19" ht="11.1" customHeight="1" x14ac:dyDescent="0.25">
      <c r="A1891" s="57">
        <v>113377</v>
      </c>
      <c r="B1891" s="53">
        <v>46135</v>
      </c>
      <c r="C1891" s="58">
        <v>46135</v>
      </c>
      <c r="D1891" s="59" t="s">
        <v>1548</v>
      </c>
      <c r="E1891" s="50" t="s">
        <v>313</v>
      </c>
      <c r="F1891" s="57">
        <v>36</v>
      </c>
      <c r="G1891" s="60">
        <v>519</v>
      </c>
      <c r="H1891" s="61" t="s">
        <v>1542</v>
      </c>
      <c r="I1891" s="50" t="s">
        <v>1543</v>
      </c>
      <c r="J1891" s="50" t="s">
        <v>1544</v>
      </c>
      <c r="K1891" s="62">
        <v>5102</v>
      </c>
      <c r="L1891" s="57">
        <v>205</v>
      </c>
      <c r="M1891" s="50" t="s">
        <v>26</v>
      </c>
      <c r="N1891" s="50" t="s">
        <v>317</v>
      </c>
      <c r="O1891" s="64">
        <v>530.51</v>
      </c>
      <c r="P1891" s="65">
        <v>12</v>
      </c>
      <c r="Q1891" s="64">
        <v>63.66</v>
      </c>
      <c r="R1891" s="63">
        <v>0</v>
      </c>
      <c r="S1891" s="64">
        <v>0</v>
      </c>
    </row>
    <row r="1892" spans="1:19" ht="11.85" customHeight="1" x14ac:dyDescent="0.25">
      <c r="A1892" s="66" t="s">
        <v>320</v>
      </c>
      <c r="B1892" s="66"/>
      <c r="C1892" s="66"/>
      <c r="D1892" s="66"/>
      <c r="E1892" s="66"/>
      <c r="F1892" s="66"/>
      <c r="G1892" s="66"/>
      <c r="H1892" s="66"/>
    </row>
    <row r="1893" spans="1:19" ht="11.1" customHeight="1" x14ac:dyDescent="0.25">
      <c r="N1893" s="50" t="s">
        <v>317</v>
      </c>
      <c r="O1893" s="64">
        <v>4443.03</v>
      </c>
      <c r="Q1893" s="64">
        <v>533.16999999999996</v>
      </c>
      <c r="R1893" s="63">
        <v>0</v>
      </c>
      <c r="S1893" s="64">
        <v>0</v>
      </c>
    </row>
    <row r="1894" spans="1:19" ht="11.1" customHeight="1" x14ac:dyDescent="0.25">
      <c r="A1894" s="57">
        <v>112594</v>
      </c>
      <c r="B1894" s="53">
        <v>46118</v>
      </c>
      <c r="C1894" s="58">
        <v>46118</v>
      </c>
      <c r="D1894" s="59" t="s">
        <v>1549</v>
      </c>
      <c r="E1894" s="50" t="s">
        <v>313</v>
      </c>
      <c r="F1894" s="57">
        <v>36</v>
      </c>
      <c r="G1894" s="60">
        <v>546</v>
      </c>
      <c r="H1894" s="61" t="s">
        <v>1550</v>
      </c>
      <c r="I1894" s="50" t="s">
        <v>1551</v>
      </c>
      <c r="J1894" s="50" t="s">
        <v>1552</v>
      </c>
      <c r="K1894" s="62">
        <v>5102</v>
      </c>
      <c r="L1894" s="57">
        <v>205</v>
      </c>
      <c r="M1894" s="50" t="s">
        <v>26</v>
      </c>
      <c r="N1894" s="50" t="s">
        <v>317</v>
      </c>
      <c r="O1894" s="64">
        <v>136.16999999999999</v>
      </c>
      <c r="P1894" s="65">
        <v>12</v>
      </c>
      <c r="Q1894" s="64">
        <v>16.34</v>
      </c>
      <c r="R1894" s="63">
        <v>0</v>
      </c>
      <c r="S1894" s="64">
        <v>0</v>
      </c>
    </row>
    <row r="1895" spans="1:19" ht="11.1" customHeight="1" x14ac:dyDescent="0.25">
      <c r="A1895" s="57">
        <v>112595</v>
      </c>
      <c r="B1895" s="53">
        <v>46118</v>
      </c>
      <c r="C1895" s="58">
        <v>46118</v>
      </c>
      <c r="D1895" s="59" t="s">
        <v>1549</v>
      </c>
      <c r="E1895" s="50" t="s">
        <v>313</v>
      </c>
      <c r="F1895" s="57">
        <v>36</v>
      </c>
      <c r="G1895" s="60">
        <v>546</v>
      </c>
      <c r="H1895" s="61" t="s">
        <v>1550</v>
      </c>
      <c r="I1895" s="50" t="s">
        <v>1551</v>
      </c>
      <c r="J1895" s="50" t="s">
        <v>1552</v>
      </c>
      <c r="K1895" s="62">
        <v>5403</v>
      </c>
      <c r="L1895" s="57">
        <v>207</v>
      </c>
      <c r="M1895" s="50" t="s">
        <v>26</v>
      </c>
      <c r="N1895" s="50" t="s">
        <v>317</v>
      </c>
      <c r="O1895" s="64">
        <v>62.9</v>
      </c>
      <c r="P1895" s="65">
        <v>12</v>
      </c>
      <c r="Q1895" s="64">
        <v>7.55</v>
      </c>
      <c r="R1895" s="63">
        <v>0</v>
      </c>
      <c r="S1895" s="64">
        <v>4.4000000000000004</v>
      </c>
    </row>
    <row r="1896" spans="1:19" ht="11.1" customHeight="1" x14ac:dyDescent="0.25">
      <c r="N1896" s="50" t="s">
        <v>318</v>
      </c>
      <c r="O1896" s="64">
        <v>84.92</v>
      </c>
      <c r="P1896" s="65">
        <v>20</v>
      </c>
      <c r="Q1896" s="64">
        <v>4.4000000000000004</v>
      </c>
      <c r="R1896" s="63">
        <v>0</v>
      </c>
      <c r="S1896" s="64">
        <v>0</v>
      </c>
    </row>
    <row r="1897" spans="1:19" ht="11.1" customHeight="1" x14ac:dyDescent="0.25">
      <c r="A1897" s="57">
        <v>112749</v>
      </c>
      <c r="B1897" s="53">
        <v>46120</v>
      </c>
      <c r="C1897" s="58">
        <v>46120</v>
      </c>
      <c r="D1897" s="59" t="s">
        <v>1553</v>
      </c>
      <c r="E1897" s="50" t="s">
        <v>313</v>
      </c>
      <c r="F1897" s="57">
        <v>36</v>
      </c>
      <c r="G1897" s="60">
        <v>546</v>
      </c>
      <c r="H1897" s="61" t="s">
        <v>1550</v>
      </c>
      <c r="I1897" s="50" t="s">
        <v>1551</v>
      </c>
      <c r="J1897" s="50" t="s">
        <v>1552</v>
      </c>
      <c r="K1897" s="62">
        <v>5102</v>
      </c>
      <c r="L1897" s="57">
        <v>205</v>
      </c>
      <c r="M1897" s="50" t="s">
        <v>26</v>
      </c>
      <c r="N1897" s="50" t="s">
        <v>317</v>
      </c>
      <c r="O1897" s="64">
        <v>146.49</v>
      </c>
      <c r="P1897" s="65">
        <v>12</v>
      </c>
      <c r="Q1897" s="64">
        <v>17.579999999999998</v>
      </c>
      <c r="R1897" s="63">
        <v>0</v>
      </c>
      <c r="S1897" s="64">
        <v>0</v>
      </c>
    </row>
    <row r="1898" spans="1:19" ht="11.1" customHeight="1" x14ac:dyDescent="0.25">
      <c r="A1898" s="57">
        <v>112750</v>
      </c>
      <c r="B1898" s="53">
        <v>46120</v>
      </c>
      <c r="C1898" s="58">
        <v>46120</v>
      </c>
      <c r="D1898" s="59" t="s">
        <v>1553</v>
      </c>
      <c r="E1898" s="50" t="s">
        <v>313</v>
      </c>
      <c r="F1898" s="57">
        <v>36</v>
      </c>
      <c r="G1898" s="60">
        <v>546</v>
      </c>
      <c r="H1898" s="61" t="s">
        <v>1550</v>
      </c>
      <c r="I1898" s="50" t="s">
        <v>1551</v>
      </c>
      <c r="J1898" s="50" t="s">
        <v>1552</v>
      </c>
      <c r="K1898" s="62">
        <v>5403</v>
      </c>
      <c r="L1898" s="57">
        <v>207</v>
      </c>
      <c r="M1898" s="50" t="s">
        <v>26</v>
      </c>
      <c r="N1898" s="50" t="s">
        <v>317</v>
      </c>
      <c r="O1898" s="64">
        <v>122.95</v>
      </c>
      <c r="P1898" s="65">
        <v>12</v>
      </c>
      <c r="Q1898" s="64">
        <v>14.76</v>
      </c>
      <c r="R1898" s="63">
        <v>0</v>
      </c>
      <c r="S1898" s="64">
        <v>8.6</v>
      </c>
    </row>
    <row r="1899" spans="1:19" ht="11.1" customHeight="1" x14ac:dyDescent="0.25">
      <c r="N1899" s="50" t="s">
        <v>318</v>
      </c>
      <c r="O1899" s="64">
        <v>165.99</v>
      </c>
      <c r="P1899" s="65">
        <v>20</v>
      </c>
      <c r="Q1899" s="64">
        <v>8.6</v>
      </c>
      <c r="R1899" s="63">
        <v>0</v>
      </c>
      <c r="S1899" s="64">
        <v>0</v>
      </c>
    </row>
    <row r="1900" spans="1:19" ht="11.1" customHeight="1" x14ac:dyDescent="0.25">
      <c r="A1900" s="57">
        <v>113599</v>
      </c>
      <c r="B1900" s="53">
        <v>46141</v>
      </c>
      <c r="C1900" s="58">
        <v>46141</v>
      </c>
      <c r="D1900" s="59" t="s">
        <v>1554</v>
      </c>
      <c r="E1900" s="50" t="s">
        <v>313</v>
      </c>
      <c r="F1900" s="57">
        <v>36</v>
      </c>
      <c r="G1900" s="60">
        <v>546</v>
      </c>
      <c r="H1900" s="61" t="s">
        <v>1550</v>
      </c>
      <c r="I1900" s="50" t="s">
        <v>1551</v>
      </c>
      <c r="J1900" s="50" t="s">
        <v>1552</v>
      </c>
      <c r="K1900" s="62">
        <v>5102</v>
      </c>
      <c r="L1900" s="57">
        <v>205</v>
      </c>
      <c r="M1900" s="50" t="s">
        <v>26</v>
      </c>
      <c r="N1900" s="50" t="s">
        <v>317</v>
      </c>
      <c r="O1900" s="64">
        <v>82.6</v>
      </c>
      <c r="P1900" s="65">
        <v>12</v>
      </c>
      <c r="Q1900" s="64">
        <v>9.91</v>
      </c>
      <c r="R1900" s="63">
        <v>0</v>
      </c>
      <c r="S1900" s="64">
        <v>0</v>
      </c>
    </row>
    <row r="1901" spans="1:19" ht="11.1" customHeight="1" x14ac:dyDescent="0.25">
      <c r="A1901" s="57">
        <v>113600</v>
      </c>
      <c r="B1901" s="53">
        <v>46141</v>
      </c>
      <c r="C1901" s="58">
        <v>46141</v>
      </c>
      <c r="D1901" s="59" t="s">
        <v>1554</v>
      </c>
      <c r="E1901" s="50" t="s">
        <v>313</v>
      </c>
      <c r="F1901" s="57">
        <v>36</v>
      </c>
      <c r="G1901" s="60">
        <v>546</v>
      </c>
      <c r="H1901" s="61" t="s">
        <v>1550</v>
      </c>
      <c r="I1901" s="50" t="s">
        <v>1551</v>
      </c>
      <c r="J1901" s="50" t="s">
        <v>1552</v>
      </c>
      <c r="K1901" s="62">
        <v>5403</v>
      </c>
      <c r="L1901" s="57">
        <v>207</v>
      </c>
      <c r="M1901" s="50" t="s">
        <v>26</v>
      </c>
      <c r="N1901" s="50" t="s">
        <v>317</v>
      </c>
      <c r="O1901" s="64">
        <v>154.19</v>
      </c>
      <c r="P1901" s="65">
        <v>12</v>
      </c>
      <c r="Q1901" s="64">
        <v>18.510000000000002</v>
      </c>
      <c r="R1901" s="63">
        <v>0</v>
      </c>
      <c r="S1901" s="64">
        <v>10.79</v>
      </c>
    </row>
    <row r="1902" spans="1:19" ht="11.1" customHeight="1" x14ac:dyDescent="0.25">
      <c r="N1902" s="50" t="s">
        <v>318</v>
      </c>
      <c r="O1902" s="64">
        <v>208.16</v>
      </c>
      <c r="P1902" s="65">
        <v>20</v>
      </c>
      <c r="Q1902" s="64">
        <v>10.79</v>
      </c>
      <c r="R1902" s="63">
        <v>0</v>
      </c>
      <c r="S1902" s="64">
        <v>0</v>
      </c>
    </row>
    <row r="1903" spans="1:19" ht="11.85" customHeight="1" x14ac:dyDescent="0.25">
      <c r="A1903" s="66" t="s">
        <v>320</v>
      </c>
      <c r="B1903" s="66"/>
      <c r="C1903" s="66"/>
      <c r="D1903" s="66"/>
      <c r="E1903" s="66"/>
      <c r="F1903" s="66"/>
      <c r="G1903" s="66"/>
      <c r="H1903" s="66"/>
    </row>
    <row r="1904" spans="1:19" ht="11.1" customHeight="1" x14ac:dyDescent="0.25">
      <c r="N1904" s="50" t="s">
        <v>317</v>
      </c>
      <c r="O1904" s="64">
        <v>705.3</v>
      </c>
      <c r="Q1904" s="64">
        <v>84.65</v>
      </c>
      <c r="R1904" s="63">
        <v>0</v>
      </c>
      <c r="S1904" s="64">
        <v>23.79</v>
      </c>
    </row>
    <row r="1905" spans="1:19" ht="11.1" customHeight="1" x14ac:dyDescent="0.25">
      <c r="N1905" s="50" t="s">
        <v>318</v>
      </c>
      <c r="O1905" s="64">
        <v>459.07</v>
      </c>
      <c r="Q1905" s="64">
        <v>23.79</v>
      </c>
      <c r="R1905" s="63">
        <v>0</v>
      </c>
      <c r="S1905" s="64">
        <v>0</v>
      </c>
    </row>
    <row r="1906" spans="1:19" ht="11.1" customHeight="1" x14ac:dyDescent="0.25">
      <c r="A1906" s="57">
        <v>113284</v>
      </c>
      <c r="B1906" s="53">
        <v>46134</v>
      </c>
      <c r="C1906" s="58">
        <v>46134</v>
      </c>
      <c r="D1906" s="59" t="s">
        <v>1555</v>
      </c>
      <c r="E1906" s="50" t="s">
        <v>313</v>
      </c>
      <c r="F1906" s="57">
        <v>36</v>
      </c>
      <c r="G1906" s="60">
        <v>839</v>
      </c>
      <c r="H1906" s="61" t="s">
        <v>1556</v>
      </c>
      <c r="I1906" s="50" t="s">
        <v>1557</v>
      </c>
      <c r="J1906" s="50" t="s">
        <v>1558</v>
      </c>
      <c r="K1906" s="62">
        <v>5102</v>
      </c>
      <c r="L1906" s="57">
        <v>205</v>
      </c>
      <c r="M1906" s="50" t="s">
        <v>26</v>
      </c>
      <c r="N1906" s="50" t="s">
        <v>317</v>
      </c>
      <c r="O1906" s="64">
        <v>90.83</v>
      </c>
      <c r="P1906" s="65">
        <v>12</v>
      </c>
      <c r="Q1906" s="64">
        <v>10.9</v>
      </c>
      <c r="R1906" s="63">
        <v>0</v>
      </c>
      <c r="S1906" s="64">
        <v>0</v>
      </c>
    </row>
    <row r="1907" spans="1:19" ht="11.1" customHeight="1" x14ac:dyDescent="0.25">
      <c r="A1907" s="57">
        <v>113285</v>
      </c>
      <c r="B1907" s="53">
        <v>46134</v>
      </c>
      <c r="C1907" s="58">
        <v>46134</v>
      </c>
      <c r="D1907" s="59" t="s">
        <v>1555</v>
      </c>
      <c r="E1907" s="50" t="s">
        <v>313</v>
      </c>
      <c r="F1907" s="57">
        <v>36</v>
      </c>
      <c r="G1907" s="60">
        <v>839</v>
      </c>
      <c r="H1907" s="61" t="s">
        <v>1556</v>
      </c>
      <c r="I1907" s="50" t="s">
        <v>1557</v>
      </c>
      <c r="J1907" s="50" t="s">
        <v>1558</v>
      </c>
      <c r="K1907" s="62">
        <v>5403</v>
      </c>
      <c r="L1907" s="57">
        <v>207</v>
      </c>
      <c r="M1907" s="50" t="s">
        <v>26</v>
      </c>
      <c r="N1907" s="50" t="s">
        <v>317</v>
      </c>
      <c r="O1907" s="64">
        <v>467.69</v>
      </c>
      <c r="P1907" s="65">
        <v>12</v>
      </c>
      <c r="Q1907" s="64">
        <v>56.12</v>
      </c>
      <c r="R1907" s="63">
        <v>0</v>
      </c>
      <c r="S1907" s="64">
        <v>32.74</v>
      </c>
    </row>
    <row r="1908" spans="1:19" ht="11.1" customHeight="1" x14ac:dyDescent="0.25">
      <c r="N1908" s="50" t="s">
        <v>318</v>
      </c>
      <c r="O1908" s="64">
        <v>631.38</v>
      </c>
      <c r="P1908" s="65">
        <v>20</v>
      </c>
      <c r="Q1908" s="64">
        <v>32.74</v>
      </c>
      <c r="R1908" s="63">
        <v>0</v>
      </c>
      <c r="S1908" s="64">
        <v>0</v>
      </c>
    </row>
    <row r="1909" spans="1:19" ht="11.85" customHeight="1" x14ac:dyDescent="0.25">
      <c r="A1909" s="66" t="s">
        <v>320</v>
      </c>
      <c r="B1909" s="66"/>
      <c r="C1909" s="66"/>
      <c r="D1909" s="66"/>
      <c r="E1909" s="66"/>
      <c r="F1909" s="66"/>
      <c r="G1909" s="66"/>
      <c r="H1909" s="66"/>
    </row>
    <row r="1910" spans="1:19" ht="11.1" customHeight="1" x14ac:dyDescent="0.25">
      <c r="N1910" s="50" t="s">
        <v>317</v>
      </c>
      <c r="O1910" s="64">
        <v>558.52</v>
      </c>
      <c r="Q1910" s="64">
        <v>67.02</v>
      </c>
      <c r="R1910" s="63">
        <v>0</v>
      </c>
      <c r="S1910" s="64">
        <v>32.74</v>
      </c>
    </row>
    <row r="1911" spans="1:19" ht="11.1" customHeight="1" x14ac:dyDescent="0.25">
      <c r="N1911" s="50" t="s">
        <v>318</v>
      </c>
      <c r="O1911" s="64">
        <v>631.38</v>
      </c>
      <c r="Q1911" s="64">
        <v>32.74</v>
      </c>
      <c r="R1911" s="63">
        <v>0</v>
      </c>
      <c r="S1911" s="64">
        <v>0</v>
      </c>
    </row>
    <row r="1912" spans="1:19" ht="11.1" customHeight="1" x14ac:dyDescent="0.25">
      <c r="A1912" s="57">
        <v>112797</v>
      </c>
      <c r="B1912" s="53">
        <v>46120</v>
      </c>
      <c r="C1912" s="58">
        <v>46120</v>
      </c>
      <c r="D1912" s="59" t="s">
        <v>1559</v>
      </c>
      <c r="E1912" s="50" t="s">
        <v>313</v>
      </c>
      <c r="F1912" s="57">
        <v>36</v>
      </c>
      <c r="G1912" s="60">
        <v>238</v>
      </c>
      <c r="H1912" s="61" t="s">
        <v>1560</v>
      </c>
      <c r="I1912" s="50" t="s">
        <v>1561</v>
      </c>
      <c r="J1912" s="50" t="s">
        <v>1562</v>
      </c>
      <c r="K1912" s="62">
        <v>5102</v>
      </c>
      <c r="L1912" s="57">
        <v>205</v>
      </c>
      <c r="M1912" s="50" t="s">
        <v>26</v>
      </c>
      <c r="N1912" s="50" t="s">
        <v>317</v>
      </c>
      <c r="O1912" s="64">
        <v>767.26</v>
      </c>
      <c r="P1912" s="65">
        <v>12</v>
      </c>
      <c r="Q1912" s="64">
        <v>92.08</v>
      </c>
      <c r="R1912" s="63">
        <v>0</v>
      </c>
      <c r="S1912" s="64">
        <v>0</v>
      </c>
    </row>
    <row r="1913" spans="1:19" ht="11.1" customHeight="1" x14ac:dyDescent="0.25">
      <c r="A1913" s="57">
        <v>112798</v>
      </c>
      <c r="B1913" s="53">
        <v>46120</v>
      </c>
      <c r="C1913" s="58">
        <v>46120</v>
      </c>
      <c r="D1913" s="59" t="s">
        <v>1559</v>
      </c>
      <c r="E1913" s="50" t="s">
        <v>313</v>
      </c>
      <c r="F1913" s="57">
        <v>36</v>
      </c>
      <c r="G1913" s="60">
        <v>238</v>
      </c>
      <c r="H1913" s="61" t="s">
        <v>1560</v>
      </c>
      <c r="I1913" s="50" t="s">
        <v>1561</v>
      </c>
      <c r="J1913" s="50" t="s">
        <v>1562</v>
      </c>
      <c r="K1913" s="62">
        <v>5403</v>
      </c>
      <c r="L1913" s="57">
        <v>207</v>
      </c>
      <c r="M1913" s="50" t="s">
        <v>26</v>
      </c>
      <c r="N1913" s="50" t="s">
        <v>317</v>
      </c>
      <c r="O1913" s="64">
        <v>6106.85</v>
      </c>
      <c r="P1913" s="65">
        <v>12</v>
      </c>
      <c r="Q1913" s="64">
        <v>732.81</v>
      </c>
      <c r="R1913" s="63">
        <v>0</v>
      </c>
      <c r="S1913" s="64">
        <v>427.49</v>
      </c>
    </row>
    <row r="1914" spans="1:19" ht="11.1" customHeight="1" x14ac:dyDescent="0.25">
      <c r="N1914" s="50" t="s">
        <v>318</v>
      </c>
      <c r="O1914" s="64">
        <v>8244.25</v>
      </c>
      <c r="P1914" s="65">
        <v>20</v>
      </c>
      <c r="Q1914" s="64">
        <v>427.49</v>
      </c>
      <c r="R1914" s="63">
        <v>0</v>
      </c>
      <c r="S1914" s="64">
        <v>0</v>
      </c>
    </row>
    <row r="1915" spans="1:19" ht="11.85" customHeight="1" x14ac:dyDescent="0.25">
      <c r="A1915" s="66" t="s">
        <v>320</v>
      </c>
      <c r="B1915" s="66"/>
      <c r="C1915" s="66"/>
      <c r="D1915" s="66"/>
      <c r="E1915" s="66"/>
      <c r="F1915" s="66"/>
      <c r="G1915" s="66"/>
      <c r="H1915" s="66"/>
    </row>
    <row r="1916" spans="1:19" ht="11.1" customHeight="1" x14ac:dyDescent="0.25">
      <c r="N1916" s="50" t="s">
        <v>317</v>
      </c>
      <c r="O1916" s="64">
        <v>6874.11</v>
      </c>
      <c r="Q1916" s="64">
        <v>824.89</v>
      </c>
      <c r="R1916" s="63">
        <v>0</v>
      </c>
      <c r="S1916" s="64">
        <v>427.49</v>
      </c>
    </row>
    <row r="1917" spans="1:19" ht="11.1" customHeight="1" x14ac:dyDescent="0.25">
      <c r="N1917" s="50" t="s">
        <v>318</v>
      </c>
      <c r="O1917" s="64">
        <v>8244.25</v>
      </c>
      <c r="Q1917" s="64">
        <v>427.49</v>
      </c>
      <c r="R1917" s="63">
        <v>0</v>
      </c>
      <c r="S1917" s="64">
        <v>0</v>
      </c>
    </row>
    <row r="1918" spans="1:19" ht="11.1" customHeight="1" x14ac:dyDescent="0.25">
      <c r="A1918" s="57">
        <v>113169</v>
      </c>
      <c r="B1918" s="53">
        <v>46129</v>
      </c>
      <c r="C1918" s="58">
        <v>46129</v>
      </c>
      <c r="D1918" s="59" t="s">
        <v>1563</v>
      </c>
      <c r="E1918" s="50" t="s">
        <v>313</v>
      </c>
      <c r="F1918" s="57">
        <v>36</v>
      </c>
      <c r="G1918" s="60">
        <v>955</v>
      </c>
      <c r="H1918" s="61" t="s">
        <v>1564</v>
      </c>
      <c r="I1918" s="50" t="s">
        <v>1565</v>
      </c>
      <c r="J1918" s="50" t="s">
        <v>1566</v>
      </c>
      <c r="K1918" s="62">
        <v>5202</v>
      </c>
      <c r="L1918" s="57">
        <v>216</v>
      </c>
      <c r="M1918" s="50" t="s">
        <v>26</v>
      </c>
      <c r="N1918" s="50" t="s">
        <v>317</v>
      </c>
      <c r="O1918" s="64">
        <v>28</v>
      </c>
      <c r="P1918" s="65">
        <v>12</v>
      </c>
      <c r="Q1918" s="64">
        <v>3.36</v>
      </c>
      <c r="R1918" s="63">
        <v>0</v>
      </c>
      <c r="S1918" s="64">
        <v>0</v>
      </c>
    </row>
    <row r="1919" spans="1:19" ht="11.1" customHeight="1" x14ac:dyDescent="0.25">
      <c r="A1919" s="57">
        <v>113173</v>
      </c>
      <c r="B1919" s="53">
        <v>46129</v>
      </c>
      <c r="C1919" s="58">
        <v>46129</v>
      </c>
      <c r="D1919" s="59" t="s">
        <v>1567</v>
      </c>
      <c r="E1919" s="50" t="s">
        <v>313</v>
      </c>
      <c r="F1919" s="57">
        <v>36</v>
      </c>
      <c r="G1919" s="60">
        <v>955</v>
      </c>
      <c r="H1919" s="61" t="s">
        <v>1564</v>
      </c>
      <c r="I1919" s="50" t="s">
        <v>1565</v>
      </c>
      <c r="J1919" s="50" t="s">
        <v>1566</v>
      </c>
      <c r="K1919" s="62">
        <v>5202</v>
      </c>
      <c r="L1919" s="57">
        <v>216</v>
      </c>
      <c r="M1919" s="50" t="s">
        <v>26</v>
      </c>
      <c r="N1919" s="50" t="s">
        <v>317</v>
      </c>
      <c r="O1919" s="64">
        <v>21.8</v>
      </c>
      <c r="P1919" s="65">
        <v>12</v>
      </c>
      <c r="Q1919" s="64">
        <v>2.61</v>
      </c>
      <c r="R1919" s="63">
        <v>0</v>
      </c>
      <c r="S1919" s="64">
        <v>0</v>
      </c>
    </row>
    <row r="1920" spans="1:19" ht="11.1" customHeight="1" x14ac:dyDescent="0.25">
      <c r="A1920" s="57">
        <v>113690</v>
      </c>
      <c r="B1920" s="53">
        <v>46134</v>
      </c>
      <c r="C1920" s="58">
        <v>46134</v>
      </c>
      <c r="D1920" s="59" t="s">
        <v>1568</v>
      </c>
      <c r="E1920" s="50" t="s">
        <v>313</v>
      </c>
      <c r="F1920" s="57">
        <v>36</v>
      </c>
      <c r="G1920" s="60">
        <v>955</v>
      </c>
      <c r="H1920" s="61" t="s">
        <v>1564</v>
      </c>
      <c r="I1920" s="50" t="s">
        <v>1565</v>
      </c>
      <c r="J1920" s="50" t="s">
        <v>1566</v>
      </c>
      <c r="K1920" s="62">
        <v>5202</v>
      </c>
      <c r="L1920" s="57">
        <v>216</v>
      </c>
      <c r="M1920" s="50" t="s">
        <v>26</v>
      </c>
      <c r="N1920" s="50" t="s">
        <v>317</v>
      </c>
      <c r="O1920" s="64">
        <v>28</v>
      </c>
      <c r="P1920" s="65">
        <v>12</v>
      </c>
      <c r="Q1920" s="64">
        <v>3.36</v>
      </c>
      <c r="R1920" s="63">
        <v>0</v>
      </c>
      <c r="S1920" s="64">
        <v>0</v>
      </c>
    </row>
    <row r="1921" spans="1:19" ht="11.1" customHeight="1" x14ac:dyDescent="0.25">
      <c r="A1921" s="57">
        <v>113691</v>
      </c>
      <c r="B1921" s="53">
        <v>46134</v>
      </c>
      <c r="C1921" s="58">
        <v>46134</v>
      </c>
      <c r="D1921" s="59" t="s">
        <v>1569</v>
      </c>
      <c r="E1921" s="50" t="s">
        <v>313</v>
      </c>
      <c r="F1921" s="57">
        <v>36</v>
      </c>
      <c r="G1921" s="60">
        <v>955</v>
      </c>
      <c r="H1921" s="61" t="s">
        <v>1564</v>
      </c>
      <c r="I1921" s="50" t="s">
        <v>1565</v>
      </c>
      <c r="J1921" s="50" t="s">
        <v>1566</v>
      </c>
      <c r="K1921" s="62">
        <v>5202</v>
      </c>
      <c r="L1921" s="57">
        <v>216</v>
      </c>
      <c r="M1921" s="50" t="s">
        <v>26</v>
      </c>
      <c r="N1921" s="50" t="s">
        <v>317</v>
      </c>
      <c r="O1921" s="64">
        <v>21.8</v>
      </c>
      <c r="P1921" s="65">
        <v>12</v>
      </c>
      <c r="Q1921" s="64">
        <v>2.61</v>
      </c>
      <c r="R1921" s="63">
        <v>0</v>
      </c>
      <c r="S1921" s="64">
        <v>0</v>
      </c>
    </row>
    <row r="1922" spans="1:19" ht="11.85" customHeight="1" x14ac:dyDescent="0.25">
      <c r="A1922" s="66" t="s">
        <v>320</v>
      </c>
      <c r="B1922" s="66"/>
      <c r="C1922" s="66"/>
      <c r="D1922" s="66"/>
      <c r="E1922" s="66"/>
      <c r="F1922" s="66"/>
      <c r="G1922" s="66"/>
      <c r="H1922" s="66"/>
    </row>
    <row r="1923" spans="1:19" ht="11.1" customHeight="1" x14ac:dyDescent="0.25">
      <c r="N1923" s="50" t="s">
        <v>317</v>
      </c>
      <c r="O1923" s="64">
        <v>99.6</v>
      </c>
      <c r="Q1923" s="64">
        <v>11.94</v>
      </c>
      <c r="R1923" s="63">
        <v>0</v>
      </c>
      <c r="S1923" s="64">
        <v>0</v>
      </c>
    </row>
    <row r="1924" spans="1:19" ht="11.1" customHeight="1" x14ac:dyDescent="0.25">
      <c r="A1924" s="57">
        <v>112826</v>
      </c>
      <c r="B1924" s="53">
        <v>46121</v>
      </c>
      <c r="C1924" s="58">
        <v>46121</v>
      </c>
      <c r="D1924" s="59" t="s">
        <v>1570</v>
      </c>
      <c r="E1924" s="50" t="s">
        <v>313</v>
      </c>
      <c r="F1924" s="57">
        <v>36</v>
      </c>
      <c r="G1924" s="60">
        <v>966</v>
      </c>
      <c r="H1924" s="61" t="s">
        <v>1571</v>
      </c>
      <c r="I1924" s="50" t="s">
        <v>1572</v>
      </c>
      <c r="J1924" s="50" t="s">
        <v>1573</v>
      </c>
      <c r="K1924" s="62">
        <v>5102</v>
      </c>
      <c r="L1924" s="57">
        <v>205</v>
      </c>
      <c r="M1924" s="50" t="s">
        <v>26</v>
      </c>
      <c r="N1924" s="50" t="s">
        <v>317</v>
      </c>
      <c r="O1924" s="64">
        <v>569.72</v>
      </c>
      <c r="P1924" s="65">
        <v>12</v>
      </c>
      <c r="Q1924" s="64">
        <v>68.37</v>
      </c>
      <c r="R1924" s="63">
        <v>0</v>
      </c>
      <c r="S1924" s="64">
        <v>0</v>
      </c>
    </row>
    <row r="1925" spans="1:19" ht="11.85" customHeight="1" x14ac:dyDescent="0.25">
      <c r="A1925" s="66" t="s">
        <v>320</v>
      </c>
      <c r="B1925" s="66"/>
      <c r="C1925" s="66"/>
      <c r="D1925" s="66"/>
      <c r="E1925" s="66"/>
      <c r="F1925" s="66"/>
      <c r="G1925" s="66"/>
      <c r="H1925" s="66"/>
    </row>
    <row r="1926" spans="1:19" ht="11.1" customHeight="1" x14ac:dyDescent="0.25">
      <c r="N1926" s="50" t="s">
        <v>317</v>
      </c>
      <c r="O1926" s="64">
        <v>569.72</v>
      </c>
      <c r="Q1926" s="64">
        <v>68.37</v>
      </c>
      <c r="R1926" s="63">
        <v>0</v>
      </c>
      <c r="S1926" s="64">
        <v>0</v>
      </c>
    </row>
    <row r="1927" spans="1:19" ht="11.1" customHeight="1" x14ac:dyDescent="0.25">
      <c r="A1927" s="57">
        <v>112818</v>
      </c>
      <c r="B1927" s="53">
        <v>46121</v>
      </c>
      <c r="C1927" s="58">
        <v>46121</v>
      </c>
      <c r="D1927" s="59" t="s">
        <v>1574</v>
      </c>
      <c r="E1927" s="50" t="s">
        <v>313</v>
      </c>
      <c r="F1927" s="57">
        <v>36</v>
      </c>
      <c r="G1927" s="60">
        <v>681</v>
      </c>
      <c r="H1927" s="61" t="s">
        <v>1575</v>
      </c>
      <c r="I1927" s="50" t="s">
        <v>1576</v>
      </c>
      <c r="J1927" s="50" t="s">
        <v>1577</v>
      </c>
      <c r="K1927" s="62">
        <v>5102</v>
      </c>
      <c r="L1927" s="57">
        <v>205</v>
      </c>
      <c r="M1927" s="50" t="s">
        <v>26</v>
      </c>
      <c r="N1927" s="50" t="s">
        <v>317</v>
      </c>
      <c r="O1927" s="64">
        <v>61.55</v>
      </c>
      <c r="P1927" s="65">
        <v>12</v>
      </c>
      <c r="Q1927" s="64">
        <v>7.38</v>
      </c>
      <c r="R1927" s="63">
        <v>0</v>
      </c>
      <c r="S1927" s="64">
        <v>0</v>
      </c>
    </row>
    <row r="1928" spans="1:19" ht="11.1" customHeight="1" x14ac:dyDescent="0.25">
      <c r="A1928" s="57">
        <v>112819</v>
      </c>
      <c r="B1928" s="53">
        <v>46121</v>
      </c>
      <c r="C1928" s="58">
        <v>46121</v>
      </c>
      <c r="D1928" s="59" t="s">
        <v>1574</v>
      </c>
      <c r="E1928" s="50" t="s">
        <v>313</v>
      </c>
      <c r="F1928" s="57">
        <v>36</v>
      </c>
      <c r="G1928" s="60">
        <v>681</v>
      </c>
      <c r="H1928" s="61" t="s">
        <v>1575</v>
      </c>
      <c r="I1928" s="50" t="s">
        <v>1576</v>
      </c>
      <c r="J1928" s="50" t="s">
        <v>1577</v>
      </c>
      <c r="K1928" s="62">
        <v>5403</v>
      </c>
      <c r="L1928" s="57">
        <v>207</v>
      </c>
      <c r="M1928" s="50" t="s">
        <v>26</v>
      </c>
      <c r="N1928" s="50" t="s">
        <v>317</v>
      </c>
      <c r="O1928" s="64">
        <v>62.75</v>
      </c>
      <c r="P1928" s="65">
        <v>12</v>
      </c>
      <c r="Q1928" s="64">
        <v>7.53</v>
      </c>
      <c r="R1928" s="63">
        <v>0</v>
      </c>
      <c r="S1928" s="64">
        <v>4.3899999999999997</v>
      </c>
    </row>
    <row r="1929" spans="1:19" ht="11.1" customHeight="1" x14ac:dyDescent="0.25">
      <c r="N1929" s="50" t="s">
        <v>318</v>
      </c>
      <c r="O1929" s="64">
        <v>84.71</v>
      </c>
      <c r="P1929" s="65">
        <v>20</v>
      </c>
      <c r="Q1929" s="64">
        <v>4.3899999999999997</v>
      </c>
      <c r="R1929" s="63">
        <v>0</v>
      </c>
      <c r="S1929" s="64">
        <v>0</v>
      </c>
    </row>
    <row r="1930" spans="1:19" ht="11.85" customHeight="1" x14ac:dyDescent="0.25">
      <c r="A1930" s="66" t="s">
        <v>320</v>
      </c>
      <c r="B1930" s="66"/>
      <c r="C1930" s="66"/>
      <c r="D1930" s="66"/>
      <c r="E1930" s="66"/>
      <c r="F1930" s="66"/>
      <c r="G1930" s="66"/>
      <c r="H1930" s="66"/>
    </row>
    <row r="1931" spans="1:19" ht="11.1" customHeight="1" x14ac:dyDescent="0.25">
      <c r="N1931" s="50" t="s">
        <v>317</v>
      </c>
      <c r="O1931" s="64">
        <v>124.3</v>
      </c>
      <c r="Q1931" s="64">
        <v>14.91</v>
      </c>
      <c r="R1931" s="63">
        <v>0</v>
      </c>
      <c r="S1931" s="64">
        <v>4.3899999999999997</v>
      </c>
    </row>
    <row r="1932" spans="1:19" ht="11.1" customHeight="1" x14ac:dyDescent="0.25">
      <c r="N1932" s="50" t="s">
        <v>318</v>
      </c>
      <c r="O1932" s="64">
        <v>84.71</v>
      </c>
      <c r="Q1932" s="64">
        <v>4.3899999999999997</v>
      </c>
      <c r="R1932" s="63">
        <v>0</v>
      </c>
      <c r="S1932" s="64">
        <v>0</v>
      </c>
    </row>
    <row r="1933" spans="1:19" ht="11.1" customHeight="1" x14ac:dyDescent="0.25">
      <c r="A1933" s="57">
        <v>112510</v>
      </c>
      <c r="B1933" s="53">
        <v>46114</v>
      </c>
      <c r="C1933" s="58">
        <v>46114</v>
      </c>
      <c r="D1933" s="59" t="s">
        <v>1578</v>
      </c>
      <c r="E1933" s="50" t="s">
        <v>313</v>
      </c>
      <c r="F1933" s="57">
        <v>36</v>
      </c>
      <c r="G1933" s="60">
        <v>726</v>
      </c>
      <c r="H1933" s="61" t="s">
        <v>1579</v>
      </c>
      <c r="I1933" s="50" t="s">
        <v>1580</v>
      </c>
      <c r="J1933" s="50" t="s">
        <v>1581</v>
      </c>
      <c r="K1933" s="62">
        <v>5102</v>
      </c>
      <c r="L1933" s="57">
        <v>205</v>
      </c>
      <c r="M1933" s="50" t="s">
        <v>26</v>
      </c>
      <c r="N1933" s="50" t="s">
        <v>317</v>
      </c>
      <c r="O1933" s="64">
        <v>1455.99</v>
      </c>
      <c r="P1933" s="65">
        <v>12</v>
      </c>
      <c r="Q1933" s="64">
        <v>174.73</v>
      </c>
      <c r="R1933" s="63">
        <v>0</v>
      </c>
      <c r="S1933" s="64">
        <v>0</v>
      </c>
    </row>
    <row r="1934" spans="1:19" ht="11.1" customHeight="1" x14ac:dyDescent="0.25">
      <c r="A1934" s="57">
        <v>112620</v>
      </c>
      <c r="B1934" s="53">
        <v>46118</v>
      </c>
      <c r="C1934" s="58">
        <v>46118</v>
      </c>
      <c r="D1934" s="59" t="s">
        <v>1582</v>
      </c>
      <c r="E1934" s="50" t="s">
        <v>313</v>
      </c>
      <c r="F1934" s="57">
        <v>36</v>
      </c>
      <c r="G1934" s="60">
        <v>726</v>
      </c>
      <c r="H1934" s="61" t="s">
        <v>1579</v>
      </c>
      <c r="I1934" s="50" t="s">
        <v>1580</v>
      </c>
      <c r="J1934" s="50" t="s">
        <v>1581</v>
      </c>
      <c r="K1934" s="62">
        <v>5102</v>
      </c>
      <c r="L1934" s="57">
        <v>205</v>
      </c>
      <c r="M1934" s="50" t="s">
        <v>26</v>
      </c>
      <c r="N1934" s="50" t="s">
        <v>317</v>
      </c>
      <c r="O1934" s="64">
        <v>67.5</v>
      </c>
      <c r="P1934" s="65">
        <v>12</v>
      </c>
      <c r="Q1934" s="64">
        <v>8.1</v>
      </c>
      <c r="R1934" s="63">
        <v>0</v>
      </c>
      <c r="S1934" s="64">
        <v>0</v>
      </c>
    </row>
    <row r="1935" spans="1:19" ht="11.1" customHeight="1" x14ac:dyDescent="0.25">
      <c r="A1935" s="57">
        <v>112728</v>
      </c>
      <c r="B1935" s="53">
        <v>46120</v>
      </c>
      <c r="C1935" s="58">
        <v>46120</v>
      </c>
      <c r="D1935" s="59" t="s">
        <v>1583</v>
      </c>
      <c r="E1935" s="50" t="s">
        <v>313</v>
      </c>
      <c r="F1935" s="57">
        <v>36</v>
      </c>
      <c r="G1935" s="60">
        <v>726</v>
      </c>
      <c r="H1935" s="61" t="s">
        <v>1579</v>
      </c>
      <c r="I1935" s="50" t="s">
        <v>1580</v>
      </c>
      <c r="J1935" s="50" t="s">
        <v>1581</v>
      </c>
      <c r="K1935" s="62">
        <v>5102</v>
      </c>
      <c r="L1935" s="57">
        <v>205</v>
      </c>
      <c r="M1935" s="50" t="s">
        <v>26</v>
      </c>
      <c r="N1935" s="50" t="s">
        <v>317</v>
      </c>
      <c r="O1935" s="64">
        <v>403.02</v>
      </c>
      <c r="P1935" s="65">
        <v>12</v>
      </c>
      <c r="Q1935" s="64">
        <v>48.36</v>
      </c>
      <c r="R1935" s="63">
        <v>0</v>
      </c>
      <c r="S1935" s="64">
        <v>0</v>
      </c>
    </row>
    <row r="1936" spans="1:19" ht="11.1" customHeight="1" x14ac:dyDescent="0.25">
      <c r="A1936" s="57">
        <v>112769</v>
      </c>
      <c r="B1936" s="53">
        <v>46120</v>
      </c>
      <c r="C1936" s="58">
        <v>46120</v>
      </c>
      <c r="D1936" s="59" t="s">
        <v>1584</v>
      </c>
      <c r="E1936" s="50" t="s">
        <v>313</v>
      </c>
      <c r="F1936" s="57">
        <v>36</v>
      </c>
      <c r="G1936" s="60">
        <v>726</v>
      </c>
      <c r="H1936" s="61" t="s">
        <v>1579</v>
      </c>
      <c r="I1936" s="50" t="s">
        <v>1580</v>
      </c>
      <c r="J1936" s="50" t="s">
        <v>1581</v>
      </c>
      <c r="K1936" s="62">
        <v>5102</v>
      </c>
      <c r="L1936" s="57">
        <v>205</v>
      </c>
      <c r="M1936" s="50" t="s">
        <v>26</v>
      </c>
      <c r="N1936" s="50" t="s">
        <v>317</v>
      </c>
      <c r="O1936" s="64">
        <v>537.84</v>
      </c>
      <c r="P1936" s="65">
        <v>12</v>
      </c>
      <c r="Q1936" s="64">
        <v>64.540000000000006</v>
      </c>
      <c r="R1936" s="63">
        <v>0</v>
      </c>
      <c r="S1936" s="64">
        <v>0</v>
      </c>
    </row>
    <row r="1937" spans="1:19" ht="11.1" customHeight="1" x14ac:dyDescent="0.25">
      <c r="A1937" s="57">
        <v>112801</v>
      </c>
      <c r="B1937" s="53">
        <v>46120</v>
      </c>
      <c r="C1937" s="58">
        <v>46120</v>
      </c>
      <c r="D1937" s="59" t="s">
        <v>1585</v>
      </c>
      <c r="E1937" s="50" t="s">
        <v>313</v>
      </c>
      <c r="F1937" s="57">
        <v>36</v>
      </c>
      <c r="G1937" s="60">
        <v>726</v>
      </c>
      <c r="H1937" s="61" t="s">
        <v>1579</v>
      </c>
      <c r="I1937" s="50" t="s">
        <v>1580</v>
      </c>
      <c r="J1937" s="50" t="s">
        <v>1581</v>
      </c>
      <c r="K1937" s="62">
        <v>5102</v>
      </c>
      <c r="L1937" s="57">
        <v>205</v>
      </c>
      <c r="M1937" s="50" t="s">
        <v>26</v>
      </c>
      <c r="N1937" s="50" t="s">
        <v>317</v>
      </c>
      <c r="O1937" s="64">
        <v>630</v>
      </c>
      <c r="P1937" s="65">
        <v>12</v>
      </c>
      <c r="Q1937" s="64">
        <v>75.599999999999994</v>
      </c>
      <c r="R1937" s="63">
        <v>0</v>
      </c>
      <c r="S1937" s="64">
        <v>0</v>
      </c>
    </row>
    <row r="1938" spans="1:19" ht="11.1" customHeight="1" x14ac:dyDescent="0.25">
      <c r="A1938" s="57">
        <v>112817</v>
      </c>
      <c r="B1938" s="53">
        <v>46121</v>
      </c>
      <c r="C1938" s="58">
        <v>46121</v>
      </c>
      <c r="D1938" s="59" t="s">
        <v>1586</v>
      </c>
      <c r="E1938" s="50" t="s">
        <v>313</v>
      </c>
      <c r="F1938" s="57">
        <v>36</v>
      </c>
      <c r="G1938" s="60">
        <v>726</v>
      </c>
      <c r="H1938" s="61" t="s">
        <v>1579</v>
      </c>
      <c r="I1938" s="50" t="s">
        <v>1580</v>
      </c>
      <c r="J1938" s="50" t="s">
        <v>1581</v>
      </c>
      <c r="K1938" s="62">
        <v>5102</v>
      </c>
      <c r="L1938" s="57">
        <v>205</v>
      </c>
      <c r="M1938" s="50" t="s">
        <v>26</v>
      </c>
      <c r="N1938" s="50" t="s">
        <v>317</v>
      </c>
      <c r="O1938" s="64">
        <v>326.56</v>
      </c>
      <c r="P1938" s="65">
        <v>12</v>
      </c>
      <c r="Q1938" s="64">
        <v>39.19</v>
      </c>
      <c r="R1938" s="63">
        <v>0</v>
      </c>
      <c r="S1938" s="64">
        <v>0</v>
      </c>
    </row>
    <row r="1939" spans="1:19" ht="11.1" customHeight="1" x14ac:dyDescent="0.25">
      <c r="A1939" s="57">
        <v>112889</v>
      </c>
      <c r="B1939" s="53">
        <v>46122</v>
      </c>
      <c r="C1939" s="58">
        <v>46122</v>
      </c>
      <c r="D1939" s="59" t="s">
        <v>1587</v>
      </c>
      <c r="E1939" s="50" t="s">
        <v>313</v>
      </c>
      <c r="F1939" s="57">
        <v>36</v>
      </c>
      <c r="G1939" s="60">
        <v>726</v>
      </c>
      <c r="H1939" s="61" t="s">
        <v>1579</v>
      </c>
      <c r="I1939" s="50" t="s">
        <v>1580</v>
      </c>
      <c r="J1939" s="50" t="s">
        <v>1581</v>
      </c>
      <c r="K1939" s="62">
        <v>5102</v>
      </c>
      <c r="L1939" s="57">
        <v>205</v>
      </c>
      <c r="M1939" s="50" t="s">
        <v>26</v>
      </c>
      <c r="N1939" s="50" t="s">
        <v>317</v>
      </c>
      <c r="O1939" s="64">
        <v>4389.58</v>
      </c>
      <c r="P1939" s="65">
        <v>12</v>
      </c>
      <c r="Q1939" s="64">
        <v>526.75</v>
      </c>
      <c r="R1939" s="63">
        <v>0</v>
      </c>
      <c r="S1939" s="64">
        <v>0</v>
      </c>
    </row>
    <row r="1940" spans="1:19" ht="11.1" customHeight="1" x14ac:dyDescent="0.25">
      <c r="A1940" s="57">
        <v>112947</v>
      </c>
      <c r="B1940" s="53">
        <v>46125</v>
      </c>
      <c r="C1940" s="58">
        <v>46125</v>
      </c>
      <c r="D1940" s="59" t="s">
        <v>1588</v>
      </c>
      <c r="E1940" s="50" t="s">
        <v>313</v>
      </c>
      <c r="F1940" s="57">
        <v>36</v>
      </c>
      <c r="G1940" s="60">
        <v>726</v>
      </c>
      <c r="H1940" s="61" t="s">
        <v>1579</v>
      </c>
      <c r="I1940" s="50" t="s">
        <v>1580</v>
      </c>
      <c r="J1940" s="50" t="s">
        <v>1581</v>
      </c>
      <c r="K1940" s="62">
        <v>5102</v>
      </c>
      <c r="L1940" s="57">
        <v>205</v>
      </c>
      <c r="M1940" s="50" t="s">
        <v>26</v>
      </c>
      <c r="N1940" s="50" t="s">
        <v>317</v>
      </c>
      <c r="O1940" s="64">
        <v>679.74</v>
      </c>
      <c r="P1940" s="65">
        <v>12</v>
      </c>
      <c r="Q1940" s="64">
        <v>81.569999999999993</v>
      </c>
      <c r="R1940" s="63">
        <v>0</v>
      </c>
      <c r="S1940" s="64">
        <v>0</v>
      </c>
    </row>
    <row r="1941" spans="1:19" ht="11.1" customHeight="1" x14ac:dyDescent="0.25">
      <c r="A1941" s="57">
        <v>113061</v>
      </c>
      <c r="B1941" s="53">
        <v>46126</v>
      </c>
      <c r="C1941" s="58">
        <v>46126</v>
      </c>
      <c r="D1941" s="59" t="s">
        <v>1589</v>
      </c>
      <c r="E1941" s="50" t="s">
        <v>313</v>
      </c>
      <c r="F1941" s="57">
        <v>36</v>
      </c>
      <c r="G1941" s="60">
        <v>726</v>
      </c>
      <c r="H1941" s="61" t="s">
        <v>1579</v>
      </c>
      <c r="I1941" s="50" t="s">
        <v>1580</v>
      </c>
      <c r="J1941" s="50" t="s">
        <v>1581</v>
      </c>
      <c r="K1941" s="62">
        <v>5102</v>
      </c>
      <c r="L1941" s="57">
        <v>205</v>
      </c>
      <c r="M1941" s="50" t="s">
        <v>26</v>
      </c>
      <c r="N1941" s="50" t="s">
        <v>317</v>
      </c>
      <c r="O1941" s="64">
        <v>3317.34</v>
      </c>
      <c r="P1941" s="65">
        <v>12</v>
      </c>
      <c r="Q1941" s="64">
        <v>398.08</v>
      </c>
      <c r="R1941" s="63">
        <v>0</v>
      </c>
      <c r="S1941" s="64">
        <v>0</v>
      </c>
    </row>
    <row r="1942" spans="1:19" ht="11.1" customHeight="1" x14ac:dyDescent="0.25">
      <c r="A1942" s="57">
        <v>113114</v>
      </c>
      <c r="B1942" s="53">
        <v>46128</v>
      </c>
      <c r="C1942" s="58">
        <v>46128</v>
      </c>
      <c r="D1942" s="59" t="s">
        <v>1590</v>
      </c>
      <c r="E1942" s="50" t="s">
        <v>313</v>
      </c>
      <c r="F1942" s="57">
        <v>36</v>
      </c>
      <c r="G1942" s="60">
        <v>726</v>
      </c>
      <c r="H1942" s="61" t="s">
        <v>1579</v>
      </c>
      <c r="I1942" s="50" t="s">
        <v>1580</v>
      </c>
      <c r="J1942" s="50" t="s">
        <v>1581</v>
      </c>
      <c r="K1942" s="62">
        <v>5102</v>
      </c>
      <c r="L1942" s="57">
        <v>205</v>
      </c>
      <c r="M1942" s="50" t="s">
        <v>26</v>
      </c>
      <c r="N1942" s="50" t="s">
        <v>317</v>
      </c>
      <c r="O1942" s="64">
        <v>3026.86</v>
      </c>
      <c r="P1942" s="65">
        <v>12</v>
      </c>
      <c r="Q1942" s="64">
        <v>363.23</v>
      </c>
      <c r="R1942" s="63">
        <v>0</v>
      </c>
      <c r="S1942" s="64">
        <v>0</v>
      </c>
    </row>
    <row r="1943" spans="1:19" ht="11.1" customHeight="1" x14ac:dyDescent="0.25">
      <c r="A1943" s="57">
        <v>113115</v>
      </c>
      <c r="B1943" s="53">
        <v>46128</v>
      </c>
      <c r="C1943" s="58">
        <v>46128</v>
      </c>
      <c r="D1943" s="59" t="s">
        <v>1591</v>
      </c>
      <c r="E1943" s="50" t="s">
        <v>313</v>
      </c>
      <c r="F1943" s="57">
        <v>36</v>
      </c>
      <c r="G1943" s="60">
        <v>726</v>
      </c>
      <c r="H1943" s="61" t="s">
        <v>1579</v>
      </c>
      <c r="I1943" s="50" t="s">
        <v>1580</v>
      </c>
      <c r="J1943" s="50" t="s">
        <v>1581</v>
      </c>
      <c r="K1943" s="62">
        <v>5102</v>
      </c>
      <c r="L1943" s="57">
        <v>205</v>
      </c>
      <c r="M1943" s="50" t="s">
        <v>26</v>
      </c>
      <c r="N1943" s="50" t="s">
        <v>317</v>
      </c>
      <c r="O1943" s="64">
        <v>226.15</v>
      </c>
      <c r="P1943" s="65">
        <v>12</v>
      </c>
      <c r="Q1943" s="64">
        <v>27.14</v>
      </c>
      <c r="R1943" s="63">
        <v>0</v>
      </c>
      <c r="S1943" s="64">
        <v>0</v>
      </c>
    </row>
    <row r="1944" spans="1:19" ht="11.1" customHeight="1" x14ac:dyDescent="0.25">
      <c r="A1944" s="57">
        <v>113198</v>
      </c>
      <c r="B1944" s="53">
        <v>46129</v>
      </c>
      <c r="C1944" s="58">
        <v>46129</v>
      </c>
      <c r="D1944" s="59" t="s">
        <v>1592</v>
      </c>
      <c r="E1944" s="50" t="s">
        <v>313</v>
      </c>
      <c r="F1944" s="57">
        <v>36</v>
      </c>
      <c r="G1944" s="60">
        <v>726</v>
      </c>
      <c r="H1944" s="61" t="s">
        <v>1579</v>
      </c>
      <c r="I1944" s="50" t="s">
        <v>1580</v>
      </c>
      <c r="J1944" s="50" t="s">
        <v>1581</v>
      </c>
      <c r="K1944" s="62">
        <v>5102</v>
      </c>
      <c r="L1944" s="57">
        <v>205</v>
      </c>
      <c r="M1944" s="50" t="s">
        <v>26</v>
      </c>
      <c r="N1944" s="50" t="s">
        <v>317</v>
      </c>
      <c r="O1944" s="64">
        <v>9323.39</v>
      </c>
      <c r="P1944" s="65">
        <v>12</v>
      </c>
      <c r="Q1944" s="64">
        <v>1118.81</v>
      </c>
      <c r="R1944" s="63">
        <v>0</v>
      </c>
      <c r="S1944" s="64">
        <v>0</v>
      </c>
    </row>
    <row r="1945" spans="1:19" ht="11.1" customHeight="1" x14ac:dyDescent="0.25">
      <c r="A1945" s="57">
        <v>113199</v>
      </c>
      <c r="B1945" s="53">
        <v>46129</v>
      </c>
      <c r="C1945" s="58">
        <v>46129</v>
      </c>
      <c r="D1945" s="59" t="s">
        <v>1593</v>
      </c>
      <c r="E1945" s="50" t="s">
        <v>313</v>
      </c>
      <c r="F1945" s="57">
        <v>36</v>
      </c>
      <c r="G1945" s="60">
        <v>726</v>
      </c>
      <c r="H1945" s="61" t="s">
        <v>1579</v>
      </c>
      <c r="I1945" s="50" t="s">
        <v>1580</v>
      </c>
      <c r="J1945" s="50" t="s">
        <v>1581</v>
      </c>
      <c r="K1945" s="62">
        <v>5102</v>
      </c>
      <c r="L1945" s="57">
        <v>205</v>
      </c>
      <c r="M1945" s="50" t="s">
        <v>26</v>
      </c>
      <c r="N1945" s="50" t="s">
        <v>317</v>
      </c>
      <c r="O1945" s="64">
        <v>939.46</v>
      </c>
      <c r="P1945" s="65">
        <v>12</v>
      </c>
      <c r="Q1945" s="64">
        <v>112.74</v>
      </c>
      <c r="R1945" s="63">
        <v>0</v>
      </c>
      <c r="S1945" s="64">
        <v>0</v>
      </c>
    </row>
    <row r="1946" spans="1:19" ht="11.1" customHeight="1" x14ac:dyDescent="0.25">
      <c r="A1946" s="57">
        <v>113290</v>
      </c>
      <c r="B1946" s="53">
        <v>46134</v>
      </c>
      <c r="C1946" s="58">
        <v>46134</v>
      </c>
      <c r="D1946" s="59" t="s">
        <v>1594</v>
      </c>
      <c r="E1946" s="50" t="s">
        <v>313</v>
      </c>
      <c r="F1946" s="57">
        <v>36</v>
      </c>
      <c r="G1946" s="60">
        <v>726</v>
      </c>
      <c r="H1946" s="61" t="s">
        <v>1579</v>
      </c>
      <c r="I1946" s="50" t="s">
        <v>1580</v>
      </c>
      <c r="J1946" s="50" t="s">
        <v>1581</v>
      </c>
      <c r="K1946" s="62">
        <v>5102</v>
      </c>
      <c r="L1946" s="57">
        <v>205</v>
      </c>
      <c r="M1946" s="50" t="s">
        <v>26</v>
      </c>
      <c r="N1946" s="50" t="s">
        <v>317</v>
      </c>
      <c r="O1946" s="64">
        <v>728.64</v>
      </c>
      <c r="P1946" s="65">
        <v>12</v>
      </c>
      <c r="Q1946" s="64">
        <v>87.44</v>
      </c>
      <c r="R1946" s="63">
        <v>0</v>
      </c>
      <c r="S1946" s="64">
        <v>0</v>
      </c>
    </row>
    <row r="1947" spans="1:19" ht="11.1" customHeight="1" x14ac:dyDescent="0.25">
      <c r="A1947" s="57">
        <v>113323</v>
      </c>
      <c r="B1947" s="53">
        <v>46135</v>
      </c>
      <c r="C1947" s="58">
        <v>46135</v>
      </c>
      <c r="D1947" s="59" t="s">
        <v>1595</v>
      </c>
      <c r="E1947" s="50" t="s">
        <v>313</v>
      </c>
      <c r="F1947" s="57">
        <v>36</v>
      </c>
      <c r="G1947" s="60">
        <v>726</v>
      </c>
      <c r="H1947" s="61" t="s">
        <v>1579</v>
      </c>
      <c r="I1947" s="50" t="s">
        <v>1580</v>
      </c>
      <c r="J1947" s="50" t="s">
        <v>1581</v>
      </c>
      <c r="K1947" s="62">
        <v>5102</v>
      </c>
      <c r="L1947" s="57">
        <v>205</v>
      </c>
      <c r="M1947" s="50" t="s">
        <v>26</v>
      </c>
      <c r="N1947" s="50" t="s">
        <v>317</v>
      </c>
      <c r="O1947" s="64">
        <v>714.46</v>
      </c>
      <c r="P1947" s="65">
        <v>12</v>
      </c>
      <c r="Q1947" s="64">
        <v>85.74</v>
      </c>
      <c r="R1947" s="63">
        <v>0</v>
      </c>
      <c r="S1947" s="64">
        <v>0</v>
      </c>
    </row>
    <row r="1948" spans="1:19" ht="11.1" customHeight="1" x14ac:dyDescent="0.25">
      <c r="A1948" s="57">
        <v>113364</v>
      </c>
      <c r="B1948" s="53">
        <v>46135</v>
      </c>
      <c r="C1948" s="58">
        <v>46135</v>
      </c>
      <c r="D1948" s="59" t="s">
        <v>1596</v>
      </c>
      <c r="E1948" s="50" t="s">
        <v>313</v>
      </c>
      <c r="F1948" s="57">
        <v>36</v>
      </c>
      <c r="G1948" s="60">
        <v>726</v>
      </c>
      <c r="H1948" s="61" t="s">
        <v>1579</v>
      </c>
      <c r="I1948" s="50" t="s">
        <v>1580</v>
      </c>
      <c r="J1948" s="50" t="s">
        <v>1581</v>
      </c>
      <c r="K1948" s="62">
        <v>5102</v>
      </c>
      <c r="L1948" s="57">
        <v>205</v>
      </c>
      <c r="M1948" s="50" t="s">
        <v>26</v>
      </c>
      <c r="N1948" s="50" t="s">
        <v>317</v>
      </c>
      <c r="O1948" s="64">
        <v>4379.37</v>
      </c>
      <c r="P1948" s="65">
        <v>12</v>
      </c>
      <c r="Q1948" s="64">
        <v>525.52</v>
      </c>
      <c r="R1948" s="63">
        <v>0</v>
      </c>
      <c r="S1948" s="64">
        <v>0</v>
      </c>
    </row>
    <row r="1949" spans="1:19" ht="11.1" customHeight="1" x14ac:dyDescent="0.25">
      <c r="A1949" s="57">
        <v>113367</v>
      </c>
      <c r="B1949" s="53">
        <v>46135</v>
      </c>
      <c r="C1949" s="58">
        <v>46135</v>
      </c>
      <c r="D1949" s="59" t="s">
        <v>1597</v>
      </c>
      <c r="E1949" s="50" t="s">
        <v>313</v>
      </c>
      <c r="F1949" s="57">
        <v>36</v>
      </c>
      <c r="G1949" s="60">
        <v>726</v>
      </c>
      <c r="H1949" s="61" t="s">
        <v>1579</v>
      </c>
      <c r="I1949" s="50" t="s">
        <v>1580</v>
      </c>
      <c r="J1949" s="50" t="s">
        <v>1581</v>
      </c>
      <c r="K1949" s="62">
        <v>5102</v>
      </c>
      <c r="L1949" s="57">
        <v>205</v>
      </c>
      <c r="M1949" s="50" t="s">
        <v>26</v>
      </c>
      <c r="N1949" s="50" t="s">
        <v>317</v>
      </c>
      <c r="O1949" s="64">
        <v>458.75</v>
      </c>
      <c r="P1949" s="65">
        <v>12</v>
      </c>
      <c r="Q1949" s="64">
        <v>55.05</v>
      </c>
      <c r="R1949" s="63">
        <v>0</v>
      </c>
      <c r="S1949" s="64">
        <v>0</v>
      </c>
    </row>
    <row r="1950" spans="1:19" ht="11.1" customHeight="1" x14ac:dyDescent="0.25">
      <c r="A1950" s="57">
        <v>113442</v>
      </c>
      <c r="B1950" s="53">
        <v>46139</v>
      </c>
      <c r="C1950" s="58">
        <v>46139</v>
      </c>
      <c r="D1950" s="59" t="s">
        <v>1598</v>
      </c>
      <c r="E1950" s="50" t="s">
        <v>313</v>
      </c>
      <c r="F1950" s="57">
        <v>36</v>
      </c>
      <c r="G1950" s="60">
        <v>726</v>
      </c>
      <c r="H1950" s="61" t="s">
        <v>1579</v>
      </c>
      <c r="I1950" s="50" t="s">
        <v>1580</v>
      </c>
      <c r="J1950" s="50" t="s">
        <v>1581</v>
      </c>
      <c r="K1950" s="62">
        <v>5102</v>
      </c>
      <c r="L1950" s="57">
        <v>205</v>
      </c>
      <c r="M1950" s="50" t="s">
        <v>26</v>
      </c>
      <c r="N1950" s="50" t="s">
        <v>317</v>
      </c>
      <c r="O1950" s="64">
        <v>2018.24</v>
      </c>
      <c r="P1950" s="65">
        <v>12</v>
      </c>
      <c r="Q1950" s="64">
        <v>242.2</v>
      </c>
      <c r="R1950" s="63">
        <v>0</v>
      </c>
      <c r="S1950" s="64">
        <v>0</v>
      </c>
    </row>
    <row r="1951" spans="1:19" ht="11.1" customHeight="1" x14ac:dyDescent="0.25">
      <c r="A1951" s="57">
        <v>113461</v>
      </c>
      <c r="B1951" s="53">
        <v>46139</v>
      </c>
      <c r="C1951" s="58">
        <v>46139</v>
      </c>
      <c r="D1951" s="59" t="s">
        <v>1599</v>
      </c>
      <c r="E1951" s="50" t="s">
        <v>313</v>
      </c>
      <c r="F1951" s="57">
        <v>36</v>
      </c>
      <c r="G1951" s="60">
        <v>726</v>
      </c>
      <c r="H1951" s="61" t="s">
        <v>1579</v>
      </c>
      <c r="I1951" s="50" t="s">
        <v>1580</v>
      </c>
      <c r="J1951" s="50" t="s">
        <v>1581</v>
      </c>
      <c r="K1951" s="62">
        <v>5102</v>
      </c>
      <c r="L1951" s="57">
        <v>205</v>
      </c>
      <c r="M1951" s="50" t="s">
        <v>26</v>
      </c>
      <c r="N1951" s="50" t="s">
        <v>317</v>
      </c>
      <c r="O1951" s="64">
        <v>435.84</v>
      </c>
      <c r="P1951" s="65">
        <v>12</v>
      </c>
      <c r="Q1951" s="64">
        <v>52.3</v>
      </c>
      <c r="R1951" s="63">
        <v>0</v>
      </c>
      <c r="S1951" s="64">
        <v>0</v>
      </c>
    </row>
    <row r="1952" spans="1:19" ht="11.1" customHeight="1" x14ac:dyDescent="0.25">
      <c r="A1952" s="57">
        <v>113517</v>
      </c>
      <c r="B1952" s="53">
        <v>46140</v>
      </c>
      <c r="C1952" s="58">
        <v>46140</v>
      </c>
      <c r="D1952" s="59" t="s">
        <v>1600</v>
      </c>
      <c r="E1952" s="50" t="s">
        <v>313</v>
      </c>
      <c r="F1952" s="57">
        <v>36</v>
      </c>
      <c r="G1952" s="60">
        <v>726</v>
      </c>
      <c r="H1952" s="61" t="s">
        <v>1579</v>
      </c>
      <c r="I1952" s="50" t="s">
        <v>1580</v>
      </c>
      <c r="J1952" s="50" t="s">
        <v>1581</v>
      </c>
      <c r="K1952" s="62">
        <v>5102</v>
      </c>
      <c r="L1952" s="57">
        <v>205</v>
      </c>
      <c r="M1952" s="50" t="s">
        <v>26</v>
      </c>
      <c r="N1952" s="50" t="s">
        <v>317</v>
      </c>
      <c r="O1952" s="64">
        <v>52.8</v>
      </c>
      <c r="P1952" s="65">
        <v>12</v>
      </c>
      <c r="Q1952" s="64">
        <v>6.34</v>
      </c>
      <c r="R1952" s="63">
        <v>0</v>
      </c>
      <c r="S1952" s="64">
        <v>0</v>
      </c>
    </row>
    <row r="1953" spans="1:19" ht="11.1" customHeight="1" x14ac:dyDescent="0.25">
      <c r="A1953" s="57">
        <v>113567</v>
      </c>
      <c r="B1953" s="53">
        <v>46141</v>
      </c>
      <c r="C1953" s="58">
        <v>46141</v>
      </c>
      <c r="D1953" s="59" t="s">
        <v>1601</v>
      </c>
      <c r="E1953" s="50" t="s">
        <v>313</v>
      </c>
      <c r="F1953" s="57">
        <v>36</v>
      </c>
      <c r="G1953" s="60">
        <v>726</v>
      </c>
      <c r="H1953" s="61" t="s">
        <v>1579</v>
      </c>
      <c r="I1953" s="50" t="s">
        <v>1580</v>
      </c>
      <c r="J1953" s="50" t="s">
        <v>1581</v>
      </c>
      <c r="K1953" s="62">
        <v>5102</v>
      </c>
      <c r="L1953" s="57">
        <v>205</v>
      </c>
      <c r="M1953" s="50" t="s">
        <v>26</v>
      </c>
      <c r="N1953" s="50" t="s">
        <v>317</v>
      </c>
      <c r="O1953" s="64">
        <v>361.56</v>
      </c>
      <c r="P1953" s="65">
        <v>12</v>
      </c>
      <c r="Q1953" s="64">
        <v>43.39</v>
      </c>
      <c r="R1953" s="63">
        <v>0</v>
      </c>
      <c r="S1953" s="64">
        <v>0</v>
      </c>
    </row>
    <row r="1954" spans="1:19" ht="11.1" customHeight="1" x14ac:dyDescent="0.25">
      <c r="A1954" s="57">
        <v>113611</v>
      </c>
      <c r="B1954" s="53">
        <v>46142</v>
      </c>
      <c r="C1954" s="58">
        <v>46142</v>
      </c>
      <c r="D1954" s="59" t="s">
        <v>1602</v>
      </c>
      <c r="E1954" s="50" t="s">
        <v>313</v>
      </c>
      <c r="F1954" s="57">
        <v>36</v>
      </c>
      <c r="G1954" s="60">
        <v>726</v>
      </c>
      <c r="H1954" s="61" t="s">
        <v>1579</v>
      </c>
      <c r="I1954" s="50" t="s">
        <v>1580</v>
      </c>
      <c r="J1954" s="50" t="s">
        <v>1581</v>
      </c>
      <c r="K1954" s="62">
        <v>5102</v>
      </c>
      <c r="L1954" s="57">
        <v>205</v>
      </c>
      <c r="M1954" s="50" t="s">
        <v>26</v>
      </c>
      <c r="N1954" s="50" t="s">
        <v>317</v>
      </c>
      <c r="O1954" s="64">
        <v>1457.16</v>
      </c>
      <c r="P1954" s="65">
        <v>12</v>
      </c>
      <c r="Q1954" s="64">
        <v>174.86</v>
      </c>
      <c r="R1954" s="63">
        <v>0</v>
      </c>
      <c r="S1954" s="64">
        <v>0</v>
      </c>
    </row>
    <row r="1955" spans="1:19" ht="11.1" customHeight="1" x14ac:dyDescent="0.25">
      <c r="A1955" s="57">
        <v>113645</v>
      </c>
      <c r="B1955" s="53">
        <v>46142</v>
      </c>
      <c r="C1955" s="58">
        <v>46142</v>
      </c>
      <c r="D1955" s="59" t="s">
        <v>1603</v>
      </c>
      <c r="E1955" s="50" t="s">
        <v>313</v>
      </c>
      <c r="F1955" s="57">
        <v>36</v>
      </c>
      <c r="G1955" s="60">
        <v>726</v>
      </c>
      <c r="H1955" s="61" t="s">
        <v>1579</v>
      </c>
      <c r="I1955" s="50" t="s">
        <v>1580</v>
      </c>
      <c r="J1955" s="50" t="s">
        <v>1581</v>
      </c>
      <c r="K1955" s="62">
        <v>5102</v>
      </c>
      <c r="L1955" s="57">
        <v>205</v>
      </c>
      <c r="M1955" s="50" t="s">
        <v>26</v>
      </c>
      <c r="N1955" s="50" t="s">
        <v>317</v>
      </c>
      <c r="O1955" s="64">
        <v>1160.45</v>
      </c>
      <c r="P1955" s="65">
        <v>12</v>
      </c>
      <c r="Q1955" s="64">
        <v>139.26</v>
      </c>
      <c r="R1955" s="63">
        <v>0</v>
      </c>
      <c r="S1955" s="64">
        <v>0</v>
      </c>
    </row>
    <row r="1956" spans="1:19" ht="11.1" customHeight="1" x14ac:dyDescent="0.25">
      <c r="A1956" s="57">
        <v>113646</v>
      </c>
      <c r="B1956" s="53">
        <v>46142</v>
      </c>
      <c r="C1956" s="58">
        <v>46142</v>
      </c>
      <c r="D1956" s="59" t="s">
        <v>1604</v>
      </c>
      <c r="E1956" s="50" t="s">
        <v>313</v>
      </c>
      <c r="F1956" s="57">
        <v>36</v>
      </c>
      <c r="G1956" s="60">
        <v>726</v>
      </c>
      <c r="H1956" s="61" t="s">
        <v>1579</v>
      </c>
      <c r="I1956" s="50" t="s">
        <v>1580</v>
      </c>
      <c r="J1956" s="50" t="s">
        <v>1581</v>
      </c>
      <c r="K1956" s="62">
        <v>5102</v>
      </c>
      <c r="L1956" s="57">
        <v>205</v>
      </c>
      <c r="M1956" s="50" t="s">
        <v>26</v>
      </c>
      <c r="N1956" s="50" t="s">
        <v>317</v>
      </c>
      <c r="O1956" s="64">
        <v>1432.02</v>
      </c>
      <c r="P1956" s="65">
        <v>12</v>
      </c>
      <c r="Q1956" s="64">
        <v>171.84</v>
      </c>
      <c r="R1956" s="63">
        <v>0</v>
      </c>
      <c r="S1956" s="64">
        <v>0</v>
      </c>
    </row>
    <row r="1957" spans="1:19" ht="11.1" customHeight="1" x14ac:dyDescent="0.25">
      <c r="A1957" s="57">
        <v>113667</v>
      </c>
      <c r="B1957" s="53">
        <v>46125</v>
      </c>
      <c r="C1957" s="58">
        <v>46125</v>
      </c>
      <c r="D1957" s="59" t="s">
        <v>1605</v>
      </c>
      <c r="E1957" s="50" t="s">
        <v>313</v>
      </c>
      <c r="F1957" s="57">
        <v>36</v>
      </c>
      <c r="G1957" s="60">
        <v>726</v>
      </c>
      <c r="H1957" s="61" t="s">
        <v>1579</v>
      </c>
      <c r="I1957" s="50" t="s">
        <v>1580</v>
      </c>
      <c r="J1957" s="50" t="s">
        <v>1581</v>
      </c>
      <c r="K1957" s="62">
        <v>5102</v>
      </c>
      <c r="L1957" s="57">
        <v>205</v>
      </c>
      <c r="M1957" s="50" t="s">
        <v>26</v>
      </c>
      <c r="N1957" s="50" t="s">
        <v>317</v>
      </c>
      <c r="O1957" s="64">
        <v>0</v>
      </c>
      <c r="P1957" s="65">
        <v>0</v>
      </c>
      <c r="Q1957" s="64">
        <v>0</v>
      </c>
      <c r="R1957" s="63">
        <v>0</v>
      </c>
      <c r="S1957" s="64">
        <v>0</v>
      </c>
    </row>
    <row r="1958" spans="1:19" ht="11.85" customHeight="1" x14ac:dyDescent="0.25">
      <c r="A1958" s="66" t="s">
        <v>320</v>
      </c>
      <c r="B1958" s="66"/>
      <c r="C1958" s="66"/>
      <c r="D1958" s="66"/>
      <c r="E1958" s="66"/>
      <c r="F1958" s="66"/>
      <c r="G1958" s="66"/>
      <c r="H1958" s="66"/>
    </row>
    <row r="1959" spans="1:19" ht="11.1" customHeight="1" x14ac:dyDescent="0.25">
      <c r="N1959" s="50" t="s">
        <v>317</v>
      </c>
      <c r="O1959" s="64">
        <v>38522.720000000001</v>
      </c>
      <c r="Q1959" s="64">
        <v>4622.78</v>
      </c>
      <c r="R1959" s="63">
        <v>0</v>
      </c>
      <c r="S1959" s="64">
        <v>0</v>
      </c>
    </row>
    <row r="1960" spans="1:19" ht="11.1" customHeight="1" x14ac:dyDescent="0.25">
      <c r="A1960" s="57">
        <v>112792</v>
      </c>
      <c r="B1960" s="53">
        <v>46120</v>
      </c>
      <c r="C1960" s="58">
        <v>46120</v>
      </c>
      <c r="D1960" s="59" t="s">
        <v>1606</v>
      </c>
      <c r="E1960" s="50" t="s">
        <v>313</v>
      </c>
      <c r="F1960" s="57">
        <v>36</v>
      </c>
      <c r="G1960" s="60">
        <v>279</v>
      </c>
      <c r="H1960" s="61" t="s">
        <v>1607</v>
      </c>
      <c r="I1960" s="50" t="s">
        <v>1608</v>
      </c>
      <c r="J1960" s="50" t="s">
        <v>1609</v>
      </c>
      <c r="K1960" s="62">
        <v>5403</v>
      </c>
      <c r="L1960" s="57">
        <v>207</v>
      </c>
      <c r="M1960" s="50" t="s">
        <v>26</v>
      </c>
      <c r="N1960" s="50" t="s">
        <v>317</v>
      </c>
      <c r="O1960" s="64">
        <v>607.53</v>
      </c>
      <c r="P1960" s="65">
        <v>12</v>
      </c>
      <c r="Q1960" s="64">
        <v>72.900000000000006</v>
      </c>
      <c r="R1960" s="63">
        <v>0</v>
      </c>
      <c r="S1960" s="64">
        <v>42.52</v>
      </c>
    </row>
    <row r="1961" spans="1:19" ht="11.1" customHeight="1" x14ac:dyDescent="0.25">
      <c r="N1961" s="50" t="s">
        <v>318</v>
      </c>
      <c r="O1961" s="64">
        <v>820.17</v>
      </c>
      <c r="P1961" s="65">
        <v>20</v>
      </c>
      <c r="Q1961" s="64">
        <v>42.52</v>
      </c>
      <c r="R1961" s="63">
        <v>0</v>
      </c>
      <c r="S1961" s="64">
        <v>0</v>
      </c>
    </row>
    <row r="1962" spans="1:19" ht="11.85" customHeight="1" x14ac:dyDescent="0.25">
      <c r="A1962" s="66" t="s">
        <v>320</v>
      </c>
      <c r="B1962" s="66"/>
      <c r="C1962" s="66"/>
      <c r="D1962" s="66"/>
      <c r="E1962" s="66"/>
      <c r="F1962" s="66"/>
      <c r="G1962" s="66"/>
      <c r="H1962" s="66"/>
    </row>
    <row r="1963" spans="1:19" ht="11.1" customHeight="1" x14ac:dyDescent="0.25">
      <c r="N1963" s="50" t="s">
        <v>317</v>
      </c>
      <c r="O1963" s="64">
        <v>607.53</v>
      </c>
      <c r="Q1963" s="64">
        <v>72.900000000000006</v>
      </c>
      <c r="R1963" s="63">
        <v>0</v>
      </c>
      <c r="S1963" s="64">
        <v>42.52</v>
      </c>
    </row>
    <row r="1964" spans="1:19" ht="11.1" customHeight="1" x14ac:dyDescent="0.25">
      <c r="N1964" s="50" t="s">
        <v>318</v>
      </c>
      <c r="O1964" s="64">
        <v>820.17</v>
      </c>
      <c r="Q1964" s="64">
        <v>42.52</v>
      </c>
      <c r="R1964" s="63">
        <v>0</v>
      </c>
      <c r="S1964" s="64">
        <v>0</v>
      </c>
    </row>
    <row r="1965" spans="1:19" ht="11.1" customHeight="1" x14ac:dyDescent="0.25">
      <c r="A1965" s="57">
        <v>112738</v>
      </c>
      <c r="B1965" s="53">
        <v>46120</v>
      </c>
      <c r="C1965" s="58">
        <v>46120</v>
      </c>
      <c r="D1965" s="59" t="s">
        <v>1610</v>
      </c>
      <c r="E1965" s="50" t="s">
        <v>313</v>
      </c>
      <c r="F1965" s="57">
        <v>36</v>
      </c>
      <c r="G1965" s="60">
        <v>672</v>
      </c>
      <c r="H1965" s="61" t="s">
        <v>1611</v>
      </c>
      <c r="I1965" s="50" t="s">
        <v>1612</v>
      </c>
      <c r="J1965" s="50" t="s">
        <v>1613</v>
      </c>
      <c r="K1965" s="62">
        <v>6403</v>
      </c>
      <c r="L1965" s="57">
        <v>207</v>
      </c>
      <c r="M1965" s="50" t="s">
        <v>34</v>
      </c>
      <c r="N1965" s="50" t="s">
        <v>317</v>
      </c>
      <c r="O1965" s="64">
        <v>977.98</v>
      </c>
      <c r="P1965" s="65">
        <v>12</v>
      </c>
      <c r="Q1965" s="64">
        <v>117.36</v>
      </c>
      <c r="R1965" s="63">
        <v>0</v>
      </c>
      <c r="S1965" s="64">
        <v>148.62</v>
      </c>
    </row>
    <row r="1966" spans="1:19" ht="11.1" customHeight="1" x14ac:dyDescent="0.25">
      <c r="N1966" s="50" t="s">
        <v>318</v>
      </c>
      <c r="O1966" s="64">
        <v>1399.88</v>
      </c>
      <c r="P1966" s="65">
        <v>19</v>
      </c>
      <c r="Q1966" s="64">
        <v>148.62</v>
      </c>
      <c r="R1966" s="63">
        <v>0</v>
      </c>
      <c r="S1966" s="64">
        <v>0</v>
      </c>
    </row>
    <row r="1967" spans="1:19" ht="11.1" customHeight="1" x14ac:dyDescent="0.25">
      <c r="A1967" s="57">
        <v>113395</v>
      </c>
      <c r="B1967" s="53">
        <v>46136</v>
      </c>
      <c r="C1967" s="58">
        <v>46136</v>
      </c>
      <c r="D1967" s="59" t="s">
        <v>1614</v>
      </c>
      <c r="E1967" s="50" t="s">
        <v>313</v>
      </c>
      <c r="F1967" s="57">
        <v>36</v>
      </c>
      <c r="G1967" s="60">
        <v>672</v>
      </c>
      <c r="H1967" s="61" t="s">
        <v>1611</v>
      </c>
      <c r="I1967" s="50" t="s">
        <v>1612</v>
      </c>
      <c r="J1967" s="50" t="s">
        <v>1613</v>
      </c>
      <c r="K1967" s="62">
        <v>6403</v>
      </c>
      <c r="L1967" s="57">
        <v>207</v>
      </c>
      <c r="M1967" s="50" t="s">
        <v>34</v>
      </c>
      <c r="N1967" s="50" t="s">
        <v>317</v>
      </c>
      <c r="O1967" s="64">
        <v>1326.96</v>
      </c>
      <c r="P1967" s="65">
        <v>12</v>
      </c>
      <c r="Q1967" s="64">
        <v>159.24</v>
      </c>
      <c r="R1967" s="63">
        <v>0</v>
      </c>
      <c r="S1967" s="64">
        <v>201.64</v>
      </c>
    </row>
    <row r="1968" spans="1:19" ht="11.1" customHeight="1" x14ac:dyDescent="0.25">
      <c r="N1968" s="50" t="s">
        <v>318</v>
      </c>
      <c r="O1968" s="64">
        <v>1899.41</v>
      </c>
      <c r="P1968" s="65">
        <v>19</v>
      </c>
      <c r="Q1968" s="64">
        <v>201.64</v>
      </c>
      <c r="R1968" s="63">
        <v>0</v>
      </c>
      <c r="S1968" s="64">
        <v>0</v>
      </c>
    </row>
    <row r="1969" spans="1:19" ht="11.85" customHeight="1" x14ac:dyDescent="0.25">
      <c r="A1969" s="66" t="s">
        <v>320</v>
      </c>
      <c r="B1969" s="66"/>
      <c r="C1969" s="66"/>
      <c r="D1969" s="66"/>
      <c r="E1969" s="66"/>
      <c r="F1969" s="66"/>
      <c r="G1969" s="66"/>
      <c r="H1969" s="66"/>
    </row>
    <row r="1970" spans="1:19" ht="11.1" customHeight="1" x14ac:dyDescent="0.25">
      <c r="N1970" s="50" t="s">
        <v>317</v>
      </c>
      <c r="O1970" s="64">
        <v>2304.94</v>
      </c>
      <c r="Q1970" s="64">
        <v>276.60000000000002</v>
      </c>
      <c r="R1970" s="63">
        <v>0</v>
      </c>
      <c r="S1970" s="64">
        <v>350.26</v>
      </c>
    </row>
    <row r="1971" spans="1:19" ht="11.1" customHeight="1" x14ac:dyDescent="0.25">
      <c r="N1971" s="50" t="s">
        <v>318</v>
      </c>
      <c r="O1971" s="64">
        <v>3299.29</v>
      </c>
      <c r="Q1971" s="64">
        <v>350.26</v>
      </c>
      <c r="R1971" s="63">
        <v>0</v>
      </c>
      <c r="S1971" s="64">
        <v>0</v>
      </c>
    </row>
    <row r="1972" spans="1:19" ht="11.1" customHeight="1" x14ac:dyDescent="0.25">
      <c r="A1972" s="57">
        <v>112533</v>
      </c>
      <c r="B1972" s="53">
        <v>46114</v>
      </c>
      <c r="C1972" s="58">
        <v>46114</v>
      </c>
      <c r="D1972" s="59" t="s">
        <v>1615</v>
      </c>
      <c r="E1972" s="50" t="s">
        <v>313</v>
      </c>
      <c r="F1972" s="57">
        <v>36</v>
      </c>
      <c r="G1972" s="60">
        <v>926</v>
      </c>
      <c r="H1972" s="61" t="s">
        <v>1616</v>
      </c>
      <c r="I1972" s="50" t="s">
        <v>1617</v>
      </c>
      <c r="J1972" s="50" t="s">
        <v>1618</v>
      </c>
      <c r="K1972" s="62">
        <v>5102</v>
      </c>
      <c r="L1972" s="57">
        <v>205</v>
      </c>
      <c r="M1972" s="50" t="s">
        <v>26</v>
      </c>
      <c r="N1972" s="50" t="s">
        <v>317</v>
      </c>
      <c r="O1972" s="64">
        <v>19.920000000000002</v>
      </c>
      <c r="P1972" s="65">
        <v>12</v>
      </c>
      <c r="Q1972" s="64">
        <v>2.39</v>
      </c>
      <c r="R1972" s="63">
        <v>0</v>
      </c>
      <c r="S1972" s="64">
        <v>0</v>
      </c>
    </row>
    <row r="1973" spans="1:19" ht="11.1" customHeight="1" x14ac:dyDescent="0.25">
      <c r="A1973" s="57">
        <v>112534</v>
      </c>
      <c r="B1973" s="53">
        <v>46114</v>
      </c>
      <c r="C1973" s="58">
        <v>46114</v>
      </c>
      <c r="D1973" s="59" t="s">
        <v>1615</v>
      </c>
      <c r="E1973" s="50" t="s">
        <v>313</v>
      </c>
      <c r="F1973" s="57">
        <v>36</v>
      </c>
      <c r="G1973" s="60">
        <v>926</v>
      </c>
      <c r="H1973" s="61" t="s">
        <v>1616</v>
      </c>
      <c r="I1973" s="50" t="s">
        <v>1617</v>
      </c>
      <c r="J1973" s="50" t="s">
        <v>1618</v>
      </c>
      <c r="K1973" s="62">
        <v>5403</v>
      </c>
      <c r="L1973" s="57">
        <v>207</v>
      </c>
      <c r="M1973" s="50" t="s">
        <v>26</v>
      </c>
      <c r="N1973" s="50" t="s">
        <v>317</v>
      </c>
      <c r="O1973" s="64">
        <v>71.34</v>
      </c>
      <c r="P1973" s="65">
        <v>12</v>
      </c>
      <c r="Q1973" s="64">
        <v>8.56</v>
      </c>
      <c r="R1973" s="63">
        <v>0</v>
      </c>
      <c r="S1973" s="64">
        <v>4.99</v>
      </c>
    </row>
    <row r="1974" spans="1:19" ht="11.1" customHeight="1" x14ac:dyDescent="0.25">
      <c r="N1974" s="50" t="s">
        <v>318</v>
      </c>
      <c r="O1974" s="64">
        <v>96.31</v>
      </c>
      <c r="P1974" s="65">
        <v>20</v>
      </c>
      <c r="Q1974" s="64">
        <v>4.99</v>
      </c>
      <c r="R1974" s="63">
        <v>0</v>
      </c>
      <c r="S1974" s="64">
        <v>0</v>
      </c>
    </row>
    <row r="1975" spans="1:19" ht="11.1" customHeight="1" x14ac:dyDescent="0.25">
      <c r="A1975" s="57">
        <v>112535</v>
      </c>
      <c r="B1975" s="53">
        <v>46114</v>
      </c>
      <c r="C1975" s="58">
        <v>46114</v>
      </c>
      <c r="D1975" s="59" t="s">
        <v>1619</v>
      </c>
      <c r="E1975" s="50" t="s">
        <v>313</v>
      </c>
      <c r="F1975" s="57">
        <v>36</v>
      </c>
      <c r="G1975" s="60">
        <v>926</v>
      </c>
      <c r="H1975" s="61" t="s">
        <v>1616</v>
      </c>
      <c r="I1975" s="50" t="s">
        <v>1617</v>
      </c>
      <c r="J1975" s="50" t="s">
        <v>1618</v>
      </c>
      <c r="K1975" s="62">
        <v>5102</v>
      </c>
      <c r="L1975" s="57">
        <v>205</v>
      </c>
      <c r="M1975" s="50" t="s">
        <v>26</v>
      </c>
      <c r="N1975" s="50" t="s">
        <v>317</v>
      </c>
      <c r="O1975" s="64">
        <v>164.6</v>
      </c>
      <c r="P1975" s="65">
        <v>12</v>
      </c>
      <c r="Q1975" s="64">
        <v>19.77</v>
      </c>
      <c r="R1975" s="63">
        <v>0</v>
      </c>
      <c r="S1975" s="64">
        <v>0</v>
      </c>
    </row>
    <row r="1976" spans="1:19" ht="11.1" customHeight="1" x14ac:dyDescent="0.25">
      <c r="A1976" s="57">
        <v>112536</v>
      </c>
      <c r="B1976" s="53">
        <v>46114</v>
      </c>
      <c r="C1976" s="58">
        <v>46114</v>
      </c>
      <c r="D1976" s="59" t="s">
        <v>1619</v>
      </c>
      <c r="E1976" s="50" t="s">
        <v>313</v>
      </c>
      <c r="F1976" s="57">
        <v>36</v>
      </c>
      <c r="G1976" s="60">
        <v>926</v>
      </c>
      <c r="H1976" s="61" t="s">
        <v>1616</v>
      </c>
      <c r="I1976" s="50" t="s">
        <v>1617</v>
      </c>
      <c r="J1976" s="50" t="s">
        <v>1618</v>
      </c>
      <c r="K1976" s="62">
        <v>5403</v>
      </c>
      <c r="L1976" s="57">
        <v>207</v>
      </c>
      <c r="M1976" s="50" t="s">
        <v>26</v>
      </c>
      <c r="N1976" s="50" t="s">
        <v>317</v>
      </c>
      <c r="O1976" s="64">
        <v>1022.42</v>
      </c>
      <c r="P1976" s="65">
        <v>12</v>
      </c>
      <c r="Q1976" s="64">
        <v>122.69</v>
      </c>
      <c r="R1976" s="63">
        <v>0</v>
      </c>
      <c r="S1976" s="64">
        <v>70.209999999999994</v>
      </c>
    </row>
    <row r="1977" spans="1:19" ht="11.1" customHeight="1" x14ac:dyDescent="0.25">
      <c r="N1977" s="50" t="s">
        <v>318</v>
      </c>
      <c r="O1977" s="64">
        <v>1373.38</v>
      </c>
      <c r="P1977" s="65">
        <v>20</v>
      </c>
      <c r="Q1977" s="64">
        <v>70.209999999999994</v>
      </c>
      <c r="R1977" s="63">
        <v>0</v>
      </c>
      <c r="S1977" s="64">
        <v>0</v>
      </c>
    </row>
    <row r="1978" spans="1:19" ht="11.85" customHeight="1" x14ac:dyDescent="0.25">
      <c r="A1978" s="66" t="s">
        <v>320</v>
      </c>
      <c r="B1978" s="66"/>
      <c r="C1978" s="66"/>
      <c r="D1978" s="66"/>
      <c r="E1978" s="66"/>
      <c r="F1978" s="66"/>
      <c r="G1978" s="66"/>
      <c r="H1978" s="66"/>
    </row>
    <row r="1979" spans="1:19" ht="11.1" customHeight="1" x14ac:dyDescent="0.25">
      <c r="N1979" s="50" t="s">
        <v>317</v>
      </c>
      <c r="O1979" s="64">
        <v>1278.28</v>
      </c>
      <c r="Q1979" s="64">
        <v>153.41</v>
      </c>
      <c r="R1979" s="63">
        <v>0</v>
      </c>
      <c r="S1979" s="64">
        <v>75.2</v>
      </c>
    </row>
    <row r="1980" spans="1:19" ht="11.1" customHeight="1" x14ac:dyDescent="0.25">
      <c r="N1980" s="50" t="s">
        <v>318</v>
      </c>
      <c r="O1980" s="64">
        <v>1469.69</v>
      </c>
      <c r="Q1980" s="64">
        <v>75.2</v>
      </c>
      <c r="R1980" s="63">
        <v>0</v>
      </c>
      <c r="S1980" s="64">
        <v>0</v>
      </c>
    </row>
    <row r="1981" spans="1:19" ht="11.1" customHeight="1" x14ac:dyDescent="0.25">
      <c r="A1981" s="57">
        <v>113246</v>
      </c>
      <c r="B1981" s="53">
        <v>46132</v>
      </c>
      <c r="C1981" s="58">
        <v>46132</v>
      </c>
      <c r="D1981" s="59" t="s">
        <v>1620</v>
      </c>
      <c r="E1981" s="50" t="s">
        <v>313</v>
      </c>
      <c r="F1981" s="57">
        <v>36</v>
      </c>
      <c r="G1981" s="60">
        <v>919</v>
      </c>
      <c r="H1981" s="61" t="s">
        <v>1621</v>
      </c>
      <c r="I1981" s="50" t="s">
        <v>1622</v>
      </c>
      <c r="J1981" s="50" t="s">
        <v>1623</v>
      </c>
      <c r="K1981" s="62">
        <v>5102</v>
      </c>
      <c r="L1981" s="57">
        <v>205</v>
      </c>
      <c r="M1981" s="50" t="s">
        <v>26</v>
      </c>
      <c r="N1981" s="50" t="s">
        <v>317</v>
      </c>
      <c r="O1981" s="64">
        <v>3252.43</v>
      </c>
      <c r="P1981" s="65">
        <v>12</v>
      </c>
      <c r="Q1981" s="64">
        <v>390.29</v>
      </c>
      <c r="R1981" s="63">
        <v>0</v>
      </c>
      <c r="S1981" s="64">
        <v>0</v>
      </c>
    </row>
    <row r="1982" spans="1:19" ht="11.1" customHeight="1" x14ac:dyDescent="0.25">
      <c r="A1982" s="57">
        <v>113545</v>
      </c>
      <c r="B1982" s="53">
        <v>46140</v>
      </c>
      <c r="C1982" s="58">
        <v>46140</v>
      </c>
      <c r="D1982" s="59" t="s">
        <v>1624</v>
      </c>
      <c r="E1982" s="50" t="s">
        <v>313</v>
      </c>
      <c r="F1982" s="57">
        <v>36</v>
      </c>
      <c r="G1982" s="60">
        <v>919</v>
      </c>
      <c r="H1982" s="61" t="s">
        <v>1621</v>
      </c>
      <c r="I1982" s="50" t="s">
        <v>1622</v>
      </c>
      <c r="J1982" s="50" t="s">
        <v>1623</v>
      </c>
      <c r="K1982" s="62">
        <v>5102</v>
      </c>
      <c r="L1982" s="57">
        <v>205</v>
      </c>
      <c r="M1982" s="50" t="s">
        <v>26</v>
      </c>
      <c r="N1982" s="50" t="s">
        <v>317</v>
      </c>
      <c r="O1982" s="64">
        <v>1471.33</v>
      </c>
      <c r="P1982" s="65">
        <v>12</v>
      </c>
      <c r="Q1982" s="64">
        <v>176.56</v>
      </c>
      <c r="R1982" s="63">
        <v>0</v>
      </c>
      <c r="S1982" s="64">
        <v>0</v>
      </c>
    </row>
    <row r="1983" spans="1:19" ht="11.85" customHeight="1" x14ac:dyDescent="0.25">
      <c r="A1983" s="66" t="s">
        <v>320</v>
      </c>
      <c r="B1983" s="66"/>
      <c r="C1983" s="66"/>
      <c r="D1983" s="66"/>
      <c r="E1983" s="66"/>
      <c r="F1983" s="66"/>
      <c r="G1983" s="66"/>
      <c r="H1983" s="66"/>
    </row>
    <row r="1984" spans="1:19" ht="11.1" customHeight="1" x14ac:dyDescent="0.25">
      <c r="N1984" s="50" t="s">
        <v>317</v>
      </c>
      <c r="O1984" s="64">
        <v>4723.76</v>
      </c>
      <c r="Q1984" s="64">
        <v>566.85</v>
      </c>
      <c r="R1984" s="63">
        <v>0</v>
      </c>
      <c r="S1984" s="64">
        <v>0</v>
      </c>
    </row>
    <row r="1985" spans="1:19" ht="11.1" customHeight="1" x14ac:dyDescent="0.25">
      <c r="A1985" s="57">
        <v>113363</v>
      </c>
      <c r="B1985" s="53">
        <v>46135</v>
      </c>
      <c r="C1985" s="58">
        <v>46135</v>
      </c>
      <c r="D1985" s="59" t="s">
        <v>1625</v>
      </c>
      <c r="E1985" s="50" t="s">
        <v>313</v>
      </c>
      <c r="F1985" s="57">
        <v>36</v>
      </c>
      <c r="G1985" s="60">
        <v>447</v>
      </c>
      <c r="H1985" s="61" t="s">
        <v>1626</v>
      </c>
      <c r="I1985" s="50" t="s">
        <v>1627</v>
      </c>
      <c r="J1985" s="50" t="s">
        <v>1628</v>
      </c>
      <c r="K1985" s="62">
        <v>5102</v>
      </c>
      <c r="L1985" s="57">
        <v>205</v>
      </c>
      <c r="M1985" s="50" t="s">
        <v>26</v>
      </c>
      <c r="N1985" s="50" t="s">
        <v>317</v>
      </c>
      <c r="O1985" s="64">
        <v>318.5</v>
      </c>
      <c r="P1985" s="65">
        <v>12</v>
      </c>
      <c r="Q1985" s="64">
        <v>38.22</v>
      </c>
      <c r="R1985" s="63">
        <v>0</v>
      </c>
      <c r="S1985" s="64">
        <v>0</v>
      </c>
    </row>
    <row r="1986" spans="1:19" ht="11.85" customHeight="1" x14ac:dyDescent="0.25">
      <c r="A1986" s="66" t="s">
        <v>320</v>
      </c>
      <c r="B1986" s="66"/>
      <c r="C1986" s="66"/>
      <c r="D1986" s="66"/>
      <c r="E1986" s="66"/>
      <c r="F1986" s="66"/>
      <c r="G1986" s="66"/>
      <c r="H1986" s="66"/>
    </row>
    <row r="1987" spans="1:19" ht="11.1" customHeight="1" x14ac:dyDescent="0.25">
      <c r="N1987" s="50" t="s">
        <v>317</v>
      </c>
      <c r="O1987" s="64">
        <v>318.5</v>
      </c>
      <c r="Q1987" s="64">
        <v>38.22</v>
      </c>
      <c r="R1987" s="63">
        <v>0</v>
      </c>
      <c r="S1987" s="64">
        <v>0</v>
      </c>
    </row>
    <row r="1988" spans="1:19" ht="11.1" customHeight="1" x14ac:dyDescent="0.25">
      <c r="A1988" s="57">
        <v>113689</v>
      </c>
      <c r="B1988" s="53">
        <v>46127</v>
      </c>
      <c r="C1988" s="58">
        <v>46127</v>
      </c>
      <c r="D1988" s="59" t="s">
        <v>1629</v>
      </c>
      <c r="E1988" s="50" t="s">
        <v>1630</v>
      </c>
      <c r="F1988" s="57">
        <v>36</v>
      </c>
      <c r="G1988" s="60">
        <v>418</v>
      </c>
      <c r="H1988" s="61" t="s">
        <v>1631</v>
      </c>
      <c r="I1988" s="50" t="s">
        <v>1632</v>
      </c>
      <c r="J1988" s="50" t="s">
        <v>1633</v>
      </c>
      <c r="K1988" s="62">
        <v>5949</v>
      </c>
      <c r="L1988" s="57">
        <v>232</v>
      </c>
      <c r="M1988" s="50" t="s">
        <v>26</v>
      </c>
      <c r="N1988" s="50" t="s">
        <v>317</v>
      </c>
      <c r="O1988" s="64">
        <v>0</v>
      </c>
      <c r="P1988" s="65">
        <v>0</v>
      </c>
      <c r="Q1988" s="64">
        <v>0</v>
      </c>
      <c r="R1988" s="63">
        <v>0</v>
      </c>
      <c r="S1988" s="64">
        <v>4.9800000000000004</v>
      </c>
    </row>
    <row r="1989" spans="1:19" ht="11.85" customHeight="1" x14ac:dyDescent="0.25">
      <c r="A1989" s="66" t="s">
        <v>320</v>
      </c>
      <c r="B1989" s="66"/>
      <c r="C1989" s="66"/>
      <c r="D1989" s="66"/>
      <c r="E1989" s="66"/>
      <c r="F1989" s="66"/>
      <c r="G1989" s="66"/>
      <c r="H1989" s="66"/>
    </row>
    <row r="1990" spans="1:19" ht="11.1" customHeight="1" x14ac:dyDescent="0.25">
      <c r="N1990" s="50" t="s">
        <v>317</v>
      </c>
      <c r="O1990" s="64">
        <v>0</v>
      </c>
      <c r="Q1990" s="64">
        <v>0</v>
      </c>
      <c r="R1990" s="63">
        <v>0</v>
      </c>
      <c r="S1990" s="64">
        <v>4.9800000000000004</v>
      </c>
    </row>
    <row r="1991" spans="1:19" ht="11.1" customHeight="1" x14ac:dyDescent="0.25">
      <c r="A1991" s="57">
        <v>113185</v>
      </c>
      <c r="B1991" s="53">
        <v>46129</v>
      </c>
      <c r="C1991" s="58">
        <v>46129</v>
      </c>
      <c r="D1991" s="59" t="s">
        <v>1634</v>
      </c>
      <c r="E1991" s="50" t="s">
        <v>313</v>
      </c>
      <c r="F1991" s="57">
        <v>36</v>
      </c>
      <c r="G1991" s="60">
        <v>985</v>
      </c>
      <c r="H1991" s="61" t="s">
        <v>1635</v>
      </c>
      <c r="I1991" s="50" t="s">
        <v>1636</v>
      </c>
      <c r="J1991" s="50" t="s">
        <v>1637</v>
      </c>
      <c r="K1991" s="62">
        <v>5102</v>
      </c>
      <c r="L1991" s="57">
        <v>205</v>
      </c>
      <c r="M1991" s="50" t="s">
        <v>26</v>
      </c>
      <c r="N1991" s="50" t="s">
        <v>317</v>
      </c>
      <c r="O1991" s="64">
        <v>66.760000000000005</v>
      </c>
      <c r="P1991" s="65">
        <v>12</v>
      </c>
      <c r="Q1991" s="64">
        <v>8.01</v>
      </c>
      <c r="R1991" s="63">
        <v>0</v>
      </c>
      <c r="S1991" s="64">
        <v>0</v>
      </c>
    </row>
    <row r="1992" spans="1:19" ht="11.1" customHeight="1" x14ac:dyDescent="0.25">
      <c r="A1992" s="57">
        <v>113186</v>
      </c>
      <c r="B1992" s="53">
        <v>46129</v>
      </c>
      <c r="C1992" s="58">
        <v>46129</v>
      </c>
      <c r="D1992" s="59" t="s">
        <v>1634</v>
      </c>
      <c r="E1992" s="50" t="s">
        <v>313</v>
      </c>
      <c r="F1992" s="57">
        <v>36</v>
      </c>
      <c r="G1992" s="60">
        <v>985</v>
      </c>
      <c r="H1992" s="61" t="s">
        <v>1635</v>
      </c>
      <c r="I1992" s="50" t="s">
        <v>1636</v>
      </c>
      <c r="J1992" s="50" t="s">
        <v>1637</v>
      </c>
      <c r="K1992" s="62">
        <v>5403</v>
      </c>
      <c r="L1992" s="57">
        <v>207</v>
      </c>
      <c r="M1992" s="50" t="s">
        <v>26</v>
      </c>
      <c r="N1992" s="50" t="s">
        <v>317</v>
      </c>
      <c r="O1992" s="64">
        <v>350.74</v>
      </c>
      <c r="P1992" s="65">
        <v>12</v>
      </c>
      <c r="Q1992" s="64">
        <v>42.09</v>
      </c>
      <c r="R1992" s="63">
        <v>0</v>
      </c>
      <c r="S1992" s="64">
        <v>24.55</v>
      </c>
    </row>
    <row r="1993" spans="1:19" ht="11.1" customHeight="1" x14ac:dyDescent="0.25">
      <c r="N1993" s="50" t="s">
        <v>318</v>
      </c>
      <c r="O1993" s="64">
        <v>473.5</v>
      </c>
      <c r="P1993" s="65">
        <v>20</v>
      </c>
      <c r="Q1993" s="64">
        <v>24.55</v>
      </c>
      <c r="R1993" s="63">
        <v>0</v>
      </c>
      <c r="S1993" s="64">
        <v>0</v>
      </c>
    </row>
    <row r="1994" spans="1:19" ht="11.85" customHeight="1" x14ac:dyDescent="0.25">
      <c r="A1994" s="66" t="s">
        <v>320</v>
      </c>
      <c r="B1994" s="66"/>
      <c r="C1994" s="66"/>
      <c r="D1994" s="66"/>
      <c r="E1994" s="66"/>
      <c r="F1994" s="66"/>
      <c r="G1994" s="66"/>
      <c r="H1994" s="66"/>
    </row>
    <row r="1995" spans="1:19" ht="11.1" customHeight="1" x14ac:dyDescent="0.25">
      <c r="N1995" s="50" t="s">
        <v>317</v>
      </c>
      <c r="O1995" s="64">
        <v>417.5</v>
      </c>
      <c r="Q1995" s="64">
        <v>50.1</v>
      </c>
      <c r="R1995" s="63">
        <v>0</v>
      </c>
      <c r="S1995" s="64">
        <v>24.55</v>
      </c>
    </row>
    <row r="1996" spans="1:19" ht="11.1" customHeight="1" x14ac:dyDescent="0.25">
      <c r="N1996" s="50" t="s">
        <v>318</v>
      </c>
      <c r="O1996" s="64">
        <v>473.5</v>
      </c>
      <c r="Q1996" s="64">
        <v>24.55</v>
      </c>
      <c r="R1996" s="63">
        <v>0</v>
      </c>
      <c r="S1996" s="64">
        <v>0</v>
      </c>
    </row>
    <row r="1997" spans="1:19" ht="11.1" customHeight="1" x14ac:dyDescent="0.25">
      <c r="A1997" s="57">
        <v>113151</v>
      </c>
      <c r="B1997" s="53">
        <v>46128</v>
      </c>
      <c r="C1997" s="58">
        <v>46128</v>
      </c>
      <c r="D1997" s="59" t="s">
        <v>1638</v>
      </c>
      <c r="E1997" s="50" t="s">
        <v>313</v>
      </c>
      <c r="F1997" s="57">
        <v>36</v>
      </c>
      <c r="G1997" s="60">
        <v>64</v>
      </c>
      <c r="H1997" s="61" t="s">
        <v>1639</v>
      </c>
      <c r="I1997" s="50" t="s">
        <v>1640</v>
      </c>
      <c r="J1997" s="50" t="s">
        <v>1641</v>
      </c>
      <c r="K1997" s="62">
        <v>5102</v>
      </c>
      <c r="L1997" s="57">
        <v>205</v>
      </c>
      <c r="M1997" s="50" t="s">
        <v>26</v>
      </c>
      <c r="N1997" s="50" t="s">
        <v>317</v>
      </c>
      <c r="O1997" s="64">
        <v>386.4</v>
      </c>
      <c r="P1997" s="65">
        <v>12</v>
      </c>
      <c r="Q1997" s="64">
        <v>46.37</v>
      </c>
      <c r="R1997" s="63">
        <v>0</v>
      </c>
      <c r="S1997" s="64">
        <v>0</v>
      </c>
    </row>
    <row r="1998" spans="1:19" ht="11.1" customHeight="1" x14ac:dyDescent="0.25">
      <c r="A1998" s="57">
        <v>113152</v>
      </c>
      <c r="B1998" s="53">
        <v>46128</v>
      </c>
      <c r="C1998" s="58">
        <v>46128</v>
      </c>
      <c r="D1998" s="59" t="s">
        <v>1638</v>
      </c>
      <c r="E1998" s="50" t="s">
        <v>313</v>
      </c>
      <c r="F1998" s="57">
        <v>36</v>
      </c>
      <c r="G1998" s="60">
        <v>64</v>
      </c>
      <c r="H1998" s="61" t="s">
        <v>1639</v>
      </c>
      <c r="I1998" s="50" t="s">
        <v>1640</v>
      </c>
      <c r="J1998" s="50" t="s">
        <v>1641</v>
      </c>
      <c r="K1998" s="62">
        <v>5403</v>
      </c>
      <c r="L1998" s="57">
        <v>207</v>
      </c>
      <c r="M1998" s="50" t="s">
        <v>26</v>
      </c>
      <c r="N1998" s="50" t="s">
        <v>317</v>
      </c>
      <c r="O1998" s="64">
        <v>332.1</v>
      </c>
      <c r="P1998" s="65">
        <v>12</v>
      </c>
      <c r="Q1998" s="64">
        <v>39.85</v>
      </c>
      <c r="R1998" s="63">
        <v>0</v>
      </c>
      <c r="S1998" s="64">
        <v>23.25</v>
      </c>
    </row>
    <row r="1999" spans="1:19" ht="11.1" customHeight="1" x14ac:dyDescent="0.25">
      <c r="N1999" s="50" t="s">
        <v>318</v>
      </c>
      <c r="O1999" s="64">
        <v>448.34</v>
      </c>
      <c r="P1999" s="65">
        <v>20</v>
      </c>
      <c r="Q1999" s="64">
        <v>23.25</v>
      </c>
      <c r="R1999" s="63">
        <v>0</v>
      </c>
      <c r="S1999" s="64">
        <v>0</v>
      </c>
    </row>
    <row r="2000" spans="1:19" ht="11.85" customHeight="1" x14ac:dyDescent="0.25">
      <c r="A2000" s="66" t="s">
        <v>320</v>
      </c>
      <c r="B2000" s="66"/>
      <c r="C2000" s="66"/>
      <c r="D2000" s="66"/>
      <c r="E2000" s="66"/>
      <c r="F2000" s="66"/>
      <c r="G2000" s="66"/>
      <c r="H2000" s="66"/>
    </row>
    <row r="2001" spans="1:19" ht="11.1" customHeight="1" x14ac:dyDescent="0.25">
      <c r="N2001" s="50" t="s">
        <v>317</v>
      </c>
      <c r="O2001" s="64">
        <v>718.5</v>
      </c>
      <c r="Q2001" s="64">
        <v>86.22</v>
      </c>
      <c r="R2001" s="63">
        <v>0</v>
      </c>
      <c r="S2001" s="64">
        <v>23.25</v>
      </c>
    </row>
    <row r="2002" spans="1:19" ht="11.1" customHeight="1" x14ac:dyDescent="0.25">
      <c r="N2002" s="50" t="s">
        <v>318</v>
      </c>
      <c r="O2002" s="64">
        <v>448.34</v>
      </c>
      <c r="Q2002" s="64">
        <v>23.25</v>
      </c>
      <c r="R2002" s="63">
        <v>0</v>
      </c>
      <c r="S2002" s="64">
        <v>0</v>
      </c>
    </row>
    <row r="2003" spans="1:19" ht="11.1" customHeight="1" x14ac:dyDescent="0.25">
      <c r="A2003" s="57">
        <v>113350</v>
      </c>
      <c r="B2003" s="53">
        <v>46135</v>
      </c>
      <c r="C2003" s="58">
        <v>46135</v>
      </c>
      <c r="D2003" s="59" t="s">
        <v>1642</v>
      </c>
      <c r="E2003" s="50" t="s">
        <v>313</v>
      </c>
      <c r="F2003" s="57">
        <v>36</v>
      </c>
      <c r="G2003" s="60">
        <v>614</v>
      </c>
      <c r="H2003" s="61" t="s">
        <v>1643</v>
      </c>
      <c r="I2003" s="50" t="s">
        <v>1644</v>
      </c>
      <c r="J2003" s="50" t="s">
        <v>1645</v>
      </c>
      <c r="K2003" s="62">
        <v>5102</v>
      </c>
      <c r="L2003" s="57">
        <v>205</v>
      </c>
      <c r="M2003" s="50" t="s">
        <v>26</v>
      </c>
      <c r="N2003" s="50" t="s">
        <v>317</v>
      </c>
      <c r="O2003" s="64">
        <v>82.18</v>
      </c>
      <c r="P2003" s="65">
        <v>12</v>
      </c>
      <c r="Q2003" s="64">
        <v>9.86</v>
      </c>
      <c r="R2003" s="63">
        <v>0</v>
      </c>
      <c r="S2003" s="64">
        <v>0</v>
      </c>
    </row>
    <row r="2004" spans="1:19" ht="11.1" customHeight="1" x14ac:dyDescent="0.25">
      <c r="A2004" s="57">
        <v>113511</v>
      </c>
      <c r="B2004" s="53">
        <v>46140</v>
      </c>
      <c r="C2004" s="58">
        <v>46140</v>
      </c>
      <c r="D2004" s="59" t="s">
        <v>1646</v>
      </c>
      <c r="E2004" s="50" t="s">
        <v>313</v>
      </c>
      <c r="F2004" s="57">
        <v>36</v>
      </c>
      <c r="G2004" s="60">
        <v>614</v>
      </c>
      <c r="H2004" s="61" t="s">
        <v>1643</v>
      </c>
      <c r="I2004" s="50" t="s">
        <v>1644</v>
      </c>
      <c r="J2004" s="50" t="s">
        <v>1645</v>
      </c>
      <c r="K2004" s="62">
        <v>5405</v>
      </c>
      <c r="L2004" s="57">
        <v>206</v>
      </c>
      <c r="M2004" s="50" t="s">
        <v>26</v>
      </c>
      <c r="N2004" s="50" t="s">
        <v>317</v>
      </c>
      <c r="O2004" s="64">
        <v>0</v>
      </c>
      <c r="P2004" s="65">
        <v>0</v>
      </c>
      <c r="Q2004" s="64">
        <v>0</v>
      </c>
      <c r="R2004" s="63">
        <v>0</v>
      </c>
      <c r="S2004" s="64">
        <v>67.819999999999993</v>
      </c>
    </row>
    <row r="2005" spans="1:19" ht="11.85" customHeight="1" x14ac:dyDescent="0.25">
      <c r="A2005" s="66" t="s">
        <v>320</v>
      </c>
      <c r="B2005" s="66"/>
      <c r="C2005" s="66"/>
      <c r="D2005" s="66"/>
      <c r="E2005" s="66"/>
      <c r="F2005" s="66"/>
      <c r="G2005" s="66"/>
      <c r="H2005" s="66"/>
    </row>
    <row r="2006" spans="1:19" ht="11.1" customHeight="1" x14ac:dyDescent="0.25">
      <c r="N2006" s="50" t="s">
        <v>317</v>
      </c>
      <c r="O2006" s="64">
        <v>82.18</v>
      </c>
      <c r="Q2006" s="64">
        <v>9.86</v>
      </c>
      <c r="R2006" s="63">
        <v>0</v>
      </c>
      <c r="S2006" s="64">
        <v>67.819999999999993</v>
      </c>
    </row>
    <row r="2007" spans="1:19" ht="11.1" customHeight="1" x14ac:dyDescent="0.25">
      <c r="A2007" s="57">
        <v>112475</v>
      </c>
      <c r="B2007" s="53">
        <v>46113</v>
      </c>
      <c r="C2007" s="58">
        <v>46113</v>
      </c>
      <c r="D2007" s="59" t="s">
        <v>1647</v>
      </c>
      <c r="E2007" s="50" t="s">
        <v>313</v>
      </c>
      <c r="F2007" s="57">
        <v>36</v>
      </c>
      <c r="G2007" s="60">
        <v>904</v>
      </c>
      <c r="H2007" s="61" t="s">
        <v>1648</v>
      </c>
      <c r="I2007" s="50" t="s">
        <v>1649</v>
      </c>
      <c r="J2007" s="50" t="s">
        <v>1650</v>
      </c>
      <c r="K2007" s="62">
        <v>5403</v>
      </c>
      <c r="L2007" s="57">
        <v>207</v>
      </c>
      <c r="M2007" s="50" t="s">
        <v>26</v>
      </c>
      <c r="N2007" s="50" t="s">
        <v>317</v>
      </c>
      <c r="O2007" s="64">
        <v>59.9</v>
      </c>
      <c r="P2007" s="65">
        <v>12</v>
      </c>
      <c r="Q2007" s="64">
        <v>7.19</v>
      </c>
      <c r="R2007" s="63">
        <v>0</v>
      </c>
      <c r="S2007" s="64">
        <v>4.1900000000000004</v>
      </c>
    </row>
    <row r="2008" spans="1:19" ht="11.1" customHeight="1" x14ac:dyDescent="0.25">
      <c r="N2008" s="50" t="s">
        <v>318</v>
      </c>
      <c r="O2008" s="64">
        <v>80.87</v>
      </c>
      <c r="P2008" s="65">
        <v>20</v>
      </c>
      <c r="Q2008" s="64">
        <v>4.1900000000000004</v>
      </c>
      <c r="R2008" s="63">
        <v>0</v>
      </c>
      <c r="S2008" s="64">
        <v>0</v>
      </c>
    </row>
    <row r="2009" spans="1:19" ht="11.1" customHeight="1" x14ac:dyDescent="0.25">
      <c r="A2009" s="57">
        <v>113267</v>
      </c>
      <c r="B2009" s="53">
        <v>46134</v>
      </c>
      <c r="C2009" s="58">
        <v>46134</v>
      </c>
      <c r="D2009" s="59" t="s">
        <v>1651</v>
      </c>
      <c r="E2009" s="50" t="s">
        <v>313</v>
      </c>
      <c r="F2009" s="57">
        <v>36</v>
      </c>
      <c r="G2009" s="60">
        <v>904</v>
      </c>
      <c r="H2009" s="61" t="s">
        <v>1648</v>
      </c>
      <c r="I2009" s="50" t="s">
        <v>1649</v>
      </c>
      <c r="J2009" s="50" t="s">
        <v>1650</v>
      </c>
      <c r="K2009" s="62">
        <v>5403</v>
      </c>
      <c r="L2009" s="57">
        <v>207</v>
      </c>
      <c r="M2009" s="50" t="s">
        <v>26</v>
      </c>
      <c r="N2009" s="50" t="s">
        <v>317</v>
      </c>
      <c r="O2009" s="64">
        <v>373.29</v>
      </c>
      <c r="P2009" s="65">
        <v>12</v>
      </c>
      <c r="Q2009" s="64">
        <v>44.79</v>
      </c>
      <c r="R2009" s="63">
        <v>0</v>
      </c>
      <c r="S2009" s="64">
        <v>26.13</v>
      </c>
    </row>
    <row r="2010" spans="1:19" ht="11.1" customHeight="1" x14ac:dyDescent="0.25">
      <c r="N2010" s="50" t="s">
        <v>318</v>
      </c>
      <c r="O2010" s="64">
        <v>503.95</v>
      </c>
      <c r="P2010" s="65">
        <v>20</v>
      </c>
      <c r="Q2010" s="64">
        <v>26.13</v>
      </c>
      <c r="R2010" s="63">
        <v>0</v>
      </c>
      <c r="S2010" s="64">
        <v>0</v>
      </c>
    </row>
    <row r="2011" spans="1:19" ht="11.1" customHeight="1" x14ac:dyDescent="0.25">
      <c r="A2011" s="57">
        <v>113476</v>
      </c>
      <c r="B2011" s="53">
        <v>46139</v>
      </c>
      <c r="C2011" s="58">
        <v>46139</v>
      </c>
      <c r="D2011" s="59" t="s">
        <v>1652</v>
      </c>
      <c r="E2011" s="50" t="s">
        <v>313</v>
      </c>
      <c r="F2011" s="57">
        <v>36</v>
      </c>
      <c r="G2011" s="60">
        <v>904</v>
      </c>
      <c r="H2011" s="61" t="s">
        <v>1648</v>
      </c>
      <c r="I2011" s="50" t="s">
        <v>1649</v>
      </c>
      <c r="J2011" s="50" t="s">
        <v>1650</v>
      </c>
      <c r="K2011" s="62">
        <v>5102</v>
      </c>
      <c r="L2011" s="57">
        <v>205</v>
      </c>
      <c r="M2011" s="50" t="s">
        <v>26</v>
      </c>
      <c r="N2011" s="50" t="s">
        <v>317</v>
      </c>
      <c r="O2011" s="64">
        <v>298.14</v>
      </c>
      <c r="P2011" s="65">
        <v>12</v>
      </c>
      <c r="Q2011" s="64">
        <v>35.78</v>
      </c>
      <c r="R2011" s="63">
        <v>0</v>
      </c>
      <c r="S2011" s="64">
        <v>0</v>
      </c>
    </row>
    <row r="2012" spans="1:19" ht="11.1" customHeight="1" x14ac:dyDescent="0.25">
      <c r="A2012" s="57">
        <v>113477</v>
      </c>
      <c r="B2012" s="53">
        <v>46139</v>
      </c>
      <c r="C2012" s="58">
        <v>46139</v>
      </c>
      <c r="D2012" s="59" t="s">
        <v>1652</v>
      </c>
      <c r="E2012" s="50" t="s">
        <v>313</v>
      </c>
      <c r="F2012" s="57">
        <v>36</v>
      </c>
      <c r="G2012" s="60">
        <v>904</v>
      </c>
      <c r="H2012" s="61" t="s">
        <v>1648</v>
      </c>
      <c r="I2012" s="50" t="s">
        <v>1649</v>
      </c>
      <c r="J2012" s="50" t="s">
        <v>1650</v>
      </c>
      <c r="K2012" s="62">
        <v>5403</v>
      </c>
      <c r="L2012" s="57">
        <v>207</v>
      </c>
      <c r="M2012" s="50" t="s">
        <v>26</v>
      </c>
      <c r="N2012" s="50" t="s">
        <v>317</v>
      </c>
      <c r="O2012" s="64">
        <v>385.96</v>
      </c>
      <c r="P2012" s="65">
        <v>12</v>
      </c>
      <c r="Q2012" s="64">
        <v>46.32</v>
      </c>
      <c r="R2012" s="63">
        <v>0</v>
      </c>
      <c r="S2012" s="64">
        <v>27.02</v>
      </c>
    </row>
    <row r="2013" spans="1:19" ht="11.1" customHeight="1" x14ac:dyDescent="0.25">
      <c r="N2013" s="50" t="s">
        <v>318</v>
      </c>
      <c r="O2013" s="64">
        <v>521.04999999999995</v>
      </c>
      <c r="P2013" s="65">
        <v>20</v>
      </c>
      <c r="Q2013" s="64">
        <v>27.02</v>
      </c>
      <c r="R2013" s="63">
        <v>0</v>
      </c>
      <c r="S2013" s="64">
        <v>0</v>
      </c>
    </row>
    <row r="2014" spans="1:19" ht="11.85" customHeight="1" x14ac:dyDescent="0.25">
      <c r="A2014" s="66" t="s">
        <v>320</v>
      </c>
      <c r="B2014" s="66"/>
      <c r="C2014" s="66"/>
      <c r="D2014" s="66"/>
      <c r="E2014" s="66"/>
      <c r="F2014" s="66"/>
      <c r="G2014" s="66"/>
      <c r="H2014" s="66"/>
    </row>
    <row r="2015" spans="1:19" ht="11.1" customHeight="1" x14ac:dyDescent="0.25">
      <c r="N2015" s="50" t="s">
        <v>317</v>
      </c>
      <c r="O2015" s="64">
        <v>1117.29</v>
      </c>
      <c r="Q2015" s="64">
        <v>134.08000000000001</v>
      </c>
      <c r="R2015" s="63">
        <v>0</v>
      </c>
      <c r="S2015" s="64">
        <v>57.34</v>
      </c>
    </row>
    <row r="2016" spans="1:19" ht="11.1" customHeight="1" x14ac:dyDescent="0.25">
      <c r="N2016" s="50" t="s">
        <v>318</v>
      </c>
      <c r="O2016" s="64">
        <v>1105.8699999999999</v>
      </c>
      <c r="Q2016" s="64">
        <v>57.34</v>
      </c>
      <c r="R2016" s="63">
        <v>0</v>
      </c>
      <c r="S2016" s="64">
        <v>0</v>
      </c>
    </row>
    <row r="2017" spans="1:19" ht="11.1" customHeight="1" x14ac:dyDescent="0.25">
      <c r="A2017" s="57">
        <v>112878</v>
      </c>
      <c r="B2017" s="53">
        <v>46122</v>
      </c>
      <c r="C2017" s="58">
        <v>46122</v>
      </c>
      <c r="D2017" s="59" t="s">
        <v>1653</v>
      </c>
      <c r="E2017" s="50" t="s">
        <v>313</v>
      </c>
      <c r="F2017" s="57">
        <v>36</v>
      </c>
      <c r="G2017" s="60">
        <v>306</v>
      </c>
      <c r="H2017" s="61" t="s">
        <v>1654</v>
      </c>
      <c r="I2017" s="50" t="s">
        <v>1655</v>
      </c>
      <c r="J2017" s="50" t="s">
        <v>1656</v>
      </c>
      <c r="K2017" s="62">
        <v>5102</v>
      </c>
      <c r="L2017" s="57">
        <v>205</v>
      </c>
      <c r="M2017" s="50" t="s">
        <v>26</v>
      </c>
      <c r="N2017" s="50" t="s">
        <v>317</v>
      </c>
      <c r="O2017" s="64">
        <v>54.19</v>
      </c>
      <c r="P2017" s="65">
        <v>12</v>
      </c>
      <c r="Q2017" s="64">
        <v>6.5</v>
      </c>
      <c r="R2017" s="63">
        <v>0</v>
      </c>
      <c r="S2017" s="64">
        <v>0</v>
      </c>
    </row>
    <row r="2018" spans="1:19" ht="11.1" customHeight="1" x14ac:dyDescent="0.25">
      <c r="A2018" s="57">
        <v>112879</v>
      </c>
      <c r="B2018" s="53">
        <v>46122</v>
      </c>
      <c r="C2018" s="58">
        <v>46122</v>
      </c>
      <c r="D2018" s="59" t="s">
        <v>1653</v>
      </c>
      <c r="E2018" s="50" t="s">
        <v>313</v>
      </c>
      <c r="F2018" s="57">
        <v>36</v>
      </c>
      <c r="G2018" s="60">
        <v>306</v>
      </c>
      <c r="H2018" s="61" t="s">
        <v>1654</v>
      </c>
      <c r="I2018" s="50" t="s">
        <v>1655</v>
      </c>
      <c r="J2018" s="50" t="s">
        <v>1656</v>
      </c>
      <c r="K2018" s="62">
        <v>5403</v>
      </c>
      <c r="L2018" s="57">
        <v>207</v>
      </c>
      <c r="M2018" s="50" t="s">
        <v>26</v>
      </c>
      <c r="N2018" s="50" t="s">
        <v>317</v>
      </c>
      <c r="O2018" s="64">
        <v>612.07000000000005</v>
      </c>
      <c r="P2018" s="65">
        <v>12</v>
      </c>
      <c r="Q2018" s="64">
        <v>73.45</v>
      </c>
      <c r="R2018" s="63">
        <v>0</v>
      </c>
      <c r="S2018" s="64">
        <v>0</v>
      </c>
    </row>
    <row r="2019" spans="1:19" ht="11.85" customHeight="1" x14ac:dyDescent="0.25">
      <c r="A2019" s="66" t="s">
        <v>320</v>
      </c>
      <c r="B2019" s="66"/>
      <c r="C2019" s="66"/>
      <c r="D2019" s="66"/>
      <c r="E2019" s="66"/>
      <c r="F2019" s="66"/>
      <c r="G2019" s="66"/>
      <c r="H2019" s="66"/>
    </row>
    <row r="2020" spans="1:19" ht="11.1" customHeight="1" x14ac:dyDescent="0.25">
      <c r="N2020" s="50" t="s">
        <v>317</v>
      </c>
      <c r="O2020" s="64">
        <v>666.26</v>
      </c>
      <c r="Q2020" s="64">
        <v>79.95</v>
      </c>
      <c r="R2020" s="63">
        <v>0</v>
      </c>
      <c r="S2020" s="64">
        <v>0</v>
      </c>
    </row>
    <row r="2021" spans="1:19" ht="11.1" customHeight="1" x14ac:dyDescent="0.25">
      <c r="A2021" s="57">
        <v>112762</v>
      </c>
      <c r="B2021" s="53">
        <v>46120</v>
      </c>
      <c r="C2021" s="58">
        <v>46120</v>
      </c>
      <c r="D2021" s="59" t="s">
        <v>1657</v>
      </c>
      <c r="E2021" s="50" t="s">
        <v>313</v>
      </c>
      <c r="F2021" s="57">
        <v>36</v>
      </c>
      <c r="G2021" s="60">
        <v>633</v>
      </c>
      <c r="H2021" s="61" t="s">
        <v>1658</v>
      </c>
      <c r="I2021" s="50" t="s">
        <v>1659</v>
      </c>
      <c r="J2021" s="50" t="s">
        <v>1660</v>
      </c>
      <c r="K2021" s="62">
        <v>5102</v>
      </c>
      <c r="L2021" s="57">
        <v>205</v>
      </c>
      <c r="M2021" s="50" t="s">
        <v>26</v>
      </c>
      <c r="N2021" s="50" t="s">
        <v>317</v>
      </c>
      <c r="O2021" s="64">
        <v>63.06</v>
      </c>
      <c r="P2021" s="65">
        <v>12</v>
      </c>
      <c r="Q2021" s="64">
        <v>7.57</v>
      </c>
      <c r="R2021" s="63">
        <v>0</v>
      </c>
      <c r="S2021" s="64">
        <v>0</v>
      </c>
    </row>
    <row r="2022" spans="1:19" ht="11.1" customHeight="1" x14ac:dyDescent="0.25">
      <c r="A2022" s="57">
        <v>112763</v>
      </c>
      <c r="B2022" s="53">
        <v>46120</v>
      </c>
      <c r="C2022" s="58">
        <v>46120</v>
      </c>
      <c r="D2022" s="59" t="s">
        <v>1657</v>
      </c>
      <c r="E2022" s="50" t="s">
        <v>313</v>
      </c>
      <c r="F2022" s="57">
        <v>36</v>
      </c>
      <c r="G2022" s="60">
        <v>633</v>
      </c>
      <c r="H2022" s="61" t="s">
        <v>1658</v>
      </c>
      <c r="I2022" s="50" t="s">
        <v>1659</v>
      </c>
      <c r="J2022" s="50" t="s">
        <v>1660</v>
      </c>
      <c r="K2022" s="62">
        <v>5403</v>
      </c>
      <c r="L2022" s="57">
        <v>207</v>
      </c>
      <c r="M2022" s="50" t="s">
        <v>26</v>
      </c>
      <c r="N2022" s="50" t="s">
        <v>317</v>
      </c>
      <c r="O2022" s="64">
        <v>184.34</v>
      </c>
      <c r="P2022" s="65">
        <v>12</v>
      </c>
      <c r="Q2022" s="64">
        <v>22.13</v>
      </c>
      <c r="R2022" s="63">
        <v>0</v>
      </c>
      <c r="S2022" s="64">
        <v>12.9</v>
      </c>
    </row>
    <row r="2023" spans="1:19" ht="11.1" customHeight="1" x14ac:dyDescent="0.25">
      <c r="N2023" s="50" t="s">
        <v>318</v>
      </c>
      <c r="O2023" s="64">
        <v>248.86</v>
      </c>
      <c r="P2023" s="65">
        <v>20</v>
      </c>
      <c r="Q2023" s="64">
        <v>12.9</v>
      </c>
      <c r="R2023" s="63">
        <v>0</v>
      </c>
      <c r="S2023" s="64">
        <v>0</v>
      </c>
    </row>
    <row r="2024" spans="1:19" ht="11.85" customHeight="1" x14ac:dyDescent="0.25">
      <c r="A2024" s="66" t="s">
        <v>320</v>
      </c>
      <c r="B2024" s="66"/>
      <c r="C2024" s="66"/>
      <c r="D2024" s="66"/>
      <c r="E2024" s="66"/>
      <c r="F2024" s="66"/>
      <c r="G2024" s="66"/>
      <c r="H2024" s="66"/>
    </row>
    <row r="2025" spans="1:19" ht="11.1" customHeight="1" x14ac:dyDescent="0.25">
      <c r="N2025" s="50" t="s">
        <v>317</v>
      </c>
      <c r="O2025" s="64">
        <v>247.4</v>
      </c>
      <c r="Q2025" s="64">
        <v>29.7</v>
      </c>
      <c r="R2025" s="63">
        <v>0</v>
      </c>
      <c r="S2025" s="64">
        <v>12.9</v>
      </c>
    </row>
    <row r="2026" spans="1:19" ht="11.1" customHeight="1" x14ac:dyDescent="0.25">
      <c r="N2026" s="50" t="s">
        <v>318</v>
      </c>
      <c r="O2026" s="64">
        <v>248.86</v>
      </c>
      <c r="Q2026" s="64">
        <v>12.9</v>
      </c>
      <c r="R2026" s="63">
        <v>0</v>
      </c>
      <c r="S2026" s="64">
        <v>0</v>
      </c>
    </row>
    <row r="2027" spans="1:19" ht="11.1" customHeight="1" x14ac:dyDescent="0.25">
      <c r="A2027" s="57">
        <v>112951</v>
      </c>
      <c r="B2027" s="53">
        <v>46125</v>
      </c>
      <c r="C2027" s="58">
        <v>46125</v>
      </c>
      <c r="D2027" s="59" t="s">
        <v>1661</v>
      </c>
      <c r="E2027" s="50" t="s">
        <v>313</v>
      </c>
      <c r="F2027" s="57">
        <v>36</v>
      </c>
      <c r="G2027" s="60">
        <v>78</v>
      </c>
      <c r="H2027" s="61" t="s">
        <v>1662</v>
      </c>
      <c r="I2027" s="50" t="s">
        <v>1663</v>
      </c>
      <c r="J2027" s="50" t="s">
        <v>1664</v>
      </c>
      <c r="K2027" s="62">
        <v>6403</v>
      </c>
      <c r="L2027" s="57">
        <v>207</v>
      </c>
      <c r="M2027" s="50" t="s">
        <v>31</v>
      </c>
      <c r="N2027" s="50" t="s">
        <v>317</v>
      </c>
      <c r="O2027" s="64">
        <v>1227.8399999999999</v>
      </c>
      <c r="P2027" s="65">
        <v>12</v>
      </c>
      <c r="Q2027" s="64">
        <v>147.34</v>
      </c>
      <c r="R2027" s="63">
        <v>0</v>
      </c>
      <c r="S2027" s="64">
        <v>221.84</v>
      </c>
    </row>
    <row r="2028" spans="1:19" ht="11.1" customHeight="1" x14ac:dyDescent="0.25">
      <c r="N2028" s="50" t="s">
        <v>318</v>
      </c>
      <c r="O2028" s="64">
        <v>1800.87</v>
      </c>
      <c r="P2028" s="65">
        <v>20.5</v>
      </c>
      <c r="Q2028" s="64">
        <v>221.84</v>
      </c>
      <c r="R2028" s="63">
        <v>0</v>
      </c>
      <c r="S2028" s="64">
        <v>0</v>
      </c>
    </row>
    <row r="2029" spans="1:19" ht="11.1" customHeight="1" x14ac:dyDescent="0.25">
      <c r="A2029" s="57">
        <v>112952</v>
      </c>
      <c r="B2029" s="53">
        <v>46125</v>
      </c>
      <c r="C2029" s="58">
        <v>46125</v>
      </c>
      <c r="D2029" s="59" t="s">
        <v>1661</v>
      </c>
      <c r="E2029" s="50" t="s">
        <v>313</v>
      </c>
      <c r="F2029" s="57">
        <v>36</v>
      </c>
      <c r="G2029" s="60">
        <v>78</v>
      </c>
      <c r="H2029" s="61" t="s">
        <v>1662</v>
      </c>
      <c r="I2029" s="50" t="s">
        <v>1663</v>
      </c>
      <c r="J2029" s="50" t="s">
        <v>1664</v>
      </c>
      <c r="K2029" s="62">
        <v>6102</v>
      </c>
      <c r="L2029" s="57">
        <v>238</v>
      </c>
      <c r="M2029" s="50" t="s">
        <v>31</v>
      </c>
      <c r="N2029" s="50" t="s">
        <v>317</v>
      </c>
      <c r="O2029" s="64">
        <v>2537.14</v>
      </c>
      <c r="P2029" s="65">
        <v>12</v>
      </c>
      <c r="Q2029" s="64">
        <v>304.49</v>
      </c>
      <c r="R2029" s="63">
        <v>0</v>
      </c>
      <c r="S2029" s="64">
        <v>0</v>
      </c>
    </row>
    <row r="2030" spans="1:19" ht="11.85" customHeight="1" x14ac:dyDescent="0.25">
      <c r="A2030" s="66" t="s">
        <v>320</v>
      </c>
      <c r="B2030" s="66"/>
      <c r="C2030" s="66"/>
      <c r="D2030" s="66"/>
      <c r="E2030" s="66"/>
      <c r="F2030" s="66"/>
      <c r="G2030" s="66"/>
      <c r="H2030" s="66"/>
    </row>
    <row r="2031" spans="1:19" ht="11.1" customHeight="1" x14ac:dyDescent="0.25">
      <c r="N2031" s="50" t="s">
        <v>317</v>
      </c>
      <c r="O2031" s="64">
        <v>3764.98</v>
      </c>
      <c r="Q2031" s="64">
        <v>451.83</v>
      </c>
      <c r="R2031" s="63">
        <v>0</v>
      </c>
      <c r="S2031" s="64">
        <v>221.84</v>
      </c>
    </row>
    <row r="2032" spans="1:19" ht="11.1" customHeight="1" x14ac:dyDescent="0.25">
      <c r="N2032" s="50" t="s">
        <v>318</v>
      </c>
      <c r="O2032" s="64">
        <v>1800.87</v>
      </c>
      <c r="Q2032" s="64">
        <v>221.84</v>
      </c>
      <c r="R2032" s="63">
        <v>0</v>
      </c>
      <c r="S2032" s="64">
        <v>0</v>
      </c>
    </row>
    <row r="2033" spans="1:19" ht="11.1" customHeight="1" x14ac:dyDescent="0.25">
      <c r="A2033" s="57">
        <v>112700</v>
      </c>
      <c r="B2033" s="53">
        <v>46119</v>
      </c>
      <c r="C2033" s="58">
        <v>46119</v>
      </c>
      <c r="D2033" s="59" t="s">
        <v>1665</v>
      </c>
      <c r="E2033" s="50" t="s">
        <v>313</v>
      </c>
      <c r="F2033" s="57">
        <v>36</v>
      </c>
      <c r="G2033" s="60">
        <v>416</v>
      </c>
      <c r="H2033" s="61" t="s">
        <v>1666</v>
      </c>
      <c r="I2033" s="50" t="s">
        <v>1667</v>
      </c>
      <c r="J2033" s="50" t="s">
        <v>1668</v>
      </c>
      <c r="K2033" s="62">
        <v>5102</v>
      </c>
      <c r="L2033" s="57">
        <v>205</v>
      </c>
      <c r="M2033" s="50" t="s">
        <v>26</v>
      </c>
      <c r="N2033" s="50" t="s">
        <v>317</v>
      </c>
      <c r="O2033" s="64">
        <v>365.61</v>
      </c>
      <c r="P2033" s="65">
        <v>12</v>
      </c>
      <c r="Q2033" s="64">
        <v>43.89</v>
      </c>
      <c r="R2033" s="63">
        <v>0</v>
      </c>
      <c r="S2033" s="64">
        <v>0</v>
      </c>
    </row>
    <row r="2034" spans="1:19" ht="11.1" customHeight="1" x14ac:dyDescent="0.25">
      <c r="A2034" s="57">
        <v>112701</v>
      </c>
      <c r="B2034" s="53">
        <v>46119</v>
      </c>
      <c r="C2034" s="58">
        <v>46119</v>
      </c>
      <c r="D2034" s="59" t="s">
        <v>1665</v>
      </c>
      <c r="E2034" s="50" t="s">
        <v>313</v>
      </c>
      <c r="F2034" s="57">
        <v>36</v>
      </c>
      <c r="G2034" s="60">
        <v>416</v>
      </c>
      <c r="H2034" s="61" t="s">
        <v>1666</v>
      </c>
      <c r="I2034" s="50" t="s">
        <v>1667</v>
      </c>
      <c r="J2034" s="50" t="s">
        <v>1668</v>
      </c>
      <c r="K2034" s="62">
        <v>5403</v>
      </c>
      <c r="L2034" s="57">
        <v>207</v>
      </c>
      <c r="M2034" s="50" t="s">
        <v>26</v>
      </c>
      <c r="N2034" s="50" t="s">
        <v>317</v>
      </c>
      <c r="O2034" s="64">
        <v>273.45999999999998</v>
      </c>
      <c r="P2034" s="65">
        <v>12</v>
      </c>
      <c r="Q2034" s="64">
        <v>32.81</v>
      </c>
      <c r="R2034" s="63">
        <v>0</v>
      </c>
      <c r="S2034" s="64">
        <v>19.149999999999999</v>
      </c>
    </row>
    <row r="2035" spans="1:19" ht="11.1" customHeight="1" x14ac:dyDescent="0.25">
      <c r="N2035" s="50" t="s">
        <v>318</v>
      </c>
      <c r="O2035" s="64">
        <v>369.18</v>
      </c>
      <c r="P2035" s="65">
        <v>20</v>
      </c>
      <c r="Q2035" s="64">
        <v>19.149999999999999</v>
      </c>
      <c r="R2035" s="63">
        <v>0</v>
      </c>
      <c r="S2035" s="64">
        <v>0</v>
      </c>
    </row>
    <row r="2036" spans="1:19" ht="11.1" customHeight="1" x14ac:dyDescent="0.25">
      <c r="A2036" s="57">
        <v>113308</v>
      </c>
      <c r="B2036" s="53">
        <v>46135</v>
      </c>
      <c r="C2036" s="58">
        <v>46135</v>
      </c>
      <c r="D2036" s="59" t="s">
        <v>1669</v>
      </c>
      <c r="E2036" s="50" t="s">
        <v>313</v>
      </c>
      <c r="F2036" s="57">
        <v>36</v>
      </c>
      <c r="G2036" s="60">
        <v>416</v>
      </c>
      <c r="H2036" s="61" t="s">
        <v>1666</v>
      </c>
      <c r="I2036" s="50" t="s">
        <v>1667</v>
      </c>
      <c r="J2036" s="50" t="s">
        <v>1668</v>
      </c>
      <c r="K2036" s="62">
        <v>5102</v>
      </c>
      <c r="L2036" s="57">
        <v>205</v>
      </c>
      <c r="M2036" s="50" t="s">
        <v>26</v>
      </c>
      <c r="N2036" s="50" t="s">
        <v>317</v>
      </c>
      <c r="O2036" s="64">
        <v>317.27</v>
      </c>
      <c r="P2036" s="65">
        <v>12</v>
      </c>
      <c r="Q2036" s="64">
        <v>38.07</v>
      </c>
      <c r="R2036" s="63">
        <v>0</v>
      </c>
      <c r="S2036" s="64">
        <v>0</v>
      </c>
    </row>
    <row r="2037" spans="1:19" ht="11.1" customHeight="1" x14ac:dyDescent="0.25">
      <c r="A2037" s="57">
        <v>113309</v>
      </c>
      <c r="B2037" s="53">
        <v>46135</v>
      </c>
      <c r="C2037" s="58">
        <v>46135</v>
      </c>
      <c r="D2037" s="59" t="s">
        <v>1669</v>
      </c>
      <c r="E2037" s="50" t="s">
        <v>313</v>
      </c>
      <c r="F2037" s="57">
        <v>36</v>
      </c>
      <c r="G2037" s="60">
        <v>416</v>
      </c>
      <c r="H2037" s="61" t="s">
        <v>1666</v>
      </c>
      <c r="I2037" s="50" t="s">
        <v>1667</v>
      </c>
      <c r="J2037" s="50" t="s">
        <v>1668</v>
      </c>
      <c r="K2037" s="62">
        <v>5403</v>
      </c>
      <c r="L2037" s="57">
        <v>207</v>
      </c>
      <c r="M2037" s="50" t="s">
        <v>26</v>
      </c>
      <c r="N2037" s="50" t="s">
        <v>317</v>
      </c>
      <c r="O2037" s="64">
        <v>289.37</v>
      </c>
      <c r="P2037" s="65">
        <v>12</v>
      </c>
      <c r="Q2037" s="64">
        <v>34.729999999999997</v>
      </c>
      <c r="R2037" s="63">
        <v>0</v>
      </c>
      <c r="S2037" s="64">
        <v>20.25</v>
      </c>
    </row>
    <row r="2038" spans="1:19" ht="11.1" customHeight="1" x14ac:dyDescent="0.25">
      <c r="N2038" s="50" t="s">
        <v>318</v>
      </c>
      <c r="O2038" s="64">
        <v>390.66</v>
      </c>
      <c r="P2038" s="65">
        <v>20</v>
      </c>
      <c r="Q2038" s="64">
        <v>20.25</v>
      </c>
      <c r="R2038" s="63">
        <v>0</v>
      </c>
      <c r="S2038" s="64">
        <v>0</v>
      </c>
    </row>
    <row r="2039" spans="1:19" ht="11.85" customHeight="1" x14ac:dyDescent="0.25">
      <c r="A2039" s="66" t="s">
        <v>320</v>
      </c>
      <c r="B2039" s="66"/>
      <c r="C2039" s="66"/>
      <c r="D2039" s="66"/>
      <c r="E2039" s="66"/>
      <c r="F2039" s="66"/>
      <c r="G2039" s="66"/>
      <c r="H2039" s="66"/>
    </row>
    <row r="2040" spans="1:19" ht="11.1" customHeight="1" x14ac:dyDescent="0.25">
      <c r="N2040" s="50" t="s">
        <v>317</v>
      </c>
      <c r="O2040" s="64">
        <v>1245.71</v>
      </c>
      <c r="Q2040" s="64">
        <v>149.5</v>
      </c>
      <c r="R2040" s="63">
        <v>0</v>
      </c>
      <c r="S2040" s="64">
        <v>39.4</v>
      </c>
    </row>
    <row r="2041" spans="1:19" ht="11.1" customHeight="1" x14ac:dyDescent="0.25">
      <c r="N2041" s="50" t="s">
        <v>318</v>
      </c>
      <c r="O2041" s="64">
        <v>759.84</v>
      </c>
      <c r="Q2041" s="64">
        <v>39.4</v>
      </c>
      <c r="R2041" s="63">
        <v>0</v>
      </c>
      <c r="S2041" s="64">
        <v>0</v>
      </c>
    </row>
    <row r="2042" spans="1:19" ht="11.1" customHeight="1" x14ac:dyDescent="0.25">
      <c r="A2042" s="57">
        <v>112736</v>
      </c>
      <c r="B2042" s="53">
        <v>46120</v>
      </c>
      <c r="C2042" s="58">
        <v>46120</v>
      </c>
      <c r="D2042" s="59" t="s">
        <v>1670</v>
      </c>
      <c r="E2042" s="50" t="s">
        <v>313</v>
      </c>
      <c r="F2042" s="57">
        <v>36</v>
      </c>
      <c r="G2042" s="60">
        <v>979</v>
      </c>
      <c r="H2042" s="61" t="s">
        <v>1671</v>
      </c>
      <c r="I2042" s="50" t="s">
        <v>1672</v>
      </c>
      <c r="J2042" s="50" t="s">
        <v>1673</v>
      </c>
      <c r="K2042" s="62">
        <v>6403</v>
      </c>
      <c r="L2042" s="57">
        <v>207</v>
      </c>
      <c r="M2042" s="50" t="s">
        <v>34</v>
      </c>
      <c r="N2042" s="50" t="s">
        <v>317</v>
      </c>
      <c r="O2042" s="64">
        <v>494.76</v>
      </c>
      <c r="P2042" s="65">
        <v>12</v>
      </c>
      <c r="Q2042" s="64">
        <v>59.37</v>
      </c>
      <c r="R2042" s="63">
        <v>0</v>
      </c>
      <c r="S2042" s="64">
        <v>75.19</v>
      </c>
    </row>
    <row r="2043" spans="1:19" ht="11.1" customHeight="1" x14ac:dyDescent="0.25">
      <c r="N2043" s="50" t="s">
        <v>318</v>
      </c>
      <c r="O2043" s="64">
        <v>708.2</v>
      </c>
      <c r="P2043" s="65">
        <v>19</v>
      </c>
      <c r="Q2043" s="64">
        <v>75.19</v>
      </c>
      <c r="R2043" s="63">
        <v>0</v>
      </c>
      <c r="S2043" s="64">
        <v>0</v>
      </c>
    </row>
    <row r="2044" spans="1:19" ht="11.1" customHeight="1" x14ac:dyDescent="0.25">
      <c r="A2044" s="57">
        <v>112737</v>
      </c>
      <c r="B2044" s="53">
        <v>46120</v>
      </c>
      <c r="C2044" s="58">
        <v>46120</v>
      </c>
      <c r="D2044" s="59" t="s">
        <v>1670</v>
      </c>
      <c r="E2044" s="50" t="s">
        <v>313</v>
      </c>
      <c r="F2044" s="57">
        <v>36</v>
      </c>
      <c r="G2044" s="60">
        <v>979</v>
      </c>
      <c r="H2044" s="61" t="s">
        <v>1671</v>
      </c>
      <c r="I2044" s="50" t="s">
        <v>1672</v>
      </c>
      <c r="J2044" s="50" t="s">
        <v>1673</v>
      </c>
      <c r="K2044" s="62">
        <v>6102</v>
      </c>
      <c r="L2044" s="57">
        <v>238</v>
      </c>
      <c r="M2044" s="50" t="s">
        <v>34</v>
      </c>
      <c r="N2044" s="50" t="s">
        <v>317</v>
      </c>
      <c r="O2044" s="64">
        <v>430.09</v>
      </c>
      <c r="P2044" s="65">
        <v>12</v>
      </c>
      <c r="Q2044" s="64">
        <v>51.6</v>
      </c>
      <c r="R2044" s="63">
        <v>0</v>
      </c>
      <c r="S2044" s="64">
        <v>0</v>
      </c>
    </row>
    <row r="2045" spans="1:19" ht="11.85" customHeight="1" x14ac:dyDescent="0.25">
      <c r="A2045" s="66" t="s">
        <v>320</v>
      </c>
      <c r="B2045" s="66"/>
      <c r="C2045" s="66"/>
      <c r="D2045" s="66"/>
      <c r="E2045" s="66"/>
      <c r="F2045" s="66"/>
      <c r="G2045" s="66"/>
      <c r="H2045" s="66"/>
    </row>
    <row r="2046" spans="1:19" ht="11.1" customHeight="1" x14ac:dyDescent="0.25">
      <c r="N2046" s="50" t="s">
        <v>317</v>
      </c>
      <c r="O2046" s="64">
        <v>924.85</v>
      </c>
      <c r="Q2046" s="64">
        <v>110.97</v>
      </c>
      <c r="R2046" s="63">
        <v>0</v>
      </c>
      <c r="S2046" s="64">
        <v>75.19</v>
      </c>
    </row>
    <row r="2047" spans="1:19" ht="11.1" customHeight="1" x14ac:dyDescent="0.25">
      <c r="N2047" s="50" t="s">
        <v>318</v>
      </c>
      <c r="O2047" s="64">
        <v>708.2</v>
      </c>
      <c r="Q2047" s="64">
        <v>75.19</v>
      </c>
      <c r="R2047" s="63">
        <v>0</v>
      </c>
      <c r="S2047" s="64">
        <v>0</v>
      </c>
    </row>
    <row r="2048" spans="1:19" ht="11.1" customHeight="1" x14ac:dyDescent="0.25">
      <c r="A2048" s="57">
        <v>112924</v>
      </c>
      <c r="B2048" s="53">
        <v>46125</v>
      </c>
      <c r="C2048" s="58">
        <v>46125</v>
      </c>
      <c r="D2048" s="59" t="s">
        <v>1674</v>
      </c>
      <c r="E2048" s="50" t="s">
        <v>313</v>
      </c>
      <c r="F2048" s="57">
        <v>36</v>
      </c>
      <c r="G2048" s="60">
        <v>210</v>
      </c>
      <c r="H2048" s="61" t="s">
        <v>1675</v>
      </c>
      <c r="I2048" s="50" t="s">
        <v>1676</v>
      </c>
      <c r="J2048" s="50" t="s">
        <v>1677</v>
      </c>
      <c r="K2048" s="62">
        <v>5403</v>
      </c>
      <c r="L2048" s="57">
        <v>207</v>
      </c>
      <c r="M2048" s="50" t="s">
        <v>26</v>
      </c>
      <c r="N2048" s="50" t="s">
        <v>317</v>
      </c>
      <c r="O2048" s="64">
        <v>4978.6000000000004</v>
      </c>
      <c r="P2048" s="65">
        <v>12</v>
      </c>
      <c r="Q2048" s="64">
        <v>597.42999999999995</v>
      </c>
      <c r="R2048" s="63">
        <v>0</v>
      </c>
      <c r="S2048" s="64">
        <v>348.5</v>
      </c>
    </row>
    <row r="2049" spans="1:19" ht="11.1" customHeight="1" x14ac:dyDescent="0.25">
      <c r="N2049" s="50" t="s">
        <v>318</v>
      </c>
      <c r="O2049" s="64">
        <v>6721.11</v>
      </c>
      <c r="P2049" s="65">
        <v>20</v>
      </c>
      <c r="Q2049" s="64">
        <v>348.5</v>
      </c>
      <c r="R2049" s="63">
        <v>0</v>
      </c>
      <c r="S2049" s="64">
        <v>0</v>
      </c>
    </row>
    <row r="2050" spans="1:19" ht="11.1" customHeight="1" x14ac:dyDescent="0.25">
      <c r="A2050" s="57">
        <v>112973</v>
      </c>
      <c r="B2050" s="53">
        <v>46125</v>
      </c>
      <c r="C2050" s="58">
        <v>46125</v>
      </c>
      <c r="D2050" s="59" t="s">
        <v>1678</v>
      </c>
      <c r="E2050" s="50" t="s">
        <v>313</v>
      </c>
      <c r="F2050" s="57">
        <v>36</v>
      </c>
      <c r="G2050" s="60">
        <v>210</v>
      </c>
      <c r="H2050" s="61" t="s">
        <v>1675</v>
      </c>
      <c r="I2050" s="50" t="s">
        <v>1676</v>
      </c>
      <c r="J2050" s="50" t="s">
        <v>1677</v>
      </c>
      <c r="K2050" s="62">
        <v>5403</v>
      </c>
      <c r="L2050" s="57">
        <v>207</v>
      </c>
      <c r="M2050" s="50" t="s">
        <v>26</v>
      </c>
      <c r="N2050" s="50" t="s">
        <v>317</v>
      </c>
      <c r="O2050" s="64">
        <v>22022.1</v>
      </c>
      <c r="P2050" s="65">
        <v>12</v>
      </c>
      <c r="Q2050" s="64">
        <v>2642.65</v>
      </c>
      <c r="R2050" s="63">
        <v>0</v>
      </c>
      <c r="S2050" s="64">
        <v>1541.55</v>
      </c>
    </row>
    <row r="2051" spans="1:19" ht="11.1" customHeight="1" x14ac:dyDescent="0.25">
      <c r="N2051" s="50" t="s">
        <v>318</v>
      </c>
      <c r="O2051" s="64">
        <v>29729.84</v>
      </c>
      <c r="P2051" s="65">
        <v>20</v>
      </c>
      <c r="Q2051" s="64">
        <v>1541.55</v>
      </c>
      <c r="R2051" s="63">
        <v>0</v>
      </c>
      <c r="S2051" s="64">
        <v>0</v>
      </c>
    </row>
    <row r="2052" spans="1:19" ht="11.85" customHeight="1" x14ac:dyDescent="0.25">
      <c r="A2052" s="66" t="s">
        <v>320</v>
      </c>
      <c r="B2052" s="66"/>
      <c r="C2052" s="66"/>
      <c r="D2052" s="66"/>
      <c r="E2052" s="66"/>
      <c r="F2052" s="66"/>
      <c r="G2052" s="66"/>
      <c r="H2052" s="66"/>
    </row>
    <row r="2053" spans="1:19" ht="11.1" customHeight="1" x14ac:dyDescent="0.25">
      <c r="N2053" s="50" t="s">
        <v>317</v>
      </c>
      <c r="O2053" s="64">
        <v>27000.7</v>
      </c>
      <c r="Q2053" s="64">
        <v>3240.08</v>
      </c>
      <c r="R2053" s="63">
        <v>0</v>
      </c>
      <c r="S2053" s="64">
        <v>1890.05</v>
      </c>
    </row>
    <row r="2054" spans="1:19" ht="11.1" customHeight="1" x14ac:dyDescent="0.25">
      <c r="N2054" s="50" t="s">
        <v>318</v>
      </c>
      <c r="O2054" s="64">
        <v>36450.949999999997</v>
      </c>
      <c r="Q2054" s="64">
        <v>1890.05</v>
      </c>
      <c r="R2054" s="63">
        <v>0</v>
      </c>
      <c r="S2054" s="64">
        <v>0</v>
      </c>
    </row>
    <row r="2055" spans="1:19" ht="11.1" customHeight="1" x14ac:dyDescent="0.25">
      <c r="A2055" s="57">
        <v>112887</v>
      </c>
      <c r="B2055" s="53">
        <v>46122</v>
      </c>
      <c r="C2055" s="58">
        <v>46122</v>
      </c>
      <c r="D2055" s="59" t="s">
        <v>1679</v>
      </c>
      <c r="E2055" s="50" t="s">
        <v>313</v>
      </c>
      <c r="F2055" s="57">
        <v>36</v>
      </c>
      <c r="G2055" s="60">
        <v>340</v>
      </c>
      <c r="H2055" s="61" t="s">
        <v>1675</v>
      </c>
      <c r="I2055" s="50" t="s">
        <v>1680</v>
      </c>
      <c r="J2055" s="50" t="s">
        <v>1681</v>
      </c>
      <c r="K2055" s="62">
        <v>5403</v>
      </c>
      <c r="L2055" s="57">
        <v>207</v>
      </c>
      <c r="M2055" s="50" t="s">
        <v>26</v>
      </c>
      <c r="N2055" s="50" t="s">
        <v>317</v>
      </c>
      <c r="O2055" s="64">
        <v>195.01</v>
      </c>
      <c r="P2055" s="65">
        <v>12</v>
      </c>
      <c r="Q2055" s="64">
        <v>23.4</v>
      </c>
      <c r="R2055" s="63">
        <v>0</v>
      </c>
      <c r="S2055" s="64">
        <v>13.65</v>
      </c>
    </row>
    <row r="2056" spans="1:19" ht="11.1" customHeight="1" x14ac:dyDescent="0.25">
      <c r="N2056" s="50" t="s">
        <v>318</v>
      </c>
      <c r="O2056" s="64">
        <v>263.26</v>
      </c>
      <c r="P2056" s="65">
        <v>20</v>
      </c>
      <c r="Q2056" s="64">
        <v>13.65</v>
      </c>
      <c r="R2056" s="63">
        <v>0</v>
      </c>
      <c r="S2056" s="64">
        <v>0</v>
      </c>
    </row>
    <row r="2057" spans="1:19" ht="11.1" customHeight="1" x14ac:dyDescent="0.25">
      <c r="A2057" s="57">
        <v>113559</v>
      </c>
      <c r="B2057" s="53">
        <v>46140</v>
      </c>
      <c r="C2057" s="58">
        <v>46140</v>
      </c>
      <c r="D2057" s="59" t="s">
        <v>1682</v>
      </c>
      <c r="E2057" s="50" t="s">
        <v>313</v>
      </c>
      <c r="F2057" s="57">
        <v>36</v>
      </c>
      <c r="G2057" s="60">
        <v>340</v>
      </c>
      <c r="H2057" s="61" t="s">
        <v>1675</v>
      </c>
      <c r="I2057" s="50" t="s">
        <v>1680</v>
      </c>
      <c r="J2057" s="50" t="s">
        <v>1681</v>
      </c>
      <c r="K2057" s="62">
        <v>5403</v>
      </c>
      <c r="L2057" s="57">
        <v>207</v>
      </c>
      <c r="M2057" s="50" t="s">
        <v>26</v>
      </c>
      <c r="N2057" s="50" t="s">
        <v>317</v>
      </c>
      <c r="O2057" s="64">
        <v>508.07</v>
      </c>
      <c r="P2057" s="65">
        <v>12</v>
      </c>
      <c r="Q2057" s="64">
        <v>60.97</v>
      </c>
      <c r="R2057" s="63">
        <v>0</v>
      </c>
      <c r="S2057" s="64">
        <v>35.56</v>
      </c>
    </row>
    <row r="2058" spans="1:19" ht="11.1" customHeight="1" x14ac:dyDescent="0.25">
      <c r="N2058" s="50" t="s">
        <v>318</v>
      </c>
      <c r="O2058" s="64">
        <v>685.89</v>
      </c>
      <c r="P2058" s="65">
        <v>20</v>
      </c>
      <c r="Q2058" s="64">
        <v>35.56</v>
      </c>
      <c r="R2058" s="63">
        <v>0</v>
      </c>
      <c r="S2058" s="64">
        <v>0</v>
      </c>
    </row>
    <row r="2059" spans="1:19" ht="11.1" customHeight="1" x14ac:dyDescent="0.25">
      <c r="A2059" s="57">
        <v>113560</v>
      </c>
      <c r="B2059" s="53">
        <v>46140</v>
      </c>
      <c r="C2059" s="58">
        <v>46140</v>
      </c>
      <c r="D2059" s="59" t="s">
        <v>1683</v>
      </c>
      <c r="E2059" s="50" t="s">
        <v>313</v>
      </c>
      <c r="F2059" s="57">
        <v>36</v>
      </c>
      <c r="G2059" s="60">
        <v>340</v>
      </c>
      <c r="H2059" s="61" t="s">
        <v>1675</v>
      </c>
      <c r="I2059" s="50" t="s">
        <v>1680</v>
      </c>
      <c r="J2059" s="50" t="s">
        <v>1681</v>
      </c>
      <c r="K2059" s="62">
        <v>5403</v>
      </c>
      <c r="L2059" s="57">
        <v>207</v>
      </c>
      <c r="M2059" s="50" t="s">
        <v>26</v>
      </c>
      <c r="N2059" s="50" t="s">
        <v>317</v>
      </c>
      <c r="O2059" s="64">
        <v>1568.28</v>
      </c>
      <c r="P2059" s="65">
        <v>12</v>
      </c>
      <c r="Q2059" s="64">
        <v>188.19</v>
      </c>
      <c r="R2059" s="63">
        <v>0</v>
      </c>
      <c r="S2059" s="64">
        <v>109.78</v>
      </c>
    </row>
    <row r="2060" spans="1:19" ht="11.1" customHeight="1" x14ac:dyDescent="0.25">
      <c r="N2060" s="50" t="s">
        <v>318</v>
      </c>
      <c r="O2060" s="64">
        <v>2117.1799999999998</v>
      </c>
      <c r="P2060" s="65">
        <v>20</v>
      </c>
      <c r="Q2060" s="64">
        <v>109.78</v>
      </c>
      <c r="R2060" s="63">
        <v>0</v>
      </c>
      <c r="S2060" s="64">
        <v>0</v>
      </c>
    </row>
    <row r="2061" spans="1:19" ht="11.85" customHeight="1" x14ac:dyDescent="0.25">
      <c r="A2061" s="66" t="s">
        <v>320</v>
      </c>
      <c r="B2061" s="66"/>
      <c r="C2061" s="66"/>
      <c r="D2061" s="66"/>
      <c r="E2061" s="66"/>
      <c r="F2061" s="66"/>
      <c r="G2061" s="66"/>
      <c r="H2061" s="66"/>
    </row>
    <row r="2062" spans="1:19" ht="11.1" customHeight="1" x14ac:dyDescent="0.25">
      <c r="N2062" s="50" t="s">
        <v>317</v>
      </c>
      <c r="O2062" s="64">
        <v>2271.36</v>
      </c>
      <c r="Q2062" s="64">
        <v>272.56</v>
      </c>
      <c r="R2062" s="63">
        <v>0</v>
      </c>
      <c r="S2062" s="64">
        <v>158.99</v>
      </c>
    </row>
    <row r="2063" spans="1:19" ht="11.1" customHeight="1" x14ac:dyDescent="0.25">
      <c r="N2063" s="50" t="s">
        <v>318</v>
      </c>
      <c r="O2063" s="64">
        <v>3066.33</v>
      </c>
      <c r="Q2063" s="64">
        <v>158.99</v>
      </c>
      <c r="R2063" s="63">
        <v>0</v>
      </c>
      <c r="S2063" s="64">
        <v>0</v>
      </c>
    </row>
    <row r="2064" spans="1:19" ht="11.1" customHeight="1" x14ac:dyDescent="0.25">
      <c r="A2064" s="57">
        <v>112653</v>
      </c>
      <c r="B2064" s="53">
        <v>46119</v>
      </c>
      <c r="C2064" s="58">
        <v>46119</v>
      </c>
      <c r="D2064" s="59" t="s">
        <v>1684</v>
      </c>
      <c r="E2064" s="50" t="s">
        <v>313</v>
      </c>
      <c r="F2064" s="57">
        <v>36</v>
      </c>
      <c r="G2064" s="60">
        <v>129</v>
      </c>
      <c r="H2064" s="61" t="s">
        <v>1685</v>
      </c>
      <c r="I2064" s="50" t="s">
        <v>1686</v>
      </c>
      <c r="J2064" s="50" t="s">
        <v>1687</v>
      </c>
      <c r="K2064" s="62">
        <v>5102</v>
      </c>
      <c r="L2064" s="57">
        <v>205</v>
      </c>
      <c r="M2064" s="50" t="s">
        <v>26</v>
      </c>
      <c r="N2064" s="50" t="s">
        <v>317</v>
      </c>
      <c r="O2064" s="64">
        <v>91.72</v>
      </c>
      <c r="P2064" s="65">
        <v>12</v>
      </c>
      <c r="Q2064" s="64">
        <v>11.01</v>
      </c>
      <c r="R2064" s="63">
        <v>0</v>
      </c>
      <c r="S2064" s="64">
        <v>0</v>
      </c>
    </row>
    <row r="2065" spans="1:19" ht="11.1" customHeight="1" x14ac:dyDescent="0.25">
      <c r="A2065" s="57">
        <v>112654</v>
      </c>
      <c r="B2065" s="53">
        <v>46119</v>
      </c>
      <c r="C2065" s="58">
        <v>46119</v>
      </c>
      <c r="D2065" s="59" t="s">
        <v>1688</v>
      </c>
      <c r="E2065" s="50" t="s">
        <v>313</v>
      </c>
      <c r="F2065" s="57">
        <v>36</v>
      </c>
      <c r="G2065" s="60">
        <v>129</v>
      </c>
      <c r="H2065" s="61" t="s">
        <v>1685</v>
      </c>
      <c r="I2065" s="50" t="s">
        <v>1686</v>
      </c>
      <c r="J2065" s="50" t="s">
        <v>1687</v>
      </c>
      <c r="K2065" s="62">
        <v>5102</v>
      </c>
      <c r="L2065" s="57">
        <v>205</v>
      </c>
      <c r="M2065" s="50" t="s">
        <v>26</v>
      </c>
      <c r="N2065" s="50" t="s">
        <v>317</v>
      </c>
      <c r="O2065" s="64">
        <v>769.58</v>
      </c>
      <c r="P2065" s="65">
        <v>12</v>
      </c>
      <c r="Q2065" s="64">
        <v>92.37</v>
      </c>
      <c r="R2065" s="63">
        <v>0</v>
      </c>
      <c r="S2065" s="64">
        <v>0</v>
      </c>
    </row>
    <row r="2066" spans="1:19" ht="11.1" customHeight="1" x14ac:dyDescent="0.25">
      <c r="A2066" s="57">
        <v>112655</v>
      </c>
      <c r="B2066" s="53">
        <v>46119</v>
      </c>
      <c r="C2066" s="58">
        <v>46119</v>
      </c>
      <c r="D2066" s="59" t="s">
        <v>1688</v>
      </c>
      <c r="E2066" s="50" t="s">
        <v>313</v>
      </c>
      <c r="F2066" s="57">
        <v>36</v>
      </c>
      <c r="G2066" s="60">
        <v>129</v>
      </c>
      <c r="H2066" s="61" t="s">
        <v>1685</v>
      </c>
      <c r="I2066" s="50" t="s">
        <v>1686</v>
      </c>
      <c r="J2066" s="50" t="s">
        <v>1687</v>
      </c>
      <c r="K2066" s="62">
        <v>5403</v>
      </c>
      <c r="L2066" s="57">
        <v>207</v>
      </c>
      <c r="M2066" s="50" t="s">
        <v>26</v>
      </c>
      <c r="N2066" s="50" t="s">
        <v>317</v>
      </c>
      <c r="O2066" s="64">
        <v>147.1</v>
      </c>
      <c r="P2066" s="65">
        <v>12</v>
      </c>
      <c r="Q2066" s="64">
        <v>17.649999999999999</v>
      </c>
      <c r="R2066" s="63">
        <v>0</v>
      </c>
      <c r="S2066" s="64">
        <v>10.3</v>
      </c>
    </row>
    <row r="2067" spans="1:19" ht="11.1" customHeight="1" x14ac:dyDescent="0.25">
      <c r="N2067" s="50" t="s">
        <v>318</v>
      </c>
      <c r="O2067" s="64">
        <v>198.59</v>
      </c>
      <c r="P2067" s="65">
        <v>20</v>
      </c>
      <c r="Q2067" s="64">
        <v>10.3</v>
      </c>
      <c r="R2067" s="63">
        <v>0</v>
      </c>
      <c r="S2067" s="64">
        <v>0</v>
      </c>
    </row>
    <row r="2068" spans="1:19" ht="11.1" customHeight="1" x14ac:dyDescent="0.25">
      <c r="A2068" s="57">
        <v>112722</v>
      </c>
      <c r="B2068" s="53">
        <v>46120</v>
      </c>
      <c r="C2068" s="58">
        <v>46120</v>
      </c>
      <c r="D2068" s="59" t="s">
        <v>1689</v>
      </c>
      <c r="E2068" s="50" t="s">
        <v>313</v>
      </c>
      <c r="F2068" s="57">
        <v>36</v>
      </c>
      <c r="G2068" s="60">
        <v>129</v>
      </c>
      <c r="H2068" s="61" t="s">
        <v>1685</v>
      </c>
      <c r="I2068" s="50" t="s">
        <v>1686</v>
      </c>
      <c r="J2068" s="50" t="s">
        <v>1687</v>
      </c>
      <c r="K2068" s="62">
        <v>5102</v>
      </c>
      <c r="L2068" s="57">
        <v>205</v>
      </c>
      <c r="M2068" s="50" t="s">
        <v>26</v>
      </c>
      <c r="N2068" s="50" t="s">
        <v>317</v>
      </c>
      <c r="O2068" s="64">
        <v>272.85000000000002</v>
      </c>
      <c r="P2068" s="65">
        <v>12</v>
      </c>
      <c r="Q2068" s="64">
        <v>32.74</v>
      </c>
      <c r="R2068" s="63">
        <v>0</v>
      </c>
      <c r="S2068" s="64">
        <v>0</v>
      </c>
    </row>
    <row r="2069" spans="1:19" ht="11.1" customHeight="1" x14ac:dyDescent="0.25">
      <c r="A2069" s="57">
        <v>112723</v>
      </c>
      <c r="B2069" s="53">
        <v>46120</v>
      </c>
      <c r="C2069" s="58">
        <v>46120</v>
      </c>
      <c r="D2069" s="59" t="s">
        <v>1689</v>
      </c>
      <c r="E2069" s="50" t="s">
        <v>313</v>
      </c>
      <c r="F2069" s="57">
        <v>36</v>
      </c>
      <c r="G2069" s="60">
        <v>129</v>
      </c>
      <c r="H2069" s="61" t="s">
        <v>1685</v>
      </c>
      <c r="I2069" s="50" t="s">
        <v>1686</v>
      </c>
      <c r="J2069" s="50" t="s">
        <v>1687</v>
      </c>
      <c r="K2069" s="62">
        <v>5403</v>
      </c>
      <c r="L2069" s="57">
        <v>207</v>
      </c>
      <c r="M2069" s="50" t="s">
        <v>26</v>
      </c>
      <c r="N2069" s="50" t="s">
        <v>317</v>
      </c>
      <c r="O2069" s="64">
        <v>340.46</v>
      </c>
      <c r="P2069" s="65">
        <v>12</v>
      </c>
      <c r="Q2069" s="64">
        <v>40.86</v>
      </c>
      <c r="R2069" s="63">
        <v>0</v>
      </c>
      <c r="S2069" s="64">
        <v>23.83</v>
      </c>
    </row>
    <row r="2070" spans="1:19" ht="11.1" customHeight="1" x14ac:dyDescent="0.25">
      <c r="N2070" s="50" t="s">
        <v>318</v>
      </c>
      <c r="O2070" s="64">
        <v>459.62</v>
      </c>
      <c r="P2070" s="65">
        <v>20</v>
      </c>
      <c r="Q2070" s="64">
        <v>23.83</v>
      </c>
      <c r="R2070" s="63">
        <v>0</v>
      </c>
      <c r="S2070" s="64">
        <v>0</v>
      </c>
    </row>
    <row r="2071" spans="1:19" ht="11.1" customHeight="1" x14ac:dyDescent="0.25">
      <c r="A2071" s="57">
        <v>113291</v>
      </c>
      <c r="B2071" s="53">
        <v>46134</v>
      </c>
      <c r="C2071" s="58">
        <v>46134</v>
      </c>
      <c r="D2071" s="59" t="s">
        <v>1690</v>
      </c>
      <c r="E2071" s="50" t="s">
        <v>313</v>
      </c>
      <c r="F2071" s="57">
        <v>36</v>
      </c>
      <c r="G2071" s="60">
        <v>129</v>
      </c>
      <c r="H2071" s="61" t="s">
        <v>1685</v>
      </c>
      <c r="I2071" s="50" t="s">
        <v>1686</v>
      </c>
      <c r="J2071" s="50" t="s">
        <v>1687</v>
      </c>
      <c r="K2071" s="62">
        <v>5102</v>
      </c>
      <c r="L2071" s="57">
        <v>205</v>
      </c>
      <c r="M2071" s="50" t="s">
        <v>26</v>
      </c>
      <c r="N2071" s="50" t="s">
        <v>317</v>
      </c>
      <c r="O2071" s="64">
        <v>456.13</v>
      </c>
      <c r="P2071" s="65">
        <v>12</v>
      </c>
      <c r="Q2071" s="64">
        <v>54.73</v>
      </c>
      <c r="R2071" s="63">
        <v>0</v>
      </c>
      <c r="S2071" s="64">
        <v>0</v>
      </c>
    </row>
    <row r="2072" spans="1:19" ht="11.1" customHeight="1" x14ac:dyDescent="0.25">
      <c r="A2072" s="57">
        <v>113292</v>
      </c>
      <c r="B2072" s="53">
        <v>46134</v>
      </c>
      <c r="C2072" s="58">
        <v>46134</v>
      </c>
      <c r="D2072" s="59" t="s">
        <v>1690</v>
      </c>
      <c r="E2072" s="50" t="s">
        <v>313</v>
      </c>
      <c r="F2072" s="57">
        <v>36</v>
      </c>
      <c r="G2072" s="60">
        <v>129</v>
      </c>
      <c r="H2072" s="61" t="s">
        <v>1685</v>
      </c>
      <c r="I2072" s="50" t="s">
        <v>1686</v>
      </c>
      <c r="J2072" s="50" t="s">
        <v>1687</v>
      </c>
      <c r="K2072" s="62">
        <v>5403</v>
      </c>
      <c r="L2072" s="57">
        <v>207</v>
      </c>
      <c r="M2072" s="50" t="s">
        <v>26</v>
      </c>
      <c r="N2072" s="50" t="s">
        <v>317</v>
      </c>
      <c r="O2072" s="64">
        <v>61.32</v>
      </c>
      <c r="P2072" s="65">
        <v>12</v>
      </c>
      <c r="Q2072" s="64">
        <v>7.36</v>
      </c>
      <c r="R2072" s="63">
        <v>0</v>
      </c>
      <c r="S2072" s="64">
        <v>4.3</v>
      </c>
    </row>
    <row r="2073" spans="1:19" ht="11.1" customHeight="1" x14ac:dyDescent="0.25">
      <c r="N2073" s="50" t="s">
        <v>318</v>
      </c>
      <c r="O2073" s="64">
        <v>82.78</v>
      </c>
      <c r="P2073" s="65">
        <v>20</v>
      </c>
      <c r="Q2073" s="64">
        <v>4.3</v>
      </c>
      <c r="R2073" s="63">
        <v>0</v>
      </c>
      <c r="S2073" s="64">
        <v>0</v>
      </c>
    </row>
    <row r="2074" spans="1:19" ht="11.85" customHeight="1" x14ac:dyDescent="0.25">
      <c r="A2074" s="66" t="s">
        <v>320</v>
      </c>
      <c r="B2074" s="66"/>
      <c r="C2074" s="66"/>
      <c r="D2074" s="66"/>
      <c r="E2074" s="66"/>
      <c r="F2074" s="66"/>
      <c r="G2074" s="66"/>
      <c r="H2074" s="66"/>
    </row>
    <row r="2075" spans="1:19" ht="11.1" customHeight="1" x14ac:dyDescent="0.25">
      <c r="N2075" s="50" t="s">
        <v>317</v>
      </c>
      <c r="O2075" s="64">
        <v>2139.16</v>
      </c>
      <c r="Q2075" s="64">
        <v>256.72000000000003</v>
      </c>
      <c r="R2075" s="63">
        <v>0</v>
      </c>
      <c r="S2075" s="64">
        <v>38.43</v>
      </c>
    </row>
    <row r="2076" spans="1:19" ht="11.1" customHeight="1" x14ac:dyDescent="0.25">
      <c r="N2076" s="50" t="s">
        <v>318</v>
      </c>
      <c r="O2076" s="64">
        <v>740.99</v>
      </c>
      <c r="Q2076" s="64">
        <v>38.43</v>
      </c>
      <c r="R2076" s="63">
        <v>0</v>
      </c>
      <c r="S2076" s="64">
        <v>0</v>
      </c>
    </row>
    <row r="2077" spans="1:19" ht="11.1" customHeight="1" x14ac:dyDescent="0.25">
      <c r="A2077" s="57">
        <v>113076</v>
      </c>
      <c r="B2077" s="53">
        <v>46127</v>
      </c>
      <c r="C2077" s="58">
        <v>46127</v>
      </c>
      <c r="D2077" s="59" t="s">
        <v>1691</v>
      </c>
      <c r="E2077" s="50" t="s">
        <v>313</v>
      </c>
      <c r="F2077" s="57">
        <v>36</v>
      </c>
      <c r="G2077" s="60">
        <v>513</v>
      </c>
      <c r="H2077" s="61" t="s">
        <v>1692</v>
      </c>
      <c r="I2077" s="50" t="s">
        <v>1693</v>
      </c>
      <c r="J2077" s="50" t="s">
        <v>1694</v>
      </c>
      <c r="K2077" s="62">
        <v>5403</v>
      </c>
      <c r="L2077" s="57">
        <v>207</v>
      </c>
      <c r="M2077" s="50" t="s">
        <v>26</v>
      </c>
      <c r="N2077" s="50" t="s">
        <v>317</v>
      </c>
      <c r="O2077" s="64">
        <v>625.24</v>
      </c>
      <c r="P2077" s="65">
        <v>12</v>
      </c>
      <c r="Q2077" s="64">
        <v>75.03</v>
      </c>
      <c r="R2077" s="63">
        <v>0</v>
      </c>
      <c r="S2077" s="64">
        <v>43.76</v>
      </c>
    </row>
    <row r="2078" spans="1:19" ht="11.1" customHeight="1" x14ac:dyDescent="0.25">
      <c r="N2078" s="50" t="s">
        <v>318</v>
      </c>
      <c r="O2078" s="64">
        <v>844.07</v>
      </c>
      <c r="P2078" s="65">
        <v>20</v>
      </c>
      <c r="Q2078" s="64">
        <v>43.76</v>
      </c>
      <c r="R2078" s="63">
        <v>0</v>
      </c>
      <c r="S2078" s="64">
        <v>0</v>
      </c>
    </row>
    <row r="2079" spans="1:19" ht="11.1" customHeight="1" x14ac:dyDescent="0.25">
      <c r="A2079" s="57">
        <v>113168</v>
      </c>
      <c r="B2079" s="53">
        <v>46129</v>
      </c>
      <c r="C2079" s="58">
        <v>46129</v>
      </c>
      <c r="D2079" s="59" t="s">
        <v>1695</v>
      </c>
      <c r="E2079" s="50" t="s">
        <v>313</v>
      </c>
      <c r="F2079" s="57">
        <v>36</v>
      </c>
      <c r="G2079" s="60">
        <v>513</v>
      </c>
      <c r="H2079" s="61" t="s">
        <v>1692</v>
      </c>
      <c r="I2079" s="50" t="s">
        <v>1693</v>
      </c>
      <c r="J2079" s="50" t="s">
        <v>1694</v>
      </c>
      <c r="K2079" s="62">
        <v>5403</v>
      </c>
      <c r="L2079" s="57">
        <v>207</v>
      </c>
      <c r="M2079" s="50" t="s">
        <v>26</v>
      </c>
      <c r="N2079" s="50" t="s">
        <v>317</v>
      </c>
      <c r="O2079" s="64">
        <v>695.08</v>
      </c>
      <c r="P2079" s="65">
        <v>12</v>
      </c>
      <c r="Q2079" s="64">
        <v>83.41</v>
      </c>
      <c r="R2079" s="63">
        <v>0</v>
      </c>
      <c r="S2079" s="64">
        <v>48.66</v>
      </c>
    </row>
    <row r="2080" spans="1:19" ht="11.1" customHeight="1" x14ac:dyDescent="0.25">
      <c r="N2080" s="50" t="s">
        <v>318</v>
      </c>
      <c r="O2080" s="64">
        <v>938.36</v>
      </c>
      <c r="P2080" s="65">
        <v>20</v>
      </c>
      <c r="Q2080" s="64">
        <v>48.66</v>
      </c>
      <c r="R2080" s="63">
        <v>0</v>
      </c>
      <c r="S2080" s="64">
        <v>0</v>
      </c>
    </row>
    <row r="2081" spans="1:19" ht="11.1" customHeight="1" x14ac:dyDescent="0.25">
      <c r="A2081" s="57">
        <v>113391</v>
      </c>
      <c r="B2081" s="53">
        <v>46136</v>
      </c>
      <c r="C2081" s="58">
        <v>46136</v>
      </c>
      <c r="D2081" s="59" t="s">
        <v>1696</v>
      </c>
      <c r="E2081" s="50" t="s">
        <v>313</v>
      </c>
      <c r="F2081" s="57">
        <v>36</v>
      </c>
      <c r="G2081" s="60">
        <v>513</v>
      </c>
      <c r="H2081" s="61" t="s">
        <v>1692</v>
      </c>
      <c r="I2081" s="50" t="s">
        <v>1693</v>
      </c>
      <c r="J2081" s="50" t="s">
        <v>1694</v>
      </c>
      <c r="K2081" s="62">
        <v>5403</v>
      </c>
      <c r="L2081" s="57">
        <v>207</v>
      </c>
      <c r="M2081" s="50" t="s">
        <v>26</v>
      </c>
      <c r="N2081" s="50" t="s">
        <v>317</v>
      </c>
      <c r="O2081" s="64">
        <v>445.5</v>
      </c>
      <c r="P2081" s="65">
        <v>12</v>
      </c>
      <c r="Q2081" s="64">
        <v>53.46</v>
      </c>
      <c r="R2081" s="63">
        <v>0</v>
      </c>
      <c r="S2081" s="64">
        <v>31.18</v>
      </c>
    </row>
    <row r="2082" spans="1:19" ht="11.1" customHeight="1" x14ac:dyDescent="0.25">
      <c r="N2082" s="50" t="s">
        <v>318</v>
      </c>
      <c r="O2082" s="64">
        <v>601.41999999999996</v>
      </c>
      <c r="P2082" s="65">
        <v>20</v>
      </c>
      <c r="Q2082" s="64">
        <v>31.18</v>
      </c>
      <c r="R2082" s="63">
        <v>0</v>
      </c>
      <c r="S2082" s="64">
        <v>0</v>
      </c>
    </row>
    <row r="2083" spans="1:19" ht="11.1" customHeight="1" x14ac:dyDescent="0.25">
      <c r="A2083" s="57">
        <v>113668</v>
      </c>
      <c r="B2083" s="53">
        <v>46126</v>
      </c>
      <c r="C2083" s="58">
        <v>46126</v>
      </c>
      <c r="D2083" s="59" t="s">
        <v>1697</v>
      </c>
      <c r="E2083" s="50" t="s">
        <v>313</v>
      </c>
      <c r="F2083" s="57">
        <v>36</v>
      </c>
      <c r="G2083" s="60">
        <v>513</v>
      </c>
      <c r="H2083" s="61" t="s">
        <v>1692</v>
      </c>
      <c r="I2083" s="50" t="s">
        <v>1693</v>
      </c>
      <c r="J2083" s="50" t="s">
        <v>1694</v>
      </c>
      <c r="K2083" s="62">
        <v>5403</v>
      </c>
      <c r="L2083" s="57">
        <v>207</v>
      </c>
      <c r="M2083" s="50" t="s">
        <v>26</v>
      </c>
      <c r="N2083" s="50" t="s">
        <v>317</v>
      </c>
      <c r="O2083" s="64">
        <v>0</v>
      </c>
      <c r="P2083" s="65">
        <v>0</v>
      </c>
      <c r="Q2083" s="64">
        <v>0</v>
      </c>
      <c r="R2083" s="63">
        <v>0</v>
      </c>
      <c r="S2083" s="64">
        <v>0</v>
      </c>
    </row>
    <row r="2084" spans="1:19" ht="11.1" customHeight="1" x14ac:dyDescent="0.25">
      <c r="N2084" s="50" t="s">
        <v>318</v>
      </c>
      <c r="O2084" s="64">
        <v>0</v>
      </c>
      <c r="P2084" s="65">
        <v>0</v>
      </c>
      <c r="Q2084" s="64">
        <v>0</v>
      </c>
      <c r="R2084" s="63">
        <v>0</v>
      </c>
      <c r="S2084" s="64">
        <v>0</v>
      </c>
    </row>
    <row r="2085" spans="1:19" ht="11.85" customHeight="1" x14ac:dyDescent="0.25">
      <c r="A2085" s="66" t="s">
        <v>320</v>
      </c>
      <c r="B2085" s="66"/>
      <c r="C2085" s="66"/>
      <c r="D2085" s="66"/>
      <c r="E2085" s="66"/>
      <c r="F2085" s="66"/>
      <c r="G2085" s="66"/>
      <c r="H2085" s="66"/>
    </row>
    <row r="2086" spans="1:19" ht="11.1" customHeight="1" x14ac:dyDescent="0.25">
      <c r="N2086" s="50" t="s">
        <v>317</v>
      </c>
      <c r="O2086" s="64">
        <v>1765.82</v>
      </c>
      <c r="Q2086" s="64">
        <v>211.9</v>
      </c>
      <c r="R2086" s="63">
        <v>0</v>
      </c>
      <c r="S2086" s="64">
        <v>123.6</v>
      </c>
    </row>
    <row r="2087" spans="1:19" ht="11.1" customHeight="1" x14ac:dyDescent="0.25">
      <c r="N2087" s="50" t="s">
        <v>318</v>
      </c>
      <c r="O2087" s="64">
        <v>2383.85</v>
      </c>
      <c r="Q2087" s="64">
        <v>123.6</v>
      </c>
      <c r="R2087" s="63">
        <v>0</v>
      </c>
      <c r="S2087" s="64">
        <v>0</v>
      </c>
    </row>
    <row r="2088" spans="1:19" ht="11.1" customHeight="1" x14ac:dyDescent="0.25">
      <c r="A2088" s="57">
        <v>113252</v>
      </c>
      <c r="B2088" s="53">
        <v>46132</v>
      </c>
      <c r="C2088" s="58">
        <v>46132</v>
      </c>
      <c r="D2088" s="59" t="s">
        <v>1698</v>
      </c>
      <c r="E2088" s="50" t="s">
        <v>313</v>
      </c>
      <c r="F2088" s="57">
        <v>36</v>
      </c>
      <c r="G2088" s="60">
        <v>404</v>
      </c>
      <c r="H2088" s="61" t="s">
        <v>1699</v>
      </c>
      <c r="I2088" s="50" t="s">
        <v>1700</v>
      </c>
      <c r="J2088" s="50" t="s">
        <v>1701</v>
      </c>
      <c r="K2088" s="62">
        <v>6102</v>
      </c>
      <c r="L2088" s="57">
        <v>238</v>
      </c>
      <c r="M2088" s="50" t="s">
        <v>31</v>
      </c>
      <c r="N2088" s="50" t="s">
        <v>317</v>
      </c>
      <c r="O2088" s="64">
        <v>5836.92</v>
      </c>
      <c r="P2088" s="65">
        <v>12</v>
      </c>
      <c r="Q2088" s="64">
        <v>700.42</v>
      </c>
      <c r="R2088" s="63">
        <v>0</v>
      </c>
      <c r="S2088" s="64">
        <v>0</v>
      </c>
    </row>
    <row r="2089" spans="1:19" ht="11.85" customHeight="1" x14ac:dyDescent="0.25">
      <c r="A2089" s="66" t="s">
        <v>320</v>
      </c>
      <c r="B2089" s="66"/>
      <c r="C2089" s="66"/>
      <c r="D2089" s="66"/>
      <c r="E2089" s="66"/>
      <c r="F2089" s="66"/>
      <c r="G2089" s="66"/>
      <c r="H2089" s="66"/>
    </row>
    <row r="2090" spans="1:19" ht="11.1" customHeight="1" x14ac:dyDescent="0.25">
      <c r="N2090" s="50" t="s">
        <v>317</v>
      </c>
      <c r="O2090" s="64">
        <v>5836.92</v>
      </c>
      <c r="Q2090" s="64">
        <v>700.42</v>
      </c>
      <c r="R2090" s="63">
        <v>0</v>
      </c>
      <c r="S2090" s="64">
        <v>0</v>
      </c>
    </row>
    <row r="2091" spans="1:19" ht="11.1" customHeight="1" x14ac:dyDescent="0.25">
      <c r="A2091" s="57">
        <v>112908</v>
      </c>
      <c r="B2091" s="53">
        <v>46122</v>
      </c>
      <c r="C2091" s="58">
        <v>46122</v>
      </c>
      <c r="D2091" s="59" t="s">
        <v>1702</v>
      </c>
      <c r="E2091" s="50" t="s">
        <v>313</v>
      </c>
      <c r="F2091" s="57">
        <v>36</v>
      </c>
      <c r="G2091" s="60">
        <v>172</v>
      </c>
      <c r="H2091" s="61" t="s">
        <v>1703</v>
      </c>
      <c r="I2091" s="50" t="s">
        <v>1704</v>
      </c>
      <c r="J2091" s="50" t="s">
        <v>1705</v>
      </c>
      <c r="K2091" s="62">
        <v>5403</v>
      </c>
      <c r="L2091" s="57">
        <v>207</v>
      </c>
      <c r="M2091" s="50" t="s">
        <v>26</v>
      </c>
      <c r="N2091" s="50" t="s">
        <v>317</v>
      </c>
      <c r="O2091" s="64">
        <v>2100</v>
      </c>
      <c r="P2091" s="65">
        <v>12</v>
      </c>
      <c r="Q2091" s="64">
        <v>252</v>
      </c>
      <c r="R2091" s="63">
        <v>0</v>
      </c>
      <c r="S2091" s="64">
        <v>0</v>
      </c>
    </row>
    <row r="2092" spans="1:19" ht="11.1" customHeight="1" x14ac:dyDescent="0.25">
      <c r="A2092" s="57">
        <v>112938</v>
      </c>
      <c r="B2092" s="53">
        <v>46125</v>
      </c>
      <c r="C2092" s="58">
        <v>46125</v>
      </c>
      <c r="D2092" s="59" t="s">
        <v>1706</v>
      </c>
      <c r="E2092" s="50" t="s">
        <v>313</v>
      </c>
      <c r="F2092" s="57">
        <v>36</v>
      </c>
      <c r="G2092" s="60">
        <v>172</v>
      </c>
      <c r="H2092" s="61" t="s">
        <v>1703</v>
      </c>
      <c r="I2092" s="50" t="s">
        <v>1704</v>
      </c>
      <c r="J2092" s="50" t="s">
        <v>1705</v>
      </c>
      <c r="K2092" s="62">
        <v>5403</v>
      </c>
      <c r="L2092" s="57">
        <v>207</v>
      </c>
      <c r="M2092" s="50" t="s">
        <v>26</v>
      </c>
      <c r="N2092" s="50" t="s">
        <v>317</v>
      </c>
      <c r="O2092" s="64">
        <v>118.9</v>
      </c>
      <c r="P2092" s="65">
        <v>12</v>
      </c>
      <c r="Q2092" s="64">
        <v>14.27</v>
      </c>
      <c r="R2092" s="63">
        <v>0</v>
      </c>
      <c r="S2092" s="64">
        <v>0</v>
      </c>
    </row>
    <row r="2093" spans="1:19" ht="11.1" customHeight="1" x14ac:dyDescent="0.25">
      <c r="A2093" s="57">
        <v>113264</v>
      </c>
      <c r="B2093" s="53">
        <v>46134</v>
      </c>
      <c r="C2093" s="58">
        <v>46134</v>
      </c>
      <c r="D2093" s="59" t="s">
        <v>1707</v>
      </c>
      <c r="E2093" s="50" t="s">
        <v>313</v>
      </c>
      <c r="F2093" s="57">
        <v>36</v>
      </c>
      <c r="G2093" s="60">
        <v>172</v>
      </c>
      <c r="H2093" s="61" t="s">
        <v>1703</v>
      </c>
      <c r="I2093" s="50" t="s">
        <v>1704</v>
      </c>
      <c r="J2093" s="50" t="s">
        <v>1705</v>
      </c>
      <c r="K2093" s="62">
        <v>5403</v>
      </c>
      <c r="L2093" s="57">
        <v>207</v>
      </c>
      <c r="M2093" s="50" t="s">
        <v>26</v>
      </c>
      <c r="N2093" s="50" t="s">
        <v>317</v>
      </c>
      <c r="O2093" s="64">
        <v>237.8</v>
      </c>
      <c r="P2093" s="65">
        <v>12</v>
      </c>
      <c r="Q2093" s="64">
        <v>28.54</v>
      </c>
      <c r="R2093" s="63">
        <v>0</v>
      </c>
      <c r="S2093" s="64">
        <v>0</v>
      </c>
    </row>
    <row r="2094" spans="1:19" ht="11.85" customHeight="1" x14ac:dyDescent="0.25">
      <c r="A2094" s="66" t="s">
        <v>320</v>
      </c>
      <c r="B2094" s="66"/>
      <c r="C2094" s="66"/>
      <c r="D2094" s="66"/>
      <c r="E2094" s="66"/>
      <c r="F2094" s="66"/>
      <c r="G2094" s="66"/>
      <c r="H2094" s="66"/>
    </row>
    <row r="2095" spans="1:19" ht="11.1" customHeight="1" x14ac:dyDescent="0.25">
      <c r="N2095" s="50" t="s">
        <v>317</v>
      </c>
      <c r="O2095" s="64">
        <v>2456.6999999999998</v>
      </c>
      <c r="Q2095" s="64">
        <v>294.81</v>
      </c>
      <c r="R2095" s="63">
        <v>0</v>
      </c>
      <c r="S2095" s="64">
        <v>0</v>
      </c>
    </row>
    <row r="2096" spans="1:19" ht="11.1" customHeight="1" x14ac:dyDescent="0.25">
      <c r="A2096" s="57">
        <v>112615</v>
      </c>
      <c r="B2096" s="53">
        <v>46118</v>
      </c>
      <c r="C2096" s="58">
        <v>46118</v>
      </c>
      <c r="D2096" s="59" t="s">
        <v>1708</v>
      </c>
      <c r="E2096" s="50" t="s">
        <v>313</v>
      </c>
      <c r="F2096" s="57">
        <v>36</v>
      </c>
      <c r="G2096" s="60">
        <v>12</v>
      </c>
      <c r="H2096" s="61" t="s">
        <v>1709</v>
      </c>
      <c r="I2096" s="50" t="s">
        <v>1710</v>
      </c>
      <c r="J2096" s="50" t="s">
        <v>1711</v>
      </c>
      <c r="K2096" s="62">
        <v>5102</v>
      </c>
      <c r="L2096" s="57">
        <v>205</v>
      </c>
      <c r="M2096" s="50" t="s">
        <v>26</v>
      </c>
      <c r="N2096" s="50" t="s">
        <v>317</v>
      </c>
      <c r="O2096" s="64">
        <v>17875.96</v>
      </c>
      <c r="P2096" s="65">
        <v>12</v>
      </c>
      <c r="Q2096" s="64">
        <v>2145.11</v>
      </c>
      <c r="R2096" s="63">
        <v>0</v>
      </c>
      <c r="S2096" s="64">
        <v>0</v>
      </c>
    </row>
    <row r="2097" spans="1:19" ht="11.1" customHeight="1" x14ac:dyDescent="0.25">
      <c r="A2097" s="57">
        <v>112616</v>
      </c>
      <c r="B2097" s="53">
        <v>46118</v>
      </c>
      <c r="C2097" s="58">
        <v>46118</v>
      </c>
      <c r="D2097" s="59" t="s">
        <v>1708</v>
      </c>
      <c r="E2097" s="50" t="s">
        <v>313</v>
      </c>
      <c r="F2097" s="57">
        <v>36</v>
      </c>
      <c r="G2097" s="60">
        <v>12</v>
      </c>
      <c r="H2097" s="61" t="s">
        <v>1709</v>
      </c>
      <c r="I2097" s="50" t="s">
        <v>1710</v>
      </c>
      <c r="J2097" s="50" t="s">
        <v>1711</v>
      </c>
      <c r="K2097" s="62">
        <v>5405</v>
      </c>
      <c r="L2097" s="57">
        <v>206</v>
      </c>
      <c r="M2097" s="50" t="s">
        <v>26</v>
      </c>
      <c r="N2097" s="50" t="s">
        <v>317</v>
      </c>
      <c r="O2097" s="64">
        <v>0</v>
      </c>
      <c r="P2097" s="65">
        <v>0</v>
      </c>
      <c r="Q2097" s="64">
        <v>0</v>
      </c>
      <c r="R2097" s="63">
        <v>0</v>
      </c>
      <c r="S2097" s="64">
        <v>141</v>
      </c>
    </row>
    <row r="2098" spans="1:19" ht="11.1" customHeight="1" x14ac:dyDescent="0.25">
      <c r="A2098" s="57">
        <v>112617</v>
      </c>
      <c r="B2098" s="53">
        <v>46118</v>
      </c>
      <c r="C2098" s="58">
        <v>46118</v>
      </c>
      <c r="D2098" s="59" t="s">
        <v>1708</v>
      </c>
      <c r="E2098" s="50" t="s">
        <v>313</v>
      </c>
      <c r="F2098" s="57">
        <v>36</v>
      </c>
      <c r="G2098" s="60">
        <v>12</v>
      </c>
      <c r="H2098" s="61" t="s">
        <v>1709</v>
      </c>
      <c r="I2098" s="50" t="s">
        <v>1710</v>
      </c>
      <c r="J2098" s="50" t="s">
        <v>1711</v>
      </c>
      <c r="K2098" s="62">
        <v>5403</v>
      </c>
      <c r="L2098" s="57">
        <v>207</v>
      </c>
      <c r="M2098" s="50" t="s">
        <v>26</v>
      </c>
      <c r="N2098" s="50" t="s">
        <v>317</v>
      </c>
      <c r="O2098" s="64">
        <v>1910.95</v>
      </c>
      <c r="P2098" s="65">
        <v>12</v>
      </c>
      <c r="Q2098" s="64">
        <v>229.31</v>
      </c>
      <c r="R2098" s="63">
        <v>0</v>
      </c>
      <c r="S2098" s="64">
        <v>133.77000000000001</v>
      </c>
    </row>
    <row r="2099" spans="1:19" ht="11.1" customHeight="1" x14ac:dyDescent="0.25">
      <c r="N2099" s="50" t="s">
        <v>318</v>
      </c>
      <c r="O2099" s="64">
        <v>2579.7800000000002</v>
      </c>
      <c r="P2099" s="65">
        <v>20</v>
      </c>
      <c r="Q2099" s="64">
        <v>133.77000000000001</v>
      </c>
      <c r="R2099" s="63">
        <v>0</v>
      </c>
      <c r="S2099" s="64">
        <v>0</v>
      </c>
    </row>
    <row r="2100" spans="1:19" ht="11.1" customHeight="1" x14ac:dyDescent="0.25">
      <c r="A2100" s="57">
        <v>113012</v>
      </c>
      <c r="B2100" s="53">
        <v>46126</v>
      </c>
      <c r="C2100" s="58">
        <v>46126</v>
      </c>
      <c r="D2100" s="59" t="s">
        <v>1712</v>
      </c>
      <c r="E2100" s="50" t="s">
        <v>313</v>
      </c>
      <c r="F2100" s="57">
        <v>36</v>
      </c>
      <c r="G2100" s="60">
        <v>12</v>
      </c>
      <c r="H2100" s="61" t="s">
        <v>1709</v>
      </c>
      <c r="I2100" s="50" t="s">
        <v>1710</v>
      </c>
      <c r="J2100" s="50" t="s">
        <v>1711</v>
      </c>
      <c r="K2100" s="62">
        <v>5910</v>
      </c>
      <c r="L2100" s="57">
        <v>208</v>
      </c>
      <c r="M2100" s="50" t="s">
        <v>26</v>
      </c>
      <c r="N2100" s="50" t="s">
        <v>317</v>
      </c>
      <c r="O2100" s="64">
        <v>3933.08</v>
      </c>
      <c r="P2100" s="65">
        <v>12</v>
      </c>
      <c r="Q2100" s="64">
        <v>471.97</v>
      </c>
      <c r="R2100" s="63">
        <v>0</v>
      </c>
      <c r="S2100" s="64">
        <v>0</v>
      </c>
    </row>
    <row r="2101" spans="1:19" ht="11.85" customHeight="1" x14ac:dyDescent="0.25">
      <c r="A2101" s="66" t="s">
        <v>320</v>
      </c>
      <c r="B2101" s="66"/>
      <c r="C2101" s="66"/>
      <c r="D2101" s="66"/>
      <c r="E2101" s="66"/>
      <c r="F2101" s="66"/>
      <c r="G2101" s="66"/>
      <c r="H2101" s="66"/>
    </row>
    <row r="2102" spans="1:19" ht="11.1" customHeight="1" x14ac:dyDescent="0.25">
      <c r="N2102" s="50" t="s">
        <v>317</v>
      </c>
      <c r="O2102" s="64">
        <v>23719.99</v>
      </c>
      <c r="Q2102" s="64">
        <v>2846.39</v>
      </c>
      <c r="R2102" s="63">
        <v>0</v>
      </c>
      <c r="S2102" s="64">
        <v>274.77</v>
      </c>
    </row>
    <row r="2103" spans="1:19" ht="11.1" customHeight="1" x14ac:dyDescent="0.25">
      <c r="N2103" s="50" t="s">
        <v>318</v>
      </c>
      <c r="O2103" s="64">
        <v>2579.7800000000002</v>
      </c>
      <c r="Q2103" s="64">
        <v>133.77000000000001</v>
      </c>
      <c r="R2103" s="63">
        <v>0</v>
      </c>
      <c r="S2103" s="64">
        <v>0</v>
      </c>
    </row>
    <row r="2104" spans="1:19" ht="11.1" customHeight="1" x14ac:dyDescent="0.25">
      <c r="A2104" s="57">
        <v>113221</v>
      </c>
      <c r="B2104" s="53">
        <v>46132</v>
      </c>
      <c r="C2104" s="58">
        <v>46132</v>
      </c>
      <c r="D2104" s="59" t="s">
        <v>1713</v>
      </c>
      <c r="E2104" s="50" t="s">
        <v>313</v>
      </c>
      <c r="F2104" s="57">
        <v>36</v>
      </c>
      <c r="G2104" s="60">
        <v>371</v>
      </c>
      <c r="H2104" s="61" t="s">
        <v>1714</v>
      </c>
      <c r="I2104" s="50" t="s">
        <v>1715</v>
      </c>
      <c r="J2104" s="50" t="s">
        <v>1716</v>
      </c>
      <c r="K2104" s="62">
        <v>5102</v>
      </c>
      <c r="L2104" s="57">
        <v>205</v>
      </c>
      <c r="M2104" s="50" t="s">
        <v>26</v>
      </c>
      <c r="N2104" s="50" t="s">
        <v>317</v>
      </c>
      <c r="O2104" s="64">
        <v>332.04</v>
      </c>
      <c r="P2104" s="65">
        <v>12</v>
      </c>
      <c r="Q2104" s="64">
        <v>39.840000000000003</v>
      </c>
      <c r="R2104" s="63">
        <v>0</v>
      </c>
      <c r="S2104" s="64">
        <v>0</v>
      </c>
    </row>
    <row r="2105" spans="1:19" ht="11.1" customHeight="1" x14ac:dyDescent="0.25">
      <c r="A2105" s="57">
        <v>113475</v>
      </c>
      <c r="B2105" s="53">
        <v>46139</v>
      </c>
      <c r="C2105" s="58">
        <v>46139</v>
      </c>
      <c r="D2105" s="59" t="s">
        <v>1717</v>
      </c>
      <c r="E2105" s="50" t="s">
        <v>313</v>
      </c>
      <c r="F2105" s="57">
        <v>36</v>
      </c>
      <c r="G2105" s="60">
        <v>371</v>
      </c>
      <c r="H2105" s="61" t="s">
        <v>1714</v>
      </c>
      <c r="I2105" s="50" t="s">
        <v>1715</v>
      </c>
      <c r="J2105" s="50" t="s">
        <v>1716</v>
      </c>
      <c r="K2105" s="62">
        <v>5403</v>
      </c>
      <c r="L2105" s="57">
        <v>207</v>
      </c>
      <c r="M2105" s="50" t="s">
        <v>26</v>
      </c>
      <c r="N2105" s="50" t="s">
        <v>317</v>
      </c>
      <c r="O2105" s="64">
        <v>396.88</v>
      </c>
      <c r="P2105" s="65">
        <v>12</v>
      </c>
      <c r="Q2105" s="64">
        <v>47.63</v>
      </c>
      <c r="R2105" s="63">
        <v>0</v>
      </c>
      <c r="S2105" s="64">
        <v>27.78</v>
      </c>
    </row>
    <row r="2106" spans="1:19" ht="11.1" customHeight="1" x14ac:dyDescent="0.25">
      <c r="N2106" s="50" t="s">
        <v>318</v>
      </c>
      <c r="O2106" s="64">
        <v>535.79</v>
      </c>
      <c r="P2106" s="65">
        <v>20</v>
      </c>
      <c r="Q2106" s="64">
        <v>27.78</v>
      </c>
      <c r="R2106" s="63">
        <v>0</v>
      </c>
      <c r="S2106" s="64">
        <v>0</v>
      </c>
    </row>
    <row r="2107" spans="1:19" ht="11.85" customHeight="1" x14ac:dyDescent="0.25">
      <c r="A2107" s="66" t="s">
        <v>320</v>
      </c>
      <c r="B2107" s="66"/>
      <c r="C2107" s="66"/>
      <c r="D2107" s="66"/>
      <c r="E2107" s="66"/>
      <c r="F2107" s="66"/>
      <c r="G2107" s="66"/>
      <c r="H2107" s="66"/>
    </row>
    <row r="2108" spans="1:19" ht="11.1" customHeight="1" x14ac:dyDescent="0.25">
      <c r="N2108" s="50" t="s">
        <v>317</v>
      </c>
      <c r="O2108" s="64">
        <v>728.92</v>
      </c>
      <c r="Q2108" s="64">
        <v>87.47</v>
      </c>
      <c r="R2108" s="63">
        <v>0</v>
      </c>
      <c r="S2108" s="64">
        <v>27.78</v>
      </c>
    </row>
    <row r="2109" spans="1:19" ht="11.1" customHeight="1" x14ac:dyDescent="0.25">
      <c r="N2109" s="50" t="s">
        <v>318</v>
      </c>
      <c r="O2109" s="64">
        <v>535.79</v>
      </c>
      <c r="Q2109" s="64">
        <v>27.78</v>
      </c>
      <c r="R2109" s="63">
        <v>0</v>
      </c>
      <c r="S2109" s="64">
        <v>0</v>
      </c>
    </row>
    <row r="2110" spans="1:19" ht="11.1" customHeight="1" x14ac:dyDescent="0.25">
      <c r="A2110" s="57">
        <v>112800</v>
      </c>
      <c r="B2110" s="53">
        <v>46120</v>
      </c>
      <c r="C2110" s="58">
        <v>46120</v>
      </c>
      <c r="D2110" s="59" t="s">
        <v>1718</v>
      </c>
      <c r="E2110" s="50" t="s">
        <v>313</v>
      </c>
      <c r="F2110" s="57">
        <v>36</v>
      </c>
      <c r="G2110" s="60">
        <v>653</v>
      </c>
      <c r="H2110" s="61" t="s">
        <v>1719</v>
      </c>
      <c r="I2110" s="50" t="s">
        <v>1720</v>
      </c>
      <c r="J2110" s="50" t="s">
        <v>1721</v>
      </c>
      <c r="K2110" s="62">
        <v>5102</v>
      </c>
      <c r="L2110" s="57">
        <v>205</v>
      </c>
      <c r="M2110" s="50" t="s">
        <v>26</v>
      </c>
      <c r="N2110" s="50" t="s">
        <v>317</v>
      </c>
      <c r="O2110" s="64">
        <v>800.4</v>
      </c>
      <c r="P2110" s="65">
        <v>12</v>
      </c>
      <c r="Q2110" s="64">
        <v>96.05</v>
      </c>
      <c r="R2110" s="63">
        <v>0</v>
      </c>
      <c r="S2110" s="64">
        <v>0</v>
      </c>
    </row>
    <row r="2111" spans="1:19" ht="11.1" customHeight="1" x14ac:dyDescent="0.25">
      <c r="A2111" s="57">
        <v>113361</v>
      </c>
      <c r="B2111" s="53">
        <v>46135</v>
      </c>
      <c r="C2111" s="58">
        <v>46135</v>
      </c>
      <c r="D2111" s="59" t="s">
        <v>1722</v>
      </c>
      <c r="E2111" s="50" t="s">
        <v>313</v>
      </c>
      <c r="F2111" s="57">
        <v>36</v>
      </c>
      <c r="G2111" s="60">
        <v>653</v>
      </c>
      <c r="H2111" s="61" t="s">
        <v>1719</v>
      </c>
      <c r="I2111" s="50" t="s">
        <v>1720</v>
      </c>
      <c r="J2111" s="50" t="s">
        <v>1721</v>
      </c>
      <c r="K2111" s="62">
        <v>5102</v>
      </c>
      <c r="L2111" s="57">
        <v>205</v>
      </c>
      <c r="M2111" s="50" t="s">
        <v>26</v>
      </c>
      <c r="N2111" s="50" t="s">
        <v>317</v>
      </c>
      <c r="O2111" s="64">
        <v>717.68</v>
      </c>
      <c r="P2111" s="65">
        <v>12</v>
      </c>
      <c r="Q2111" s="64">
        <v>86.12</v>
      </c>
      <c r="R2111" s="63">
        <v>0</v>
      </c>
      <c r="S2111" s="64">
        <v>0</v>
      </c>
    </row>
    <row r="2112" spans="1:19" ht="11.1" customHeight="1" x14ac:dyDescent="0.25">
      <c r="A2112" s="57">
        <v>113362</v>
      </c>
      <c r="B2112" s="53">
        <v>46135</v>
      </c>
      <c r="C2112" s="58">
        <v>46135</v>
      </c>
      <c r="D2112" s="59" t="s">
        <v>1722</v>
      </c>
      <c r="E2112" s="50" t="s">
        <v>313</v>
      </c>
      <c r="F2112" s="57">
        <v>36</v>
      </c>
      <c r="G2112" s="60">
        <v>653</v>
      </c>
      <c r="H2112" s="61" t="s">
        <v>1719</v>
      </c>
      <c r="I2112" s="50" t="s">
        <v>1720</v>
      </c>
      <c r="J2112" s="50" t="s">
        <v>1721</v>
      </c>
      <c r="K2112" s="62">
        <v>5403</v>
      </c>
      <c r="L2112" s="57">
        <v>207</v>
      </c>
      <c r="M2112" s="50" t="s">
        <v>26</v>
      </c>
      <c r="N2112" s="50" t="s">
        <v>317</v>
      </c>
      <c r="O2112" s="64">
        <v>152.82</v>
      </c>
      <c r="P2112" s="65">
        <v>12</v>
      </c>
      <c r="Q2112" s="64">
        <v>18.34</v>
      </c>
      <c r="R2112" s="63">
        <v>0</v>
      </c>
      <c r="S2112" s="64">
        <v>10.69</v>
      </c>
    </row>
    <row r="2113" spans="1:19" ht="11.1" customHeight="1" x14ac:dyDescent="0.25">
      <c r="N2113" s="50" t="s">
        <v>318</v>
      </c>
      <c r="O2113" s="64">
        <v>206.31</v>
      </c>
      <c r="P2113" s="65">
        <v>20</v>
      </c>
      <c r="Q2113" s="64">
        <v>10.69</v>
      </c>
      <c r="R2113" s="63">
        <v>0</v>
      </c>
      <c r="S2113" s="64">
        <v>0</v>
      </c>
    </row>
    <row r="2114" spans="1:19" ht="11.1" customHeight="1" x14ac:dyDescent="0.25">
      <c r="A2114" s="57">
        <v>113496</v>
      </c>
      <c r="B2114" s="53">
        <v>46139</v>
      </c>
      <c r="C2114" s="58">
        <v>46139</v>
      </c>
      <c r="D2114" s="59" t="s">
        <v>1723</v>
      </c>
      <c r="E2114" s="50" t="s">
        <v>313</v>
      </c>
      <c r="F2114" s="57">
        <v>36</v>
      </c>
      <c r="G2114" s="60">
        <v>653</v>
      </c>
      <c r="H2114" s="61" t="s">
        <v>1719</v>
      </c>
      <c r="I2114" s="50" t="s">
        <v>1720</v>
      </c>
      <c r="J2114" s="50" t="s">
        <v>1721</v>
      </c>
      <c r="K2114" s="62">
        <v>5102</v>
      </c>
      <c r="L2114" s="57">
        <v>205</v>
      </c>
      <c r="M2114" s="50" t="s">
        <v>26</v>
      </c>
      <c r="N2114" s="50" t="s">
        <v>317</v>
      </c>
      <c r="O2114" s="64">
        <v>1300.5</v>
      </c>
      <c r="P2114" s="65">
        <v>12</v>
      </c>
      <c r="Q2114" s="64">
        <v>156.06</v>
      </c>
      <c r="R2114" s="63">
        <v>0</v>
      </c>
      <c r="S2114" s="64">
        <v>0</v>
      </c>
    </row>
    <row r="2115" spans="1:19" ht="11.1" customHeight="1" x14ac:dyDescent="0.25">
      <c r="A2115" s="57">
        <v>113553</v>
      </c>
      <c r="B2115" s="53">
        <v>46140</v>
      </c>
      <c r="C2115" s="58">
        <v>46140</v>
      </c>
      <c r="D2115" s="59" t="s">
        <v>1724</v>
      </c>
      <c r="E2115" s="50" t="s">
        <v>313</v>
      </c>
      <c r="F2115" s="57">
        <v>36</v>
      </c>
      <c r="G2115" s="60">
        <v>653</v>
      </c>
      <c r="H2115" s="61" t="s">
        <v>1719</v>
      </c>
      <c r="I2115" s="50" t="s">
        <v>1720</v>
      </c>
      <c r="J2115" s="50" t="s">
        <v>1721</v>
      </c>
      <c r="K2115" s="62">
        <v>5403</v>
      </c>
      <c r="L2115" s="57">
        <v>207</v>
      </c>
      <c r="M2115" s="50" t="s">
        <v>26</v>
      </c>
      <c r="N2115" s="50" t="s">
        <v>317</v>
      </c>
      <c r="O2115" s="64">
        <v>682.2</v>
      </c>
      <c r="P2115" s="65">
        <v>12</v>
      </c>
      <c r="Q2115" s="64">
        <v>81.86</v>
      </c>
      <c r="R2115" s="63">
        <v>0</v>
      </c>
      <c r="S2115" s="64">
        <v>47.75</v>
      </c>
    </row>
    <row r="2116" spans="1:19" ht="11.1" customHeight="1" x14ac:dyDescent="0.25">
      <c r="N2116" s="50" t="s">
        <v>318</v>
      </c>
      <c r="O2116" s="64">
        <v>920.97</v>
      </c>
      <c r="P2116" s="65">
        <v>20</v>
      </c>
      <c r="Q2116" s="64">
        <v>47.75</v>
      </c>
      <c r="R2116" s="63">
        <v>0</v>
      </c>
      <c r="S2116" s="64">
        <v>0</v>
      </c>
    </row>
    <row r="2117" spans="1:19" ht="11.85" customHeight="1" x14ac:dyDescent="0.25">
      <c r="A2117" s="66" t="s">
        <v>320</v>
      </c>
      <c r="B2117" s="66"/>
      <c r="C2117" s="66"/>
      <c r="D2117" s="66"/>
      <c r="E2117" s="66"/>
      <c r="F2117" s="66"/>
      <c r="G2117" s="66"/>
      <c r="H2117" s="66"/>
    </row>
    <row r="2118" spans="1:19" ht="11.1" customHeight="1" x14ac:dyDescent="0.25">
      <c r="N2118" s="50" t="s">
        <v>317</v>
      </c>
      <c r="O2118" s="64">
        <v>3653.6</v>
      </c>
      <c r="Q2118" s="64">
        <v>438.43</v>
      </c>
      <c r="R2118" s="63">
        <v>0</v>
      </c>
      <c r="S2118" s="64">
        <v>58.44</v>
      </c>
    </row>
    <row r="2119" spans="1:19" ht="11.1" customHeight="1" x14ac:dyDescent="0.25">
      <c r="N2119" s="50" t="s">
        <v>318</v>
      </c>
      <c r="O2119" s="64">
        <v>1127.28</v>
      </c>
      <c r="Q2119" s="64">
        <v>58.44</v>
      </c>
      <c r="R2119" s="63">
        <v>0</v>
      </c>
      <c r="S2119" s="64">
        <v>0</v>
      </c>
    </row>
    <row r="2120" spans="1:19" ht="11.1" customHeight="1" x14ac:dyDescent="0.25">
      <c r="A2120" s="57">
        <v>112647</v>
      </c>
      <c r="B2120" s="53">
        <v>46119</v>
      </c>
      <c r="C2120" s="58">
        <v>46119</v>
      </c>
      <c r="D2120" s="59" t="s">
        <v>1725</v>
      </c>
      <c r="E2120" s="50" t="s">
        <v>313</v>
      </c>
      <c r="F2120" s="57">
        <v>36</v>
      </c>
      <c r="G2120" s="60">
        <v>86</v>
      </c>
      <c r="H2120" s="61" t="s">
        <v>1726</v>
      </c>
      <c r="I2120" s="50" t="s">
        <v>1727</v>
      </c>
      <c r="J2120" s="50" t="s">
        <v>1728</v>
      </c>
      <c r="K2120" s="62">
        <v>5102</v>
      </c>
      <c r="L2120" s="57">
        <v>205</v>
      </c>
      <c r="M2120" s="50" t="s">
        <v>26</v>
      </c>
      <c r="N2120" s="50" t="s">
        <v>317</v>
      </c>
      <c r="O2120" s="64">
        <v>1478.41</v>
      </c>
      <c r="P2120" s="65">
        <v>12</v>
      </c>
      <c r="Q2120" s="64">
        <v>177.41</v>
      </c>
      <c r="R2120" s="63">
        <v>0</v>
      </c>
      <c r="S2120" s="64">
        <v>0</v>
      </c>
    </row>
    <row r="2121" spans="1:19" ht="11.1" customHeight="1" x14ac:dyDescent="0.25">
      <c r="A2121" s="57">
        <v>112648</v>
      </c>
      <c r="B2121" s="53">
        <v>46119</v>
      </c>
      <c r="C2121" s="58">
        <v>46119</v>
      </c>
      <c r="D2121" s="59" t="s">
        <v>1725</v>
      </c>
      <c r="E2121" s="50" t="s">
        <v>313</v>
      </c>
      <c r="F2121" s="57">
        <v>36</v>
      </c>
      <c r="G2121" s="60">
        <v>86</v>
      </c>
      <c r="H2121" s="61" t="s">
        <v>1726</v>
      </c>
      <c r="I2121" s="50" t="s">
        <v>1727</v>
      </c>
      <c r="J2121" s="50" t="s">
        <v>1728</v>
      </c>
      <c r="K2121" s="62">
        <v>5403</v>
      </c>
      <c r="L2121" s="57">
        <v>207</v>
      </c>
      <c r="M2121" s="50" t="s">
        <v>26</v>
      </c>
      <c r="N2121" s="50" t="s">
        <v>317</v>
      </c>
      <c r="O2121" s="64">
        <v>764.76</v>
      </c>
      <c r="P2121" s="65">
        <v>12</v>
      </c>
      <c r="Q2121" s="64">
        <v>91.77</v>
      </c>
      <c r="R2121" s="63">
        <v>0</v>
      </c>
      <c r="S2121" s="64">
        <v>53.54</v>
      </c>
    </row>
    <row r="2122" spans="1:19" ht="11.1" customHeight="1" x14ac:dyDescent="0.25">
      <c r="N2122" s="50" t="s">
        <v>318</v>
      </c>
      <c r="O2122" s="64">
        <v>1032.43</v>
      </c>
      <c r="P2122" s="65">
        <v>20</v>
      </c>
      <c r="Q2122" s="64">
        <v>53.54</v>
      </c>
      <c r="R2122" s="63">
        <v>0</v>
      </c>
      <c r="S2122" s="64">
        <v>0</v>
      </c>
    </row>
    <row r="2123" spans="1:19" ht="11.1" customHeight="1" x14ac:dyDescent="0.25">
      <c r="A2123" s="57">
        <v>113067</v>
      </c>
      <c r="B2123" s="53">
        <v>46127</v>
      </c>
      <c r="C2123" s="58">
        <v>46127</v>
      </c>
      <c r="D2123" s="59" t="s">
        <v>1729</v>
      </c>
      <c r="E2123" s="50" t="s">
        <v>313</v>
      </c>
      <c r="F2123" s="57">
        <v>36</v>
      </c>
      <c r="G2123" s="60">
        <v>86</v>
      </c>
      <c r="H2123" s="61" t="s">
        <v>1726</v>
      </c>
      <c r="I2123" s="50" t="s">
        <v>1727</v>
      </c>
      <c r="J2123" s="50" t="s">
        <v>1728</v>
      </c>
      <c r="K2123" s="62">
        <v>5102</v>
      </c>
      <c r="L2123" s="57">
        <v>205</v>
      </c>
      <c r="M2123" s="50" t="s">
        <v>26</v>
      </c>
      <c r="N2123" s="50" t="s">
        <v>317</v>
      </c>
      <c r="O2123" s="64">
        <v>2153.37</v>
      </c>
      <c r="P2123" s="65">
        <v>12</v>
      </c>
      <c r="Q2123" s="64">
        <v>258.39999999999998</v>
      </c>
      <c r="R2123" s="63">
        <v>0</v>
      </c>
      <c r="S2123" s="64">
        <v>0</v>
      </c>
    </row>
    <row r="2124" spans="1:19" ht="11.1" customHeight="1" x14ac:dyDescent="0.25">
      <c r="A2124" s="57">
        <v>113068</v>
      </c>
      <c r="B2124" s="53">
        <v>46127</v>
      </c>
      <c r="C2124" s="58">
        <v>46127</v>
      </c>
      <c r="D2124" s="59" t="s">
        <v>1729</v>
      </c>
      <c r="E2124" s="50" t="s">
        <v>313</v>
      </c>
      <c r="F2124" s="57">
        <v>36</v>
      </c>
      <c r="G2124" s="60">
        <v>86</v>
      </c>
      <c r="H2124" s="61" t="s">
        <v>1726</v>
      </c>
      <c r="I2124" s="50" t="s">
        <v>1727</v>
      </c>
      <c r="J2124" s="50" t="s">
        <v>1728</v>
      </c>
      <c r="K2124" s="62">
        <v>5403</v>
      </c>
      <c r="L2124" s="57">
        <v>207</v>
      </c>
      <c r="M2124" s="50" t="s">
        <v>26</v>
      </c>
      <c r="N2124" s="50" t="s">
        <v>317</v>
      </c>
      <c r="O2124" s="64">
        <v>582.9</v>
      </c>
      <c r="P2124" s="65">
        <v>12</v>
      </c>
      <c r="Q2124" s="64">
        <v>69.95</v>
      </c>
      <c r="R2124" s="63">
        <v>0</v>
      </c>
      <c r="S2124" s="64">
        <v>40.81</v>
      </c>
    </row>
    <row r="2125" spans="1:19" ht="11.1" customHeight="1" x14ac:dyDescent="0.25">
      <c r="N2125" s="50" t="s">
        <v>318</v>
      </c>
      <c r="O2125" s="64">
        <v>786.92</v>
      </c>
      <c r="P2125" s="65">
        <v>20</v>
      </c>
      <c r="Q2125" s="64">
        <v>40.81</v>
      </c>
      <c r="R2125" s="63">
        <v>0</v>
      </c>
      <c r="S2125" s="64">
        <v>0</v>
      </c>
    </row>
    <row r="2126" spans="1:19" ht="11.1" customHeight="1" x14ac:dyDescent="0.25">
      <c r="A2126" s="57">
        <v>113313</v>
      </c>
      <c r="B2126" s="53">
        <v>46135</v>
      </c>
      <c r="C2126" s="58">
        <v>46135</v>
      </c>
      <c r="D2126" s="59" t="s">
        <v>1730</v>
      </c>
      <c r="E2126" s="50" t="s">
        <v>313</v>
      </c>
      <c r="F2126" s="57">
        <v>36</v>
      </c>
      <c r="G2126" s="60">
        <v>86</v>
      </c>
      <c r="H2126" s="61" t="s">
        <v>1726</v>
      </c>
      <c r="I2126" s="50" t="s">
        <v>1727</v>
      </c>
      <c r="J2126" s="50" t="s">
        <v>1728</v>
      </c>
      <c r="K2126" s="62">
        <v>5102</v>
      </c>
      <c r="L2126" s="57">
        <v>205</v>
      </c>
      <c r="M2126" s="50" t="s">
        <v>26</v>
      </c>
      <c r="N2126" s="50" t="s">
        <v>317</v>
      </c>
      <c r="O2126" s="64">
        <v>2414.87</v>
      </c>
      <c r="P2126" s="65">
        <v>12</v>
      </c>
      <c r="Q2126" s="64">
        <v>289.79000000000002</v>
      </c>
      <c r="R2126" s="63">
        <v>0</v>
      </c>
      <c r="S2126" s="64">
        <v>0</v>
      </c>
    </row>
    <row r="2127" spans="1:19" ht="11.1" customHeight="1" x14ac:dyDescent="0.25">
      <c r="A2127" s="57">
        <v>113314</v>
      </c>
      <c r="B2127" s="53">
        <v>46135</v>
      </c>
      <c r="C2127" s="58">
        <v>46135</v>
      </c>
      <c r="D2127" s="59" t="s">
        <v>1730</v>
      </c>
      <c r="E2127" s="50" t="s">
        <v>313</v>
      </c>
      <c r="F2127" s="57">
        <v>36</v>
      </c>
      <c r="G2127" s="60">
        <v>86</v>
      </c>
      <c r="H2127" s="61" t="s">
        <v>1726</v>
      </c>
      <c r="I2127" s="50" t="s">
        <v>1727</v>
      </c>
      <c r="J2127" s="50" t="s">
        <v>1728</v>
      </c>
      <c r="K2127" s="62">
        <v>5403</v>
      </c>
      <c r="L2127" s="57">
        <v>207</v>
      </c>
      <c r="M2127" s="50" t="s">
        <v>26</v>
      </c>
      <c r="N2127" s="50" t="s">
        <v>317</v>
      </c>
      <c r="O2127" s="64">
        <v>1071.48</v>
      </c>
      <c r="P2127" s="65">
        <v>12</v>
      </c>
      <c r="Q2127" s="64">
        <v>128.58000000000001</v>
      </c>
      <c r="R2127" s="63">
        <v>0</v>
      </c>
      <c r="S2127" s="64">
        <v>75.02</v>
      </c>
    </row>
    <row r="2128" spans="1:19" ht="11.1" customHeight="1" x14ac:dyDescent="0.25">
      <c r="N2128" s="50" t="s">
        <v>318</v>
      </c>
      <c r="O2128" s="64">
        <v>1446.51</v>
      </c>
      <c r="P2128" s="65">
        <v>20</v>
      </c>
      <c r="Q2128" s="64">
        <v>75.02</v>
      </c>
      <c r="R2128" s="63">
        <v>0</v>
      </c>
      <c r="S2128" s="64">
        <v>0</v>
      </c>
    </row>
    <row r="2129" spans="1:19" ht="11.1" customHeight="1" x14ac:dyDescent="0.25">
      <c r="A2129" s="57">
        <v>113669</v>
      </c>
      <c r="B2129" s="53">
        <v>46127</v>
      </c>
      <c r="C2129" s="58">
        <v>46127</v>
      </c>
      <c r="D2129" s="59" t="s">
        <v>1731</v>
      </c>
      <c r="E2129" s="50" t="s">
        <v>313</v>
      </c>
      <c r="F2129" s="57">
        <v>36</v>
      </c>
      <c r="G2129" s="60">
        <v>86</v>
      </c>
      <c r="H2129" s="61" t="s">
        <v>1726</v>
      </c>
      <c r="I2129" s="50" t="s">
        <v>1727</v>
      </c>
      <c r="J2129" s="50" t="s">
        <v>1728</v>
      </c>
      <c r="K2129" s="62">
        <v>5102</v>
      </c>
      <c r="L2129" s="57">
        <v>205</v>
      </c>
      <c r="M2129" s="50" t="s">
        <v>26</v>
      </c>
      <c r="N2129" s="50" t="s">
        <v>317</v>
      </c>
      <c r="O2129" s="64">
        <v>0</v>
      </c>
      <c r="P2129" s="65">
        <v>0</v>
      </c>
      <c r="Q2129" s="64">
        <v>0</v>
      </c>
      <c r="R2129" s="63">
        <v>0</v>
      </c>
      <c r="S2129" s="64">
        <v>0</v>
      </c>
    </row>
    <row r="2130" spans="1:19" ht="11.1" customHeight="1" x14ac:dyDescent="0.25">
      <c r="A2130" s="57">
        <v>113670</v>
      </c>
      <c r="B2130" s="53">
        <v>46127</v>
      </c>
      <c r="C2130" s="58">
        <v>46127</v>
      </c>
      <c r="D2130" s="59" t="s">
        <v>1731</v>
      </c>
      <c r="E2130" s="50" t="s">
        <v>313</v>
      </c>
      <c r="F2130" s="57">
        <v>36</v>
      </c>
      <c r="G2130" s="60">
        <v>86</v>
      </c>
      <c r="H2130" s="61" t="s">
        <v>1726</v>
      </c>
      <c r="I2130" s="50" t="s">
        <v>1727</v>
      </c>
      <c r="J2130" s="50" t="s">
        <v>1728</v>
      </c>
      <c r="K2130" s="62">
        <v>5403</v>
      </c>
      <c r="L2130" s="57">
        <v>207</v>
      </c>
      <c r="M2130" s="50" t="s">
        <v>26</v>
      </c>
      <c r="N2130" s="50" t="s">
        <v>317</v>
      </c>
      <c r="O2130" s="64">
        <v>0</v>
      </c>
      <c r="P2130" s="65">
        <v>0</v>
      </c>
      <c r="Q2130" s="64">
        <v>0</v>
      </c>
      <c r="R2130" s="63">
        <v>0</v>
      </c>
      <c r="S2130" s="64">
        <v>0</v>
      </c>
    </row>
    <row r="2131" spans="1:19" ht="11.1" customHeight="1" x14ac:dyDescent="0.25">
      <c r="N2131" s="50" t="s">
        <v>318</v>
      </c>
      <c r="O2131" s="64">
        <v>0</v>
      </c>
      <c r="P2131" s="65">
        <v>0</v>
      </c>
      <c r="Q2131" s="64">
        <v>0</v>
      </c>
      <c r="R2131" s="63">
        <v>0</v>
      </c>
      <c r="S2131" s="64">
        <v>0</v>
      </c>
    </row>
    <row r="2132" spans="1:19" ht="11.85" customHeight="1" x14ac:dyDescent="0.25">
      <c r="A2132" s="66" t="s">
        <v>320</v>
      </c>
      <c r="B2132" s="66"/>
      <c r="C2132" s="66"/>
      <c r="D2132" s="66"/>
      <c r="E2132" s="66"/>
      <c r="F2132" s="66"/>
      <c r="G2132" s="66"/>
      <c r="H2132" s="66"/>
    </row>
    <row r="2133" spans="1:19" ht="11.1" customHeight="1" x14ac:dyDescent="0.25">
      <c r="N2133" s="50" t="s">
        <v>317</v>
      </c>
      <c r="O2133" s="64">
        <v>8465.7900000000009</v>
      </c>
      <c r="Q2133" s="64">
        <v>1015.9</v>
      </c>
      <c r="R2133" s="63">
        <v>0</v>
      </c>
      <c r="S2133" s="64">
        <v>169.37</v>
      </c>
    </row>
    <row r="2134" spans="1:19" ht="11.1" customHeight="1" x14ac:dyDescent="0.25">
      <c r="N2134" s="50" t="s">
        <v>318</v>
      </c>
      <c r="O2134" s="64">
        <v>3265.86</v>
      </c>
      <c r="Q2134" s="64">
        <v>169.37</v>
      </c>
      <c r="R2134" s="63">
        <v>0</v>
      </c>
      <c r="S2134" s="64">
        <v>0</v>
      </c>
    </row>
    <row r="2135" spans="1:19" ht="11.1" customHeight="1" x14ac:dyDescent="0.25">
      <c r="A2135" s="57">
        <v>112580</v>
      </c>
      <c r="B2135" s="53">
        <v>46118</v>
      </c>
      <c r="C2135" s="58">
        <v>46118</v>
      </c>
      <c r="D2135" s="59" t="s">
        <v>1732</v>
      </c>
      <c r="E2135" s="50" t="s">
        <v>313</v>
      </c>
      <c r="F2135" s="57">
        <v>36</v>
      </c>
      <c r="G2135" s="60">
        <v>577</v>
      </c>
      <c r="H2135" s="61" t="s">
        <v>1733</v>
      </c>
      <c r="I2135" s="50" t="s">
        <v>1734</v>
      </c>
      <c r="J2135" s="50" t="s">
        <v>1735</v>
      </c>
      <c r="K2135" s="62">
        <v>5102</v>
      </c>
      <c r="L2135" s="57">
        <v>205</v>
      </c>
      <c r="M2135" s="50" t="s">
        <v>26</v>
      </c>
      <c r="N2135" s="50" t="s">
        <v>317</v>
      </c>
      <c r="O2135" s="64">
        <v>1903.57</v>
      </c>
      <c r="P2135" s="65">
        <v>12</v>
      </c>
      <c r="Q2135" s="64">
        <v>228.42</v>
      </c>
      <c r="R2135" s="63">
        <v>0</v>
      </c>
      <c r="S2135" s="64">
        <v>0</v>
      </c>
    </row>
    <row r="2136" spans="1:19" ht="11.1" customHeight="1" x14ac:dyDescent="0.25">
      <c r="A2136" s="57">
        <v>113170</v>
      </c>
      <c r="B2136" s="53">
        <v>46129</v>
      </c>
      <c r="C2136" s="58">
        <v>46129</v>
      </c>
      <c r="D2136" s="59" t="s">
        <v>1736</v>
      </c>
      <c r="E2136" s="50" t="s">
        <v>313</v>
      </c>
      <c r="F2136" s="57">
        <v>36</v>
      </c>
      <c r="G2136" s="60">
        <v>577</v>
      </c>
      <c r="H2136" s="61" t="s">
        <v>1733</v>
      </c>
      <c r="I2136" s="50" t="s">
        <v>1734</v>
      </c>
      <c r="J2136" s="50" t="s">
        <v>1735</v>
      </c>
      <c r="K2136" s="62">
        <v>5102</v>
      </c>
      <c r="L2136" s="57">
        <v>205</v>
      </c>
      <c r="M2136" s="50" t="s">
        <v>26</v>
      </c>
      <c r="N2136" s="50" t="s">
        <v>317</v>
      </c>
      <c r="O2136" s="64">
        <v>549.23</v>
      </c>
      <c r="P2136" s="65">
        <v>12</v>
      </c>
      <c r="Q2136" s="64">
        <v>65.91</v>
      </c>
      <c r="R2136" s="63">
        <v>0</v>
      </c>
      <c r="S2136" s="64">
        <v>0</v>
      </c>
    </row>
    <row r="2137" spans="1:19" ht="11.1" customHeight="1" x14ac:dyDescent="0.25">
      <c r="A2137" s="57">
        <v>113493</v>
      </c>
      <c r="B2137" s="53">
        <v>46139</v>
      </c>
      <c r="C2137" s="58">
        <v>46139</v>
      </c>
      <c r="D2137" s="59" t="s">
        <v>1737</v>
      </c>
      <c r="E2137" s="50" t="s">
        <v>313</v>
      </c>
      <c r="F2137" s="57">
        <v>36</v>
      </c>
      <c r="G2137" s="60">
        <v>577</v>
      </c>
      <c r="H2137" s="61" t="s">
        <v>1733</v>
      </c>
      <c r="I2137" s="50" t="s">
        <v>1734</v>
      </c>
      <c r="J2137" s="50" t="s">
        <v>1735</v>
      </c>
      <c r="K2137" s="62">
        <v>5102</v>
      </c>
      <c r="L2137" s="57">
        <v>205</v>
      </c>
      <c r="M2137" s="50" t="s">
        <v>26</v>
      </c>
      <c r="N2137" s="50" t="s">
        <v>317</v>
      </c>
      <c r="O2137" s="64">
        <v>681.9</v>
      </c>
      <c r="P2137" s="65">
        <v>12</v>
      </c>
      <c r="Q2137" s="64">
        <v>81.83</v>
      </c>
      <c r="R2137" s="63">
        <v>0</v>
      </c>
      <c r="S2137" s="64">
        <v>0</v>
      </c>
    </row>
    <row r="2138" spans="1:19" ht="11.1" customHeight="1" x14ac:dyDescent="0.25">
      <c r="A2138" s="57">
        <v>113634</v>
      </c>
      <c r="B2138" s="53">
        <v>46142</v>
      </c>
      <c r="C2138" s="58">
        <v>46142</v>
      </c>
      <c r="D2138" s="59" t="s">
        <v>1738</v>
      </c>
      <c r="E2138" s="50" t="s">
        <v>313</v>
      </c>
      <c r="F2138" s="57">
        <v>36</v>
      </c>
      <c r="G2138" s="60">
        <v>577</v>
      </c>
      <c r="H2138" s="61" t="s">
        <v>1733</v>
      </c>
      <c r="I2138" s="50" t="s">
        <v>1734</v>
      </c>
      <c r="J2138" s="50" t="s">
        <v>1735</v>
      </c>
      <c r="K2138" s="62">
        <v>5102</v>
      </c>
      <c r="L2138" s="57">
        <v>205</v>
      </c>
      <c r="M2138" s="50" t="s">
        <v>26</v>
      </c>
      <c r="N2138" s="50" t="s">
        <v>317</v>
      </c>
      <c r="O2138" s="64">
        <v>780.62</v>
      </c>
      <c r="P2138" s="65">
        <v>12</v>
      </c>
      <c r="Q2138" s="64">
        <v>93.67</v>
      </c>
      <c r="R2138" s="63">
        <v>0</v>
      </c>
      <c r="S2138" s="64">
        <v>0</v>
      </c>
    </row>
    <row r="2139" spans="1:19" ht="11.85" customHeight="1" x14ac:dyDescent="0.25">
      <c r="A2139" s="66" t="s">
        <v>320</v>
      </c>
      <c r="B2139" s="66"/>
      <c r="C2139" s="66"/>
      <c r="D2139" s="66"/>
      <c r="E2139" s="66"/>
      <c r="F2139" s="66"/>
      <c r="G2139" s="66"/>
      <c r="H2139" s="66"/>
    </row>
    <row r="2140" spans="1:19" ht="11.1" customHeight="1" x14ac:dyDescent="0.25">
      <c r="N2140" s="50" t="s">
        <v>317</v>
      </c>
      <c r="O2140" s="64">
        <v>3915.32</v>
      </c>
      <c r="Q2140" s="64">
        <v>469.83</v>
      </c>
      <c r="R2140" s="63">
        <v>0</v>
      </c>
      <c r="S2140" s="64">
        <v>0</v>
      </c>
    </row>
    <row r="2141" spans="1:19" ht="11.1" customHeight="1" x14ac:dyDescent="0.25">
      <c r="A2141" s="57">
        <v>112964</v>
      </c>
      <c r="B2141" s="53">
        <v>46125</v>
      </c>
      <c r="C2141" s="58">
        <v>46125</v>
      </c>
      <c r="D2141" s="59" t="s">
        <v>1739</v>
      </c>
      <c r="E2141" s="50" t="s">
        <v>313</v>
      </c>
      <c r="F2141" s="57">
        <v>36</v>
      </c>
      <c r="G2141" s="60">
        <v>982</v>
      </c>
      <c r="H2141" s="61" t="s">
        <v>1740</v>
      </c>
      <c r="I2141" s="50" t="s">
        <v>1741</v>
      </c>
      <c r="J2141" s="50" t="s">
        <v>1742</v>
      </c>
      <c r="K2141" s="62">
        <v>6403</v>
      </c>
      <c r="L2141" s="57">
        <v>207</v>
      </c>
      <c r="M2141" s="50" t="s">
        <v>34</v>
      </c>
      <c r="N2141" s="50" t="s">
        <v>317</v>
      </c>
      <c r="O2141" s="64">
        <v>172.48</v>
      </c>
      <c r="P2141" s="65">
        <v>12</v>
      </c>
      <c r="Q2141" s="64">
        <v>20.7</v>
      </c>
      <c r="R2141" s="63">
        <v>0</v>
      </c>
      <c r="S2141" s="64">
        <v>26.21</v>
      </c>
    </row>
    <row r="2142" spans="1:19" ht="11.1" customHeight="1" x14ac:dyDescent="0.25">
      <c r="N2142" s="50" t="s">
        <v>318</v>
      </c>
      <c r="O2142" s="64">
        <v>246.89</v>
      </c>
      <c r="P2142" s="65">
        <v>19</v>
      </c>
      <c r="Q2142" s="64">
        <v>26.21</v>
      </c>
      <c r="R2142" s="63">
        <v>0</v>
      </c>
      <c r="S2142" s="64">
        <v>0</v>
      </c>
    </row>
    <row r="2143" spans="1:19" ht="11.1" customHeight="1" x14ac:dyDescent="0.25">
      <c r="A2143" s="57">
        <v>113009</v>
      </c>
      <c r="B2143" s="53">
        <v>46126</v>
      </c>
      <c r="C2143" s="58">
        <v>46126</v>
      </c>
      <c r="D2143" s="59" t="s">
        <v>1743</v>
      </c>
      <c r="E2143" s="50" t="s">
        <v>313</v>
      </c>
      <c r="F2143" s="57">
        <v>36</v>
      </c>
      <c r="G2143" s="60">
        <v>982</v>
      </c>
      <c r="H2143" s="61" t="s">
        <v>1740</v>
      </c>
      <c r="I2143" s="50" t="s">
        <v>1741</v>
      </c>
      <c r="J2143" s="50" t="s">
        <v>1742</v>
      </c>
      <c r="K2143" s="62">
        <v>6403</v>
      </c>
      <c r="L2143" s="57">
        <v>207</v>
      </c>
      <c r="M2143" s="50" t="s">
        <v>34</v>
      </c>
      <c r="N2143" s="50" t="s">
        <v>317</v>
      </c>
      <c r="O2143" s="64">
        <v>172.48</v>
      </c>
      <c r="P2143" s="65">
        <v>12</v>
      </c>
      <c r="Q2143" s="64">
        <v>20.7</v>
      </c>
      <c r="R2143" s="63">
        <v>0</v>
      </c>
      <c r="S2143" s="64">
        <v>26.21</v>
      </c>
    </row>
    <row r="2144" spans="1:19" ht="11.1" customHeight="1" x14ac:dyDescent="0.25">
      <c r="N2144" s="50" t="s">
        <v>318</v>
      </c>
      <c r="O2144" s="64">
        <v>246.89</v>
      </c>
      <c r="P2144" s="65">
        <v>19</v>
      </c>
      <c r="Q2144" s="64">
        <v>26.21</v>
      </c>
      <c r="R2144" s="63">
        <v>0</v>
      </c>
      <c r="S2144" s="64">
        <v>0</v>
      </c>
    </row>
    <row r="2145" spans="1:19" ht="11.85" customHeight="1" x14ac:dyDescent="0.25">
      <c r="A2145" s="66" t="s">
        <v>320</v>
      </c>
      <c r="B2145" s="66"/>
      <c r="C2145" s="66"/>
      <c r="D2145" s="66"/>
      <c r="E2145" s="66"/>
      <c r="F2145" s="66"/>
      <c r="G2145" s="66"/>
      <c r="H2145" s="66"/>
    </row>
    <row r="2146" spans="1:19" ht="11.1" customHeight="1" x14ac:dyDescent="0.25">
      <c r="N2146" s="50" t="s">
        <v>317</v>
      </c>
      <c r="O2146" s="64">
        <v>344.96</v>
      </c>
      <c r="Q2146" s="64">
        <v>41.4</v>
      </c>
      <c r="R2146" s="63">
        <v>0</v>
      </c>
      <c r="S2146" s="64">
        <v>52.42</v>
      </c>
    </row>
    <row r="2147" spans="1:19" ht="11.1" customHeight="1" x14ac:dyDescent="0.25">
      <c r="N2147" s="50" t="s">
        <v>318</v>
      </c>
      <c r="O2147" s="64">
        <v>493.78</v>
      </c>
      <c r="Q2147" s="64">
        <v>52.42</v>
      </c>
      <c r="R2147" s="63">
        <v>0</v>
      </c>
      <c r="S2147" s="64">
        <v>0</v>
      </c>
    </row>
    <row r="2148" spans="1:19" ht="11.1" customHeight="1" x14ac:dyDescent="0.25">
      <c r="A2148" s="57">
        <v>112812</v>
      </c>
      <c r="B2148" s="53">
        <v>46121</v>
      </c>
      <c r="C2148" s="58">
        <v>46121</v>
      </c>
      <c r="D2148" s="59" t="s">
        <v>1744</v>
      </c>
      <c r="E2148" s="50" t="s">
        <v>313</v>
      </c>
      <c r="F2148" s="57">
        <v>36</v>
      </c>
      <c r="G2148" s="60">
        <v>574</v>
      </c>
      <c r="H2148" s="61" t="s">
        <v>1745</v>
      </c>
      <c r="I2148" s="50" t="s">
        <v>1746</v>
      </c>
      <c r="J2148" s="50" t="s">
        <v>1747</v>
      </c>
      <c r="K2148" s="62">
        <v>5102</v>
      </c>
      <c r="L2148" s="57">
        <v>205</v>
      </c>
      <c r="M2148" s="50" t="s">
        <v>26</v>
      </c>
      <c r="N2148" s="50" t="s">
        <v>317</v>
      </c>
      <c r="O2148" s="64">
        <v>429.48</v>
      </c>
      <c r="P2148" s="65">
        <v>12</v>
      </c>
      <c r="Q2148" s="64">
        <v>51.54</v>
      </c>
      <c r="R2148" s="63">
        <v>0</v>
      </c>
      <c r="S2148" s="64">
        <v>0</v>
      </c>
    </row>
    <row r="2149" spans="1:19" ht="11.1" customHeight="1" x14ac:dyDescent="0.25">
      <c r="A2149" s="57">
        <v>112813</v>
      </c>
      <c r="B2149" s="53">
        <v>46121</v>
      </c>
      <c r="C2149" s="58">
        <v>46121</v>
      </c>
      <c r="D2149" s="59" t="s">
        <v>1744</v>
      </c>
      <c r="E2149" s="50" t="s">
        <v>313</v>
      </c>
      <c r="F2149" s="57">
        <v>36</v>
      </c>
      <c r="G2149" s="60">
        <v>574</v>
      </c>
      <c r="H2149" s="61" t="s">
        <v>1745</v>
      </c>
      <c r="I2149" s="50" t="s">
        <v>1746</v>
      </c>
      <c r="J2149" s="50" t="s">
        <v>1747</v>
      </c>
      <c r="K2149" s="62">
        <v>5403</v>
      </c>
      <c r="L2149" s="57">
        <v>207</v>
      </c>
      <c r="M2149" s="50" t="s">
        <v>26</v>
      </c>
      <c r="N2149" s="50" t="s">
        <v>317</v>
      </c>
      <c r="O2149" s="64">
        <v>1591.2</v>
      </c>
      <c r="P2149" s="65">
        <v>12</v>
      </c>
      <c r="Q2149" s="64">
        <v>190.95</v>
      </c>
      <c r="R2149" s="63">
        <v>0</v>
      </c>
      <c r="S2149" s="64">
        <v>111.39</v>
      </c>
    </row>
    <row r="2150" spans="1:19" ht="11.1" customHeight="1" x14ac:dyDescent="0.25">
      <c r="N2150" s="50" t="s">
        <v>318</v>
      </c>
      <c r="O2150" s="64">
        <v>2148.12</v>
      </c>
      <c r="P2150" s="65">
        <v>20</v>
      </c>
      <c r="Q2150" s="64">
        <v>111.39</v>
      </c>
      <c r="R2150" s="63">
        <v>0</v>
      </c>
      <c r="S2150" s="64">
        <v>0</v>
      </c>
    </row>
    <row r="2151" spans="1:19" ht="11.1" customHeight="1" x14ac:dyDescent="0.25">
      <c r="A2151" s="57">
        <v>113603</v>
      </c>
      <c r="B2151" s="53">
        <v>46141</v>
      </c>
      <c r="C2151" s="58">
        <v>46141</v>
      </c>
      <c r="D2151" s="59" t="s">
        <v>1748</v>
      </c>
      <c r="E2151" s="50" t="s">
        <v>313</v>
      </c>
      <c r="F2151" s="57">
        <v>36</v>
      </c>
      <c r="G2151" s="60">
        <v>574</v>
      </c>
      <c r="H2151" s="61" t="s">
        <v>1745</v>
      </c>
      <c r="I2151" s="50" t="s">
        <v>1746</v>
      </c>
      <c r="J2151" s="50" t="s">
        <v>1747</v>
      </c>
      <c r="K2151" s="62">
        <v>5102</v>
      </c>
      <c r="L2151" s="57">
        <v>205</v>
      </c>
      <c r="M2151" s="50" t="s">
        <v>26</v>
      </c>
      <c r="N2151" s="50" t="s">
        <v>317</v>
      </c>
      <c r="O2151" s="64">
        <v>402.78</v>
      </c>
      <c r="P2151" s="65">
        <v>12</v>
      </c>
      <c r="Q2151" s="64">
        <v>48.33</v>
      </c>
      <c r="R2151" s="63">
        <v>0</v>
      </c>
      <c r="S2151" s="64">
        <v>0</v>
      </c>
    </row>
    <row r="2152" spans="1:19" ht="11.1" customHeight="1" x14ac:dyDescent="0.25">
      <c r="A2152" s="57">
        <v>113604</v>
      </c>
      <c r="B2152" s="53">
        <v>46141</v>
      </c>
      <c r="C2152" s="58">
        <v>46141</v>
      </c>
      <c r="D2152" s="59" t="s">
        <v>1748</v>
      </c>
      <c r="E2152" s="50" t="s">
        <v>313</v>
      </c>
      <c r="F2152" s="57">
        <v>36</v>
      </c>
      <c r="G2152" s="60">
        <v>574</v>
      </c>
      <c r="H2152" s="61" t="s">
        <v>1745</v>
      </c>
      <c r="I2152" s="50" t="s">
        <v>1746</v>
      </c>
      <c r="J2152" s="50" t="s">
        <v>1747</v>
      </c>
      <c r="K2152" s="62">
        <v>5403</v>
      </c>
      <c r="L2152" s="57">
        <v>207</v>
      </c>
      <c r="M2152" s="50" t="s">
        <v>26</v>
      </c>
      <c r="N2152" s="50" t="s">
        <v>317</v>
      </c>
      <c r="O2152" s="64">
        <v>250.8</v>
      </c>
      <c r="P2152" s="65">
        <v>12</v>
      </c>
      <c r="Q2152" s="64">
        <v>30.1</v>
      </c>
      <c r="R2152" s="63">
        <v>0</v>
      </c>
      <c r="S2152" s="64">
        <v>17.559999999999999</v>
      </c>
    </row>
    <row r="2153" spans="1:19" ht="11.1" customHeight="1" x14ac:dyDescent="0.25">
      <c r="N2153" s="50" t="s">
        <v>318</v>
      </c>
      <c r="O2153" s="64">
        <v>338.58</v>
      </c>
      <c r="P2153" s="65">
        <v>20</v>
      </c>
      <c r="Q2153" s="64">
        <v>17.559999999999999</v>
      </c>
      <c r="R2153" s="63">
        <v>0</v>
      </c>
      <c r="S2153" s="64">
        <v>0</v>
      </c>
    </row>
    <row r="2154" spans="1:19" ht="11.85" customHeight="1" x14ac:dyDescent="0.25">
      <c r="A2154" s="66" t="s">
        <v>320</v>
      </c>
      <c r="B2154" s="66"/>
      <c r="C2154" s="66"/>
      <c r="D2154" s="66"/>
      <c r="E2154" s="66"/>
      <c r="F2154" s="66"/>
      <c r="G2154" s="66"/>
      <c r="H2154" s="66"/>
    </row>
    <row r="2155" spans="1:19" ht="11.1" customHeight="1" x14ac:dyDescent="0.25">
      <c r="N2155" s="50" t="s">
        <v>317</v>
      </c>
      <c r="O2155" s="64">
        <v>2674.26</v>
      </c>
      <c r="Q2155" s="64">
        <v>320.92</v>
      </c>
      <c r="R2155" s="63">
        <v>0</v>
      </c>
      <c r="S2155" s="64">
        <v>128.94999999999999</v>
      </c>
    </row>
    <row r="2156" spans="1:19" ht="11.1" customHeight="1" x14ac:dyDescent="0.25">
      <c r="N2156" s="50" t="s">
        <v>318</v>
      </c>
      <c r="O2156" s="64">
        <v>2486.6999999999998</v>
      </c>
      <c r="Q2156" s="64">
        <v>128.94999999999999</v>
      </c>
      <c r="R2156" s="63">
        <v>0</v>
      </c>
      <c r="S2156" s="64">
        <v>0</v>
      </c>
    </row>
    <row r="2157" spans="1:19" ht="11.1" customHeight="1" x14ac:dyDescent="0.25">
      <c r="A2157" s="57">
        <v>112969</v>
      </c>
      <c r="B2157" s="53">
        <v>46125</v>
      </c>
      <c r="C2157" s="58">
        <v>46125</v>
      </c>
      <c r="D2157" s="59" t="s">
        <v>1749</v>
      </c>
      <c r="E2157" s="50" t="s">
        <v>313</v>
      </c>
      <c r="F2157" s="57">
        <v>36</v>
      </c>
      <c r="G2157" s="60">
        <v>769</v>
      </c>
      <c r="H2157" s="61" t="s">
        <v>1750</v>
      </c>
      <c r="I2157" s="50" t="s">
        <v>1751</v>
      </c>
      <c r="J2157" s="50" t="s">
        <v>1752</v>
      </c>
      <c r="K2157" s="62">
        <v>5403</v>
      </c>
      <c r="L2157" s="57">
        <v>207</v>
      </c>
      <c r="M2157" s="50" t="s">
        <v>26</v>
      </c>
      <c r="N2157" s="50" t="s">
        <v>317</v>
      </c>
      <c r="O2157" s="64">
        <v>64.7</v>
      </c>
      <c r="P2157" s="65">
        <v>12</v>
      </c>
      <c r="Q2157" s="64">
        <v>7.76</v>
      </c>
      <c r="R2157" s="63">
        <v>0</v>
      </c>
      <c r="S2157" s="64">
        <v>4.53</v>
      </c>
    </row>
    <row r="2158" spans="1:19" ht="11.1" customHeight="1" x14ac:dyDescent="0.25">
      <c r="N2158" s="50" t="s">
        <v>318</v>
      </c>
      <c r="O2158" s="64">
        <v>87.35</v>
      </c>
      <c r="P2158" s="65">
        <v>20</v>
      </c>
      <c r="Q2158" s="64">
        <v>4.53</v>
      </c>
      <c r="R2158" s="63">
        <v>0</v>
      </c>
      <c r="S2158" s="64">
        <v>0</v>
      </c>
    </row>
    <row r="2159" spans="1:19" ht="11.85" customHeight="1" x14ac:dyDescent="0.25">
      <c r="A2159" s="66" t="s">
        <v>320</v>
      </c>
      <c r="B2159" s="66"/>
      <c r="C2159" s="66"/>
      <c r="D2159" s="66"/>
      <c r="E2159" s="66"/>
      <c r="F2159" s="66"/>
      <c r="G2159" s="66"/>
      <c r="H2159" s="66"/>
    </row>
    <row r="2160" spans="1:19" ht="11.1" customHeight="1" x14ac:dyDescent="0.25">
      <c r="N2160" s="50" t="s">
        <v>317</v>
      </c>
      <c r="O2160" s="64">
        <v>64.7</v>
      </c>
      <c r="Q2160" s="64">
        <v>7.76</v>
      </c>
      <c r="R2160" s="63">
        <v>0</v>
      </c>
      <c r="S2160" s="64">
        <v>4.53</v>
      </c>
    </row>
    <row r="2161" spans="1:19" ht="11.1" customHeight="1" x14ac:dyDescent="0.25">
      <c r="N2161" s="50" t="s">
        <v>318</v>
      </c>
      <c r="O2161" s="64">
        <v>87.35</v>
      </c>
      <c r="Q2161" s="64">
        <v>4.53</v>
      </c>
      <c r="R2161" s="63">
        <v>0</v>
      </c>
      <c r="S2161" s="64">
        <v>0</v>
      </c>
    </row>
    <row r="2162" spans="1:19" ht="11.1" customHeight="1" x14ac:dyDescent="0.25">
      <c r="A2162" s="57">
        <v>113233</v>
      </c>
      <c r="B2162" s="53">
        <v>46132</v>
      </c>
      <c r="C2162" s="58">
        <v>46132</v>
      </c>
      <c r="D2162" s="59" t="s">
        <v>1753</v>
      </c>
      <c r="E2162" s="50" t="s">
        <v>313</v>
      </c>
      <c r="F2162" s="57">
        <v>36</v>
      </c>
      <c r="G2162" s="60">
        <v>13</v>
      </c>
      <c r="H2162" s="61" t="s">
        <v>1754</v>
      </c>
      <c r="I2162" s="50" t="s">
        <v>1755</v>
      </c>
      <c r="J2162" s="50" t="s">
        <v>1756</v>
      </c>
      <c r="K2162" s="62">
        <v>5102</v>
      </c>
      <c r="L2162" s="57">
        <v>205</v>
      </c>
      <c r="M2162" s="50" t="s">
        <v>26</v>
      </c>
      <c r="N2162" s="50" t="s">
        <v>317</v>
      </c>
      <c r="O2162" s="64">
        <v>2051.71</v>
      </c>
      <c r="P2162" s="65">
        <v>12</v>
      </c>
      <c r="Q2162" s="64">
        <v>246.21</v>
      </c>
      <c r="R2162" s="63">
        <v>0</v>
      </c>
      <c r="S2162" s="64">
        <v>0</v>
      </c>
    </row>
    <row r="2163" spans="1:19" ht="11.85" customHeight="1" x14ac:dyDescent="0.25">
      <c r="A2163" s="66" t="s">
        <v>320</v>
      </c>
      <c r="B2163" s="66"/>
      <c r="C2163" s="66"/>
      <c r="D2163" s="66"/>
      <c r="E2163" s="66"/>
      <c r="F2163" s="66"/>
      <c r="G2163" s="66"/>
      <c r="H2163" s="66"/>
    </row>
    <row r="2164" spans="1:19" ht="11.1" customHeight="1" x14ac:dyDescent="0.25">
      <c r="N2164" s="50" t="s">
        <v>317</v>
      </c>
      <c r="O2164" s="64">
        <v>2051.71</v>
      </c>
      <c r="Q2164" s="64">
        <v>246.21</v>
      </c>
      <c r="R2164" s="63">
        <v>0</v>
      </c>
      <c r="S2164" s="64">
        <v>0</v>
      </c>
    </row>
    <row r="2165" spans="1:19" ht="11.1" customHeight="1" x14ac:dyDescent="0.25">
      <c r="A2165" s="57">
        <v>112577</v>
      </c>
      <c r="B2165" s="53">
        <v>46118</v>
      </c>
      <c r="C2165" s="58">
        <v>46118</v>
      </c>
      <c r="D2165" s="59" t="s">
        <v>1757</v>
      </c>
      <c r="E2165" s="50" t="s">
        <v>313</v>
      </c>
      <c r="F2165" s="57">
        <v>36</v>
      </c>
      <c r="G2165" s="60">
        <v>978</v>
      </c>
      <c r="H2165" s="61" t="s">
        <v>1758</v>
      </c>
      <c r="I2165" s="50" t="s">
        <v>1759</v>
      </c>
      <c r="J2165" s="50" t="s">
        <v>1760</v>
      </c>
      <c r="K2165" s="62">
        <v>6403</v>
      </c>
      <c r="L2165" s="57">
        <v>207</v>
      </c>
      <c r="M2165" s="50" t="s">
        <v>34</v>
      </c>
      <c r="N2165" s="50" t="s">
        <v>317</v>
      </c>
      <c r="O2165" s="64">
        <v>535.34</v>
      </c>
      <c r="P2165" s="65">
        <v>12</v>
      </c>
      <c r="Q2165" s="64">
        <v>64.239999999999995</v>
      </c>
      <c r="R2165" s="63">
        <v>0</v>
      </c>
      <c r="S2165" s="64">
        <v>81.349999999999994</v>
      </c>
    </row>
    <row r="2166" spans="1:19" ht="11.1" customHeight="1" x14ac:dyDescent="0.25">
      <c r="N2166" s="50" t="s">
        <v>318</v>
      </c>
      <c r="O2166" s="64">
        <v>766.28</v>
      </c>
      <c r="P2166" s="65">
        <v>19</v>
      </c>
      <c r="Q2166" s="64">
        <v>81.349999999999994</v>
      </c>
      <c r="R2166" s="63">
        <v>0</v>
      </c>
      <c r="S2166" s="64">
        <v>0</v>
      </c>
    </row>
    <row r="2167" spans="1:19" ht="11.1" customHeight="1" x14ac:dyDescent="0.25">
      <c r="A2167" s="57">
        <v>113219</v>
      </c>
      <c r="B2167" s="53">
        <v>46132</v>
      </c>
      <c r="C2167" s="58">
        <v>46132</v>
      </c>
      <c r="D2167" s="59" t="s">
        <v>1761</v>
      </c>
      <c r="E2167" s="50" t="s">
        <v>313</v>
      </c>
      <c r="F2167" s="57">
        <v>36</v>
      </c>
      <c r="G2167" s="60">
        <v>978</v>
      </c>
      <c r="H2167" s="61" t="s">
        <v>1758</v>
      </c>
      <c r="I2167" s="50" t="s">
        <v>1759</v>
      </c>
      <c r="J2167" s="50" t="s">
        <v>1760</v>
      </c>
      <c r="K2167" s="62">
        <v>6403</v>
      </c>
      <c r="L2167" s="57">
        <v>207</v>
      </c>
      <c r="M2167" s="50" t="s">
        <v>34</v>
      </c>
      <c r="N2167" s="50" t="s">
        <v>317</v>
      </c>
      <c r="O2167" s="64">
        <v>1040.4000000000001</v>
      </c>
      <c r="P2167" s="65">
        <v>12</v>
      </c>
      <c r="Q2167" s="64">
        <v>124.84</v>
      </c>
      <c r="R2167" s="63">
        <v>0</v>
      </c>
      <c r="S2167" s="64">
        <v>158.11000000000001</v>
      </c>
    </row>
    <row r="2168" spans="1:19" ht="11.1" customHeight="1" x14ac:dyDescent="0.25">
      <c r="N2168" s="50" t="s">
        <v>318</v>
      </c>
      <c r="O2168" s="64">
        <v>1489.23</v>
      </c>
      <c r="P2168" s="65">
        <v>19</v>
      </c>
      <c r="Q2168" s="64">
        <v>158.11000000000001</v>
      </c>
      <c r="R2168" s="63">
        <v>0</v>
      </c>
      <c r="S2168" s="64">
        <v>0</v>
      </c>
    </row>
    <row r="2169" spans="1:19" ht="11.1" customHeight="1" x14ac:dyDescent="0.25">
      <c r="A2169" s="57">
        <v>113220</v>
      </c>
      <c r="B2169" s="53">
        <v>46132</v>
      </c>
      <c r="C2169" s="58">
        <v>46132</v>
      </c>
      <c r="D2169" s="59" t="s">
        <v>1761</v>
      </c>
      <c r="E2169" s="50" t="s">
        <v>313</v>
      </c>
      <c r="F2169" s="57">
        <v>36</v>
      </c>
      <c r="G2169" s="60">
        <v>978</v>
      </c>
      <c r="H2169" s="61" t="s">
        <v>1758</v>
      </c>
      <c r="I2169" s="50" t="s">
        <v>1759</v>
      </c>
      <c r="J2169" s="50" t="s">
        <v>1760</v>
      </c>
      <c r="K2169" s="62">
        <v>6102</v>
      </c>
      <c r="L2169" s="57">
        <v>238</v>
      </c>
      <c r="M2169" s="50" t="s">
        <v>34</v>
      </c>
      <c r="N2169" s="50" t="s">
        <v>317</v>
      </c>
      <c r="O2169" s="64">
        <v>720</v>
      </c>
      <c r="P2169" s="65">
        <v>12</v>
      </c>
      <c r="Q2169" s="64">
        <v>86.4</v>
      </c>
      <c r="R2169" s="63">
        <v>0</v>
      </c>
      <c r="S2169" s="64">
        <v>0</v>
      </c>
    </row>
    <row r="2170" spans="1:19" ht="11.85" customHeight="1" x14ac:dyDescent="0.25">
      <c r="A2170" s="66" t="s">
        <v>320</v>
      </c>
      <c r="B2170" s="66"/>
      <c r="C2170" s="66"/>
      <c r="D2170" s="66"/>
      <c r="E2170" s="66"/>
      <c r="F2170" s="66"/>
      <c r="G2170" s="66"/>
      <c r="H2170" s="66"/>
    </row>
    <row r="2171" spans="1:19" ht="11.1" customHeight="1" x14ac:dyDescent="0.25">
      <c r="N2171" s="50" t="s">
        <v>317</v>
      </c>
      <c r="O2171" s="64">
        <v>2295.7399999999998</v>
      </c>
      <c r="Q2171" s="64">
        <v>275.48</v>
      </c>
      <c r="R2171" s="63">
        <v>0</v>
      </c>
      <c r="S2171" s="64">
        <v>239.46</v>
      </c>
    </row>
    <row r="2172" spans="1:19" ht="11.1" customHeight="1" x14ac:dyDescent="0.25">
      <c r="N2172" s="50" t="s">
        <v>318</v>
      </c>
      <c r="O2172" s="64">
        <v>2255.5100000000002</v>
      </c>
      <c r="Q2172" s="64">
        <v>239.46</v>
      </c>
      <c r="R2172" s="63">
        <v>0</v>
      </c>
      <c r="S2172" s="64">
        <v>0</v>
      </c>
    </row>
    <row r="2173" spans="1:19" ht="11.1" customHeight="1" x14ac:dyDescent="0.25">
      <c r="A2173" s="57">
        <v>112976</v>
      </c>
      <c r="B2173" s="53">
        <v>46125</v>
      </c>
      <c r="C2173" s="58">
        <v>46125</v>
      </c>
      <c r="D2173" s="59" t="s">
        <v>1762</v>
      </c>
      <c r="E2173" s="50" t="s">
        <v>313</v>
      </c>
      <c r="F2173" s="57">
        <v>36</v>
      </c>
      <c r="G2173" s="60">
        <v>269</v>
      </c>
      <c r="H2173" s="61" t="s">
        <v>1763</v>
      </c>
      <c r="I2173" s="50" t="s">
        <v>1764</v>
      </c>
      <c r="J2173" s="50" t="s">
        <v>1765</v>
      </c>
      <c r="K2173" s="62">
        <v>6403</v>
      </c>
      <c r="L2173" s="57">
        <v>207</v>
      </c>
      <c r="M2173" s="50" t="s">
        <v>38</v>
      </c>
      <c r="N2173" s="50" t="s">
        <v>317</v>
      </c>
      <c r="O2173" s="64">
        <v>459.88</v>
      </c>
      <c r="P2173" s="65">
        <v>12</v>
      </c>
      <c r="Q2173" s="64">
        <v>55.18</v>
      </c>
      <c r="R2173" s="63">
        <v>0</v>
      </c>
      <c r="S2173" s="64">
        <v>90.51</v>
      </c>
    </row>
    <row r="2174" spans="1:19" ht="11.1" customHeight="1" x14ac:dyDescent="0.25">
      <c r="N2174" s="50" t="s">
        <v>318</v>
      </c>
      <c r="O2174" s="64">
        <v>809.39</v>
      </c>
      <c r="P2174" s="65">
        <v>18</v>
      </c>
      <c r="Q2174" s="64">
        <v>90.51</v>
      </c>
      <c r="R2174" s="63">
        <v>0</v>
      </c>
      <c r="S2174" s="64">
        <v>0</v>
      </c>
    </row>
    <row r="2175" spans="1:19" ht="11.85" customHeight="1" x14ac:dyDescent="0.25">
      <c r="A2175" s="66" t="s">
        <v>320</v>
      </c>
      <c r="B2175" s="66"/>
      <c r="C2175" s="66"/>
      <c r="D2175" s="66"/>
      <c r="E2175" s="66"/>
      <c r="F2175" s="66"/>
      <c r="G2175" s="66"/>
      <c r="H2175" s="66"/>
    </row>
    <row r="2176" spans="1:19" ht="11.1" customHeight="1" x14ac:dyDescent="0.25">
      <c r="N2176" s="50" t="s">
        <v>317</v>
      </c>
      <c r="O2176" s="64">
        <v>459.88</v>
      </c>
      <c r="Q2176" s="64">
        <v>55.18</v>
      </c>
      <c r="R2176" s="63">
        <v>0</v>
      </c>
      <c r="S2176" s="64">
        <v>90.51</v>
      </c>
    </row>
    <row r="2177" spans="1:19" ht="11.1" customHeight="1" x14ac:dyDescent="0.25">
      <c r="N2177" s="50" t="s">
        <v>318</v>
      </c>
      <c r="O2177" s="64">
        <v>809.39</v>
      </c>
      <c r="Q2177" s="64">
        <v>90.51</v>
      </c>
      <c r="R2177" s="63">
        <v>0</v>
      </c>
      <c r="S2177" s="64">
        <v>0</v>
      </c>
    </row>
    <row r="2178" spans="1:19" ht="11.1" customHeight="1" x14ac:dyDescent="0.25">
      <c r="A2178" s="57">
        <v>112459</v>
      </c>
      <c r="B2178" s="53">
        <v>46113</v>
      </c>
      <c r="C2178" s="58">
        <v>46113</v>
      </c>
      <c r="D2178" s="59" t="s">
        <v>1766</v>
      </c>
      <c r="E2178" s="50" t="s">
        <v>313</v>
      </c>
      <c r="F2178" s="57">
        <v>36</v>
      </c>
      <c r="G2178" s="60">
        <v>472</v>
      </c>
      <c r="H2178" s="61" t="s">
        <v>1767</v>
      </c>
      <c r="I2178" s="50" t="s">
        <v>1768</v>
      </c>
      <c r="J2178" s="50" t="s">
        <v>1769</v>
      </c>
      <c r="K2178" s="62">
        <v>5102</v>
      </c>
      <c r="L2178" s="57">
        <v>205</v>
      </c>
      <c r="M2178" s="50" t="s">
        <v>26</v>
      </c>
      <c r="N2178" s="50" t="s">
        <v>317</v>
      </c>
      <c r="O2178" s="64">
        <v>249.68</v>
      </c>
      <c r="P2178" s="65">
        <v>12</v>
      </c>
      <c r="Q2178" s="64">
        <v>29.96</v>
      </c>
      <c r="R2178" s="63">
        <v>0</v>
      </c>
      <c r="S2178" s="64">
        <v>0</v>
      </c>
    </row>
    <row r="2179" spans="1:19" ht="11.85" customHeight="1" x14ac:dyDescent="0.25">
      <c r="A2179" s="66" t="s">
        <v>320</v>
      </c>
      <c r="B2179" s="66"/>
      <c r="C2179" s="66"/>
      <c r="D2179" s="66"/>
      <c r="E2179" s="66"/>
      <c r="F2179" s="66"/>
      <c r="G2179" s="66"/>
      <c r="H2179" s="66"/>
    </row>
    <row r="2180" spans="1:19" ht="11.1" customHeight="1" x14ac:dyDescent="0.25">
      <c r="N2180" s="50" t="s">
        <v>317</v>
      </c>
      <c r="O2180" s="64">
        <v>249.68</v>
      </c>
      <c r="Q2180" s="64">
        <v>29.96</v>
      </c>
      <c r="R2180" s="63">
        <v>0</v>
      </c>
      <c r="S2180" s="64">
        <v>0</v>
      </c>
    </row>
    <row r="2181" spans="1:19" ht="11.1" customHeight="1" x14ac:dyDescent="0.25">
      <c r="A2181" s="57">
        <v>113319</v>
      </c>
      <c r="B2181" s="53">
        <v>46135</v>
      </c>
      <c r="C2181" s="58">
        <v>46135</v>
      </c>
      <c r="D2181" s="59" t="s">
        <v>1770</v>
      </c>
      <c r="E2181" s="50" t="s">
        <v>313</v>
      </c>
      <c r="F2181" s="57">
        <v>36</v>
      </c>
      <c r="G2181" s="60">
        <v>988</v>
      </c>
      <c r="H2181" s="61" t="s">
        <v>1771</v>
      </c>
      <c r="I2181" s="50" t="s">
        <v>1772</v>
      </c>
      <c r="J2181" s="50" t="s">
        <v>1773</v>
      </c>
      <c r="K2181" s="62">
        <v>5102</v>
      </c>
      <c r="L2181" s="57">
        <v>205</v>
      </c>
      <c r="M2181" s="50" t="s">
        <v>26</v>
      </c>
      <c r="N2181" s="50" t="s">
        <v>317</v>
      </c>
      <c r="O2181" s="64">
        <v>89.56</v>
      </c>
      <c r="P2181" s="65">
        <v>12</v>
      </c>
      <c r="Q2181" s="64">
        <v>10.75</v>
      </c>
      <c r="R2181" s="63">
        <v>0</v>
      </c>
      <c r="S2181" s="64">
        <v>0</v>
      </c>
    </row>
    <row r="2182" spans="1:19" ht="11.85" customHeight="1" x14ac:dyDescent="0.25">
      <c r="A2182" s="66" t="s">
        <v>320</v>
      </c>
      <c r="B2182" s="66"/>
      <c r="C2182" s="66"/>
      <c r="D2182" s="66"/>
      <c r="E2182" s="66"/>
      <c r="F2182" s="66"/>
      <c r="G2182" s="66"/>
      <c r="H2182" s="66"/>
    </row>
    <row r="2183" spans="1:19" ht="11.1" customHeight="1" x14ac:dyDescent="0.25">
      <c r="N2183" s="50" t="s">
        <v>317</v>
      </c>
      <c r="O2183" s="64">
        <v>89.56</v>
      </c>
      <c r="Q2183" s="64">
        <v>10.75</v>
      </c>
      <c r="R2183" s="63">
        <v>0</v>
      </c>
      <c r="S2183" s="64">
        <v>0</v>
      </c>
    </row>
    <row r="2184" spans="1:19" ht="11.1" customHeight="1" x14ac:dyDescent="0.25">
      <c r="A2184" s="57">
        <v>112909</v>
      </c>
      <c r="B2184" s="53">
        <v>46122</v>
      </c>
      <c r="C2184" s="58">
        <v>46122</v>
      </c>
      <c r="D2184" s="59" t="s">
        <v>1774</v>
      </c>
      <c r="E2184" s="50" t="s">
        <v>313</v>
      </c>
      <c r="F2184" s="57">
        <v>36</v>
      </c>
      <c r="G2184" s="60">
        <v>537</v>
      </c>
      <c r="H2184" s="61" t="s">
        <v>1775</v>
      </c>
      <c r="I2184" s="50" t="s">
        <v>1776</v>
      </c>
      <c r="J2184" s="50" t="s">
        <v>1777</v>
      </c>
      <c r="K2184" s="62">
        <v>5403</v>
      </c>
      <c r="L2184" s="57">
        <v>207</v>
      </c>
      <c r="M2184" s="50" t="s">
        <v>26</v>
      </c>
      <c r="N2184" s="50" t="s">
        <v>317</v>
      </c>
      <c r="O2184" s="64">
        <v>3320.1</v>
      </c>
      <c r="P2184" s="65">
        <v>12</v>
      </c>
      <c r="Q2184" s="64">
        <v>398.41</v>
      </c>
      <c r="R2184" s="63">
        <v>0</v>
      </c>
      <c r="S2184" s="64">
        <v>232.41</v>
      </c>
    </row>
    <row r="2185" spans="1:19" ht="11.1" customHeight="1" x14ac:dyDescent="0.25">
      <c r="N2185" s="50" t="s">
        <v>318</v>
      </c>
      <c r="O2185" s="64">
        <v>4482.1400000000003</v>
      </c>
      <c r="P2185" s="65">
        <v>20</v>
      </c>
      <c r="Q2185" s="64">
        <v>232.41</v>
      </c>
      <c r="R2185" s="63">
        <v>0</v>
      </c>
      <c r="S2185" s="64">
        <v>0</v>
      </c>
    </row>
    <row r="2186" spans="1:19" ht="11.85" customHeight="1" x14ac:dyDescent="0.25">
      <c r="A2186" s="66" t="s">
        <v>320</v>
      </c>
      <c r="B2186" s="66"/>
      <c r="C2186" s="66"/>
      <c r="D2186" s="66"/>
      <c r="E2186" s="66"/>
      <c r="F2186" s="66"/>
      <c r="G2186" s="66"/>
      <c r="H2186" s="66"/>
    </row>
    <row r="2187" spans="1:19" ht="11.1" customHeight="1" x14ac:dyDescent="0.25">
      <c r="N2187" s="50" t="s">
        <v>317</v>
      </c>
      <c r="O2187" s="64">
        <v>3320.1</v>
      </c>
      <c r="Q2187" s="64">
        <v>398.41</v>
      </c>
      <c r="R2187" s="63">
        <v>0</v>
      </c>
      <c r="S2187" s="64">
        <v>232.41</v>
      </c>
    </row>
    <row r="2188" spans="1:19" ht="11.1" customHeight="1" x14ac:dyDescent="0.25">
      <c r="N2188" s="50" t="s">
        <v>318</v>
      </c>
      <c r="O2188" s="64">
        <v>4482.1400000000003</v>
      </c>
      <c r="Q2188" s="64">
        <v>232.41</v>
      </c>
      <c r="R2188" s="63">
        <v>0</v>
      </c>
      <c r="S2188" s="64">
        <v>0</v>
      </c>
    </row>
    <row r="2189" spans="1:19" ht="11.1" customHeight="1" x14ac:dyDescent="0.25">
      <c r="A2189" s="57">
        <v>112522</v>
      </c>
      <c r="B2189" s="53">
        <v>46114</v>
      </c>
      <c r="C2189" s="58">
        <v>46114</v>
      </c>
      <c r="D2189" s="59" t="s">
        <v>1778</v>
      </c>
      <c r="E2189" s="50" t="s">
        <v>313</v>
      </c>
      <c r="F2189" s="57">
        <v>36</v>
      </c>
      <c r="G2189" s="60">
        <v>924</v>
      </c>
      <c r="H2189" s="61" t="s">
        <v>1779</v>
      </c>
      <c r="I2189" s="50" t="s">
        <v>1780</v>
      </c>
      <c r="J2189" s="50" t="s">
        <v>1781</v>
      </c>
      <c r="K2189" s="62">
        <v>5102</v>
      </c>
      <c r="L2189" s="57">
        <v>205</v>
      </c>
      <c r="M2189" s="50" t="s">
        <v>26</v>
      </c>
      <c r="N2189" s="50" t="s">
        <v>317</v>
      </c>
      <c r="O2189" s="64">
        <v>100.74</v>
      </c>
      <c r="P2189" s="65">
        <v>12</v>
      </c>
      <c r="Q2189" s="64">
        <v>12.09</v>
      </c>
      <c r="R2189" s="63">
        <v>0</v>
      </c>
      <c r="S2189" s="64">
        <v>0</v>
      </c>
    </row>
    <row r="2190" spans="1:19" ht="11.1" customHeight="1" x14ac:dyDescent="0.25">
      <c r="A2190" s="57">
        <v>112849</v>
      </c>
      <c r="B2190" s="53">
        <v>46121</v>
      </c>
      <c r="C2190" s="58">
        <v>46121</v>
      </c>
      <c r="D2190" s="59" t="s">
        <v>1782</v>
      </c>
      <c r="E2190" s="50" t="s">
        <v>313</v>
      </c>
      <c r="F2190" s="57">
        <v>36</v>
      </c>
      <c r="G2190" s="60">
        <v>924</v>
      </c>
      <c r="H2190" s="61" t="s">
        <v>1779</v>
      </c>
      <c r="I2190" s="50" t="s">
        <v>1780</v>
      </c>
      <c r="J2190" s="50" t="s">
        <v>1781</v>
      </c>
      <c r="K2190" s="62">
        <v>5102</v>
      </c>
      <c r="L2190" s="57">
        <v>205</v>
      </c>
      <c r="M2190" s="50" t="s">
        <v>26</v>
      </c>
      <c r="N2190" s="50" t="s">
        <v>317</v>
      </c>
      <c r="O2190" s="64">
        <v>131.04</v>
      </c>
      <c r="P2190" s="65">
        <v>12</v>
      </c>
      <c r="Q2190" s="64">
        <v>15.73</v>
      </c>
      <c r="R2190" s="63">
        <v>0</v>
      </c>
      <c r="S2190" s="64">
        <v>0</v>
      </c>
    </row>
    <row r="2191" spans="1:19" ht="11.1" customHeight="1" x14ac:dyDescent="0.25">
      <c r="A2191" s="57">
        <v>112960</v>
      </c>
      <c r="B2191" s="53">
        <v>46125</v>
      </c>
      <c r="C2191" s="58">
        <v>46125</v>
      </c>
      <c r="D2191" s="59" t="s">
        <v>1783</v>
      </c>
      <c r="E2191" s="50" t="s">
        <v>313</v>
      </c>
      <c r="F2191" s="57">
        <v>36</v>
      </c>
      <c r="G2191" s="60">
        <v>924</v>
      </c>
      <c r="H2191" s="61" t="s">
        <v>1779</v>
      </c>
      <c r="I2191" s="50" t="s">
        <v>1780</v>
      </c>
      <c r="J2191" s="50" t="s">
        <v>1781</v>
      </c>
      <c r="K2191" s="62">
        <v>5102</v>
      </c>
      <c r="L2191" s="57">
        <v>205</v>
      </c>
      <c r="M2191" s="50" t="s">
        <v>26</v>
      </c>
      <c r="N2191" s="50" t="s">
        <v>317</v>
      </c>
      <c r="O2191" s="64">
        <v>649.64</v>
      </c>
      <c r="P2191" s="65">
        <v>12</v>
      </c>
      <c r="Q2191" s="64">
        <v>77.959999999999994</v>
      </c>
      <c r="R2191" s="63">
        <v>0</v>
      </c>
      <c r="S2191" s="64">
        <v>0</v>
      </c>
    </row>
    <row r="2192" spans="1:19" ht="11.85" customHeight="1" x14ac:dyDescent="0.25">
      <c r="A2192" s="66" t="s">
        <v>320</v>
      </c>
      <c r="B2192" s="66"/>
      <c r="C2192" s="66"/>
      <c r="D2192" s="66"/>
      <c r="E2192" s="66"/>
      <c r="F2192" s="66"/>
      <c r="G2192" s="66"/>
      <c r="H2192" s="66"/>
    </row>
    <row r="2193" spans="1:19" ht="11.1" customHeight="1" x14ac:dyDescent="0.25">
      <c r="N2193" s="50" t="s">
        <v>317</v>
      </c>
      <c r="O2193" s="64">
        <v>881.42</v>
      </c>
      <c r="Q2193" s="64">
        <v>105.78</v>
      </c>
      <c r="R2193" s="63">
        <v>0</v>
      </c>
      <c r="S2193" s="64">
        <v>0</v>
      </c>
    </row>
    <row r="2194" spans="1:19" ht="11.1" customHeight="1" x14ac:dyDescent="0.25">
      <c r="A2194" s="57">
        <v>112471</v>
      </c>
      <c r="B2194" s="53">
        <v>46113</v>
      </c>
      <c r="C2194" s="58">
        <v>46113</v>
      </c>
      <c r="D2194" s="59" t="s">
        <v>1784</v>
      </c>
      <c r="E2194" s="50" t="s">
        <v>313</v>
      </c>
      <c r="F2194" s="57">
        <v>36</v>
      </c>
      <c r="G2194" s="60">
        <v>751</v>
      </c>
      <c r="H2194" s="61" t="s">
        <v>1785</v>
      </c>
      <c r="I2194" s="50" t="s">
        <v>1786</v>
      </c>
      <c r="J2194" s="50" t="s">
        <v>1787</v>
      </c>
      <c r="K2194" s="62">
        <v>5102</v>
      </c>
      <c r="L2194" s="57">
        <v>205</v>
      </c>
      <c r="M2194" s="50" t="s">
        <v>26</v>
      </c>
      <c r="N2194" s="50" t="s">
        <v>317</v>
      </c>
      <c r="O2194" s="64">
        <v>594.57000000000005</v>
      </c>
      <c r="P2194" s="65">
        <v>12</v>
      </c>
      <c r="Q2194" s="64">
        <v>71.34</v>
      </c>
      <c r="R2194" s="63">
        <v>0</v>
      </c>
      <c r="S2194" s="64">
        <v>0</v>
      </c>
    </row>
    <row r="2195" spans="1:19" ht="11.1" customHeight="1" x14ac:dyDescent="0.25">
      <c r="A2195" s="57">
        <v>112472</v>
      </c>
      <c r="B2195" s="53">
        <v>46113</v>
      </c>
      <c r="C2195" s="58">
        <v>46113</v>
      </c>
      <c r="D2195" s="59" t="s">
        <v>1784</v>
      </c>
      <c r="E2195" s="50" t="s">
        <v>313</v>
      </c>
      <c r="F2195" s="57">
        <v>36</v>
      </c>
      <c r="G2195" s="60">
        <v>751</v>
      </c>
      <c r="H2195" s="61" t="s">
        <v>1785</v>
      </c>
      <c r="I2195" s="50" t="s">
        <v>1786</v>
      </c>
      <c r="J2195" s="50" t="s">
        <v>1787</v>
      </c>
      <c r="K2195" s="62">
        <v>5403</v>
      </c>
      <c r="L2195" s="57">
        <v>207</v>
      </c>
      <c r="M2195" s="50" t="s">
        <v>26</v>
      </c>
      <c r="N2195" s="50" t="s">
        <v>317</v>
      </c>
      <c r="O2195" s="64">
        <v>162.88999999999999</v>
      </c>
      <c r="P2195" s="65">
        <v>12</v>
      </c>
      <c r="Q2195" s="64">
        <v>19.54</v>
      </c>
      <c r="R2195" s="63">
        <v>0</v>
      </c>
      <c r="S2195" s="64">
        <v>11.4</v>
      </c>
    </row>
    <row r="2196" spans="1:19" ht="11.1" customHeight="1" x14ac:dyDescent="0.25">
      <c r="N2196" s="50" t="s">
        <v>318</v>
      </c>
      <c r="O2196" s="64">
        <v>219.91</v>
      </c>
      <c r="P2196" s="65">
        <v>20</v>
      </c>
      <c r="Q2196" s="64">
        <v>11.4</v>
      </c>
      <c r="R2196" s="63">
        <v>0</v>
      </c>
      <c r="S2196" s="64">
        <v>0</v>
      </c>
    </row>
    <row r="2197" spans="1:19" ht="11.1" customHeight="1" x14ac:dyDescent="0.25">
      <c r="A2197" s="57">
        <v>112473</v>
      </c>
      <c r="B2197" s="53">
        <v>46113</v>
      </c>
      <c r="C2197" s="58">
        <v>46113</v>
      </c>
      <c r="D2197" s="59" t="s">
        <v>1788</v>
      </c>
      <c r="E2197" s="50" t="s">
        <v>313</v>
      </c>
      <c r="F2197" s="57">
        <v>36</v>
      </c>
      <c r="G2197" s="60">
        <v>751</v>
      </c>
      <c r="H2197" s="61" t="s">
        <v>1785</v>
      </c>
      <c r="I2197" s="50" t="s">
        <v>1786</v>
      </c>
      <c r="J2197" s="50" t="s">
        <v>1787</v>
      </c>
      <c r="K2197" s="62">
        <v>5102</v>
      </c>
      <c r="L2197" s="57">
        <v>205</v>
      </c>
      <c r="M2197" s="50" t="s">
        <v>26</v>
      </c>
      <c r="N2197" s="50" t="s">
        <v>317</v>
      </c>
      <c r="O2197" s="64">
        <v>14.98</v>
      </c>
      <c r="P2197" s="65">
        <v>12</v>
      </c>
      <c r="Q2197" s="64">
        <v>1.8</v>
      </c>
      <c r="R2197" s="63">
        <v>0</v>
      </c>
      <c r="S2197" s="64">
        <v>0</v>
      </c>
    </row>
    <row r="2198" spans="1:19" ht="11.1" customHeight="1" x14ac:dyDescent="0.25">
      <c r="A2198" s="57">
        <v>112474</v>
      </c>
      <c r="B2198" s="53">
        <v>46113</v>
      </c>
      <c r="C2198" s="58">
        <v>46113</v>
      </c>
      <c r="D2198" s="59" t="s">
        <v>1788</v>
      </c>
      <c r="E2198" s="50" t="s">
        <v>313</v>
      </c>
      <c r="F2198" s="57">
        <v>36</v>
      </c>
      <c r="G2198" s="60">
        <v>751</v>
      </c>
      <c r="H2198" s="61" t="s">
        <v>1785</v>
      </c>
      <c r="I2198" s="50" t="s">
        <v>1786</v>
      </c>
      <c r="J2198" s="50" t="s">
        <v>1787</v>
      </c>
      <c r="K2198" s="62">
        <v>5403</v>
      </c>
      <c r="L2198" s="57">
        <v>207</v>
      </c>
      <c r="M2198" s="50" t="s">
        <v>26</v>
      </c>
      <c r="N2198" s="50" t="s">
        <v>317</v>
      </c>
      <c r="O2198" s="64">
        <v>44.46</v>
      </c>
      <c r="P2198" s="65">
        <v>12</v>
      </c>
      <c r="Q2198" s="64">
        <v>5.34</v>
      </c>
      <c r="R2198" s="63">
        <v>0</v>
      </c>
      <c r="S2198" s="64">
        <v>3.11</v>
      </c>
    </row>
    <row r="2199" spans="1:19" ht="11.1" customHeight="1" x14ac:dyDescent="0.25">
      <c r="N2199" s="50" t="s">
        <v>318</v>
      </c>
      <c r="O2199" s="64">
        <v>60.02</v>
      </c>
      <c r="P2199" s="65">
        <v>20</v>
      </c>
      <c r="Q2199" s="64">
        <v>3.11</v>
      </c>
      <c r="R2199" s="63">
        <v>0</v>
      </c>
      <c r="S2199" s="64">
        <v>0</v>
      </c>
    </row>
    <row r="2200" spans="1:19" ht="11.1" customHeight="1" x14ac:dyDescent="0.25">
      <c r="A2200" s="57">
        <v>112778</v>
      </c>
      <c r="B2200" s="53">
        <v>46120</v>
      </c>
      <c r="C2200" s="58">
        <v>46120</v>
      </c>
      <c r="D2200" s="59" t="s">
        <v>1789</v>
      </c>
      <c r="E2200" s="50" t="s">
        <v>313</v>
      </c>
      <c r="F2200" s="57">
        <v>36</v>
      </c>
      <c r="G2200" s="60">
        <v>751</v>
      </c>
      <c r="H2200" s="61" t="s">
        <v>1785</v>
      </c>
      <c r="I2200" s="50" t="s">
        <v>1786</v>
      </c>
      <c r="J2200" s="50" t="s">
        <v>1787</v>
      </c>
      <c r="K2200" s="62">
        <v>5102</v>
      </c>
      <c r="L2200" s="57">
        <v>205</v>
      </c>
      <c r="M2200" s="50" t="s">
        <v>26</v>
      </c>
      <c r="N2200" s="50" t="s">
        <v>317</v>
      </c>
      <c r="O2200" s="64">
        <v>213.48</v>
      </c>
      <c r="P2200" s="65">
        <v>12</v>
      </c>
      <c r="Q2200" s="64">
        <v>25.62</v>
      </c>
      <c r="R2200" s="63">
        <v>0</v>
      </c>
      <c r="S2200" s="64">
        <v>0</v>
      </c>
    </row>
    <row r="2201" spans="1:19" ht="11.1" customHeight="1" x14ac:dyDescent="0.25">
      <c r="A2201" s="57">
        <v>112779</v>
      </c>
      <c r="B2201" s="53">
        <v>46120</v>
      </c>
      <c r="C2201" s="58">
        <v>46120</v>
      </c>
      <c r="D2201" s="59" t="s">
        <v>1789</v>
      </c>
      <c r="E2201" s="50" t="s">
        <v>313</v>
      </c>
      <c r="F2201" s="57">
        <v>36</v>
      </c>
      <c r="G2201" s="60">
        <v>751</v>
      </c>
      <c r="H2201" s="61" t="s">
        <v>1785</v>
      </c>
      <c r="I2201" s="50" t="s">
        <v>1786</v>
      </c>
      <c r="J2201" s="50" t="s">
        <v>1787</v>
      </c>
      <c r="K2201" s="62">
        <v>5403</v>
      </c>
      <c r="L2201" s="57">
        <v>207</v>
      </c>
      <c r="M2201" s="50" t="s">
        <v>26</v>
      </c>
      <c r="N2201" s="50" t="s">
        <v>317</v>
      </c>
      <c r="O2201" s="64">
        <v>346.37</v>
      </c>
      <c r="P2201" s="65">
        <v>12</v>
      </c>
      <c r="Q2201" s="64">
        <v>41.57</v>
      </c>
      <c r="R2201" s="63">
        <v>0</v>
      </c>
      <c r="S2201" s="64">
        <v>24.25</v>
      </c>
    </row>
    <row r="2202" spans="1:19" ht="11.1" customHeight="1" x14ac:dyDescent="0.25">
      <c r="N2202" s="50" t="s">
        <v>318</v>
      </c>
      <c r="O2202" s="64">
        <v>467.6</v>
      </c>
      <c r="P2202" s="65">
        <v>20</v>
      </c>
      <c r="Q2202" s="64">
        <v>24.25</v>
      </c>
      <c r="R2202" s="63">
        <v>0</v>
      </c>
      <c r="S2202" s="64">
        <v>0</v>
      </c>
    </row>
    <row r="2203" spans="1:19" ht="11.1" customHeight="1" x14ac:dyDescent="0.25">
      <c r="A2203" s="57">
        <v>112835</v>
      </c>
      <c r="B2203" s="53">
        <v>46121</v>
      </c>
      <c r="C2203" s="58">
        <v>46121</v>
      </c>
      <c r="D2203" s="59" t="s">
        <v>1790</v>
      </c>
      <c r="E2203" s="50" t="s">
        <v>313</v>
      </c>
      <c r="F2203" s="57">
        <v>36</v>
      </c>
      <c r="G2203" s="60">
        <v>751</v>
      </c>
      <c r="H2203" s="61" t="s">
        <v>1785</v>
      </c>
      <c r="I2203" s="50" t="s">
        <v>1786</v>
      </c>
      <c r="J2203" s="50" t="s">
        <v>1787</v>
      </c>
      <c r="K2203" s="62">
        <v>5102</v>
      </c>
      <c r="L2203" s="57">
        <v>205</v>
      </c>
      <c r="M2203" s="50" t="s">
        <v>26</v>
      </c>
      <c r="N2203" s="50" t="s">
        <v>317</v>
      </c>
      <c r="O2203" s="64">
        <v>218.18</v>
      </c>
      <c r="P2203" s="65">
        <v>12</v>
      </c>
      <c r="Q2203" s="64">
        <v>26.19</v>
      </c>
      <c r="R2203" s="63">
        <v>0</v>
      </c>
      <c r="S2203" s="64">
        <v>0</v>
      </c>
    </row>
    <row r="2204" spans="1:19" ht="11.1" customHeight="1" x14ac:dyDescent="0.25">
      <c r="A2204" s="57">
        <v>112836</v>
      </c>
      <c r="B2204" s="53">
        <v>46121</v>
      </c>
      <c r="C2204" s="58">
        <v>46121</v>
      </c>
      <c r="D2204" s="59" t="s">
        <v>1790</v>
      </c>
      <c r="E2204" s="50" t="s">
        <v>313</v>
      </c>
      <c r="F2204" s="57">
        <v>36</v>
      </c>
      <c r="G2204" s="60">
        <v>751</v>
      </c>
      <c r="H2204" s="61" t="s">
        <v>1785</v>
      </c>
      <c r="I2204" s="50" t="s">
        <v>1786</v>
      </c>
      <c r="J2204" s="50" t="s">
        <v>1787</v>
      </c>
      <c r="K2204" s="62">
        <v>5403</v>
      </c>
      <c r="L2204" s="57">
        <v>207</v>
      </c>
      <c r="M2204" s="50" t="s">
        <v>26</v>
      </c>
      <c r="N2204" s="50" t="s">
        <v>317</v>
      </c>
      <c r="O2204" s="64">
        <v>69.2</v>
      </c>
      <c r="P2204" s="65">
        <v>12</v>
      </c>
      <c r="Q2204" s="64">
        <v>8.3000000000000007</v>
      </c>
      <c r="R2204" s="63">
        <v>0</v>
      </c>
      <c r="S2204" s="64">
        <v>4.84</v>
      </c>
    </row>
    <row r="2205" spans="1:19" ht="11.1" customHeight="1" x14ac:dyDescent="0.25">
      <c r="N2205" s="50" t="s">
        <v>318</v>
      </c>
      <c r="O2205" s="64">
        <v>93.42</v>
      </c>
      <c r="P2205" s="65">
        <v>20</v>
      </c>
      <c r="Q2205" s="64">
        <v>4.84</v>
      </c>
      <c r="R2205" s="63">
        <v>0</v>
      </c>
      <c r="S2205" s="64">
        <v>0</v>
      </c>
    </row>
    <row r="2206" spans="1:19" ht="11.1" customHeight="1" x14ac:dyDescent="0.25">
      <c r="A2206" s="57">
        <v>113013</v>
      </c>
      <c r="B2206" s="53">
        <v>46126</v>
      </c>
      <c r="C2206" s="58">
        <v>46126</v>
      </c>
      <c r="D2206" s="59" t="s">
        <v>1791</v>
      </c>
      <c r="E2206" s="50" t="s">
        <v>313</v>
      </c>
      <c r="F2206" s="57">
        <v>36</v>
      </c>
      <c r="G2206" s="60">
        <v>751</v>
      </c>
      <c r="H2206" s="61" t="s">
        <v>1785</v>
      </c>
      <c r="I2206" s="50" t="s">
        <v>1786</v>
      </c>
      <c r="J2206" s="50" t="s">
        <v>1787</v>
      </c>
      <c r="K2206" s="62">
        <v>5102</v>
      </c>
      <c r="L2206" s="57">
        <v>205</v>
      </c>
      <c r="M2206" s="50" t="s">
        <v>26</v>
      </c>
      <c r="N2206" s="50" t="s">
        <v>317</v>
      </c>
      <c r="O2206" s="64">
        <v>191.54</v>
      </c>
      <c r="P2206" s="65">
        <v>12</v>
      </c>
      <c r="Q2206" s="64">
        <v>22.98</v>
      </c>
      <c r="R2206" s="63">
        <v>0</v>
      </c>
      <c r="S2206" s="64">
        <v>0</v>
      </c>
    </row>
    <row r="2207" spans="1:19" ht="11.1" customHeight="1" x14ac:dyDescent="0.25">
      <c r="A2207" s="57">
        <v>113014</v>
      </c>
      <c r="B2207" s="53">
        <v>46126</v>
      </c>
      <c r="C2207" s="58">
        <v>46126</v>
      </c>
      <c r="D2207" s="59" t="s">
        <v>1791</v>
      </c>
      <c r="E2207" s="50" t="s">
        <v>313</v>
      </c>
      <c r="F2207" s="57">
        <v>36</v>
      </c>
      <c r="G2207" s="60">
        <v>751</v>
      </c>
      <c r="H2207" s="61" t="s">
        <v>1785</v>
      </c>
      <c r="I2207" s="50" t="s">
        <v>1786</v>
      </c>
      <c r="J2207" s="50" t="s">
        <v>1787</v>
      </c>
      <c r="K2207" s="62">
        <v>5403</v>
      </c>
      <c r="L2207" s="57">
        <v>207</v>
      </c>
      <c r="M2207" s="50" t="s">
        <v>26</v>
      </c>
      <c r="N2207" s="50" t="s">
        <v>317</v>
      </c>
      <c r="O2207" s="64">
        <v>340.46</v>
      </c>
      <c r="P2207" s="65">
        <v>12</v>
      </c>
      <c r="Q2207" s="64">
        <v>40.86</v>
      </c>
      <c r="R2207" s="63">
        <v>0</v>
      </c>
      <c r="S2207" s="64">
        <v>23.83</v>
      </c>
    </row>
    <row r="2208" spans="1:19" ht="11.1" customHeight="1" x14ac:dyDescent="0.25">
      <c r="N2208" s="50" t="s">
        <v>318</v>
      </c>
      <c r="O2208" s="64">
        <v>459.62</v>
      </c>
      <c r="P2208" s="65">
        <v>20</v>
      </c>
      <c r="Q2208" s="64">
        <v>23.83</v>
      </c>
      <c r="R2208" s="63">
        <v>0</v>
      </c>
      <c r="S2208" s="64">
        <v>0</v>
      </c>
    </row>
    <row r="2209" spans="1:19" ht="11.85" customHeight="1" x14ac:dyDescent="0.25">
      <c r="A2209" s="66" t="s">
        <v>320</v>
      </c>
      <c r="B2209" s="66"/>
      <c r="C2209" s="66"/>
      <c r="D2209" s="66"/>
      <c r="E2209" s="66"/>
      <c r="F2209" s="66"/>
      <c r="G2209" s="66"/>
      <c r="H2209" s="66"/>
    </row>
    <row r="2210" spans="1:19" ht="11.1" customHeight="1" x14ac:dyDescent="0.25">
      <c r="N2210" s="50" t="s">
        <v>317</v>
      </c>
      <c r="O2210" s="64">
        <v>2196.13</v>
      </c>
      <c r="Q2210" s="64">
        <v>263.54000000000002</v>
      </c>
      <c r="R2210" s="63">
        <v>0</v>
      </c>
      <c r="S2210" s="64">
        <v>67.430000000000007</v>
      </c>
    </row>
    <row r="2211" spans="1:19" ht="11.1" customHeight="1" x14ac:dyDescent="0.25">
      <c r="N2211" s="50" t="s">
        <v>318</v>
      </c>
      <c r="O2211" s="64">
        <v>1300.57</v>
      </c>
      <c r="Q2211" s="64">
        <v>67.430000000000007</v>
      </c>
      <c r="R2211" s="63">
        <v>0</v>
      </c>
      <c r="S2211" s="64">
        <v>0</v>
      </c>
    </row>
    <row r="2212" spans="1:19" ht="11.1" customHeight="1" x14ac:dyDescent="0.25">
      <c r="A2212" s="57">
        <v>113131</v>
      </c>
      <c r="B2212" s="53">
        <v>46128</v>
      </c>
      <c r="C2212" s="58">
        <v>46128</v>
      </c>
      <c r="D2212" s="59" t="s">
        <v>1792</v>
      </c>
      <c r="E2212" s="50" t="s">
        <v>313</v>
      </c>
      <c r="F2212" s="57">
        <v>36</v>
      </c>
      <c r="G2212" s="60">
        <v>171</v>
      </c>
      <c r="H2212" s="61" t="s">
        <v>1793</v>
      </c>
      <c r="I2212" s="50" t="s">
        <v>1794</v>
      </c>
      <c r="J2212" s="50" t="s">
        <v>1795</v>
      </c>
      <c r="K2212" s="62">
        <v>5403</v>
      </c>
      <c r="L2212" s="57">
        <v>207</v>
      </c>
      <c r="M2212" s="50" t="s">
        <v>26</v>
      </c>
      <c r="N2212" s="50" t="s">
        <v>317</v>
      </c>
      <c r="O2212" s="64">
        <v>169.9</v>
      </c>
      <c r="P2212" s="65">
        <v>12</v>
      </c>
      <c r="Q2212" s="64">
        <v>20.39</v>
      </c>
      <c r="R2212" s="63">
        <v>0</v>
      </c>
      <c r="S2212" s="64">
        <v>0</v>
      </c>
    </row>
    <row r="2213" spans="1:19" ht="11.85" customHeight="1" x14ac:dyDescent="0.25">
      <c r="A2213" s="66" t="s">
        <v>320</v>
      </c>
      <c r="B2213" s="66"/>
      <c r="C2213" s="66"/>
      <c r="D2213" s="66"/>
      <c r="E2213" s="66"/>
      <c r="F2213" s="66"/>
      <c r="G2213" s="66"/>
      <c r="H2213" s="66"/>
    </row>
    <row r="2214" spans="1:19" ht="11.1" customHeight="1" x14ac:dyDescent="0.25">
      <c r="N2214" s="50" t="s">
        <v>317</v>
      </c>
      <c r="O2214" s="64">
        <v>169.9</v>
      </c>
      <c r="Q2214" s="64">
        <v>20.39</v>
      </c>
      <c r="R2214" s="63">
        <v>0</v>
      </c>
      <c r="S2214" s="64">
        <v>0</v>
      </c>
    </row>
    <row r="2215" spans="1:19" ht="11.1" customHeight="1" x14ac:dyDescent="0.25">
      <c r="A2215" s="57">
        <v>113556</v>
      </c>
      <c r="B2215" s="53">
        <v>46140</v>
      </c>
      <c r="C2215" s="58">
        <v>46140</v>
      </c>
      <c r="D2215" s="59" t="s">
        <v>1796</v>
      </c>
      <c r="E2215" s="50" t="s">
        <v>313</v>
      </c>
      <c r="F2215" s="57">
        <v>36</v>
      </c>
      <c r="G2215" s="60">
        <v>142</v>
      </c>
      <c r="H2215" s="61" t="s">
        <v>1797</v>
      </c>
      <c r="I2215" s="50" t="s">
        <v>1798</v>
      </c>
      <c r="J2215" s="50" t="s">
        <v>1799</v>
      </c>
      <c r="K2215" s="62">
        <v>5102</v>
      </c>
      <c r="L2215" s="57">
        <v>205</v>
      </c>
      <c r="M2215" s="50" t="s">
        <v>26</v>
      </c>
      <c r="N2215" s="50" t="s">
        <v>317</v>
      </c>
      <c r="O2215" s="64">
        <v>6032.31</v>
      </c>
      <c r="P2215" s="65">
        <v>12</v>
      </c>
      <c r="Q2215" s="64">
        <v>723.88</v>
      </c>
      <c r="R2215" s="63">
        <v>0</v>
      </c>
      <c r="S2215" s="64">
        <v>0</v>
      </c>
    </row>
    <row r="2216" spans="1:19" ht="11.85" customHeight="1" x14ac:dyDescent="0.25">
      <c r="A2216" s="66" t="s">
        <v>320</v>
      </c>
      <c r="B2216" s="66"/>
      <c r="C2216" s="66"/>
      <c r="D2216" s="66"/>
      <c r="E2216" s="66"/>
      <c r="F2216" s="66"/>
      <c r="G2216" s="66"/>
      <c r="H2216" s="66"/>
    </row>
    <row r="2217" spans="1:19" ht="11.1" customHeight="1" x14ac:dyDescent="0.25">
      <c r="N2217" s="50" t="s">
        <v>317</v>
      </c>
      <c r="O2217" s="64">
        <v>6032.31</v>
      </c>
      <c r="Q2217" s="64">
        <v>723.88</v>
      </c>
      <c r="R2217" s="63">
        <v>0</v>
      </c>
      <c r="S2217" s="64">
        <v>0</v>
      </c>
    </row>
    <row r="2218" spans="1:19" ht="11.1" customHeight="1" x14ac:dyDescent="0.25">
      <c r="A2218" s="57">
        <v>113662</v>
      </c>
      <c r="B2218" s="53">
        <v>46142</v>
      </c>
      <c r="C2218" s="58">
        <v>46142</v>
      </c>
      <c r="D2218" s="59" t="s">
        <v>1800</v>
      </c>
      <c r="E2218" s="50" t="s">
        <v>313</v>
      </c>
      <c r="F2218" s="57">
        <v>36</v>
      </c>
      <c r="G2218" s="60">
        <v>582</v>
      </c>
      <c r="H2218" s="61" t="s">
        <v>1801</v>
      </c>
      <c r="I2218" s="50" t="s">
        <v>1802</v>
      </c>
      <c r="J2218" s="50" t="s">
        <v>1803</v>
      </c>
      <c r="K2218" s="62">
        <v>5102</v>
      </c>
      <c r="L2218" s="57">
        <v>205</v>
      </c>
      <c r="M2218" s="50" t="s">
        <v>26</v>
      </c>
      <c r="N2218" s="50" t="s">
        <v>317</v>
      </c>
      <c r="O2218" s="64">
        <v>534.08000000000004</v>
      </c>
      <c r="P2218" s="65">
        <v>12</v>
      </c>
      <c r="Q2218" s="64">
        <v>64.09</v>
      </c>
      <c r="R2218" s="63">
        <v>0</v>
      </c>
      <c r="S2218" s="64">
        <v>0</v>
      </c>
    </row>
    <row r="2219" spans="1:19" ht="11.1" customHeight="1" x14ac:dyDescent="0.25">
      <c r="A2219" s="57">
        <v>113663</v>
      </c>
      <c r="B2219" s="53">
        <v>46142</v>
      </c>
      <c r="C2219" s="58">
        <v>46142</v>
      </c>
      <c r="D2219" s="59" t="s">
        <v>1800</v>
      </c>
      <c r="E2219" s="50" t="s">
        <v>313</v>
      </c>
      <c r="F2219" s="57">
        <v>36</v>
      </c>
      <c r="G2219" s="60">
        <v>582</v>
      </c>
      <c r="H2219" s="61" t="s">
        <v>1801</v>
      </c>
      <c r="I2219" s="50" t="s">
        <v>1802</v>
      </c>
      <c r="J2219" s="50" t="s">
        <v>1803</v>
      </c>
      <c r="K2219" s="62">
        <v>5403</v>
      </c>
      <c r="L2219" s="57">
        <v>207</v>
      </c>
      <c r="M2219" s="50" t="s">
        <v>26</v>
      </c>
      <c r="N2219" s="50" t="s">
        <v>317</v>
      </c>
      <c r="O2219" s="64">
        <v>665.12</v>
      </c>
      <c r="P2219" s="65">
        <v>12</v>
      </c>
      <c r="Q2219" s="64">
        <v>79.81</v>
      </c>
      <c r="R2219" s="63">
        <v>0</v>
      </c>
      <c r="S2219" s="64">
        <v>46.55</v>
      </c>
    </row>
    <row r="2220" spans="1:19" ht="11.1" customHeight="1" x14ac:dyDescent="0.25">
      <c r="N2220" s="50" t="s">
        <v>318</v>
      </c>
      <c r="O2220" s="64">
        <v>897.91</v>
      </c>
      <c r="P2220" s="65">
        <v>20</v>
      </c>
      <c r="Q2220" s="64">
        <v>46.55</v>
      </c>
      <c r="R2220" s="63">
        <v>0</v>
      </c>
      <c r="S2220" s="64">
        <v>0</v>
      </c>
    </row>
    <row r="2221" spans="1:19" ht="11.85" customHeight="1" x14ac:dyDescent="0.25">
      <c r="A2221" s="66" t="s">
        <v>320</v>
      </c>
      <c r="B2221" s="66"/>
      <c r="C2221" s="66"/>
      <c r="D2221" s="66"/>
      <c r="E2221" s="66"/>
      <c r="F2221" s="66"/>
      <c r="G2221" s="66"/>
      <c r="H2221" s="66"/>
    </row>
    <row r="2222" spans="1:19" ht="11.1" customHeight="1" x14ac:dyDescent="0.25">
      <c r="N2222" s="50" t="s">
        <v>317</v>
      </c>
      <c r="O2222" s="64">
        <v>1199.2</v>
      </c>
      <c r="Q2222" s="64">
        <v>143.9</v>
      </c>
      <c r="R2222" s="63">
        <v>0</v>
      </c>
      <c r="S2222" s="64">
        <v>46.55</v>
      </c>
    </row>
    <row r="2223" spans="1:19" ht="11.1" customHeight="1" x14ac:dyDescent="0.25">
      <c r="N2223" s="50" t="s">
        <v>318</v>
      </c>
      <c r="O2223" s="64">
        <v>897.91</v>
      </c>
      <c r="Q2223" s="64">
        <v>46.55</v>
      </c>
      <c r="R2223" s="63">
        <v>0</v>
      </c>
      <c r="S2223" s="64">
        <v>0</v>
      </c>
    </row>
    <row r="2224" spans="1:19" ht="11.1" customHeight="1" x14ac:dyDescent="0.25">
      <c r="A2224" s="57">
        <v>112784</v>
      </c>
      <c r="B2224" s="53">
        <v>46120</v>
      </c>
      <c r="C2224" s="58">
        <v>46120</v>
      </c>
      <c r="D2224" s="59" t="s">
        <v>1804</v>
      </c>
      <c r="E2224" s="50" t="s">
        <v>313</v>
      </c>
      <c r="F2224" s="57">
        <v>36</v>
      </c>
      <c r="G2224" s="60">
        <v>962</v>
      </c>
      <c r="H2224" s="61" t="s">
        <v>1805</v>
      </c>
      <c r="I2224" s="50" t="s">
        <v>1806</v>
      </c>
      <c r="J2224" s="50" t="s">
        <v>1807</v>
      </c>
      <c r="K2224" s="62">
        <v>5102</v>
      </c>
      <c r="L2224" s="57">
        <v>205</v>
      </c>
      <c r="M2224" s="50" t="s">
        <v>26</v>
      </c>
      <c r="N2224" s="50" t="s">
        <v>317</v>
      </c>
      <c r="O2224" s="64">
        <v>1476.8</v>
      </c>
      <c r="P2224" s="65">
        <v>12</v>
      </c>
      <c r="Q2224" s="64">
        <v>177.21</v>
      </c>
      <c r="R2224" s="63">
        <v>0</v>
      </c>
      <c r="S2224" s="64">
        <v>0</v>
      </c>
    </row>
    <row r="2225" spans="1:19" ht="11.1" customHeight="1" x14ac:dyDescent="0.25">
      <c r="A2225" s="57">
        <v>113024</v>
      </c>
      <c r="B2225" s="53">
        <v>46126</v>
      </c>
      <c r="C2225" s="58">
        <v>46126</v>
      </c>
      <c r="D2225" s="59" t="s">
        <v>1808</v>
      </c>
      <c r="E2225" s="50" t="s">
        <v>313</v>
      </c>
      <c r="F2225" s="57">
        <v>36</v>
      </c>
      <c r="G2225" s="60">
        <v>962</v>
      </c>
      <c r="H2225" s="61" t="s">
        <v>1805</v>
      </c>
      <c r="I2225" s="50" t="s">
        <v>1806</v>
      </c>
      <c r="J2225" s="50" t="s">
        <v>1807</v>
      </c>
      <c r="K2225" s="62">
        <v>5102</v>
      </c>
      <c r="L2225" s="57">
        <v>205</v>
      </c>
      <c r="M2225" s="50" t="s">
        <v>26</v>
      </c>
      <c r="N2225" s="50" t="s">
        <v>317</v>
      </c>
      <c r="O2225" s="64">
        <v>875.6</v>
      </c>
      <c r="P2225" s="65">
        <v>12</v>
      </c>
      <c r="Q2225" s="64">
        <v>105.07</v>
      </c>
      <c r="R2225" s="63">
        <v>0</v>
      </c>
      <c r="S2225" s="64">
        <v>0</v>
      </c>
    </row>
    <row r="2226" spans="1:19" ht="11.1" customHeight="1" x14ac:dyDescent="0.25">
      <c r="A2226" s="57">
        <v>113085</v>
      </c>
      <c r="B2226" s="53">
        <v>46127</v>
      </c>
      <c r="C2226" s="58">
        <v>46127</v>
      </c>
      <c r="D2226" s="59" t="s">
        <v>1809</v>
      </c>
      <c r="E2226" s="50" t="s">
        <v>313</v>
      </c>
      <c r="F2226" s="57">
        <v>36</v>
      </c>
      <c r="G2226" s="60">
        <v>962</v>
      </c>
      <c r="H2226" s="61" t="s">
        <v>1805</v>
      </c>
      <c r="I2226" s="50" t="s">
        <v>1806</v>
      </c>
      <c r="J2226" s="50" t="s">
        <v>1807</v>
      </c>
      <c r="K2226" s="62">
        <v>5102</v>
      </c>
      <c r="L2226" s="57">
        <v>205</v>
      </c>
      <c r="M2226" s="50" t="s">
        <v>26</v>
      </c>
      <c r="N2226" s="50" t="s">
        <v>317</v>
      </c>
      <c r="O2226" s="64">
        <v>462.28</v>
      </c>
      <c r="P2226" s="65">
        <v>12</v>
      </c>
      <c r="Q2226" s="64">
        <v>55.47</v>
      </c>
      <c r="R2226" s="63">
        <v>0</v>
      </c>
      <c r="S2226" s="64">
        <v>0</v>
      </c>
    </row>
    <row r="2227" spans="1:19" ht="11.1" customHeight="1" x14ac:dyDescent="0.25">
      <c r="A2227" s="57">
        <v>113202</v>
      </c>
      <c r="B2227" s="53">
        <v>46129</v>
      </c>
      <c r="C2227" s="58">
        <v>46129</v>
      </c>
      <c r="D2227" s="59" t="s">
        <v>1810</v>
      </c>
      <c r="E2227" s="50" t="s">
        <v>313</v>
      </c>
      <c r="F2227" s="57">
        <v>36</v>
      </c>
      <c r="G2227" s="60">
        <v>962</v>
      </c>
      <c r="H2227" s="61" t="s">
        <v>1805</v>
      </c>
      <c r="I2227" s="50" t="s">
        <v>1806</v>
      </c>
      <c r="J2227" s="50" t="s">
        <v>1807</v>
      </c>
      <c r="K2227" s="62">
        <v>5102</v>
      </c>
      <c r="L2227" s="57">
        <v>205</v>
      </c>
      <c r="M2227" s="50" t="s">
        <v>26</v>
      </c>
      <c r="N2227" s="50" t="s">
        <v>317</v>
      </c>
      <c r="O2227" s="64">
        <v>52.28</v>
      </c>
      <c r="P2227" s="65">
        <v>12</v>
      </c>
      <c r="Q2227" s="64">
        <v>6.27</v>
      </c>
      <c r="R2227" s="63">
        <v>0</v>
      </c>
      <c r="S2227" s="64">
        <v>0</v>
      </c>
    </row>
    <row r="2228" spans="1:19" ht="11.1" customHeight="1" x14ac:dyDescent="0.25">
      <c r="A2228" s="57">
        <v>113203</v>
      </c>
      <c r="B2228" s="53">
        <v>46129</v>
      </c>
      <c r="C2228" s="58">
        <v>46129</v>
      </c>
      <c r="D2228" s="59" t="s">
        <v>1810</v>
      </c>
      <c r="E2228" s="50" t="s">
        <v>313</v>
      </c>
      <c r="F2228" s="57">
        <v>36</v>
      </c>
      <c r="G2228" s="60">
        <v>962</v>
      </c>
      <c r="H2228" s="61" t="s">
        <v>1805</v>
      </c>
      <c r="I2228" s="50" t="s">
        <v>1806</v>
      </c>
      <c r="J2228" s="50" t="s">
        <v>1807</v>
      </c>
      <c r="K2228" s="62">
        <v>5403</v>
      </c>
      <c r="L2228" s="57">
        <v>207</v>
      </c>
      <c r="M2228" s="50" t="s">
        <v>26</v>
      </c>
      <c r="N2228" s="50" t="s">
        <v>317</v>
      </c>
      <c r="O2228" s="64">
        <v>29.64</v>
      </c>
      <c r="P2228" s="65">
        <v>12</v>
      </c>
      <c r="Q2228" s="64">
        <v>3.56</v>
      </c>
      <c r="R2228" s="63">
        <v>0</v>
      </c>
      <c r="S2228" s="64">
        <v>2.0699999999999998</v>
      </c>
    </row>
    <row r="2229" spans="1:19" ht="11.1" customHeight="1" x14ac:dyDescent="0.25">
      <c r="N2229" s="50" t="s">
        <v>318</v>
      </c>
      <c r="O2229" s="64">
        <v>40.01</v>
      </c>
      <c r="P2229" s="65">
        <v>20</v>
      </c>
      <c r="Q2229" s="64">
        <v>2.0699999999999998</v>
      </c>
      <c r="R2229" s="63">
        <v>0</v>
      </c>
      <c r="S2229" s="64">
        <v>0</v>
      </c>
    </row>
    <row r="2230" spans="1:19" ht="11.1" customHeight="1" x14ac:dyDescent="0.25">
      <c r="A2230" s="57">
        <v>113466</v>
      </c>
      <c r="B2230" s="53">
        <v>46139</v>
      </c>
      <c r="C2230" s="58">
        <v>46139</v>
      </c>
      <c r="D2230" s="59" t="s">
        <v>1811</v>
      </c>
      <c r="E2230" s="50" t="s">
        <v>313</v>
      </c>
      <c r="F2230" s="57">
        <v>36</v>
      </c>
      <c r="G2230" s="60">
        <v>962</v>
      </c>
      <c r="H2230" s="61" t="s">
        <v>1805</v>
      </c>
      <c r="I2230" s="50" t="s">
        <v>1806</v>
      </c>
      <c r="J2230" s="50" t="s">
        <v>1807</v>
      </c>
      <c r="K2230" s="62">
        <v>5102</v>
      </c>
      <c r="L2230" s="57">
        <v>205</v>
      </c>
      <c r="M2230" s="50" t="s">
        <v>26</v>
      </c>
      <c r="N2230" s="50" t="s">
        <v>317</v>
      </c>
      <c r="O2230" s="64">
        <v>1863</v>
      </c>
      <c r="P2230" s="65">
        <v>12</v>
      </c>
      <c r="Q2230" s="64">
        <v>223.56</v>
      </c>
      <c r="R2230" s="63">
        <v>0</v>
      </c>
      <c r="S2230" s="64">
        <v>0</v>
      </c>
    </row>
    <row r="2231" spans="1:19" ht="11.85" customHeight="1" x14ac:dyDescent="0.25">
      <c r="A2231" s="66" t="s">
        <v>320</v>
      </c>
      <c r="B2231" s="66"/>
      <c r="C2231" s="66"/>
      <c r="D2231" s="66"/>
      <c r="E2231" s="66"/>
      <c r="F2231" s="66"/>
      <c r="G2231" s="66"/>
      <c r="H2231" s="66"/>
    </row>
    <row r="2232" spans="1:19" ht="11.1" customHeight="1" x14ac:dyDescent="0.25">
      <c r="N2232" s="50" t="s">
        <v>317</v>
      </c>
      <c r="O2232" s="64">
        <v>4759.6000000000004</v>
      </c>
      <c r="Q2232" s="64">
        <v>571.14</v>
      </c>
      <c r="R2232" s="63">
        <v>0</v>
      </c>
      <c r="S2232" s="64">
        <v>2.0699999999999998</v>
      </c>
    </row>
    <row r="2233" spans="1:19" ht="11.1" customHeight="1" x14ac:dyDescent="0.25">
      <c r="N2233" s="50" t="s">
        <v>318</v>
      </c>
      <c r="O2233" s="64">
        <v>40.01</v>
      </c>
      <c r="Q2233" s="64">
        <v>2.0699999999999998</v>
      </c>
      <c r="R2233" s="63">
        <v>0</v>
      </c>
      <c r="S2233" s="64">
        <v>0</v>
      </c>
    </row>
    <row r="2234" spans="1:19" ht="11.1" customHeight="1" x14ac:dyDescent="0.25">
      <c r="A2234" s="57">
        <v>112451</v>
      </c>
      <c r="B2234" s="53">
        <v>46113</v>
      </c>
      <c r="C2234" s="58">
        <v>46113</v>
      </c>
      <c r="D2234" s="59" t="s">
        <v>1812</v>
      </c>
      <c r="E2234" s="50" t="s">
        <v>313</v>
      </c>
      <c r="F2234" s="57">
        <v>36</v>
      </c>
      <c r="G2234" s="60">
        <v>9</v>
      </c>
      <c r="H2234" s="61" t="s">
        <v>1813</v>
      </c>
      <c r="I2234" s="50" t="s">
        <v>1814</v>
      </c>
      <c r="J2234" s="50" t="s">
        <v>1815</v>
      </c>
      <c r="K2234" s="62">
        <v>6403</v>
      </c>
      <c r="L2234" s="57">
        <v>207</v>
      </c>
      <c r="M2234" s="50" t="s">
        <v>34</v>
      </c>
      <c r="N2234" s="50" t="s">
        <v>317</v>
      </c>
      <c r="O2234" s="64">
        <v>800.02</v>
      </c>
      <c r="P2234" s="65">
        <v>12</v>
      </c>
      <c r="Q2234" s="64">
        <v>96</v>
      </c>
      <c r="R2234" s="63">
        <v>0</v>
      </c>
      <c r="S2234" s="64">
        <v>56</v>
      </c>
    </row>
    <row r="2235" spans="1:19" ht="11.1" customHeight="1" x14ac:dyDescent="0.25">
      <c r="N2235" s="50" t="s">
        <v>318</v>
      </c>
      <c r="O2235" s="64">
        <v>800.02</v>
      </c>
      <c r="P2235" s="65">
        <v>19</v>
      </c>
      <c r="Q2235" s="64">
        <v>56</v>
      </c>
      <c r="R2235" s="63">
        <v>0</v>
      </c>
      <c r="S2235" s="64">
        <v>0</v>
      </c>
    </row>
    <row r="2236" spans="1:19" ht="11.1" customHeight="1" x14ac:dyDescent="0.25">
      <c r="A2236" s="57">
        <v>112452</v>
      </c>
      <c r="B2236" s="53">
        <v>46113</v>
      </c>
      <c r="C2236" s="58">
        <v>46113</v>
      </c>
      <c r="D2236" s="59" t="s">
        <v>1812</v>
      </c>
      <c r="E2236" s="50" t="s">
        <v>313</v>
      </c>
      <c r="F2236" s="57">
        <v>36</v>
      </c>
      <c r="G2236" s="60">
        <v>9</v>
      </c>
      <c r="H2236" s="61" t="s">
        <v>1813</v>
      </c>
      <c r="I2236" s="50" t="s">
        <v>1814</v>
      </c>
      <c r="J2236" s="50" t="s">
        <v>1815</v>
      </c>
      <c r="K2236" s="62">
        <v>6102</v>
      </c>
      <c r="L2236" s="57">
        <v>238</v>
      </c>
      <c r="M2236" s="50" t="s">
        <v>34</v>
      </c>
      <c r="N2236" s="50" t="s">
        <v>317</v>
      </c>
      <c r="O2236" s="64">
        <v>1272.74</v>
      </c>
      <c r="P2236" s="65">
        <v>12</v>
      </c>
      <c r="Q2236" s="64">
        <v>152.72999999999999</v>
      </c>
      <c r="R2236" s="63">
        <v>0</v>
      </c>
      <c r="S2236" s="64">
        <v>0</v>
      </c>
    </row>
    <row r="2237" spans="1:19" ht="11.1" customHeight="1" x14ac:dyDescent="0.25">
      <c r="A2237" s="57">
        <v>112543</v>
      </c>
      <c r="B2237" s="53">
        <v>46114</v>
      </c>
      <c r="C2237" s="58">
        <v>46114</v>
      </c>
      <c r="D2237" s="59" t="s">
        <v>1816</v>
      </c>
      <c r="E2237" s="50" t="s">
        <v>313</v>
      </c>
      <c r="F2237" s="57">
        <v>36</v>
      </c>
      <c r="G2237" s="60">
        <v>9</v>
      </c>
      <c r="H2237" s="61" t="s">
        <v>1813</v>
      </c>
      <c r="I2237" s="50" t="s">
        <v>1814</v>
      </c>
      <c r="J2237" s="50" t="s">
        <v>1815</v>
      </c>
      <c r="K2237" s="62">
        <v>6403</v>
      </c>
      <c r="L2237" s="57">
        <v>207</v>
      </c>
      <c r="M2237" s="50" t="s">
        <v>34</v>
      </c>
      <c r="N2237" s="50" t="s">
        <v>317</v>
      </c>
      <c r="O2237" s="64">
        <v>3772.18</v>
      </c>
      <c r="P2237" s="65">
        <v>12</v>
      </c>
      <c r="Q2237" s="64">
        <v>452.66</v>
      </c>
      <c r="R2237" s="63">
        <v>0</v>
      </c>
      <c r="S2237" s="64">
        <v>264.07</v>
      </c>
    </row>
    <row r="2238" spans="1:19" ht="11.1" customHeight="1" x14ac:dyDescent="0.25">
      <c r="N2238" s="50" t="s">
        <v>318</v>
      </c>
      <c r="O2238" s="64">
        <v>3772.18</v>
      </c>
      <c r="P2238" s="65">
        <v>19</v>
      </c>
      <c r="Q2238" s="64">
        <v>264.07</v>
      </c>
      <c r="R2238" s="63">
        <v>0</v>
      </c>
      <c r="S2238" s="64">
        <v>0</v>
      </c>
    </row>
    <row r="2239" spans="1:19" ht="11.1" customHeight="1" x14ac:dyDescent="0.25">
      <c r="A2239" s="57">
        <v>112544</v>
      </c>
      <c r="B2239" s="53">
        <v>46114</v>
      </c>
      <c r="C2239" s="58">
        <v>46114</v>
      </c>
      <c r="D2239" s="59" t="s">
        <v>1816</v>
      </c>
      <c r="E2239" s="50" t="s">
        <v>313</v>
      </c>
      <c r="F2239" s="57">
        <v>36</v>
      </c>
      <c r="G2239" s="60">
        <v>9</v>
      </c>
      <c r="H2239" s="61" t="s">
        <v>1813</v>
      </c>
      <c r="I2239" s="50" t="s">
        <v>1814</v>
      </c>
      <c r="J2239" s="50" t="s">
        <v>1815</v>
      </c>
      <c r="K2239" s="62">
        <v>6102</v>
      </c>
      <c r="L2239" s="57">
        <v>238</v>
      </c>
      <c r="M2239" s="50" t="s">
        <v>34</v>
      </c>
      <c r="N2239" s="50" t="s">
        <v>317</v>
      </c>
      <c r="O2239" s="64">
        <v>3635.91</v>
      </c>
      <c r="P2239" s="65">
        <v>12</v>
      </c>
      <c r="Q2239" s="64">
        <v>436.33</v>
      </c>
      <c r="R2239" s="63">
        <v>0</v>
      </c>
      <c r="S2239" s="64">
        <v>0</v>
      </c>
    </row>
    <row r="2240" spans="1:19" ht="11.1" customHeight="1" x14ac:dyDescent="0.25">
      <c r="A2240" s="57">
        <v>112885</v>
      </c>
      <c r="B2240" s="53">
        <v>46122</v>
      </c>
      <c r="C2240" s="58">
        <v>46122</v>
      </c>
      <c r="D2240" s="59" t="s">
        <v>1817</v>
      </c>
      <c r="E2240" s="50" t="s">
        <v>313</v>
      </c>
      <c r="F2240" s="57">
        <v>36</v>
      </c>
      <c r="G2240" s="60">
        <v>9</v>
      </c>
      <c r="H2240" s="61" t="s">
        <v>1813</v>
      </c>
      <c r="I2240" s="50" t="s">
        <v>1814</v>
      </c>
      <c r="J2240" s="50" t="s">
        <v>1815</v>
      </c>
      <c r="K2240" s="62">
        <v>6403</v>
      </c>
      <c r="L2240" s="57">
        <v>207</v>
      </c>
      <c r="M2240" s="50" t="s">
        <v>34</v>
      </c>
      <c r="N2240" s="50" t="s">
        <v>317</v>
      </c>
      <c r="O2240" s="64">
        <v>327.27</v>
      </c>
      <c r="P2240" s="65">
        <v>12</v>
      </c>
      <c r="Q2240" s="64">
        <v>39.270000000000003</v>
      </c>
      <c r="R2240" s="63">
        <v>0</v>
      </c>
      <c r="S2240" s="64">
        <v>22.91</v>
      </c>
    </row>
    <row r="2241" spans="1:19" ht="11.1" customHeight="1" x14ac:dyDescent="0.25">
      <c r="N2241" s="50" t="s">
        <v>318</v>
      </c>
      <c r="O2241" s="64">
        <v>327.27</v>
      </c>
      <c r="P2241" s="65">
        <v>19</v>
      </c>
      <c r="Q2241" s="64">
        <v>22.91</v>
      </c>
      <c r="R2241" s="63">
        <v>0</v>
      </c>
      <c r="S2241" s="64">
        <v>0</v>
      </c>
    </row>
    <row r="2242" spans="1:19" ht="11.1" customHeight="1" x14ac:dyDescent="0.25">
      <c r="A2242" s="57">
        <v>112918</v>
      </c>
      <c r="B2242" s="53">
        <v>46122</v>
      </c>
      <c r="C2242" s="58">
        <v>46122</v>
      </c>
      <c r="D2242" s="59" t="s">
        <v>1818</v>
      </c>
      <c r="E2242" s="50" t="s">
        <v>313</v>
      </c>
      <c r="F2242" s="57">
        <v>36</v>
      </c>
      <c r="G2242" s="60">
        <v>9</v>
      </c>
      <c r="H2242" s="61" t="s">
        <v>1813</v>
      </c>
      <c r="I2242" s="50" t="s">
        <v>1814</v>
      </c>
      <c r="J2242" s="50" t="s">
        <v>1815</v>
      </c>
      <c r="K2242" s="62">
        <v>6403</v>
      </c>
      <c r="L2242" s="57">
        <v>207</v>
      </c>
      <c r="M2242" s="50" t="s">
        <v>34</v>
      </c>
      <c r="N2242" s="50" t="s">
        <v>317</v>
      </c>
      <c r="O2242" s="64">
        <v>4745.8599999999997</v>
      </c>
      <c r="P2242" s="65">
        <v>12</v>
      </c>
      <c r="Q2242" s="64">
        <v>569.51</v>
      </c>
      <c r="R2242" s="63">
        <v>0</v>
      </c>
      <c r="S2242" s="64">
        <v>332.22</v>
      </c>
    </row>
    <row r="2243" spans="1:19" ht="11.1" customHeight="1" x14ac:dyDescent="0.25">
      <c r="N2243" s="50" t="s">
        <v>318</v>
      </c>
      <c r="O2243" s="64">
        <v>4745.8599999999997</v>
      </c>
      <c r="P2243" s="65">
        <v>19</v>
      </c>
      <c r="Q2243" s="64">
        <v>332.22</v>
      </c>
      <c r="R2243" s="63">
        <v>0</v>
      </c>
      <c r="S2243" s="64">
        <v>0</v>
      </c>
    </row>
    <row r="2244" spans="1:19" ht="11.1" customHeight="1" x14ac:dyDescent="0.25">
      <c r="A2244" s="57">
        <v>112919</v>
      </c>
      <c r="B2244" s="53">
        <v>46122</v>
      </c>
      <c r="C2244" s="58">
        <v>46122</v>
      </c>
      <c r="D2244" s="59" t="s">
        <v>1818</v>
      </c>
      <c r="E2244" s="50" t="s">
        <v>313</v>
      </c>
      <c r="F2244" s="57">
        <v>36</v>
      </c>
      <c r="G2244" s="60">
        <v>9</v>
      </c>
      <c r="H2244" s="61" t="s">
        <v>1813</v>
      </c>
      <c r="I2244" s="50" t="s">
        <v>1814</v>
      </c>
      <c r="J2244" s="50" t="s">
        <v>1815</v>
      </c>
      <c r="K2244" s="62">
        <v>6102</v>
      </c>
      <c r="L2244" s="57">
        <v>238</v>
      </c>
      <c r="M2244" s="50" t="s">
        <v>34</v>
      </c>
      <c r="N2244" s="50" t="s">
        <v>317</v>
      </c>
      <c r="O2244" s="64">
        <v>4779.03</v>
      </c>
      <c r="P2244" s="65">
        <v>12</v>
      </c>
      <c r="Q2244" s="64">
        <v>573.5</v>
      </c>
      <c r="R2244" s="63">
        <v>0</v>
      </c>
      <c r="S2244" s="64">
        <v>0</v>
      </c>
    </row>
    <row r="2245" spans="1:19" ht="11.1" customHeight="1" x14ac:dyDescent="0.25">
      <c r="A2245" s="57">
        <v>112922</v>
      </c>
      <c r="B2245" s="53">
        <v>46122</v>
      </c>
      <c r="C2245" s="58">
        <v>46122</v>
      </c>
      <c r="D2245" s="59" t="s">
        <v>1819</v>
      </c>
      <c r="E2245" s="50" t="s">
        <v>313</v>
      </c>
      <c r="F2245" s="57">
        <v>36</v>
      </c>
      <c r="G2245" s="60">
        <v>9</v>
      </c>
      <c r="H2245" s="61" t="s">
        <v>1813</v>
      </c>
      <c r="I2245" s="50" t="s">
        <v>1814</v>
      </c>
      <c r="J2245" s="50" t="s">
        <v>1815</v>
      </c>
      <c r="K2245" s="62">
        <v>6102</v>
      </c>
      <c r="L2245" s="57">
        <v>238</v>
      </c>
      <c r="M2245" s="50" t="s">
        <v>34</v>
      </c>
      <c r="N2245" s="50" t="s">
        <v>317</v>
      </c>
      <c r="O2245" s="64">
        <v>157.03</v>
      </c>
      <c r="P2245" s="65">
        <v>12</v>
      </c>
      <c r="Q2245" s="64">
        <v>18.84</v>
      </c>
      <c r="R2245" s="63">
        <v>0</v>
      </c>
      <c r="S2245" s="64">
        <v>0</v>
      </c>
    </row>
    <row r="2246" spans="1:19" ht="11.1" customHeight="1" x14ac:dyDescent="0.25">
      <c r="A2246" s="57">
        <v>112929</v>
      </c>
      <c r="B2246" s="53">
        <v>46125</v>
      </c>
      <c r="C2246" s="58">
        <v>46125</v>
      </c>
      <c r="D2246" s="59" t="s">
        <v>1820</v>
      </c>
      <c r="E2246" s="50" t="s">
        <v>313</v>
      </c>
      <c r="F2246" s="57">
        <v>36</v>
      </c>
      <c r="G2246" s="60">
        <v>9</v>
      </c>
      <c r="H2246" s="61" t="s">
        <v>1813</v>
      </c>
      <c r="I2246" s="50" t="s">
        <v>1814</v>
      </c>
      <c r="J2246" s="50" t="s">
        <v>1815</v>
      </c>
      <c r="K2246" s="62">
        <v>6403</v>
      </c>
      <c r="L2246" s="57">
        <v>207</v>
      </c>
      <c r="M2246" s="50" t="s">
        <v>34</v>
      </c>
      <c r="N2246" s="50" t="s">
        <v>317</v>
      </c>
      <c r="O2246" s="64">
        <v>135.80000000000001</v>
      </c>
      <c r="P2246" s="65">
        <v>12</v>
      </c>
      <c r="Q2246" s="64">
        <v>16.3</v>
      </c>
      <c r="R2246" s="63">
        <v>0</v>
      </c>
      <c r="S2246" s="64">
        <v>9.5</v>
      </c>
    </row>
    <row r="2247" spans="1:19" ht="11.1" customHeight="1" x14ac:dyDescent="0.25">
      <c r="N2247" s="50" t="s">
        <v>318</v>
      </c>
      <c r="O2247" s="64">
        <v>135.80000000000001</v>
      </c>
      <c r="P2247" s="65">
        <v>19</v>
      </c>
      <c r="Q2247" s="64">
        <v>9.5</v>
      </c>
      <c r="R2247" s="63">
        <v>0</v>
      </c>
      <c r="S2247" s="64">
        <v>0</v>
      </c>
    </row>
    <row r="2248" spans="1:19" ht="11.1" customHeight="1" x14ac:dyDescent="0.25">
      <c r="A2248" s="57">
        <v>112930</v>
      </c>
      <c r="B2248" s="53">
        <v>46125</v>
      </c>
      <c r="C2248" s="58">
        <v>46125</v>
      </c>
      <c r="D2248" s="59" t="s">
        <v>1820</v>
      </c>
      <c r="E2248" s="50" t="s">
        <v>313</v>
      </c>
      <c r="F2248" s="57">
        <v>36</v>
      </c>
      <c r="G2248" s="60">
        <v>9</v>
      </c>
      <c r="H2248" s="61" t="s">
        <v>1813</v>
      </c>
      <c r="I2248" s="50" t="s">
        <v>1814</v>
      </c>
      <c r="J2248" s="50" t="s">
        <v>1815</v>
      </c>
      <c r="K2248" s="62">
        <v>6102</v>
      </c>
      <c r="L2248" s="57">
        <v>238</v>
      </c>
      <c r="M2248" s="50" t="s">
        <v>34</v>
      </c>
      <c r="N2248" s="50" t="s">
        <v>317</v>
      </c>
      <c r="O2248" s="64">
        <v>183.8</v>
      </c>
      <c r="P2248" s="65">
        <v>12</v>
      </c>
      <c r="Q2248" s="64">
        <v>22.06</v>
      </c>
      <c r="R2248" s="63">
        <v>0</v>
      </c>
      <c r="S2248" s="64">
        <v>0</v>
      </c>
    </row>
    <row r="2249" spans="1:19" ht="11.1" customHeight="1" x14ac:dyDescent="0.25">
      <c r="A2249" s="57">
        <v>112931</v>
      </c>
      <c r="B2249" s="53">
        <v>46125</v>
      </c>
      <c r="C2249" s="58">
        <v>46125</v>
      </c>
      <c r="D2249" s="59" t="s">
        <v>1821</v>
      </c>
      <c r="E2249" s="50" t="s">
        <v>313</v>
      </c>
      <c r="F2249" s="57">
        <v>36</v>
      </c>
      <c r="G2249" s="60">
        <v>9</v>
      </c>
      <c r="H2249" s="61" t="s">
        <v>1813</v>
      </c>
      <c r="I2249" s="50" t="s">
        <v>1814</v>
      </c>
      <c r="J2249" s="50" t="s">
        <v>1815</v>
      </c>
      <c r="K2249" s="62">
        <v>6403</v>
      </c>
      <c r="L2249" s="57">
        <v>207</v>
      </c>
      <c r="M2249" s="50" t="s">
        <v>34</v>
      </c>
      <c r="N2249" s="50" t="s">
        <v>317</v>
      </c>
      <c r="O2249" s="64">
        <v>223.26</v>
      </c>
      <c r="P2249" s="65">
        <v>12</v>
      </c>
      <c r="Q2249" s="64">
        <v>26.8</v>
      </c>
      <c r="R2249" s="63">
        <v>0</v>
      </c>
      <c r="S2249" s="64">
        <v>15.62</v>
      </c>
    </row>
    <row r="2250" spans="1:19" ht="11.1" customHeight="1" x14ac:dyDescent="0.25">
      <c r="N2250" s="50" t="s">
        <v>318</v>
      </c>
      <c r="O2250" s="64">
        <v>223.26</v>
      </c>
      <c r="P2250" s="65">
        <v>19</v>
      </c>
      <c r="Q2250" s="64">
        <v>15.62</v>
      </c>
      <c r="R2250" s="63">
        <v>0</v>
      </c>
      <c r="S2250" s="64">
        <v>0</v>
      </c>
    </row>
    <row r="2251" spans="1:19" ht="11.1" customHeight="1" x14ac:dyDescent="0.25">
      <c r="A2251" s="57">
        <v>113030</v>
      </c>
      <c r="B2251" s="53">
        <v>46126</v>
      </c>
      <c r="C2251" s="58">
        <v>46126</v>
      </c>
      <c r="D2251" s="59" t="s">
        <v>1822</v>
      </c>
      <c r="E2251" s="50" t="s">
        <v>313</v>
      </c>
      <c r="F2251" s="57">
        <v>36</v>
      </c>
      <c r="G2251" s="60">
        <v>9</v>
      </c>
      <c r="H2251" s="61" t="s">
        <v>1813</v>
      </c>
      <c r="I2251" s="50" t="s">
        <v>1814</v>
      </c>
      <c r="J2251" s="50" t="s">
        <v>1815</v>
      </c>
      <c r="K2251" s="62">
        <v>6403</v>
      </c>
      <c r="L2251" s="57">
        <v>207</v>
      </c>
      <c r="M2251" s="50" t="s">
        <v>34</v>
      </c>
      <c r="N2251" s="50" t="s">
        <v>317</v>
      </c>
      <c r="O2251" s="64">
        <v>160.44</v>
      </c>
      <c r="P2251" s="65">
        <v>12</v>
      </c>
      <c r="Q2251" s="64">
        <v>19.25</v>
      </c>
      <c r="R2251" s="63">
        <v>0</v>
      </c>
      <c r="S2251" s="64">
        <v>11.23</v>
      </c>
    </row>
    <row r="2252" spans="1:19" ht="11.1" customHeight="1" x14ac:dyDescent="0.25">
      <c r="N2252" s="50" t="s">
        <v>318</v>
      </c>
      <c r="O2252" s="64">
        <v>160.44</v>
      </c>
      <c r="P2252" s="65">
        <v>19</v>
      </c>
      <c r="Q2252" s="64">
        <v>11.23</v>
      </c>
      <c r="R2252" s="63">
        <v>0</v>
      </c>
      <c r="S2252" s="64">
        <v>0</v>
      </c>
    </row>
    <row r="2253" spans="1:19" ht="11.1" customHeight="1" x14ac:dyDescent="0.25">
      <c r="A2253" s="57">
        <v>113073</v>
      </c>
      <c r="B2253" s="53">
        <v>46127</v>
      </c>
      <c r="C2253" s="58">
        <v>46127</v>
      </c>
      <c r="D2253" s="59" t="s">
        <v>1823</v>
      </c>
      <c r="E2253" s="50" t="s">
        <v>313</v>
      </c>
      <c r="F2253" s="57">
        <v>36</v>
      </c>
      <c r="G2253" s="60">
        <v>9</v>
      </c>
      <c r="H2253" s="61" t="s">
        <v>1813</v>
      </c>
      <c r="I2253" s="50" t="s">
        <v>1814</v>
      </c>
      <c r="J2253" s="50" t="s">
        <v>1815</v>
      </c>
      <c r="K2253" s="62">
        <v>6403</v>
      </c>
      <c r="L2253" s="57">
        <v>207</v>
      </c>
      <c r="M2253" s="50" t="s">
        <v>34</v>
      </c>
      <c r="N2253" s="50" t="s">
        <v>317</v>
      </c>
      <c r="O2253" s="64">
        <v>29.22</v>
      </c>
      <c r="P2253" s="65">
        <v>12</v>
      </c>
      <c r="Q2253" s="64">
        <v>3.51</v>
      </c>
      <c r="R2253" s="63">
        <v>0</v>
      </c>
      <c r="S2253" s="64">
        <v>2.04</v>
      </c>
    </row>
    <row r="2254" spans="1:19" ht="11.1" customHeight="1" x14ac:dyDescent="0.25">
      <c r="N2254" s="50" t="s">
        <v>318</v>
      </c>
      <c r="O2254" s="64">
        <v>29.22</v>
      </c>
      <c r="P2254" s="65">
        <v>19</v>
      </c>
      <c r="Q2254" s="64">
        <v>2.04</v>
      </c>
      <c r="R2254" s="63">
        <v>0</v>
      </c>
      <c r="S2254" s="64">
        <v>0</v>
      </c>
    </row>
    <row r="2255" spans="1:19" ht="11.1" customHeight="1" x14ac:dyDescent="0.25">
      <c r="A2255" s="57">
        <v>113074</v>
      </c>
      <c r="B2255" s="53">
        <v>46127</v>
      </c>
      <c r="C2255" s="58">
        <v>46127</v>
      </c>
      <c r="D2255" s="59" t="s">
        <v>1823</v>
      </c>
      <c r="E2255" s="50" t="s">
        <v>313</v>
      </c>
      <c r="F2255" s="57">
        <v>36</v>
      </c>
      <c r="G2255" s="60">
        <v>9</v>
      </c>
      <c r="H2255" s="61" t="s">
        <v>1813</v>
      </c>
      <c r="I2255" s="50" t="s">
        <v>1814</v>
      </c>
      <c r="J2255" s="50" t="s">
        <v>1815</v>
      </c>
      <c r="K2255" s="62">
        <v>6102</v>
      </c>
      <c r="L2255" s="57">
        <v>238</v>
      </c>
      <c r="M2255" s="50" t="s">
        <v>34</v>
      </c>
      <c r="N2255" s="50" t="s">
        <v>317</v>
      </c>
      <c r="O2255" s="64">
        <v>76.28</v>
      </c>
      <c r="P2255" s="65">
        <v>12</v>
      </c>
      <c r="Q2255" s="64">
        <v>9.15</v>
      </c>
      <c r="R2255" s="63">
        <v>0</v>
      </c>
      <c r="S2255" s="64">
        <v>0</v>
      </c>
    </row>
    <row r="2256" spans="1:19" ht="11.1" customHeight="1" x14ac:dyDescent="0.25">
      <c r="A2256" s="57">
        <v>113097</v>
      </c>
      <c r="B2256" s="53">
        <v>46127</v>
      </c>
      <c r="C2256" s="58">
        <v>46127</v>
      </c>
      <c r="D2256" s="59" t="s">
        <v>1824</v>
      </c>
      <c r="E2256" s="50" t="s">
        <v>313</v>
      </c>
      <c r="F2256" s="57">
        <v>36</v>
      </c>
      <c r="G2256" s="60">
        <v>9</v>
      </c>
      <c r="H2256" s="61" t="s">
        <v>1813</v>
      </c>
      <c r="I2256" s="50" t="s">
        <v>1814</v>
      </c>
      <c r="J2256" s="50" t="s">
        <v>1815</v>
      </c>
      <c r="K2256" s="62">
        <v>6403</v>
      </c>
      <c r="L2256" s="57">
        <v>207</v>
      </c>
      <c r="M2256" s="50" t="s">
        <v>34</v>
      </c>
      <c r="N2256" s="50" t="s">
        <v>317</v>
      </c>
      <c r="O2256" s="64">
        <v>76.510000000000005</v>
      </c>
      <c r="P2256" s="65">
        <v>12</v>
      </c>
      <c r="Q2256" s="64">
        <v>9.18</v>
      </c>
      <c r="R2256" s="63">
        <v>0</v>
      </c>
      <c r="S2256" s="64">
        <v>5.36</v>
      </c>
    </row>
    <row r="2257" spans="1:19" ht="11.1" customHeight="1" x14ac:dyDescent="0.25">
      <c r="N2257" s="50" t="s">
        <v>318</v>
      </c>
      <c r="O2257" s="64">
        <v>76.510000000000005</v>
      </c>
      <c r="P2257" s="65">
        <v>19</v>
      </c>
      <c r="Q2257" s="64">
        <v>5.36</v>
      </c>
      <c r="R2257" s="63">
        <v>0</v>
      </c>
      <c r="S2257" s="64">
        <v>0</v>
      </c>
    </row>
    <row r="2258" spans="1:19" ht="11.1" customHeight="1" x14ac:dyDescent="0.25">
      <c r="A2258" s="57">
        <v>113406</v>
      </c>
      <c r="B2258" s="53">
        <v>46136</v>
      </c>
      <c r="C2258" s="58">
        <v>46136</v>
      </c>
      <c r="D2258" s="59" t="s">
        <v>1825</v>
      </c>
      <c r="E2258" s="50" t="s">
        <v>313</v>
      </c>
      <c r="F2258" s="57">
        <v>36</v>
      </c>
      <c r="G2258" s="60">
        <v>9</v>
      </c>
      <c r="H2258" s="61" t="s">
        <v>1813</v>
      </c>
      <c r="I2258" s="50" t="s">
        <v>1814</v>
      </c>
      <c r="J2258" s="50" t="s">
        <v>1815</v>
      </c>
      <c r="K2258" s="62">
        <v>6403</v>
      </c>
      <c r="L2258" s="57">
        <v>207</v>
      </c>
      <c r="M2258" s="50" t="s">
        <v>34</v>
      </c>
      <c r="N2258" s="50" t="s">
        <v>317</v>
      </c>
      <c r="O2258" s="64">
        <v>206.64</v>
      </c>
      <c r="P2258" s="65">
        <v>12</v>
      </c>
      <c r="Q2258" s="64">
        <v>24.8</v>
      </c>
      <c r="R2258" s="63">
        <v>0</v>
      </c>
      <c r="S2258" s="64">
        <v>14.46</v>
      </c>
    </row>
    <row r="2259" spans="1:19" ht="11.1" customHeight="1" x14ac:dyDescent="0.25">
      <c r="N2259" s="50" t="s">
        <v>318</v>
      </c>
      <c r="O2259" s="64">
        <v>206.64</v>
      </c>
      <c r="P2259" s="65">
        <v>19</v>
      </c>
      <c r="Q2259" s="64">
        <v>14.46</v>
      </c>
      <c r="R2259" s="63">
        <v>0</v>
      </c>
      <c r="S2259" s="64">
        <v>0</v>
      </c>
    </row>
    <row r="2260" spans="1:19" ht="11.85" customHeight="1" x14ac:dyDescent="0.25">
      <c r="A2260" s="66" t="s">
        <v>320</v>
      </c>
      <c r="B2260" s="66"/>
      <c r="C2260" s="66"/>
      <c r="D2260" s="66"/>
      <c r="E2260" s="66"/>
      <c r="F2260" s="66"/>
      <c r="G2260" s="66"/>
      <c r="H2260" s="66"/>
    </row>
    <row r="2261" spans="1:19" ht="11.1" customHeight="1" x14ac:dyDescent="0.25">
      <c r="N2261" s="50" t="s">
        <v>317</v>
      </c>
      <c r="O2261" s="64">
        <v>20581.990000000002</v>
      </c>
      <c r="Q2261" s="64">
        <v>2469.89</v>
      </c>
      <c r="R2261" s="63">
        <v>0</v>
      </c>
      <c r="S2261" s="64">
        <v>733.41</v>
      </c>
    </row>
    <row r="2262" spans="1:19" ht="11.1" customHeight="1" x14ac:dyDescent="0.25">
      <c r="N2262" s="50" t="s">
        <v>318</v>
      </c>
      <c r="O2262" s="64">
        <v>10477.200000000001</v>
      </c>
      <c r="Q2262" s="64">
        <v>733.41</v>
      </c>
      <c r="R2262" s="63">
        <v>0</v>
      </c>
      <c r="S2262" s="64">
        <v>0</v>
      </c>
    </row>
    <row r="2263" spans="1:19" ht="11.1" customHeight="1" x14ac:dyDescent="0.25">
      <c r="A2263" s="57">
        <v>112974</v>
      </c>
      <c r="B2263" s="53">
        <v>46125</v>
      </c>
      <c r="C2263" s="58">
        <v>46125</v>
      </c>
      <c r="D2263" s="59" t="s">
        <v>1826</v>
      </c>
      <c r="E2263" s="50" t="s">
        <v>313</v>
      </c>
      <c r="F2263" s="57">
        <v>36</v>
      </c>
      <c r="G2263" s="60">
        <v>53</v>
      </c>
      <c r="H2263" s="61" t="s">
        <v>1827</v>
      </c>
      <c r="I2263" s="50" t="s">
        <v>1828</v>
      </c>
      <c r="J2263" s="50" t="s">
        <v>1829</v>
      </c>
      <c r="K2263" s="62">
        <v>5102</v>
      </c>
      <c r="L2263" s="57">
        <v>205</v>
      </c>
      <c r="M2263" s="50" t="s">
        <v>26</v>
      </c>
      <c r="N2263" s="50" t="s">
        <v>317</v>
      </c>
      <c r="O2263" s="64">
        <v>351.24</v>
      </c>
      <c r="P2263" s="65">
        <v>12</v>
      </c>
      <c r="Q2263" s="64">
        <v>42.16</v>
      </c>
      <c r="R2263" s="63">
        <v>0</v>
      </c>
      <c r="S2263" s="64">
        <v>0</v>
      </c>
    </row>
    <row r="2264" spans="1:19" ht="11.1" customHeight="1" x14ac:dyDescent="0.25">
      <c r="A2264" s="57">
        <v>112975</v>
      </c>
      <c r="B2264" s="53">
        <v>46125</v>
      </c>
      <c r="C2264" s="58">
        <v>46125</v>
      </c>
      <c r="D2264" s="59" t="s">
        <v>1826</v>
      </c>
      <c r="E2264" s="50" t="s">
        <v>313</v>
      </c>
      <c r="F2264" s="57">
        <v>36</v>
      </c>
      <c r="G2264" s="60">
        <v>53</v>
      </c>
      <c r="H2264" s="61" t="s">
        <v>1827</v>
      </c>
      <c r="I2264" s="50" t="s">
        <v>1828</v>
      </c>
      <c r="J2264" s="50" t="s">
        <v>1829</v>
      </c>
      <c r="K2264" s="62">
        <v>5403</v>
      </c>
      <c r="L2264" s="57">
        <v>207</v>
      </c>
      <c r="M2264" s="50" t="s">
        <v>26</v>
      </c>
      <c r="N2264" s="50" t="s">
        <v>317</v>
      </c>
      <c r="O2264" s="64">
        <v>147.6</v>
      </c>
      <c r="P2264" s="65">
        <v>12</v>
      </c>
      <c r="Q2264" s="64">
        <v>17.71</v>
      </c>
      <c r="R2264" s="63">
        <v>0</v>
      </c>
      <c r="S2264" s="64">
        <v>10.33</v>
      </c>
    </row>
    <row r="2265" spans="1:19" ht="11.1" customHeight="1" x14ac:dyDescent="0.25">
      <c r="N2265" s="50" t="s">
        <v>318</v>
      </c>
      <c r="O2265" s="64">
        <v>199.26</v>
      </c>
      <c r="P2265" s="65">
        <v>20</v>
      </c>
      <c r="Q2265" s="64">
        <v>10.33</v>
      </c>
      <c r="R2265" s="63">
        <v>0</v>
      </c>
      <c r="S2265" s="64">
        <v>0</v>
      </c>
    </row>
    <row r="2266" spans="1:19" ht="11.1" customHeight="1" x14ac:dyDescent="0.25">
      <c r="A2266" s="57">
        <v>113303</v>
      </c>
      <c r="B2266" s="53">
        <v>46134</v>
      </c>
      <c r="C2266" s="58">
        <v>46134</v>
      </c>
      <c r="D2266" s="59" t="s">
        <v>1830</v>
      </c>
      <c r="E2266" s="50" t="s">
        <v>313</v>
      </c>
      <c r="F2266" s="57">
        <v>36</v>
      </c>
      <c r="G2266" s="60">
        <v>53</v>
      </c>
      <c r="H2266" s="61" t="s">
        <v>1827</v>
      </c>
      <c r="I2266" s="50" t="s">
        <v>1828</v>
      </c>
      <c r="J2266" s="50" t="s">
        <v>1829</v>
      </c>
      <c r="K2266" s="62">
        <v>5102</v>
      </c>
      <c r="L2266" s="57">
        <v>205</v>
      </c>
      <c r="M2266" s="50" t="s">
        <v>26</v>
      </c>
      <c r="N2266" s="50" t="s">
        <v>317</v>
      </c>
      <c r="O2266" s="64">
        <v>312.06</v>
      </c>
      <c r="P2266" s="65">
        <v>12</v>
      </c>
      <c r="Q2266" s="64">
        <v>37.44</v>
      </c>
      <c r="R2266" s="63">
        <v>0</v>
      </c>
      <c r="S2266" s="64">
        <v>0</v>
      </c>
    </row>
    <row r="2267" spans="1:19" ht="11.1" customHeight="1" x14ac:dyDescent="0.25">
      <c r="A2267" s="57">
        <v>113304</v>
      </c>
      <c r="B2267" s="53">
        <v>46134</v>
      </c>
      <c r="C2267" s="58">
        <v>46134</v>
      </c>
      <c r="D2267" s="59" t="s">
        <v>1830</v>
      </c>
      <c r="E2267" s="50" t="s">
        <v>313</v>
      </c>
      <c r="F2267" s="57">
        <v>36</v>
      </c>
      <c r="G2267" s="60">
        <v>53</v>
      </c>
      <c r="H2267" s="61" t="s">
        <v>1827</v>
      </c>
      <c r="I2267" s="50" t="s">
        <v>1828</v>
      </c>
      <c r="J2267" s="50" t="s">
        <v>1829</v>
      </c>
      <c r="K2267" s="62">
        <v>5403</v>
      </c>
      <c r="L2267" s="57">
        <v>207</v>
      </c>
      <c r="M2267" s="50" t="s">
        <v>26</v>
      </c>
      <c r="N2267" s="50" t="s">
        <v>317</v>
      </c>
      <c r="O2267" s="64">
        <v>247.56</v>
      </c>
      <c r="P2267" s="65">
        <v>12</v>
      </c>
      <c r="Q2267" s="64">
        <v>29.71</v>
      </c>
      <c r="R2267" s="63">
        <v>0</v>
      </c>
      <c r="S2267" s="64">
        <v>17.329999999999998</v>
      </c>
    </row>
    <row r="2268" spans="1:19" ht="11.1" customHeight="1" x14ac:dyDescent="0.25">
      <c r="N2268" s="50" t="s">
        <v>318</v>
      </c>
      <c r="O2268" s="64">
        <v>334.21</v>
      </c>
      <c r="P2268" s="65">
        <v>20</v>
      </c>
      <c r="Q2268" s="64">
        <v>17.329999999999998</v>
      </c>
      <c r="R2268" s="63">
        <v>0</v>
      </c>
      <c r="S2268" s="64">
        <v>0</v>
      </c>
    </row>
    <row r="2269" spans="1:19" ht="11.1" customHeight="1" x14ac:dyDescent="0.25">
      <c r="A2269" s="57">
        <v>113484</v>
      </c>
      <c r="B2269" s="53">
        <v>46139</v>
      </c>
      <c r="C2269" s="58">
        <v>46139</v>
      </c>
      <c r="D2269" s="59" t="s">
        <v>1831</v>
      </c>
      <c r="E2269" s="50" t="s">
        <v>313</v>
      </c>
      <c r="F2269" s="57">
        <v>36</v>
      </c>
      <c r="G2269" s="60">
        <v>53</v>
      </c>
      <c r="H2269" s="61" t="s">
        <v>1827</v>
      </c>
      <c r="I2269" s="50" t="s">
        <v>1828</v>
      </c>
      <c r="J2269" s="50" t="s">
        <v>1829</v>
      </c>
      <c r="K2269" s="62">
        <v>5102</v>
      </c>
      <c r="L2269" s="57">
        <v>205</v>
      </c>
      <c r="M2269" s="50" t="s">
        <v>26</v>
      </c>
      <c r="N2269" s="50" t="s">
        <v>317</v>
      </c>
      <c r="O2269" s="64">
        <v>462.23</v>
      </c>
      <c r="P2269" s="65">
        <v>12</v>
      </c>
      <c r="Q2269" s="64">
        <v>55.48</v>
      </c>
      <c r="R2269" s="63">
        <v>0</v>
      </c>
      <c r="S2269" s="64">
        <v>0</v>
      </c>
    </row>
    <row r="2270" spans="1:19" ht="11.1" customHeight="1" x14ac:dyDescent="0.25">
      <c r="A2270" s="57">
        <v>113485</v>
      </c>
      <c r="B2270" s="53">
        <v>46139</v>
      </c>
      <c r="C2270" s="58">
        <v>46139</v>
      </c>
      <c r="D2270" s="59" t="s">
        <v>1831</v>
      </c>
      <c r="E2270" s="50" t="s">
        <v>313</v>
      </c>
      <c r="F2270" s="57">
        <v>36</v>
      </c>
      <c r="G2270" s="60">
        <v>53</v>
      </c>
      <c r="H2270" s="61" t="s">
        <v>1827</v>
      </c>
      <c r="I2270" s="50" t="s">
        <v>1828</v>
      </c>
      <c r="J2270" s="50" t="s">
        <v>1829</v>
      </c>
      <c r="K2270" s="62">
        <v>5403</v>
      </c>
      <c r="L2270" s="57">
        <v>207</v>
      </c>
      <c r="M2270" s="50" t="s">
        <v>26</v>
      </c>
      <c r="N2270" s="50" t="s">
        <v>317</v>
      </c>
      <c r="O2270" s="64">
        <v>63.48</v>
      </c>
      <c r="P2270" s="65">
        <v>12</v>
      </c>
      <c r="Q2270" s="64">
        <v>7.62</v>
      </c>
      <c r="R2270" s="63">
        <v>0</v>
      </c>
      <c r="S2270" s="64">
        <v>4.4400000000000004</v>
      </c>
    </row>
    <row r="2271" spans="1:19" ht="11.1" customHeight="1" x14ac:dyDescent="0.25">
      <c r="N2271" s="50" t="s">
        <v>318</v>
      </c>
      <c r="O2271" s="64">
        <v>85.7</v>
      </c>
      <c r="P2271" s="65">
        <v>20</v>
      </c>
      <c r="Q2271" s="64">
        <v>4.4400000000000004</v>
      </c>
      <c r="R2271" s="63">
        <v>0</v>
      </c>
      <c r="S2271" s="64">
        <v>0</v>
      </c>
    </row>
    <row r="2272" spans="1:19" ht="11.85" customHeight="1" x14ac:dyDescent="0.25">
      <c r="A2272" s="66" t="s">
        <v>320</v>
      </c>
      <c r="B2272" s="66"/>
      <c r="C2272" s="66"/>
      <c r="D2272" s="66"/>
      <c r="E2272" s="66"/>
      <c r="F2272" s="66"/>
      <c r="G2272" s="66"/>
      <c r="H2272" s="66"/>
    </row>
    <row r="2273" spans="1:19" ht="11.1" customHeight="1" x14ac:dyDescent="0.25">
      <c r="N2273" s="50" t="s">
        <v>317</v>
      </c>
      <c r="O2273" s="64">
        <v>1584.17</v>
      </c>
      <c r="Q2273" s="64">
        <v>190.12</v>
      </c>
      <c r="R2273" s="63">
        <v>0</v>
      </c>
      <c r="S2273" s="64">
        <v>32.1</v>
      </c>
    </row>
    <row r="2274" spans="1:19" ht="11.1" customHeight="1" x14ac:dyDescent="0.25">
      <c r="N2274" s="50" t="s">
        <v>318</v>
      </c>
      <c r="O2274" s="64">
        <v>619.16999999999996</v>
      </c>
      <c r="Q2274" s="64">
        <v>32.1</v>
      </c>
      <c r="R2274" s="63">
        <v>0</v>
      </c>
      <c r="S2274" s="64">
        <v>0</v>
      </c>
    </row>
    <row r="2275" spans="1:19" ht="11.1" customHeight="1" x14ac:dyDescent="0.25">
      <c r="A2275" s="57">
        <v>113266</v>
      </c>
      <c r="B2275" s="53">
        <v>46134</v>
      </c>
      <c r="C2275" s="58">
        <v>46134</v>
      </c>
      <c r="D2275" s="59" t="s">
        <v>1832</v>
      </c>
      <c r="E2275" s="50" t="s">
        <v>313</v>
      </c>
      <c r="F2275" s="57">
        <v>36</v>
      </c>
      <c r="G2275" s="60">
        <v>565</v>
      </c>
      <c r="H2275" s="61" t="s">
        <v>1833</v>
      </c>
      <c r="I2275" s="50" t="s">
        <v>1834</v>
      </c>
      <c r="J2275" s="50" t="s">
        <v>1835</v>
      </c>
      <c r="K2275" s="62">
        <v>5102</v>
      </c>
      <c r="L2275" s="57">
        <v>205</v>
      </c>
      <c r="M2275" s="50" t="s">
        <v>26</v>
      </c>
      <c r="N2275" s="50" t="s">
        <v>317</v>
      </c>
      <c r="O2275" s="64">
        <v>772.59</v>
      </c>
      <c r="P2275" s="65">
        <v>12</v>
      </c>
      <c r="Q2275" s="64">
        <v>92.71</v>
      </c>
      <c r="R2275" s="63">
        <v>0</v>
      </c>
      <c r="S2275" s="64">
        <v>0</v>
      </c>
    </row>
    <row r="2276" spans="1:19" ht="11.85" customHeight="1" x14ac:dyDescent="0.25">
      <c r="A2276" s="66" t="s">
        <v>320</v>
      </c>
      <c r="B2276" s="66"/>
      <c r="C2276" s="66"/>
      <c r="D2276" s="66"/>
      <c r="E2276" s="66"/>
      <c r="F2276" s="66"/>
      <c r="G2276" s="66"/>
      <c r="H2276" s="66"/>
    </row>
    <row r="2277" spans="1:19" ht="11.1" customHeight="1" x14ac:dyDescent="0.25">
      <c r="N2277" s="50" t="s">
        <v>317</v>
      </c>
      <c r="O2277" s="64">
        <v>772.59</v>
      </c>
      <c r="Q2277" s="64">
        <v>92.71</v>
      </c>
      <c r="R2277" s="63">
        <v>0</v>
      </c>
      <c r="S2277" s="64">
        <v>0</v>
      </c>
    </row>
    <row r="2278" spans="1:19" ht="11.1" customHeight="1" x14ac:dyDescent="0.25">
      <c r="A2278" s="57">
        <v>112772</v>
      </c>
      <c r="B2278" s="53">
        <v>46120</v>
      </c>
      <c r="C2278" s="58">
        <v>46120</v>
      </c>
      <c r="D2278" s="59" t="s">
        <v>1836</v>
      </c>
      <c r="E2278" s="50" t="s">
        <v>313</v>
      </c>
      <c r="F2278" s="57">
        <v>36</v>
      </c>
      <c r="G2278" s="60">
        <v>39</v>
      </c>
      <c r="H2278" s="61" t="s">
        <v>1837</v>
      </c>
      <c r="I2278" s="50" t="s">
        <v>1838</v>
      </c>
      <c r="J2278" s="50" t="s">
        <v>1839</v>
      </c>
      <c r="K2278" s="62">
        <v>5102</v>
      </c>
      <c r="L2278" s="57">
        <v>205</v>
      </c>
      <c r="M2278" s="50" t="s">
        <v>26</v>
      </c>
      <c r="N2278" s="50" t="s">
        <v>317</v>
      </c>
      <c r="O2278" s="64">
        <v>114.24</v>
      </c>
      <c r="P2278" s="65">
        <v>12</v>
      </c>
      <c r="Q2278" s="64">
        <v>13.71</v>
      </c>
      <c r="R2278" s="63">
        <v>0</v>
      </c>
      <c r="S2278" s="64">
        <v>0</v>
      </c>
    </row>
    <row r="2279" spans="1:19" ht="11.1" customHeight="1" x14ac:dyDescent="0.25">
      <c r="A2279" s="57">
        <v>112821</v>
      </c>
      <c r="B2279" s="53">
        <v>46121</v>
      </c>
      <c r="C2279" s="58">
        <v>46121</v>
      </c>
      <c r="D2279" s="59" t="s">
        <v>1840</v>
      </c>
      <c r="E2279" s="50" t="s">
        <v>313</v>
      </c>
      <c r="F2279" s="57">
        <v>36</v>
      </c>
      <c r="G2279" s="60">
        <v>39</v>
      </c>
      <c r="H2279" s="61" t="s">
        <v>1837</v>
      </c>
      <c r="I2279" s="50" t="s">
        <v>1838</v>
      </c>
      <c r="J2279" s="50" t="s">
        <v>1839</v>
      </c>
      <c r="K2279" s="62">
        <v>5102</v>
      </c>
      <c r="L2279" s="57">
        <v>205</v>
      </c>
      <c r="M2279" s="50" t="s">
        <v>26</v>
      </c>
      <c r="N2279" s="50" t="s">
        <v>317</v>
      </c>
      <c r="O2279" s="64">
        <v>51.59</v>
      </c>
      <c r="P2279" s="65">
        <v>12</v>
      </c>
      <c r="Q2279" s="64">
        <v>6.19</v>
      </c>
      <c r="R2279" s="63">
        <v>0</v>
      </c>
      <c r="S2279" s="64">
        <v>0</v>
      </c>
    </row>
    <row r="2280" spans="1:19" ht="11.85" customHeight="1" x14ac:dyDescent="0.25">
      <c r="A2280" s="66" t="s">
        <v>320</v>
      </c>
      <c r="B2280" s="66"/>
      <c r="C2280" s="66"/>
      <c r="D2280" s="66"/>
      <c r="E2280" s="66"/>
      <c r="F2280" s="66"/>
      <c r="G2280" s="66"/>
      <c r="H2280" s="66"/>
    </row>
    <row r="2281" spans="1:19" ht="11.1" customHeight="1" x14ac:dyDescent="0.25">
      <c r="N2281" s="50" t="s">
        <v>317</v>
      </c>
      <c r="O2281" s="64">
        <v>165.83</v>
      </c>
      <c r="Q2281" s="64">
        <v>19.899999999999999</v>
      </c>
      <c r="R2281" s="63">
        <v>0</v>
      </c>
      <c r="S2281" s="64">
        <v>0</v>
      </c>
    </row>
    <row r="2282" spans="1:19" ht="11.1" customHeight="1" x14ac:dyDescent="0.25">
      <c r="A2282" s="57">
        <v>112555</v>
      </c>
      <c r="B2282" s="53">
        <v>46118</v>
      </c>
      <c r="C2282" s="58">
        <v>46118</v>
      </c>
      <c r="D2282" s="59" t="s">
        <v>1841</v>
      </c>
      <c r="E2282" s="50" t="s">
        <v>313</v>
      </c>
      <c r="F2282" s="57">
        <v>36</v>
      </c>
      <c r="G2282" s="60">
        <v>113</v>
      </c>
      <c r="H2282" s="61" t="s">
        <v>1842</v>
      </c>
      <c r="I2282" s="50" t="s">
        <v>1843</v>
      </c>
      <c r="J2282" s="50" t="s">
        <v>1844</v>
      </c>
      <c r="K2282" s="62">
        <v>5102</v>
      </c>
      <c r="L2282" s="57">
        <v>205</v>
      </c>
      <c r="M2282" s="50" t="s">
        <v>26</v>
      </c>
      <c r="N2282" s="50" t="s">
        <v>317</v>
      </c>
      <c r="O2282" s="64">
        <v>14032.76</v>
      </c>
      <c r="P2282" s="65">
        <v>12</v>
      </c>
      <c r="Q2282" s="64">
        <v>1683.93</v>
      </c>
      <c r="R2282" s="63">
        <v>0</v>
      </c>
      <c r="S2282" s="64">
        <v>0</v>
      </c>
    </row>
    <row r="2283" spans="1:19" ht="11.1" customHeight="1" x14ac:dyDescent="0.25">
      <c r="A2283" s="57">
        <v>112556</v>
      </c>
      <c r="B2283" s="53">
        <v>46118</v>
      </c>
      <c r="C2283" s="58">
        <v>46118</v>
      </c>
      <c r="D2283" s="59" t="s">
        <v>1841</v>
      </c>
      <c r="E2283" s="50" t="s">
        <v>313</v>
      </c>
      <c r="F2283" s="57">
        <v>36</v>
      </c>
      <c r="G2283" s="60">
        <v>113</v>
      </c>
      <c r="H2283" s="61" t="s">
        <v>1842</v>
      </c>
      <c r="I2283" s="50" t="s">
        <v>1843</v>
      </c>
      <c r="J2283" s="50" t="s">
        <v>1844</v>
      </c>
      <c r="K2283" s="62">
        <v>5405</v>
      </c>
      <c r="L2283" s="57">
        <v>206</v>
      </c>
      <c r="M2283" s="50" t="s">
        <v>26</v>
      </c>
      <c r="N2283" s="50" t="s">
        <v>317</v>
      </c>
      <c r="O2283" s="64">
        <v>0</v>
      </c>
      <c r="P2283" s="65">
        <v>0</v>
      </c>
      <c r="Q2283" s="64">
        <v>0</v>
      </c>
      <c r="R2283" s="63">
        <v>0</v>
      </c>
      <c r="S2283" s="64">
        <v>199.04</v>
      </c>
    </row>
    <row r="2284" spans="1:19" ht="11.1" customHeight="1" x14ac:dyDescent="0.25">
      <c r="A2284" s="57">
        <v>112557</v>
      </c>
      <c r="B2284" s="53">
        <v>46118</v>
      </c>
      <c r="C2284" s="58">
        <v>46118</v>
      </c>
      <c r="D2284" s="59" t="s">
        <v>1841</v>
      </c>
      <c r="E2284" s="50" t="s">
        <v>313</v>
      </c>
      <c r="F2284" s="57">
        <v>36</v>
      </c>
      <c r="G2284" s="60">
        <v>113</v>
      </c>
      <c r="H2284" s="61" t="s">
        <v>1842</v>
      </c>
      <c r="I2284" s="50" t="s">
        <v>1843</v>
      </c>
      <c r="J2284" s="50" t="s">
        <v>1844</v>
      </c>
      <c r="K2284" s="62">
        <v>5403</v>
      </c>
      <c r="L2284" s="57">
        <v>207</v>
      </c>
      <c r="M2284" s="50" t="s">
        <v>26</v>
      </c>
      <c r="N2284" s="50" t="s">
        <v>317</v>
      </c>
      <c r="O2284" s="64">
        <v>8842.6</v>
      </c>
      <c r="P2284" s="65">
        <v>12</v>
      </c>
      <c r="Q2284" s="64">
        <v>1061.1099999999999</v>
      </c>
      <c r="R2284" s="63">
        <v>0</v>
      </c>
      <c r="S2284" s="64">
        <v>618.97</v>
      </c>
    </row>
    <row r="2285" spans="1:19" ht="11.1" customHeight="1" x14ac:dyDescent="0.25">
      <c r="N2285" s="50" t="s">
        <v>318</v>
      </c>
      <c r="O2285" s="64">
        <v>11937.55</v>
      </c>
      <c r="P2285" s="65">
        <v>20</v>
      </c>
      <c r="Q2285" s="64">
        <v>618.97</v>
      </c>
      <c r="R2285" s="63">
        <v>0</v>
      </c>
      <c r="S2285" s="64">
        <v>0</v>
      </c>
    </row>
    <row r="2286" spans="1:19" ht="11.1" customHeight="1" x14ac:dyDescent="0.25">
      <c r="A2286" s="57">
        <v>113444</v>
      </c>
      <c r="B2286" s="53">
        <v>46139</v>
      </c>
      <c r="C2286" s="58">
        <v>46139</v>
      </c>
      <c r="D2286" s="59" t="s">
        <v>1845</v>
      </c>
      <c r="E2286" s="50" t="s">
        <v>313</v>
      </c>
      <c r="F2286" s="57">
        <v>36</v>
      </c>
      <c r="G2286" s="60">
        <v>113</v>
      </c>
      <c r="H2286" s="61" t="s">
        <v>1842</v>
      </c>
      <c r="I2286" s="50" t="s">
        <v>1843</v>
      </c>
      <c r="J2286" s="50" t="s">
        <v>1844</v>
      </c>
      <c r="K2286" s="62">
        <v>5403</v>
      </c>
      <c r="L2286" s="57">
        <v>207</v>
      </c>
      <c r="M2286" s="50" t="s">
        <v>26</v>
      </c>
      <c r="N2286" s="50" t="s">
        <v>317</v>
      </c>
      <c r="O2286" s="64">
        <v>231.94</v>
      </c>
      <c r="P2286" s="65">
        <v>12</v>
      </c>
      <c r="Q2286" s="64">
        <v>27.83</v>
      </c>
      <c r="R2286" s="63">
        <v>0</v>
      </c>
      <c r="S2286" s="64">
        <v>16.23</v>
      </c>
    </row>
    <row r="2287" spans="1:19" ht="11.1" customHeight="1" x14ac:dyDescent="0.25">
      <c r="N2287" s="50" t="s">
        <v>318</v>
      </c>
      <c r="O2287" s="64">
        <v>313.12</v>
      </c>
      <c r="P2287" s="65">
        <v>20</v>
      </c>
      <c r="Q2287" s="64">
        <v>16.23</v>
      </c>
      <c r="R2287" s="63">
        <v>0</v>
      </c>
      <c r="S2287" s="64">
        <v>0</v>
      </c>
    </row>
    <row r="2288" spans="1:19" ht="11.85" customHeight="1" x14ac:dyDescent="0.25">
      <c r="A2288" s="66" t="s">
        <v>320</v>
      </c>
      <c r="B2288" s="66"/>
      <c r="C2288" s="66"/>
      <c r="D2288" s="66"/>
      <c r="E2288" s="66"/>
      <c r="F2288" s="66"/>
      <c r="G2288" s="66"/>
      <c r="H2288" s="66"/>
    </row>
    <row r="2289" spans="1:19" ht="11.1" customHeight="1" x14ac:dyDescent="0.25">
      <c r="N2289" s="50" t="s">
        <v>317</v>
      </c>
      <c r="O2289" s="64">
        <v>23107.3</v>
      </c>
      <c r="Q2289" s="64">
        <v>2772.87</v>
      </c>
      <c r="R2289" s="63">
        <v>0</v>
      </c>
      <c r="S2289" s="64">
        <v>834.24</v>
      </c>
    </row>
    <row r="2290" spans="1:19" ht="11.1" customHeight="1" x14ac:dyDescent="0.25">
      <c r="N2290" s="50" t="s">
        <v>318</v>
      </c>
      <c r="O2290" s="64">
        <v>12250.67</v>
      </c>
      <c r="Q2290" s="64">
        <v>635.20000000000005</v>
      </c>
      <c r="R2290" s="63">
        <v>0</v>
      </c>
      <c r="S2290" s="64">
        <v>0</v>
      </c>
    </row>
    <row r="2291" spans="1:19" ht="11.1" customHeight="1" x14ac:dyDescent="0.25">
      <c r="A2291" s="57">
        <v>113373</v>
      </c>
      <c r="B2291" s="53">
        <v>46135</v>
      </c>
      <c r="C2291" s="58">
        <v>46135</v>
      </c>
      <c r="D2291" s="59" t="s">
        <v>1846</v>
      </c>
      <c r="E2291" s="50" t="s">
        <v>313</v>
      </c>
      <c r="F2291" s="57">
        <v>36</v>
      </c>
      <c r="G2291" s="60">
        <v>373</v>
      </c>
      <c r="H2291" s="61" t="s">
        <v>1847</v>
      </c>
      <c r="I2291" s="50" t="s">
        <v>1848</v>
      </c>
      <c r="J2291" s="50" t="s">
        <v>1849</v>
      </c>
      <c r="K2291" s="62">
        <v>5102</v>
      </c>
      <c r="L2291" s="57">
        <v>205</v>
      </c>
      <c r="M2291" s="50" t="s">
        <v>26</v>
      </c>
      <c r="N2291" s="50" t="s">
        <v>317</v>
      </c>
      <c r="O2291" s="64">
        <v>99.38</v>
      </c>
      <c r="P2291" s="65">
        <v>12</v>
      </c>
      <c r="Q2291" s="64">
        <v>11.93</v>
      </c>
      <c r="R2291" s="63">
        <v>0</v>
      </c>
      <c r="S2291" s="64">
        <v>0</v>
      </c>
    </row>
    <row r="2292" spans="1:19" ht="11.1" customHeight="1" x14ac:dyDescent="0.25">
      <c r="A2292" s="57">
        <v>113374</v>
      </c>
      <c r="B2292" s="53">
        <v>46135</v>
      </c>
      <c r="C2292" s="58">
        <v>46135</v>
      </c>
      <c r="D2292" s="59" t="s">
        <v>1846</v>
      </c>
      <c r="E2292" s="50" t="s">
        <v>313</v>
      </c>
      <c r="F2292" s="57">
        <v>36</v>
      </c>
      <c r="G2292" s="60">
        <v>373</v>
      </c>
      <c r="H2292" s="61" t="s">
        <v>1847</v>
      </c>
      <c r="I2292" s="50" t="s">
        <v>1848</v>
      </c>
      <c r="J2292" s="50" t="s">
        <v>1849</v>
      </c>
      <c r="K2292" s="62">
        <v>5403</v>
      </c>
      <c r="L2292" s="57">
        <v>207</v>
      </c>
      <c r="M2292" s="50" t="s">
        <v>26</v>
      </c>
      <c r="N2292" s="50" t="s">
        <v>317</v>
      </c>
      <c r="O2292" s="64">
        <v>778.96</v>
      </c>
      <c r="P2292" s="65">
        <v>12</v>
      </c>
      <c r="Q2292" s="64">
        <v>93.48</v>
      </c>
      <c r="R2292" s="63">
        <v>0</v>
      </c>
      <c r="S2292" s="64">
        <v>54.53</v>
      </c>
    </row>
    <row r="2293" spans="1:19" ht="11.1" customHeight="1" x14ac:dyDescent="0.25">
      <c r="N2293" s="50" t="s">
        <v>318</v>
      </c>
      <c r="O2293" s="64">
        <v>1051.5999999999999</v>
      </c>
      <c r="P2293" s="65">
        <v>20</v>
      </c>
      <c r="Q2293" s="64">
        <v>54.53</v>
      </c>
      <c r="R2293" s="63">
        <v>0</v>
      </c>
      <c r="S2293" s="64">
        <v>0</v>
      </c>
    </row>
    <row r="2294" spans="1:19" ht="11.85" customHeight="1" x14ac:dyDescent="0.25">
      <c r="A2294" s="66" t="s">
        <v>320</v>
      </c>
      <c r="B2294" s="66"/>
      <c r="C2294" s="66"/>
      <c r="D2294" s="66"/>
      <c r="E2294" s="66"/>
      <c r="F2294" s="66"/>
      <c r="G2294" s="66"/>
      <c r="H2294" s="66"/>
    </row>
    <row r="2295" spans="1:19" ht="11.1" customHeight="1" x14ac:dyDescent="0.25">
      <c r="N2295" s="50" t="s">
        <v>317</v>
      </c>
      <c r="O2295" s="64">
        <v>878.34</v>
      </c>
      <c r="Q2295" s="64">
        <v>105.41</v>
      </c>
      <c r="R2295" s="63">
        <v>0</v>
      </c>
      <c r="S2295" s="64">
        <v>54.53</v>
      </c>
    </row>
    <row r="2296" spans="1:19" ht="11.1" customHeight="1" x14ac:dyDescent="0.25">
      <c r="N2296" s="50" t="s">
        <v>318</v>
      </c>
      <c r="O2296" s="64">
        <v>1051.5999999999999</v>
      </c>
      <c r="Q2296" s="64">
        <v>54.53</v>
      </c>
      <c r="R2296" s="63">
        <v>0</v>
      </c>
      <c r="S2296" s="64">
        <v>0</v>
      </c>
    </row>
    <row r="2297" spans="1:19" ht="11.1" customHeight="1" x14ac:dyDescent="0.25">
      <c r="A2297" s="57">
        <v>113482</v>
      </c>
      <c r="B2297" s="53">
        <v>46139</v>
      </c>
      <c r="C2297" s="58">
        <v>46139</v>
      </c>
      <c r="D2297" s="59" t="s">
        <v>1850</v>
      </c>
      <c r="E2297" s="50" t="s">
        <v>313</v>
      </c>
      <c r="F2297" s="57">
        <v>36</v>
      </c>
      <c r="G2297" s="60">
        <v>41</v>
      </c>
      <c r="H2297" s="61" t="s">
        <v>1851</v>
      </c>
      <c r="I2297" s="50" t="s">
        <v>1852</v>
      </c>
      <c r="J2297" s="50" t="s">
        <v>1853</v>
      </c>
      <c r="K2297" s="62">
        <v>5102</v>
      </c>
      <c r="L2297" s="57">
        <v>205</v>
      </c>
      <c r="M2297" s="50" t="s">
        <v>26</v>
      </c>
      <c r="N2297" s="50" t="s">
        <v>317</v>
      </c>
      <c r="O2297" s="64">
        <v>506.08</v>
      </c>
      <c r="P2297" s="65">
        <v>12</v>
      </c>
      <c r="Q2297" s="64">
        <v>60.73</v>
      </c>
      <c r="R2297" s="63">
        <v>0</v>
      </c>
      <c r="S2297" s="64">
        <v>0</v>
      </c>
    </row>
    <row r="2298" spans="1:19" ht="11.85" customHeight="1" x14ac:dyDescent="0.25">
      <c r="A2298" s="66" t="s">
        <v>320</v>
      </c>
      <c r="B2298" s="66"/>
      <c r="C2298" s="66"/>
      <c r="D2298" s="66"/>
      <c r="E2298" s="66"/>
      <c r="F2298" s="66"/>
      <c r="G2298" s="66"/>
      <c r="H2298" s="66"/>
    </row>
    <row r="2299" spans="1:19" ht="11.1" customHeight="1" x14ac:dyDescent="0.25">
      <c r="N2299" s="50" t="s">
        <v>317</v>
      </c>
      <c r="O2299" s="64">
        <v>506.08</v>
      </c>
      <c r="Q2299" s="64">
        <v>60.73</v>
      </c>
      <c r="R2299" s="63">
        <v>0</v>
      </c>
      <c r="S2299" s="64">
        <v>0</v>
      </c>
    </row>
    <row r="2300" spans="1:19" ht="11.1" customHeight="1" x14ac:dyDescent="0.25">
      <c r="A2300" s="57">
        <v>112880</v>
      </c>
      <c r="B2300" s="53">
        <v>46122</v>
      </c>
      <c r="C2300" s="58">
        <v>46122</v>
      </c>
      <c r="D2300" s="59" t="s">
        <v>1854</v>
      </c>
      <c r="E2300" s="50" t="s">
        <v>313</v>
      </c>
      <c r="F2300" s="57">
        <v>36</v>
      </c>
      <c r="G2300" s="60">
        <v>315</v>
      </c>
      <c r="H2300" s="61" t="s">
        <v>1855</v>
      </c>
      <c r="I2300" s="50" t="s">
        <v>1856</v>
      </c>
      <c r="J2300" s="50" t="s">
        <v>1857</v>
      </c>
      <c r="K2300" s="62">
        <v>5102</v>
      </c>
      <c r="L2300" s="57">
        <v>205</v>
      </c>
      <c r="M2300" s="50" t="s">
        <v>26</v>
      </c>
      <c r="N2300" s="50" t="s">
        <v>317</v>
      </c>
      <c r="O2300" s="64">
        <v>59.7</v>
      </c>
      <c r="P2300" s="65">
        <v>12</v>
      </c>
      <c r="Q2300" s="64">
        <v>7.17</v>
      </c>
      <c r="R2300" s="63">
        <v>0</v>
      </c>
      <c r="S2300" s="64">
        <v>0</v>
      </c>
    </row>
    <row r="2301" spans="1:19" ht="11.1" customHeight="1" x14ac:dyDescent="0.25">
      <c r="A2301" s="57">
        <v>112881</v>
      </c>
      <c r="B2301" s="53">
        <v>46122</v>
      </c>
      <c r="C2301" s="58">
        <v>46122</v>
      </c>
      <c r="D2301" s="59" t="s">
        <v>1854</v>
      </c>
      <c r="E2301" s="50" t="s">
        <v>313</v>
      </c>
      <c r="F2301" s="57">
        <v>36</v>
      </c>
      <c r="G2301" s="60">
        <v>315</v>
      </c>
      <c r="H2301" s="61" t="s">
        <v>1855</v>
      </c>
      <c r="I2301" s="50" t="s">
        <v>1856</v>
      </c>
      <c r="J2301" s="50" t="s">
        <v>1857</v>
      </c>
      <c r="K2301" s="62">
        <v>5403</v>
      </c>
      <c r="L2301" s="57">
        <v>207</v>
      </c>
      <c r="M2301" s="50" t="s">
        <v>26</v>
      </c>
      <c r="N2301" s="50" t="s">
        <v>317</v>
      </c>
      <c r="O2301" s="64">
        <v>1062.44</v>
      </c>
      <c r="P2301" s="65">
        <v>12</v>
      </c>
      <c r="Q2301" s="64">
        <v>127.5</v>
      </c>
      <c r="R2301" s="63">
        <v>0</v>
      </c>
      <c r="S2301" s="64">
        <v>74.36</v>
      </c>
    </row>
    <row r="2302" spans="1:19" ht="11.1" customHeight="1" x14ac:dyDescent="0.25">
      <c r="N2302" s="50" t="s">
        <v>318</v>
      </c>
      <c r="O2302" s="64">
        <v>1434.3</v>
      </c>
      <c r="P2302" s="65">
        <v>20</v>
      </c>
      <c r="Q2302" s="64">
        <v>74.36</v>
      </c>
      <c r="R2302" s="63">
        <v>0</v>
      </c>
      <c r="S2302" s="64">
        <v>0</v>
      </c>
    </row>
    <row r="2303" spans="1:19" ht="11.1" customHeight="1" x14ac:dyDescent="0.25">
      <c r="A2303" s="57">
        <v>113254</v>
      </c>
      <c r="B2303" s="53">
        <v>46134</v>
      </c>
      <c r="C2303" s="58">
        <v>46134</v>
      </c>
      <c r="D2303" s="59" t="s">
        <v>1858</v>
      </c>
      <c r="E2303" s="50" t="s">
        <v>313</v>
      </c>
      <c r="F2303" s="57">
        <v>36</v>
      </c>
      <c r="G2303" s="60">
        <v>315</v>
      </c>
      <c r="H2303" s="61" t="s">
        <v>1855</v>
      </c>
      <c r="I2303" s="50" t="s">
        <v>1856</v>
      </c>
      <c r="J2303" s="50" t="s">
        <v>1857</v>
      </c>
      <c r="K2303" s="62">
        <v>5102</v>
      </c>
      <c r="L2303" s="57">
        <v>205</v>
      </c>
      <c r="M2303" s="50" t="s">
        <v>26</v>
      </c>
      <c r="N2303" s="50" t="s">
        <v>317</v>
      </c>
      <c r="O2303" s="64">
        <v>259.8</v>
      </c>
      <c r="P2303" s="65">
        <v>12</v>
      </c>
      <c r="Q2303" s="64">
        <v>31.18</v>
      </c>
      <c r="R2303" s="63">
        <v>0</v>
      </c>
      <c r="S2303" s="64">
        <v>0</v>
      </c>
    </row>
    <row r="2304" spans="1:19" ht="11.1" customHeight="1" x14ac:dyDescent="0.25">
      <c r="A2304" s="57">
        <v>113255</v>
      </c>
      <c r="B2304" s="53">
        <v>46134</v>
      </c>
      <c r="C2304" s="58">
        <v>46134</v>
      </c>
      <c r="D2304" s="59" t="s">
        <v>1858</v>
      </c>
      <c r="E2304" s="50" t="s">
        <v>313</v>
      </c>
      <c r="F2304" s="57">
        <v>36</v>
      </c>
      <c r="G2304" s="60">
        <v>315</v>
      </c>
      <c r="H2304" s="61" t="s">
        <v>1855</v>
      </c>
      <c r="I2304" s="50" t="s">
        <v>1856</v>
      </c>
      <c r="J2304" s="50" t="s">
        <v>1857</v>
      </c>
      <c r="K2304" s="62">
        <v>5403</v>
      </c>
      <c r="L2304" s="57">
        <v>207</v>
      </c>
      <c r="M2304" s="50" t="s">
        <v>26</v>
      </c>
      <c r="N2304" s="50" t="s">
        <v>317</v>
      </c>
      <c r="O2304" s="64">
        <v>1144.71</v>
      </c>
      <c r="P2304" s="65">
        <v>12</v>
      </c>
      <c r="Q2304" s="64">
        <v>137.37</v>
      </c>
      <c r="R2304" s="63">
        <v>0</v>
      </c>
      <c r="S2304" s="64">
        <v>80.11</v>
      </c>
    </row>
    <row r="2305" spans="1:19" ht="11.1" customHeight="1" x14ac:dyDescent="0.25">
      <c r="N2305" s="50" t="s">
        <v>318</v>
      </c>
      <c r="O2305" s="64">
        <v>1545.36</v>
      </c>
      <c r="P2305" s="65">
        <v>20</v>
      </c>
      <c r="Q2305" s="64">
        <v>80.11</v>
      </c>
      <c r="R2305" s="63">
        <v>0</v>
      </c>
      <c r="S2305" s="64">
        <v>0</v>
      </c>
    </row>
    <row r="2306" spans="1:19" ht="11.1" customHeight="1" x14ac:dyDescent="0.25">
      <c r="A2306" s="57">
        <v>113565</v>
      </c>
      <c r="B2306" s="53">
        <v>46141</v>
      </c>
      <c r="C2306" s="58">
        <v>46141</v>
      </c>
      <c r="D2306" s="59" t="s">
        <v>1859</v>
      </c>
      <c r="E2306" s="50" t="s">
        <v>313</v>
      </c>
      <c r="F2306" s="57">
        <v>36</v>
      </c>
      <c r="G2306" s="60">
        <v>315</v>
      </c>
      <c r="H2306" s="61" t="s">
        <v>1855</v>
      </c>
      <c r="I2306" s="50" t="s">
        <v>1856</v>
      </c>
      <c r="J2306" s="50" t="s">
        <v>1857</v>
      </c>
      <c r="K2306" s="62">
        <v>5102</v>
      </c>
      <c r="L2306" s="57">
        <v>205</v>
      </c>
      <c r="M2306" s="50" t="s">
        <v>26</v>
      </c>
      <c r="N2306" s="50" t="s">
        <v>317</v>
      </c>
      <c r="O2306" s="64">
        <v>88.6</v>
      </c>
      <c r="P2306" s="65">
        <v>12</v>
      </c>
      <c r="Q2306" s="64">
        <v>10.63</v>
      </c>
      <c r="R2306" s="63">
        <v>0</v>
      </c>
      <c r="S2306" s="64">
        <v>0</v>
      </c>
    </row>
    <row r="2307" spans="1:19" ht="11.1" customHeight="1" x14ac:dyDescent="0.25">
      <c r="A2307" s="57">
        <v>113566</v>
      </c>
      <c r="B2307" s="53">
        <v>46141</v>
      </c>
      <c r="C2307" s="58">
        <v>46141</v>
      </c>
      <c r="D2307" s="59" t="s">
        <v>1859</v>
      </c>
      <c r="E2307" s="50" t="s">
        <v>313</v>
      </c>
      <c r="F2307" s="57">
        <v>36</v>
      </c>
      <c r="G2307" s="60">
        <v>315</v>
      </c>
      <c r="H2307" s="61" t="s">
        <v>1855</v>
      </c>
      <c r="I2307" s="50" t="s">
        <v>1856</v>
      </c>
      <c r="J2307" s="50" t="s">
        <v>1857</v>
      </c>
      <c r="K2307" s="62">
        <v>5403</v>
      </c>
      <c r="L2307" s="57">
        <v>207</v>
      </c>
      <c r="M2307" s="50" t="s">
        <v>26</v>
      </c>
      <c r="N2307" s="50" t="s">
        <v>317</v>
      </c>
      <c r="O2307" s="64">
        <v>1030.32</v>
      </c>
      <c r="P2307" s="65">
        <v>12</v>
      </c>
      <c r="Q2307" s="64">
        <v>123.64</v>
      </c>
      <c r="R2307" s="63">
        <v>0</v>
      </c>
      <c r="S2307" s="64">
        <v>72.12</v>
      </c>
    </row>
    <row r="2308" spans="1:19" ht="11.1" customHeight="1" x14ac:dyDescent="0.25">
      <c r="N2308" s="50" t="s">
        <v>318</v>
      </c>
      <c r="O2308" s="64">
        <v>1390.94</v>
      </c>
      <c r="P2308" s="65">
        <v>20</v>
      </c>
      <c r="Q2308" s="64">
        <v>72.12</v>
      </c>
      <c r="R2308" s="63">
        <v>0</v>
      </c>
      <c r="S2308" s="64">
        <v>0</v>
      </c>
    </row>
    <row r="2309" spans="1:19" ht="11.85" customHeight="1" x14ac:dyDescent="0.25">
      <c r="A2309" s="66" t="s">
        <v>320</v>
      </c>
      <c r="B2309" s="66"/>
      <c r="C2309" s="66"/>
      <c r="D2309" s="66"/>
      <c r="E2309" s="66"/>
      <c r="F2309" s="66"/>
      <c r="G2309" s="66"/>
      <c r="H2309" s="66"/>
    </row>
    <row r="2310" spans="1:19" ht="11.1" customHeight="1" x14ac:dyDescent="0.25">
      <c r="N2310" s="50" t="s">
        <v>317</v>
      </c>
      <c r="O2310" s="64">
        <v>3645.57</v>
      </c>
      <c r="Q2310" s="64">
        <v>437.49</v>
      </c>
      <c r="R2310" s="63">
        <v>0</v>
      </c>
      <c r="S2310" s="64">
        <v>226.59</v>
      </c>
    </row>
    <row r="2311" spans="1:19" ht="11.1" customHeight="1" x14ac:dyDescent="0.25">
      <c r="N2311" s="50" t="s">
        <v>318</v>
      </c>
      <c r="O2311" s="64">
        <v>4370.6000000000004</v>
      </c>
      <c r="Q2311" s="64">
        <v>226.59</v>
      </c>
      <c r="R2311" s="63">
        <v>0</v>
      </c>
      <c r="S2311" s="64">
        <v>0</v>
      </c>
    </row>
    <row r="2312" spans="1:19" ht="11.1" customHeight="1" x14ac:dyDescent="0.25">
      <c r="A2312" s="57">
        <v>112627</v>
      </c>
      <c r="B2312" s="53">
        <v>46118</v>
      </c>
      <c r="C2312" s="58">
        <v>46118</v>
      </c>
      <c r="D2312" s="59" t="s">
        <v>1860</v>
      </c>
      <c r="E2312" s="50" t="s">
        <v>313</v>
      </c>
      <c r="F2312" s="57">
        <v>36</v>
      </c>
      <c r="G2312" s="60">
        <v>818</v>
      </c>
      <c r="H2312" s="61" t="s">
        <v>1861</v>
      </c>
      <c r="I2312" s="50" t="s">
        <v>1862</v>
      </c>
      <c r="J2312" s="50" t="s">
        <v>1863</v>
      </c>
      <c r="K2312" s="62">
        <v>5403</v>
      </c>
      <c r="L2312" s="57">
        <v>207</v>
      </c>
      <c r="M2312" s="50" t="s">
        <v>26</v>
      </c>
      <c r="N2312" s="50" t="s">
        <v>317</v>
      </c>
      <c r="O2312" s="64">
        <v>646.48</v>
      </c>
      <c r="P2312" s="65">
        <v>12</v>
      </c>
      <c r="Q2312" s="64">
        <v>77.59</v>
      </c>
      <c r="R2312" s="63">
        <v>0</v>
      </c>
      <c r="S2312" s="64">
        <v>45.25</v>
      </c>
    </row>
    <row r="2313" spans="1:19" ht="11.1" customHeight="1" x14ac:dyDescent="0.25">
      <c r="N2313" s="50" t="s">
        <v>318</v>
      </c>
      <c r="O2313" s="64">
        <v>872.75</v>
      </c>
      <c r="P2313" s="65">
        <v>20</v>
      </c>
      <c r="Q2313" s="64">
        <v>45.25</v>
      </c>
      <c r="R2313" s="63">
        <v>0</v>
      </c>
      <c r="S2313" s="64">
        <v>0</v>
      </c>
    </row>
    <row r="2314" spans="1:19" ht="11.1" customHeight="1" x14ac:dyDescent="0.25">
      <c r="A2314" s="57">
        <v>113379</v>
      </c>
      <c r="B2314" s="53">
        <v>46135</v>
      </c>
      <c r="C2314" s="58">
        <v>46135</v>
      </c>
      <c r="D2314" s="59" t="s">
        <v>1864</v>
      </c>
      <c r="E2314" s="50" t="s">
        <v>313</v>
      </c>
      <c r="F2314" s="57">
        <v>36</v>
      </c>
      <c r="G2314" s="60">
        <v>818</v>
      </c>
      <c r="H2314" s="61" t="s">
        <v>1861</v>
      </c>
      <c r="I2314" s="50" t="s">
        <v>1862</v>
      </c>
      <c r="J2314" s="50" t="s">
        <v>1863</v>
      </c>
      <c r="K2314" s="62">
        <v>5403</v>
      </c>
      <c r="L2314" s="57">
        <v>207</v>
      </c>
      <c r="M2314" s="50" t="s">
        <v>26</v>
      </c>
      <c r="N2314" s="50" t="s">
        <v>317</v>
      </c>
      <c r="O2314" s="64">
        <v>565.34</v>
      </c>
      <c r="P2314" s="65">
        <v>12</v>
      </c>
      <c r="Q2314" s="64">
        <v>67.84</v>
      </c>
      <c r="R2314" s="63">
        <v>0</v>
      </c>
      <c r="S2314" s="64">
        <v>39.590000000000003</v>
      </c>
    </row>
    <row r="2315" spans="1:19" ht="11.1" customHeight="1" x14ac:dyDescent="0.25">
      <c r="N2315" s="50" t="s">
        <v>318</v>
      </c>
      <c r="O2315" s="64">
        <v>763.21</v>
      </c>
      <c r="P2315" s="65">
        <v>20</v>
      </c>
      <c r="Q2315" s="64">
        <v>39.590000000000003</v>
      </c>
      <c r="R2315" s="63">
        <v>0</v>
      </c>
      <c r="S2315" s="64">
        <v>0</v>
      </c>
    </row>
    <row r="2316" spans="1:19" ht="11.85" customHeight="1" x14ac:dyDescent="0.25">
      <c r="A2316" s="66" t="s">
        <v>320</v>
      </c>
      <c r="B2316" s="66"/>
      <c r="C2316" s="66"/>
      <c r="D2316" s="66"/>
      <c r="E2316" s="66"/>
      <c r="F2316" s="66"/>
      <c r="G2316" s="66"/>
      <c r="H2316" s="66"/>
    </row>
    <row r="2317" spans="1:19" ht="11.1" customHeight="1" x14ac:dyDescent="0.25">
      <c r="N2317" s="50" t="s">
        <v>317</v>
      </c>
      <c r="O2317" s="64">
        <v>1211.82</v>
      </c>
      <c r="Q2317" s="64">
        <v>145.43</v>
      </c>
      <c r="R2317" s="63">
        <v>0</v>
      </c>
      <c r="S2317" s="64">
        <v>84.84</v>
      </c>
    </row>
    <row r="2318" spans="1:19" ht="11.1" customHeight="1" x14ac:dyDescent="0.25">
      <c r="N2318" s="50" t="s">
        <v>318</v>
      </c>
      <c r="O2318" s="64">
        <v>1635.96</v>
      </c>
      <c r="Q2318" s="64">
        <v>84.84</v>
      </c>
      <c r="R2318" s="63">
        <v>0</v>
      </c>
      <c r="S2318" s="64">
        <v>0</v>
      </c>
    </row>
    <row r="2319" spans="1:19" ht="11.1" customHeight="1" x14ac:dyDescent="0.25">
      <c r="A2319" s="57">
        <v>112803</v>
      </c>
      <c r="B2319" s="53">
        <v>46121</v>
      </c>
      <c r="C2319" s="58">
        <v>46121</v>
      </c>
      <c r="D2319" s="59" t="s">
        <v>1865</v>
      </c>
      <c r="E2319" s="50" t="s">
        <v>313</v>
      </c>
      <c r="F2319" s="57">
        <v>36</v>
      </c>
      <c r="G2319" s="60">
        <v>635</v>
      </c>
      <c r="H2319" s="61" t="s">
        <v>1866</v>
      </c>
      <c r="I2319" s="50" t="s">
        <v>1867</v>
      </c>
      <c r="J2319" s="50" t="s">
        <v>1868</v>
      </c>
      <c r="K2319" s="62">
        <v>5102</v>
      </c>
      <c r="L2319" s="57">
        <v>205</v>
      </c>
      <c r="M2319" s="50" t="s">
        <v>26</v>
      </c>
      <c r="N2319" s="50" t="s">
        <v>317</v>
      </c>
      <c r="O2319" s="64">
        <v>5656.3</v>
      </c>
      <c r="P2319" s="65">
        <v>12</v>
      </c>
      <c r="Q2319" s="64">
        <v>678.76</v>
      </c>
      <c r="R2319" s="63">
        <v>0</v>
      </c>
      <c r="S2319" s="64">
        <v>0</v>
      </c>
    </row>
    <row r="2320" spans="1:19" ht="11.85" customHeight="1" x14ac:dyDescent="0.25">
      <c r="A2320" s="66" t="s">
        <v>320</v>
      </c>
      <c r="B2320" s="66"/>
      <c r="C2320" s="66"/>
      <c r="D2320" s="66"/>
      <c r="E2320" s="66"/>
      <c r="F2320" s="66"/>
      <c r="G2320" s="66"/>
      <c r="H2320" s="66"/>
    </row>
    <row r="2321" spans="1:19" ht="11.1" customHeight="1" x14ac:dyDescent="0.25">
      <c r="N2321" s="50" t="s">
        <v>317</v>
      </c>
      <c r="O2321" s="64">
        <v>5656.3</v>
      </c>
      <c r="Q2321" s="64">
        <v>678.76</v>
      </c>
      <c r="R2321" s="63">
        <v>0</v>
      </c>
      <c r="S2321" s="64">
        <v>0</v>
      </c>
    </row>
    <row r="2322" spans="1:19" ht="11.1" customHeight="1" x14ac:dyDescent="0.25">
      <c r="A2322" s="57">
        <v>112850</v>
      </c>
      <c r="B2322" s="53">
        <v>46121</v>
      </c>
      <c r="C2322" s="58">
        <v>46121</v>
      </c>
      <c r="D2322" s="59" t="s">
        <v>1869</v>
      </c>
      <c r="E2322" s="50" t="s">
        <v>313</v>
      </c>
      <c r="F2322" s="57">
        <v>36</v>
      </c>
      <c r="G2322" s="60">
        <v>522</v>
      </c>
      <c r="H2322" s="61" t="s">
        <v>1870</v>
      </c>
      <c r="I2322" s="50" t="s">
        <v>1871</v>
      </c>
      <c r="J2322" s="50" t="s">
        <v>1872</v>
      </c>
      <c r="K2322" s="62">
        <v>5403</v>
      </c>
      <c r="L2322" s="57">
        <v>207</v>
      </c>
      <c r="M2322" s="50" t="s">
        <v>26</v>
      </c>
      <c r="N2322" s="50" t="s">
        <v>317</v>
      </c>
      <c r="O2322" s="64">
        <v>747.3</v>
      </c>
      <c r="P2322" s="65">
        <v>12</v>
      </c>
      <c r="Q2322" s="64">
        <v>89.68</v>
      </c>
      <c r="R2322" s="63">
        <v>0</v>
      </c>
      <c r="S2322" s="64">
        <v>0</v>
      </c>
    </row>
    <row r="2323" spans="1:19" ht="11.1" customHeight="1" x14ac:dyDescent="0.25">
      <c r="A2323" s="57">
        <v>112890</v>
      </c>
      <c r="B2323" s="53">
        <v>46122</v>
      </c>
      <c r="C2323" s="58">
        <v>46122</v>
      </c>
      <c r="D2323" s="59" t="s">
        <v>1873</v>
      </c>
      <c r="E2323" s="50" t="s">
        <v>313</v>
      </c>
      <c r="F2323" s="57">
        <v>36</v>
      </c>
      <c r="G2323" s="60">
        <v>522</v>
      </c>
      <c r="H2323" s="61" t="s">
        <v>1870</v>
      </c>
      <c r="I2323" s="50" t="s">
        <v>1871</v>
      </c>
      <c r="J2323" s="50" t="s">
        <v>1872</v>
      </c>
      <c r="K2323" s="62">
        <v>5403</v>
      </c>
      <c r="L2323" s="57">
        <v>207</v>
      </c>
      <c r="M2323" s="50" t="s">
        <v>26</v>
      </c>
      <c r="N2323" s="50" t="s">
        <v>317</v>
      </c>
      <c r="O2323" s="64">
        <v>609.54</v>
      </c>
      <c r="P2323" s="65">
        <v>12</v>
      </c>
      <c r="Q2323" s="64">
        <v>73.14</v>
      </c>
      <c r="R2323" s="63">
        <v>0</v>
      </c>
      <c r="S2323" s="64">
        <v>0</v>
      </c>
    </row>
    <row r="2324" spans="1:19" ht="11.85" customHeight="1" x14ac:dyDescent="0.25">
      <c r="A2324" s="66" t="s">
        <v>320</v>
      </c>
      <c r="B2324" s="66"/>
      <c r="C2324" s="66"/>
      <c r="D2324" s="66"/>
      <c r="E2324" s="66"/>
      <c r="F2324" s="66"/>
      <c r="G2324" s="66"/>
      <c r="H2324" s="66"/>
    </row>
    <row r="2325" spans="1:19" ht="11.1" customHeight="1" x14ac:dyDescent="0.25">
      <c r="N2325" s="50" t="s">
        <v>317</v>
      </c>
      <c r="O2325" s="64">
        <v>1356.84</v>
      </c>
      <c r="Q2325" s="64">
        <v>162.82</v>
      </c>
      <c r="R2325" s="63">
        <v>0</v>
      </c>
      <c r="S2325" s="64">
        <v>0</v>
      </c>
    </row>
    <row r="2326" spans="1:19" ht="11.1" customHeight="1" x14ac:dyDescent="0.25">
      <c r="A2326" s="57">
        <v>113580</v>
      </c>
      <c r="B2326" s="53">
        <v>46141</v>
      </c>
      <c r="C2326" s="58">
        <v>46141</v>
      </c>
      <c r="D2326" s="59" t="s">
        <v>1874</v>
      </c>
      <c r="E2326" s="50" t="s">
        <v>313</v>
      </c>
      <c r="F2326" s="57">
        <v>36</v>
      </c>
      <c r="G2326" s="60">
        <v>838</v>
      </c>
      <c r="H2326" s="61" t="s">
        <v>1875</v>
      </c>
      <c r="I2326" s="50" t="s">
        <v>1876</v>
      </c>
      <c r="J2326" s="50" t="s">
        <v>1877</v>
      </c>
      <c r="K2326" s="62">
        <v>5102</v>
      </c>
      <c r="L2326" s="57">
        <v>205</v>
      </c>
      <c r="M2326" s="50" t="s">
        <v>26</v>
      </c>
      <c r="N2326" s="50" t="s">
        <v>317</v>
      </c>
      <c r="O2326" s="64">
        <v>19.41</v>
      </c>
      <c r="P2326" s="65">
        <v>12</v>
      </c>
      <c r="Q2326" s="64">
        <v>2.33</v>
      </c>
      <c r="R2326" s="63">
        <v>0</v>
      </c>
      <c r="S2326" s="64">
        <v>0</v>
      </c>
    </row>
    <row r="2327" spans="1:19" ht="11.85" customHeight="1" x14ac:dyDescent="0.25">
      <c r="A2327" s="66" t="s">
        <v>320</v>
      </c>
      <c r="B2327" s="66"/>
      <c r="C2327" s="66"/>
      <c r="D2327" s="66"/>
      <c r="E2327" s="66"/>
      <c r="F2327" s="66"/>
      <c r="G2327" s="66"/>
      <c r="H2327" s="66"/>
    </row>
    <row r="2328" spans="1:19" ht="11.1" customHeight="1" x14ac:dyDescent="0.25">
      <c r="N2328" s="50" t="s">
        <v>317</v>
      </c>
      <c r="O2328" s="64">
        <v>19.41</v>
      </c>
      <c r="Q2328" s="64">
        <v>2.33</v>
      </c>
      <c r="R2328" s="63">
        <v>0</v>
      </c>
      <c r="S2328" s="64">
        <v>0</v>
      </c>
    </row>
    <row r="2329" spans="1:19" ht="11.1" customHeight="1" x14ac:dyDescent="0.25">
      <c r="A2329" s="57">
        <v>112716</v>
      </c>
      <c r="B2329" s="53">
        <v>46119</v>
      </c>
      <c r="C2329" s="58">
        <v>46119</v>
      </c>
      <c r="D2329" s="59" t="s">
        <v>1878</v>
      </c>
      <c r="E2329" s="50" t="s">
        <v>313</v>
      </c>
      <c r="F2329" s="57">
        <v>36</v>
      </c>
      <c r="G2329" s="60">
        <v>185</v>
      </c>
      <c r="H2329" s="61" t="s">
        <v>1879</v>
      </c>
      <c r="I2329" s="50" t="s">
        <v>1880</v>
      </c>
      <c r="J2329" s="50" t="s">
        <v>1881</v>
      </c>
      <c r="K2329" s="62">
        <v>6403</v>
      </c>
      <c r="L2329" s="57">
        <v>207</v>
      </c>
      <c r="M2329" s="50" t="s">
        <v>34</v>
      </c>
      <c r="N2329" s="50" t="s">
        <v>317</v>
      </c>
      <c r="O2329" s="64">
        <v>155.74</v>
      </c>
      <c r="P2329" s="65">
        <v>12</v>
      </c>
      <c r="Q2329" s="64">
        <v>18.690000000000001</v>
      </c>
      <c r="R2329" s="63">
        <v>0</v>
      </c>
      <c r="S2329" s="64">
        <v>23.67</v>
      </c>
    </row>
    <row r="2330" spans="1:19" ht="11.1" customHeight="1" x14ac:dyDescent="0.25">
      <c r="N2330" s="50" t="s">
        <v>318</v>
      </c>
      <c r="O2330" s="64">
        <v>222.93</v>
      </c>
      <c r="P2330" s="65">
        <v>19</v>
      </c>
      <c r="Q2330" s="64">
        <v>23.67</v>
      </c>
      <c r="R2330" s="63">
        <v>0</v>
      </c>
      <c r="S2330" s="64">
        <v>0</v>
      </c>
    </row>
    <row r="2331" spans="1:19" ht="11.1" customHeight="1" x14ac:dyDescent="0.25">
      <c r="A2331" s="57">
        <v>112717</v>
      </c>
      <c r="B2331" s="53">
        <v>46119</v>
      </c>
      <c r="C2331" s="58">
        <v>46119</v>
      </c>
      <c r="D2331" s="59" t="s">
        <v>1878</v>
      </c>
      <c r="E2331" s="50" t="s">
        <v>313</v>
      </c>
      <c r="F2331" s="57">
        <v>36</v>
      </c>
      <c r="G2331" s="60">
        <v>185</v>
      </c>
      <c r="H2331" s="61" t="s">
        <v>1879</v>
      </c>
      <c r="I2331" s="50" t="s">
        <v>1880</v>
      </c>
      <c r="J2331" s="50" t="s">
        <v>1881</v>
      </c>
      <c r="K2331" s="62">
        <v>6102</v>
      </c>
      <c r="L2331" s="57">
        <v>238</v>
      </c>
      <c r="M2331" s="50" t="s">
        <v>34</v>
      </c>
      <c r="N2331" s="50" t="s">
        <v>317</v>
      </c>
      <c r="O2331" s="64">
        <v>793.4</v>
      </c>
      <c r="P2331" s="65">
        <v>12</v>
      </c>
      <c r="Q2331" s="64">
        <v>95.21</v>
      </c>
      <c r="R2331" s="63">
        <v>0</v>
      </c>
      <c r="S2331" s="64">
        <v>0</v>
      </c>
    </row>
    <row r="2332" spans="1:19" ht="11.85" customHeight="1" x14ac:dyDescent="0.25">
      <c r="A2332" s="66" t="s">
        <v>320</v>
      </c>
      <c r="B2332" s="66"/>
      <c r="C2332" s="66"/>
      <c r="D2332" s="66"/>
      <c r="E2332" s="66"/>
      <c r="F2332" s="66"/>
      <c r="G2332" s="66"/>
      <c r="H2332" s="66"/>
    </row>
    <row r="2333" spans="1:19" ht="11.1" customHeight="1" x14ac:dyDescent="0.25">
      <c r="N2333" s="50" t="s">
        <v>317</v>
      </c>
      <c r="O2333" s="64">
        <v>949.14</v>
      </c>
      <c r="Q2333" s="64">
        <v>113.9</v>
      </c>
      <c r="R2333" s="63">
        <v>0</v>
      </c>
      <c r="S2333" s="64">
        <v>23.67</v>
      </c>
    </row>
    <row r="2334" spans="1:19" ht="11.1" customHeight="1" x14ac:dyDescent="0.25">
      <c r="N2334" s="50" t="s">
        <v>318</v>
      </c>
      <c r="O2334" s="64">
        <v>222.93</v>
      </c>
      <c r="Q2334" s="64">
        <v>23.67</v>
      </c>
      <c r="R2334" s="63">
        <v>0</v>
      </c>
      <c r="S2334" s="64">
        <v>0</v>
      </c>
    </row>
    <row r="2335" spans="1:19" ht="11.1" customHeight="1" x14ac:dyDescent="0.25">
      <c r="A2335" s="57">
        <v>113654</v>
      </c>
      <c r="B2335" s="53">
        <v>46142</v>
      </c>
      <c r="C2335" s="58">
        <v>46142</v>
      </c>
      <c r="D2335" s="59" t="s">
        <v>1882</v>
      </c>
      <c r="E2335" s="50" t="s">
        <v>313</v>
      </c>
      <c r="F2335" s="57">
        <v>36</v>
      </c>
      <c r="G2335" s="60">
        <v>832</v>
      </c>
      <c r="H2335" s="61" t="s">
        <v>1883</v>
      </c>
      <c r="I2335" s="50" t="s">
        <v>1884</v>
      </c>
      <c r="J2335" s="50" t="s">
        <v>1885</v>
      </c>
      <c r="K2335" s="62">
        <v>6403</v>
      </c>
      <c r="L2335" s="57">
        <v>207</v>
      </c>
      <c r="M2335" s="50" t="s">
        <v>34</v>
      </c>
      <c r="N2335" s="50" t="s">
        <v>317</v>
      </c>
      <c r="O2335" s="64">
        <v>1596.9</v>
      </c>
      <c r="P2335" s="65">
        <v>12</v>
      </c>
      <c r="Q2335" s="64">
        <v>191.63</v>
      </c>
      <c r="R2335" s="63">
        <v>0</v>
      </c>
      <c r="S2335" s="64">
        <v>0</v>
      </c>
    </row>
    <row r="2336" spans="1:19" ht="11.1" customHeight="1" x14ac:dyDescent="0.25">
      <c r="A2336" s="57">
        <v>113655</v>
      </c>
      <c r="B2336" s="53">
        <v>46142</v>
      </c>
      <c r="C2336" s="58">
        <v>46142</v>
      </c>
      <c r="D2336" s="59" t="s">
        <v>1882</v>
      </c>
      <c r="E2336" s="50" t="s">
        <v>313</v>
      </c>
      <c r="F2336" s="57">
        <v>36</v>
      </c>
      <c r="G2336" s="60">
        <v>832</v>
      </c>
      <c r="H2336" s="61" t="s">
        <v>1883</v>
      </c>
      <c r="I2336" s="50" t="s">
        <v>1884</v>
      </c>
      <c r="J2336" s="50" t="s">
        <v>1885</v>
      </c>
      <c r="K2336" s="62">
        <v>6102</v>
      </c>
      <c r="L2336" s="57">
        <v>238</v>
      </c>
      <c r="M2336" s="50" t="s">
        <v>34</v>
      </c>
      <c r="N2336" s="50" t="s">
        <v>317</v>
      </c>
      <c r="O2336" s="64">
        <v>124.62</v>
      </c>
      <c r="P2336" s="65">
        <v>12</v>
      </c>
      <c r="Q2336" s="64">
        <v>14.95</v>
      </c>
      <c r="R2336" s="63">
        <v>0</v>
      </c>
      <c r="S2336" s="64">
        <v>0</v>
      </c>
    </row>
    <row r="2337" spans="1:19" ht="11.85" customHeight="1" x14ac:dyDescent="0.25">
      <c r="A2337" s="66" t="s">
        <v>320</v>
      </c>
      <c r="B2337" s="66"/>
      <c r="C2337" s="66"/>
      <c r="D2337" s="66"/>
      <c r="E2337" s="66"/>
      <c r="F2337" s="66"/>
      <c r="G2337" s="66"/>
      <c r="H2337" s="66"/>
    </row>
    <row r="2338" spans="1:19" ht="11.1" customHeight="1" x14ac:dyDescent="0.25">
      <c r="N2338" s="50" t="s">
        <v>317</v>
      </c>
      <c r="O2338" s="64">
        <v>1721.52</v>
      </c>
      <c r="Q2338" s="64">
        <v>206.58</v>
      </c>
      <c r="R2338" s="63">
        <v>0</v>
      </c>
      <c r="S2338" s="64">
        <v>0</v>
      </c>
    </row>
    <row r="2339" spans="1:19" ht="11.1" customHeight="1" x14ac:dyDescent="0.25">
      <c r="A2339" s="57">
        <v>112581</v>
      </c>
      <c r="B2339" s="53">
        <v>46118</v>
      </c>
      <c r="C2339" s="58">
        <v>46118</v>
      </c>
      <c r="D2339" s="59" t="s">
        <v>1886</v>
      </c>
      <c r="E2339" s="50" t="s">
        <v>313</v>
      </c>
      <c r="F2339" s="57">
        <v>36</v>
      </c>
      <c r="G2339" s="60">
        <v>779</v>
      </c>
      <c r="H2339" s="61" t="s">
        <v>1887</v>
      </c>
      <c r="I2339" s="50" t="s">
        <v>1888</v>
      </c>
      <c r="J2339" s="50" t="s">
        <v>1889</v>
      </c>
      <c r="K2339" s="62">
        <v>5403</v>
      </c>
      <c r="L2339" s="57">
        <v>207</v>
      </c>
      <c r="M2339" s="50" t="s">
        <v>26</v>
      </c>
      <c r="N2339" s="50" t="s">
        <v>317</v>
      </c>
      <c r="O2339" s="64">
        <v>503.2</v>
      </c>
      <c r="P2339" s="65">
        <v>12</v>
      </c>
      <c r="Q2339" s="64">
        <v>60.38</v>
      </c>
      <c r="R2339" s="63">
        <v>0</v>
      </c>
      <c r="S2339" s="64">
        <v>0</v>
      </c>
    </row>
    <row r="2340" spans="1:19" ht="11.85" customHeight="1" x14ac:dyDescent="0.25">
      <c r="A2340" s="66" t="s">
        <v>320</v>
      </c>
      <c r="B2340" s="66"/>
      <c r="C2340" s="66"/>
      <c r="D2340" s="66"/>
      <c r="E2340" s="66"/>
      <c r="F2340" s="66"/>
      <c r="G2340" s="66"/>
      <c r="H2340" s="66"/>
    </row>
    <row r="2341" spans="1:19" ht="11.1" customHeight="1" x14ac:dyDescent="0.25">
      <c r="N2341" s="50" t="s">
        <v>317</v>
      </c>
      <c r="O2341" s="64">
        <v>503.2</v>
      </c>
      <c r="Q2341" s="64">
        <v>60.38</v>
      </c>
      <c r="R2341" s="63">
        <v>0</v>
      </c>
      <c r="S2341" s="64">
        <v>0</v>
      </c>
    </row>
    <row r="2342" spans="1:19" ht="11.1" customHeight="1" x14ac:dyDescent="0.25">
      <c r="A2342" s="57">
        <v>112592</v>
      </c>
      <c r="B2342" s="53">
        <v>46118</v>
      </c>
      <c r="C2342" s="58">
        <v>46118</v>
      </c>
      <c r="D2342" s="59" t="s">
        <v>1890</v>
      </c>
      <c r="E2342" s="50" t="s">
        <v>313</v>
      </c>
      <c r="F2342" s="57">
        <v>36</v>
      </c>
      <c r="G2342" s="60">
        <v>601</v>
      </c>
      <c r="H2342" s="61" t="s">
        <v>1891</v>
      </c>
      <c r="I2342" s="50" t="s">
        <v>1892</v>
      </c>
      <c r="J2342" s="50" t="s">
        <v>1893</v>
      </c>
      <c r="K2342" s="62">
        <v>5102</v>
      </c>
      <c r="L2342" s="57">
        <v>205</v>
      </c>
      <c r="M2342" s="50" t="s">
        <v>26</v>
      </c>
      <c r="N2342" s="50" t="s">
        <v>317</v>
      </c>
      <c r="O2342" s="64">
        <v>3224.28</v>
      </c>
      <c r="P2342" s="65">
        <v>12</v>
      </c>
      <c r="Q2342" s="64">
        <v>386.91</v>
      </c>
      <c r="R2342" s="63">
        <v>0</v>
      </c>
      <c r="S2342" s="64">
        <v>0</v>
      </c>
    </row>
    <row r="2343" spans="1:19" ht="11.1" customHeight="1" x14ac:dyDescent="0.25">
      <c r="A2343" s="57">
        <v>112593</v>
      </c>
      <c r="B2343" s="53">
        <v>46118</v>
      </c>
      <c r="C2343" s="58">
        <v>46118</v>
      </c>
      <c r="D2343" s="59" t="s">
        <v>1890</v>
      </c>
      <c r="E2343" s="50" t="s">
        <v>313</v>
      </c>
      <c r="F2343" s="57">
        <v>36</v>
      </c>
      <c r="G2343" s="60">
        <v>601</v>
      </c>
      <c r="H2343" s="61" t="s">
        <v>1891</v>
      </c>
      <c r="I2343" s="50" t="s">
        <v>1892</v>
      </c>
      <c r="J2343" s="50" t="s">
        <v>1893</v>
      </c>
      <c r="K2343" s="62">
        <v>5403</v>
      </c>
      <c r="L2343" s="57">
        <v>207</v>
      </c>
      <c r="M2343" s="50" t="s">
        <v>26</v>
      </c>
      <c r="N2343" s="50" t="s">
        <v>317</v>
      </c>
      <c r="O2343" s="64">
        <v>3028.64</v>
      </c>
      <c r="P2343" s="65">
        <v>12</v>
      </c>
      <c r="Q2343" s="64">
        <v>363.44</v>
      </c>
      <c r="R2343" s="63">
        <v>0</v>
      </c>
      <c r="S2343" s="64">
        <v>212</v>
      </c>
    </row>
    <row r="2344" spans="1:19" ht="11.1" customHeight="1" x14ac:dyDescent="0.25">
      <c r="N2344" s="50" t="s">
        <v>318</v>
      </c>
      <c r="O2344" s="64">
        <v>4088.67</v>
      </c>
      <c r="P2344" s="65">
        <v>20</v>
      </c>
      <c r="Q2344" s="64">
        <v>212</v>
      </c>
      <c r="R2344" s="63">
        <v>0</v>
      </c>
      <c r="S2344" s="64">
        <v>0</v>
      </c>
    </row>
    <row r="2345" spans="1:19" ht="11.1" customHeight="1" x14ac:dyDescent="0.25">
      <c r="A2345" s="57">
        <v>112787</v>
      </c>
      <c r="B2345" s="53">
        <v>46120</v>
      </c>
      <c r="C2345" s="58">
        <v>46120</v>
      </c>
      <c r="D2345" s="59" t="s">
        <v>1894</v>
      </c>
      <c r="E2345" s="50" t="s">
        <v>313</v>
      </c>
      <c r="F2345" s="57">
        <v>36</v>
      </c>
      <c r="G2345" s="60">
        <v>601</v>
      </c>
      <c r="H2345" s="61" t="s">
        <v>1891</v>
      </c>
      <c r="I2345" s="50" t="s">
        <v>1892</v>
      </c>
      <c r="J2345" s="50" t="s">
        <v>1893</v>
      </c>
      <c r="K2345" s="62">
        <v>5102</v>
      </c>
      <c r="L2345" s="57">
        <v>205</v>
      </c>
      <c r="M2345" s="50" t="s">
        <v>26</v>
      </c>
      <c r="N2345" s="50" t="s">
        <v>317</v>
      </c>
      <c r="O2345" s="64">
        <v>1555.18</v>
      </c>
      <c r="P2345" s="65">
        <v>12</v>
      </c>
      <c r="Q2345" s="64">
        <v>186.62</v>
      </c>
      <c r="R2345" s="63">
        <v>0</v>
      </c>
      <c r="S2345" s="64">
        <v>0</v>
      </c>
    </row>
    <row r="2346" spans="1:19" ht="11.1" customHeight="1" x14ac:dyDescent="0.25">
      <c r="A2346" s="57">
        <v>112788</v>
      </c>
      <c r="B2346" s="53">
        <v>46120</v>
      </c>
      <c r="C2346" s="58">
        <v>46120</v>
      </c>
      <c r="D2346" s="59" t="s">
        <v>1894</v>
      </c>
      <c r="E2346" s="50" t="s">
        <v>313</v>
      </c>
      <c r="F2346" s="57">
        <v>36</v>
      </c>
      <c r="G2346" s="60">
        <v>601</v>
      </c>
      <c r="H2346" s="61" t="s">
        <v>1891</v>
      </c>
      <c r="I2346" s="50" t="s">
        <v>1892</v>
      </c>
      <c r="J2346" s="50" t="s">
        <v>1893</v>
      </c>
      <c r="K2346" s="62">
        <v>5403</v>
      </c>
      <c r="L2346" s="57">
        <v>207</v>
      </c>
      <c r="M2346" s="50" t="s">
        <v>26</v>
      </c>
      <c r="N2346" s="50" t="s">
        <v>317</v>
      </c>
      <c r="O2346" s="64">
        <v>473</v>
      </c>
      <c r="P2346" s="65">
        <v>12</v>
      </c>
      <c r="Q2346" s="64">
        <v>56.76</v>
      </c>
      <c r="R2346" s="63">
        <v>0</v>
      </c>
      <c r="S2346" s="64">
        <v>33.11</v>
      </c>
    </row>
    <row r="2347" spans="1:19" ht="11.1" customHeight="1" x14ac:dyDescent="0.25">
      <c r="N2347" s="50" t="s">
        <v>318</v>
      </c>
      <c r="O2347" s="64">
        <v>638.54999999999995</v>
      </c>
      <c r="P2347" s="65">
        <v>20</v>
      </c>
      <c r="Q2347" s="64">
        <v>33.11</v>
      </c>
      <c r="R2347" s="63">
        <v>0</v>
      </c>
      <c r="S2347" s="64">
        <v>0</v>
      </c>
    </row>
    <row r="2348" spans="1:19" ht="11.1" customHeight="1" x14ac:dyDescent="0.25">
      <c r="A2348" s="57">
        <v>112923</v>
      </c>
      <c r="B2348" s="53">
        <v>46125</v>
      </c>
      <c r="C2348" s="58">
        <v>46125</v>
      </c>
      <c r="D2348" s="59" t="s">
        <v>1895</v>
      </c>
      <c r="E2348" s="50" t="s">
        <v>313</v>
      </c>
      <c r="F2348" s="57">
        <v>36</v>
      </c>
      <c r="G2348" s="60">
        <v>601</v>
      </c>
      <c r="H2348" s="61" t="s">
        <v>1891</v>
      </c>
      <c r="I2348" s="50" t="s">
        <v>1892</v>
      </c>
      <c r="J2348" s="50" t="s">
        <v>1893</v>
      </c>
      <c r="K2348" s="62">
        <v>5102</v>
      </c>
      <c r="L2348" s="57">
        <v>205</v>
      </c>
      <c r="M2348" s="50" t="s">
        <v>26</v>
      </c>
      <c r="N2348" s="50" t="s">
        <v>317</v>
      </c>
      <c r="O2348" s="64">
        <v>2072.5</v>
      </c>
      <c r="P2348" s="65">
        <v>12</v>
      </c>
      <c r="Q2348" s="64">
        <v>248.7</v>
      </c>
      <c r="R2348" s="63">
        <v>0</v>
      </c>
      <c r="S2348" s="64">
        <v>0</v>
      </c>
    </row>
    <row r="2349" spans="1:19" ht="11.1" customHeight="1" x14ac:dyDescent="0.25">
      <c r="A2349" s="57">
        <v>112940</v>
      </c>
      <c r="B2349" s="53">
        <v>46125</v>
      </c>
      <c r="C2349" s="58">
        <v>46125</v>
      </c>
      <c r="D2349" s="59" t="s">
        <v>1896</v>
      </c>
      <c r="E2349" s="50" t="s">
        <v>313</v>
      </c>
      <c r="F2349" s="57">
        <v>36</v>
      </c>
      <c r="G2349" s="60">
        <v>601</v>
      </c>
      <c r="H2349" s="61" t="s">
        <v>1891</v>
      </c>
      <c r="I2349" s="50" t="s">
        <v>1892</v>
      </c>
      <c r="J2349" s="50" t="s">
        <v>1893</v>
      </c>
      <c r="K2349" s="62">
        <v>5102</v>
      </c>
      <c r="L2349" s="57">
        <v>205</v>
      </c>
      <c r="M2349" s="50" t="s">
        <v>26</v>
      </c>
      <c r="N2349" s="50" t="s">
        <v>317</v>
      </c>
      <c r="O2349" s="64">
        <v>1862.23</v>
      </c>
      <c r="P2349" s="65">
        <v>12</v>
      </c>
      <c r="Q2349" s="64">
        <v>223.47</v>
      </c>
      <c r="R2349" s="63">
        <v>0</v>
      </c>
      <c r="S2349" s="64">
        <v>0</v>
      </c>
    </row>
    <row r="2350" spans="1:19" ht="11.1" customHeight="1" x14ac:dyDescent="0.25">
      <c r="A2350" s="57">
        <v>112941</v>
      </c>
      <c r="B2350" s="53">
        <v>46125</v>
      </c>
      <c r="C2350" s="58">
        <v>46125</v>
      </c>
      <c r="D2350" s="59" t="s">
        <v>1896</v>
      </c>
      <c r="E2350" s="50" t="s">
        <v>313</v>
      </c>
      <c r="F2350" s="57">
        <v>36</v>
      </c>
      <c r="G2350" s="60">
        <v>601</v>
      </c>
      <c r="H2350" s="61" t="s">
        <v>1891</v>
      </c>
      <c r="I2350" s="50" t="s">
        <v>1892</v>
      </c>
      <c r="J2350" s="50" t="s">
        <v>1893</v>
      </c>
      <c r="K2350" s="62">
        <v>5403</v>
      </c>
      <c r="L2350" s="57">
        <v>207</v>
      </c>
      <c r="M2350" s="50" t="s">
        <v>26</v>
      </c>
      <c r="N2350" s="50" t="s">
        <v>317</v>
      </c>
      <c r="O2350" s="64">
        <v>1553.32</v>
      </c>
      <c r="P2350" s="65">
        <v>12</v>
      </c>
      <c r="Q2350" s="64">
        <v>186.4</v>
      </c>
      <c r="R2350" s="63">
        <v>0</v>
      </c>
      <c r="S2350" s="64">
        <v>108.73</v>
      </c>
    </row>
    <row r="2351" spans="1:19" ht="11.1" customHeight="1" x14ac:dyDescent="0.25">
      <c r="N2351" s="50" t="s">
        <v>318</v>
      </c>
      <c r="O2351" s="64">
        <v>2096.98</v>
      </c>
      <c r="P2351" s="65">
        <v>20</v>
      </c>
      <c r="Q2351" s="64">
        <v>108.73</v>
      </c>
      <c r="R2351" s="63">
        <v>0</v>
      </c>
      <c r="S2351" s="64">
        <v>0</v>
      </c>
    </row>
    <row r="2352" spans="1:19" ht="11.1" customHeight="1" x14ac:dyDescent="0.25">
      <c r="A2352" s="57">
        <v>113022</v>
      </c>
      <c r="B2352" s="53">
        <v>46126</v>
      </c>
      <c r="C2352" s="58">
        <v>46126</v>
      </c>
      <c r="D2352" s="59" t="s">
        <v>1897</v>
      </c>
      <c r="E2352" s="50" t="s">
        <v>313</v>
      </c>
      <c r="F2352" s="57">
        <v>36</v>
      </c>
      <c r="G2352" s="60">
        <v>601</v>
      </c>
      <c r="H2352" s="61" t="s">
        <v>1891</v>
      </c>
      <c r="I2352" s="50" t="s">
        <v>1892</v>
      </c>
      <c r="J2352" s="50" t="s">
        <v>1893</v>
      </c>
      <c r="K2352" s="62">
        <v>5102</v>
      </c>
      <c r="L2352" s="57">
        <v>205</v>
      </c>
      <c r="M2352" s="50" t="s">
        <v>26</v>
      </c>
      <c r="N2352" s="50" t="s">
        <v>317</v>
      </c>
      <c r="O2352" s="64">
        <v>256.77</v>
      </c>
      <c r="P2352" s="65">
        <v>12</v>
      </c>
      <c r="Q2352" s="64">
        <v>30.81</v>
      </c>
      <c r="R2352" s="63">
        <v>0</v>
      </c>
      <c r="S2352" s="64">
        <v>0</v>
      </c>
    </row>
    <row r="2353" spans="1:19" ht="11.1" customHeight="1" x14ac:dyDescent="0.25">
      <c r="A2353" s="57">
        <v>113023</v>
      </c>
      <c r="B2353" s="53">
        <v>46126</v>
      </c>
      <c r="C2353" s="58">
        <v>46126</v>
      </c>
      <c r="D2353" s="59" t="s">
        <v>1897</v>
      </c>
      <c r="E2353" s="50" t="s">
        <v>313</v>
      </c>
      <c r="F2353" s="57">
        <v>36</v>
      </c>
      <c r="G2353" s="60">
        <v>601</v>
      </c>
      <c r="H2353" s="61" t="s">
        <v>1891</v>
      </c>
      <c r="I2353" s="50" t="s">
        <v>1892</v>
      </c>
      <c r="J2353" s="50" t="s">
        <v>1893</v>
      </c>
      <c r="K2353" s="62">
        <v>5403</v>
      </c>
      <c r="L2353" s="57">
        <v>207</v>
      </c>
      <c r="M2353" s="50" t="s">
        <v>26</v>
      </c>
      <c r="N2353" s="50" t="s">
        <v>317</v>
      </c>
      <c r="O2353" s="64">
        <v>1326</v>
      </c>
      <c r="P2353" s="65">
        <v>12</v>
      </c>
      <c r="Q2353" s="64">
        <v>159.12</v>
      </c>
      <c r="R2353" s="63">
        <v>0</v>
      </c>
      <c r="S2353" s="64">
        <v>92.82</v>
      </c>
    </row>
    <row r="2354" spans="1:19" ht="11.1" customHeight="1" x14ac:dyDescent="0.25">
      <c r="N2354" s="50" t="s">
        <v>318</v>
      </c>
      <c r="O2354" s="64">
        <v>1790.1</v>
      </c>
      <c r="P2354" s="65">
        <v>20</v>
      </c>
      <c r="Q2354" s="64">
        <v>92.82</v>
      </c>
      <c r="R2354" s="63">
        <v>0</v>
      </c>
      <c r="S2354" s="64">
        <v>0</v>
      </c>
    </row>
    <row r="2355" spans="1:19" ht="11.1" customHeight="1" x14ac:dyDescent="0.25">
      <c r="A2355" s="57">
        <v>113119</v>
      </c>
      <c r="B2355" s="53">
        <v>46128</v>
      </c>
      <c r="C2355" s="58">
        <v>46128</v>
      </c>
      <c r="D2355" s="59" t="s">
        <v>1898</v>
      </c>
      <c r="E2355" s="50" t="s">
        <v>313</v>
      </c>
      <c r="F2355" s="57">
        <v>36</v>
      </c>
      <c r="G2355" s="60">
        <v>601</v>
      </c>
      <c r="H2355" s="61" t="s">
        <v>1891</v>
      </c>
      <c r="I2355" s="50" t="s">
        <v>1892</v>
      </c>
      <c r="J2355" s="50" t="s">
        <v>1893</v>
      </c>
      <c r="K2355" s="62">
        <v>5102</v>
      </c>
      <c r="L2355" s="57">
        <v>205</v>
      </c>
      <c r="M2355" s="50" t="s">
        <v>26</v>
      </c>
      <c r="N2355" s="50" t="s">
        <v>317</v>
      </c>
      <c r="O2355" s="64">
        <v>1787.14</v>
      </c>
      <c r="P2355" s="65">
        <v>12</v>
      </c>
      <c r="Q2355" s="64">
        <v>214.45</v>
      </c>
      <c r="R2355" s="63">
        <v>0</v>
      </c>
      <c r="S2355" s="64">
        <v>0</v>
      </c>
    </row>
    <row r="2356" spans="1:19" ht="11.1" customHeight="1" x14ac:dyDescent="0.25">
      <c r="A2356" s="57">
        <v>113144</v>
      </c>
      <c r="B2356" s="53">
        <v>46128</v>
      </c>
      <c r="C2356" s="58">
        <v>46128</v>
      </c>
      <c r="D2356" s="59" t="s">
        <v>1899</v>
      </c>
      <c r="E2356" s="50" t="s">
        <v>313</v>
      </c>
      <c r="F2356" s="57">
        <v>36</v>
      </c>
      <c r="G2356" s="60">
        <v>601</v>
      </c>
      <c r="H2356" s="61" t="s">
        <v>1891</v>
      </c>
      <c r="I2356" s="50" t="s">
        <v>1892</v>
      </c>
      <c r="J2356" s="50" t="s">
        <v>1893</v>
      </c>
      <c r="K2356" s="62">
        <v>5102</v>
      </c>
      <c r="L2356" s="57">
        <v>205</v>
      </c>
      <c r="M2356" s="50" t="s">
        <v>26</v>
      </c>
      <c r="N2356" s="50" t="s">
        <v>317</v>
      </c>
      <c r="O2356" s="64">
        <v>417.28</v>
      </c>
      <c r="P2356" s="65">
        <v>12</v>
      </c>
      <c r="Q2356" s="64">
        <v>50.07</v>
      </c>
      <c r="R2356" s="63">
        <v>0</v>
      </c>
      <c r="S2356" s="64">
        <v>0</v>
      </c>
    </row>
    <row r="2357" spans="1:19" ht="11.1" customHeight="1" x14ac:dyDescent="0.25">
      <c r="A2357" s="57">
        <v>113145</v>
      </c>
      <c r="B2357" s="53">
        <v>46128</v>
      </c>
      <c r="C2357" s="58">
        <v>46128</v>
      </c>
      <c r="D2357" s="59" t="s">
        <v>1899</v>
      </c>
      <c r="E2357" s="50" t="s">
        <v>313</v>
      </c>
      <c r="F2357" s="57">
        <v>36</v>
      </c>
      <c r="G2357" s="60">
        <v>601</v>
      </c>
      <c r="H2357" s="61" t="s">
        <v>1891</v>
      </c>
      <c r="I2357" s="50" t="s">
        <v>1892</v>
      </c>
      <c r="J2357" s="50" t="s">
        <v>1893</v>
      </c>
      <c r="K2357" s="62">
        <v>5403</v>
      </c>
      <c r="L2357" s="57">
        <v>207</v>
      </c>
      <c r="M2357" s="50" t="s">
        <v>26</v>
      </c>
      <c r="N2357" s="50" t="s">
        <v>317</v>
      </c>
      <c r="O2357" s="64">
        <v>346.12</v>
      </c>
      <c r="P2357" s="65">
        <v>12</v>
      </c>
      <c r="Q2357" s="64">
        <v>41.53</v>
      </c>
      <c r="R2357" s="63">
        <v>0</v>
      </c>
      <c r="S2357" s="64">
        <v>24.23</v>
      </c>
    </row>
    <row r="2358" spans="1:19" ht="11.1" customHeight="1" x14ac:dyDescent="0.25">
      <c r="N2358" s="50" t="s">
        <v>318</v>
      </c>
      <c r="O2358" s="64">
        <v>467.26</v>
      </c>
      <c r="P2358" s="65">
        <v>20</v>
      </c>
      <c r="Q2358" s="64">
        <v>24.23</v>
      </c>
      <c r="R2358" s="63">
        <v>0</v>
      </c>
      <c r="S2358" s="64">
        <v>0</v>
      </c>
    </row>
    <row r="2359" spans="1:19" ht="11.1" customHeight="1" x14ac:dyDescent="0.25">
      <c r="A2359" s="57">
        <v>113196</v>
      </c>
      <c r="B2359" s="53">
        <v>46129</v>
      </c>
      <c r="C2359" s="58">
        <v>46129</v>
      </c>
      <c r="D2359" s="59" t="s">
        <v>1900</v>
      </c>
      <c r="E2359" s="50" t="s">
        <v>313</v>
      </c>
      <c r="F2359" s="57">
        <v>36</v>
      </c>
      <c r="G2359" s="60">
        <v>601</v>
      </c>
      <c r="H2359" s="61" t="s">
        <v>1891</v>
      </c>
      <c r="I2359" s="50" t="s">
        <v>1892</v>
      </c>
      <c r="J2359" s="50" t="s">
        <v>1893</v>
      </c>
      <c r="K2359" s="62">
        <v>5102</v>
      </c>
      <c r="L2359" s="57">
        <v>205</v>
      </c>
      <c r="M2359" s="50" t="s">
        <v>26</v>
      </c>
      <c r="N2359" s="50" t="s">
        <v>317</v>
      </c>
      <c r="O2359" s="64">
        <v>51.56</v>
      </c>
      <c r="P2359" s="65">
        <v>12</v>
      </c>
      <c r="Q2359" s="64">
        <v>6.19</v>
      </c>
      <c r="R2359" s="63">
        <v>0</v>
      </c>
      <c r="S2359" s="64">
        <v>0</v>
      </c>
    </row>
    <row r="2360" spans="1:19" ht="11.1" customHeight="1" x14ac:dyDescent="0.25">
      <c r="A2360" s="57">
        <v>113275</v>
      </c>
      <c r="B2360" s="53">
        <v>46134</v>
      </c>
      <c r="C2360" s="58">
        <v>46134</v>
      </c>
      <c r="D2360" s="59" t="s">
        <v>1901</v>
      </c>
      <c r="E2360" s="50" t="s">
        <v>313</v>
      </c>
      <c r="F2360" s="57">
        <v>36</v>
      </c>
      <c r="G2360" s="60">
        <v>601</v>
      </c>
      <c r="H2360" s="61" t="s">
        <v>1891</v>
      </c>
      <c r="I2360" s="50" t="s">
        <v>1892</v>
      </c>
      <c r="J2360" s="50" t="s">
        <v>1893</v>
      </c>
      <c r="K2360" s="62">
        <v>5102</v>
      </c>
      <c r="L2360" s="57">
        <v>205</v>
      </c>
      <c r="M2360" s="50" t="s">
        <v>26</v>
      </c>
      <c r="N2360" s="50" t="s">
        <v>317</v>
      </c>
      <c r="O2360" s="64">
        <v>3524.92</v>
      </c>
      <c r="P2360" s="65">
        <v>12</v>
      </c>
      <c r="Q2360" s="64">
        <v>423</v>
      </c>
      <c r="R2360" s="63">
        <v>0</v>
      </c>
      <c r="S2360" s="64">
        <v>0</v>
      </c>
    </row>
    <row r="2361" spans="1:19" ht="11.1" customHeight="1" x14ac:dyDescent="0.25">
      <c r="A2361" s="57">
        <v>113276</v>
      </c>
      <c r="B2361" s="53">
        <v>46134</v>
      </c>
      <c r="C2361" s="58">
        <v>46134</v>
      </c>
      <c r="D2361" s="59" t="s">
        <v>1901</v>
      </c>
      <c r="E2361" s="50" t="s">
        <v>313</v>
      </c>
      <c r="F2361" s="57">
        <v>36</v>
      </c>
      <c r="G2361" s="60">
        <v>601</v>
      </c>
      <c r="H2361" s="61" t="s">
        <v>1891</v>
      </c>
      <c r="I2361" s="50" t="s">
        <v>1892</v>
      </c>
      <c r="J2361" s="50" t="s">
        <v>1893</v>
      </c>
      <c r="K2361" s="62">
        <v>5403</v>
      </c>
      <c r="L2361" s="57">
        <v>207</v>
      </c>
      <c r="M2361" s="50" t="s">
        <v>26</v>
      </c>
      <c r="N2361" s="50" t="s">
        <v>317</v>
      </c>
      <c r="O2361" s="64">
        <v>2184.2199999999998</v>
      </c>
      <c r="P2361" s="65">
        <v>12</v>
      </c>
      <c r="Q2361" s="64">
        <v>262.11</v>
      </c>
      <c r="R2361" s="63">
        <v>0</v>
      </c>
      <c r="S2361" s="64">
        <v>152.88999999999999</v>
      </c>
    </row>
    <row r="2362" spans="1:19" ht="11.1" customHeight="1" x14ac:dyDescent="0.25">
      <c r="N2362" s="50" t="s">
        <v>318</v>
      </c>
      <c r="O2362" s="64">
        <v>2948.69</v>
      </c>
      <c r="P2362" s="65">
        <v>20</v>
      </c>
      <c r="Q2362" s="64">
        <v>152.88999999999999</v>
      </c>
      <c r="R2362" s="63">
        <v>0</v>
      </c>
      <c r="S2362" s="64">
        <v>0</v>
      </c>
    </row>
    <row r="2363" spans="1:19" ht="11.1" customHeight="1" x14ac:dyDescent="0.25">
      <c r="A2363" s="57">
        <v>113299</v>
      </c>
      <c r="B2363" s="53">
        <v>46134</v>
      </c>
      <c r="C2363" s="58">
        <v>46134</v>
      </c>
      <c r="D2363" s="59" t="s">
        <v>1902</v>
      </c>
      <c r="E2363" s="50" t="s">
        <v>313</v>
      </c>
      <c r="F2363" s="57">
        <v>36</v>
      </c>
      <c r="G2363" s="60">
        <v>601</v>
      </c>
      <c r="H2363" s="61" t="s">
        <v>1891</v>
      </c>
      <c r="I2363" s="50" t="s">
        <v>1892</v>
      </c>
      <c r="J2363" s="50" t="s">
        <v>1893</v>
      </c>
      <c r="K2363" s="62">
        <v>5102</v>
      </c>
      <c r="L2363" s="57">
        <v>205</v>
      </c>
      <c r="M2363" s="50" t="s">
        <v>26</v>
      </c>
      <c r="N2363" s="50" t="s">
        <v>317</v>
      </c>
      <c r="O2363" s="64">
        <v>192.79</v>
      </c>
      <c r="P2363" s="65">
        <v>12</v>
      </c>
      <c r="Q2363" s="64">
        <v>23.13</v>
      </c>
      <c r="R2363" s="63">
        <v>0</v>
      </c>
      <c r="S2363" s="64">
        <v>0</v>
      </c>
    </row>
    <row r="2364" spans="1:19" ht="11.1" customHeight="1" x14ac:dyDescent="0.25">
      <c r="A2364" s="57">
        <v>113300</v>
      </c>
      <c r="B2364" s="53">
        <v>46134</v>
      </c>
      <c r="C2364" s="58">
        <v>46134</v>
      </c>
      <c r="D2364" s="59" t="s">
        <v>1902</v>
      </c>
      <c r="E2364" s="50" t="s">
        <v>313</v>
      </c>
      <c r="F2364" s="57">
        <v>36</v>
      </c>
      <c r="G2364" s="60">
        <v>601</v>
      </c>
      <c r="H2364" s="61" t="s">
        <v>1891</v>
      </c>
      <c r="I2364" s="50" t="s">
        <v>1892</v>
      </c>
      <c r="J2364" s="50" t="s">
        <v>1893</v>
      </c>
      <c r="K2364" s="62">
        <v>5403</v>
      </c>
      <c r="L2364" s="57">
        <v>207</v>
      </c>
      <c r="M2364" s="50" t="s">
        <v>26</v>
      </c>
      <c r="N2364" s="50" t="s">
        <v>317</v>
      </c>
      <c r="O2364" s="64">
        <v>72.67</v>
      </c>
      <c r="P2364" s="65">
        <v>12</v>
      </c>
      <c r="Q2364" s="64">
        <v>8.7200000000000006</v>
      </c>
      <c r="R2364" s="63">
        <v>0</v>
      </c>
      <c r="S2364" s="64">
        <v>5.09</v>
      </c>
    </row>
    <row r="2365" spans="1:19" ht="11.1" customHeight="1" x14ac:dyDescent="0.25">
      <c r="N2365" s="50" t="s">
        <v>318</v>
      </c>
      <c r="O2365" s="64">
        <v>98.1</v>
      </c>
      <c r="P2365" s="65">
        <v>20</v>
      </c>
      <c r="Q2365" s="64">
        <v>5.09</v>
      </c>
      <c r="R2365" s="63">
        <v>0</v>
      </c>
      <c r="S2365" s="64">
        <v>0</v>
      </c>
    </row>
    <row r="2366" spans="1:19" ht="11.1" customHeight="1" x14ac:dyDescent="0.25">
      <c r="A2366" s="57">
        <v>113527</v>
      </c>
      <c r="B2366" s="53">
        <v>46140</v>
      </c>
      <c r="C2366" s="58">
        <v>46140</v>
      </c>
      <c r="D2366" s="59" t="s">
        <v>1903</v>
      </c>
      <c r="E2366" s="50" t="s">
        <v>313</v>
      </c>
      <c r="F2366" s="57">
        <v>36</v>
      </c>
      <c r="G2366" s="60">
        <v>601</v>
      </c>
      <c r="H2366" s="61" t="s">
        <v>1891</v>
      </c>
      <c r="I2366" s="50" t="s">
        <v>1892</v>
      </c>
      <c r="J2366" s="50" t="s">
        <v>1893</v>
      </c>
      <c r="K2366" s="62">
        <v>5102</v>
      </c>
      <c r="L2366" s="57">
        <v>205</v>
      </c>
      <c r="M2366" s="50" t="s">
        <v>26</v>
      </c>
      <c r="N2366" s="50" t="s">
        <v>317</v>
      </c>
      <c r="O2366" s="64">
        <v>3305.88</v>
      </c>
      <c r="P2366" s="65">
        <v>12</v>
      </c>
      <c r="Q2366" s="64">
        <v>396.7</v>
      </c>
      <c r="R2366" s="63">
        <v>0</v>
      </c>
      <c r="S2366" s="64">
        <v>0</v>
      </c>
    </row>
    <row r="2367" spans="1:19" ht="11.1" customHeight="1" x14ac:dyDescent="0.25">
      <c r="A2367" s="57">
        <v>113528</v>
      </c>
      <c r="B2367" s="53">
        <v>46140</v>
      </c>
      <c r="C2367" s="58">
        <v>46140</v>
      </c>
      <c r="D2367" s="59" t="s">
        <v>1903</v>
      </c>
      <c r="E2367" s="50" t="s">
        <v>313</v>
      </c>
      <c r="F2367" s="57">
        <v>36</v>
      </c>
      <c r="G2367" s="60">
        <v>601</v>
      </c>
      <c r="H2367" s="61" t="s">
        <v>1891</v>
      </c>
      <c r="I2367" s="50" t="s">
        <v>1892</v>
      </c>
      <c r="J2367" s="50" t="s">
        <v>1893</v>
      </c>
      <c r="K2367" s="62">
        <v>5403</v>
      </c>
      <c r="L2367" s="57">
        <v>207</v>
      </c>
      <c r="M2367" s="50" t="s">
        <v>26</v>
      </c>
      <c r="N2367" s="50" t="s">
        <v>317</v>
      </c>
      <c r="O2367" s="64">
        <v>4096.72</v>
      </c>
      <c r="P2367" s="65">
        <v>12</v>
      </c>
      <c r="Q2367" s="64">
        <v>491.6</v>
      </c>
      <c r="R2367" s="63">
        <v>0</v>
      </c>
      <c r="S2367" s="64">
        <v>286.77</v>
      </c>
    </row>
    <row r="2368" spans="1:19" ht="11.1" customHeight="1" x14ac:dyDescent="0.25">
      <c r="N2368" s="50" t="s">
        <v>318</v>
      </c>
      <c r="O2368" s="64">
        <v>5530.56</v>
      </c>
      <c r="P2368" s="65">
        <v>20</v>
      </c>
      <c r="Q2368" s="64">
        <v>286.77</v>
      </c>
      <c r="R2368" s="63">
        <v>0</v>
      </c>
      <c r="S2368" s="64">
        <v>0</v>
      </c>
    </row>
    <row r="2369" spans="1:19" ht="11.85" customHeight="1" x14ac:dyDescent="0.25">
      <c r="A2369" s="66" t="s">
        <v>320</v>
      </c>
      <c r="B2369" s="66"/>
      <c r="C2369" s="66"/>
      <c r="D2369" s="66"/>
      <c r="E2369" s="66"/>
      <c r="F2369" s="66"/>
      <c r="G2369" s="66"/>
      <c r="H2369" s="66"/>
    </row>
    <row r="2370" spans="1:19" ht="11.1" customHeight="1" x14ac:dyDescent="0.25">
      <c r="N2370" s="50" t="s">
        <v>317</v>
      </c>
      <c r="O2370" s="64">
        <v>31331.22</v>
      </c>
      <c r="Q2370" s="64">
        <v>3759.73</v>
      </c>
      <c r="R2370" s="63">
        <v>0</v>
      </c>
      <c r="S2370" s="64">
        <v>915.64</v>
      </c>
    </row>
    <row r="2371" spans="1:19" ht="11.1" customHeight="1" x14ac:dyDescent="0.25">
      <c r="N2371" s="50" t="s">
        <v>318</v>
      </c>
      <c r="O2371" s="64">
        <v>17658.91</v>
      </c>
      <c r="Q2371" s="64">
        <v>915.64</v>
      </c>
      <c r="R2371" s="63">
        <v>0</v>
      </c>
      <c r="S2371" s="64">
        <v>0</v>
      </c>
    </row>
    <row r="2372" spans="1:19" ht="11.85" customHeight="1" x14ac:dyDescent="0.25">
      <c r="A2372" s="66" t="s">
        <v>1904</v>
      </c>
      <c r="B2372" s="66"/>
      <c r="C2372" s="66"/>
      <c r="D2372" s="66"/>
      <c r="E2372" s="66"/>
      <c r="F2372" s="66"/>
      <c r="G2372" s="66"/>
      <c r="H2372" s="66"/>
    </row>
    <row r="2373" spans="1:19" ht="11.1" customHeight="1" x14ac:dyDescent="0.25">
      <c r="N2373" s="50" t="s">
        <v>317</v>
      </c>
      <c r="O2373" s="64">
        <v>2027709</v>
      </c>
      <c r="Q2373" s="64">
        <v>243233.52</v>
      </c>
      <c r="R2373" s="63">
        <v>0</v>
      </c>
      <c r="S2373" s="64">
        <v>89242.66</v>
      </c>
    </row>
    <row r="2374" spans="1:19" ht="11.1" customHeight="1" x14ac:dyDescent="0.25">
      <c r="N2374" s="50" t="s">
        <v>318</v>
      </c>
      <c r="O2374" s="64">
        <v>1131685.3600000001</v>
      </c>
      <c r="Q2374" s="64">
        <v>71804.97</v>
      </c>
      <c r="R2374" s="63">
        <v>0</v>
      </c>
      <c r="S2374" s="64">
        <v>0</v>
      </c>
    </row>
    <row r="2375" spans="1:19" ht="12.6" customHeight="1" x14ac:dyDescent="0.25"/>
    <row r="2376" spans="1:19" ht="11.1" customHeight="1" x14ac:dyDescent="0.25">
      <c r="A2376" s="67" t="s">
        <v>103</v>
      </c>
      <c r="B2376" s="67"/>
      <c r="C2376" s="67"/>
      <c r="D2376" s="67"/>
      <c r="E2376" s="67"/>
      <c r="F2376" s="67"/>
      <c r="G2376" s="67"/>
      <c r="H2376" s="6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DRE</vt:lpstr>
      <vt:lpstr>BALANCETE</vt:lpstr>
      <vt:lpstr>ICMS 5005-2012</vt:lpstr>
      <vt:lpstr>PIS COFINS</vt:lpstr>
      <vt:lpstr>IRPJ</vt:lpstr>
      <vt:lpstr>CSLL</vt:lpstr>
      <vt:lpstr>ST</vt:lpstr>
      <vt:lpstr>DIFAL</vt:lpstr>
      <vt:lpstr>IPI</vt:lpstr>
      <vt:lpstr>ENTRADA</vt:lpstr>
      <vt:lpstr>SAIDA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</cp:lastModifiedBy>
  <dcterms:created xsi:type="dcterms:W3CDTF">2026-08-26T14:40:24Z</dcterms:created>
  <dcterms:modified xsi:type="dcterms:W3CDTF">2026-09-04T12:57:23Z</dcterms:modified>
</cp:coreProperties>
</file>